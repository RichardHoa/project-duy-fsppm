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293" documentId="13_ncr:1_{8DA829A7-D392-410C-B92C-4D9E531A3674}" xr6:coauthVersionLast="47" xr6:coauthVersionMax="47" xr10:uidLastSave="{B922E0A2-0AB4-4C47-96BC-E48CC7B78797}"/>
  <bookViews>
    <workbookView xWindow="-98" yWindow="-98" windowWidth="21795" windowHeight="13875" firstSheet="2" activeTab="4" xr2:uid="{00000000-000D-0000-FFFF-FFFF00000000}"/>
  </bookViews>
  <sheets>
    <sheet name="step3_validation" sheetId="18" r:id="rId1"/>
    <sheet name="survey_responses" sheetId="16" r:id="rId2"/>
    <sheet name="step3_combined_data" sheetId="12" r:id="rId3"/>
    <sheet name="AIx" sheetId="21" r:id="rId4"/>
    <sheet name="Insights" sheetId="22"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definedNames>
    <definedName name="ExternalData_1" localSheetId="1" hidden="1">survey_responses!$A$1:$Q$404</definedName>
    <definedName name="ExternalData_3" localSheetId="0" hidden="1">step3_validation!$A$1:$AS$404</definedName>
  </definedNames>
  <calcPr calcId="191029"/>
  <pivotCaches>
    <pivotCache cacheId="24"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2" l="1"/>
  <c r="C71" i="22"/>
  <c r="B71" i="22"/>
  <c r="D70" i="22"/>
  <c r="C70" i="22"/>
  <c r="B70" i="22"/>
  <c r="D69" i="22"/>
  <c r="C69" i="22"/>
  <c r="B69" i="22"/>
  <c r="D68" i="22"/>
  <c r="C68" i="22"/>
  <c r="B68" i="22"/>
  <c r="D67" i="22"/>
  <c r="C67" i="22"/>
  <c r="B67" i="22"/>
  <c r="D66" i="22"/>
  <c r="C66" i="22"/>
  <c r="B66" i="22"/>
  <c r="D65" i="22"/>
  <c r="C65" i="22"/>
  <c r="B65" i="22"/>
  <c r="E65" i="22" s="1"/>
  <c r="D64" i="22"/>
  <c r="C64" i="22"/>
  <c r="E64" i="22" s="1"/>
  <c r="B64" i="22"/>
  <c r="D61" i="22"/>
  <c r="C61" i="22"/>
  <c r="B61" i="22"/>
  <c r="D60" i="22"/>
  <c r="C60" i="22"/>
  <c r="B60" i="22"/>
  <c r="D59" i="22"/>
  <c r="C59" i="22"/>
  <c r="B59" i="22"/>
  <c r="D58" i="22"/>
  <c r="C58" i="22"/>
  <c r="B58" i="22"/>
  <c r="D57" i="22"/>
  <c r="C57" i="22"/>
  <c r="B57" i="22"/>
  <c r="D56" i="22"/>
  <c r="C56" i="22"/>
  <c r="B56" i="22"/>
  <c r="D55" i="22"/>
  <c r="C55" i="22"/>
  <c r="B55" i="22"/>
  <c r="D54" i="22"/>
  <c r="C54" i="22"/>
  <c r="B54" i="22"/>
  <c r="D79" i="22"/>
  <c r="C79" i="22"/>
  <c r="B79" i="22"/>
  <c r="D78" i="22"/>
  <c r="C78" i="22"/>
  <c r="B78" i="22"/>
  <c r="D77" i="22"/>
  <c r="C77" i="22"/>
  <c r="B77" i="22"/>
  <c r="D76" i="22"/>
  <c r="C76" i="22"/>
  <c r="B76" i="22"/>
  <c r="E76" i="22" s="1"/>
  <c r="D75" i="22"/>
  <c r="C75" i="22"/>
  <c r="B75" i="22"/>
  <c r="E75" i="22" s="1"/>
  <c r="D74" i="22"/>
  <c r="C74" i="22"/>
  <c r="B74" i="22"/>
  <c r="E74" i="22" s="1"/>
  <c r="D51" i="22"/>
  <c r="C51" i="22"/>
  <c r="B51" i="22"/>
  <c r="D50" i="22"/>
  <c r="C50" i="22"/>
  <c r="B50" i="22"/>
  <c r="D49" i="22"/>
  <c r="C49" i="22"/>
  <c r="B49" i="22"/>
  <c r="D48" i="22"/>
  <c r="C48" i="22"/>
  <c r="B48" i="22"/>
  <c r="D47" i="22"/>
  <c r="C47" i="22"/>
  <c r="B47" i="22"/>
  <c r="D46" i="22"/>
  <c r="C46" i="22"/>
  <c r="B46" i="22"/>
  <c r="D43" i="22"/>
  <c r="C43" i="22"/>
  <c r="B43" i="22"/>
  <c r="D42" i="22"/>
  <c r="C42" i="22"/>
  <c r="B42" i="22"/>
  <c r="D41" i="22"/>
  <c r="C41" i="22"/>
  <c r="B41" i="22"/>
  <c r="D40" i="22"/>
  <c r="E40" i="22" s="1"/>
  <c r="C40" i="22"/>
  <c r="B40" i="22"/>
  <c r="D39" i="22"/>
  <c r="C39" i="22"/>
  <c r="B39" i="22"/>
  <c r="E39" i="22" s="1"/>
  <c r="D38" i="22"/>
  <c r="C38" i="22"/>
  <c r="B38" i="22"/>
  <c r="E38" i="22" s="1"/>
  <c r="D35" i="22"/>
  <c r="C35" i="22"/>
  <c r="B35" i="22"/>
  <c r="D34" i="22"/>
  <c r="C34" i="22"/>
  <c r="B34" i="22"/>
  <c r="D33" i="22"/>
  <c r="C33" i="22"/>
  <c r="B33" i="22"/>
  <c r="D32" i="22"/>
  <c r="C32" i="22"/>
  <c r="B32" i="22"/>
  <c r="D31" i="22"/>
  <c r="C31" i="22"/>
  <c r="B31" i="22"/>
  <c r="D30" i="22"/>
  <c r="C30" i="22"/>
  <c r="B30" i="22"/>
  <c r="D27" i="22"/>
  <c r="C27" i="22"/>
  <c r="B27" i="22"/>
  <c r="D26" i="22"/>
  <c r="C26" i="22"/>
  <c r="B26" i="22"/>
  <c r="D25" i="22"/>
  <c r="C25" i="22"/>
  <c r="E25" i="22" s="1"/>
  <c r="B25" i="22"/>
  <c r="D24" i="22"/>
  <c r="C24" i="22"/>
  <c r="E24" i="22" s="1"/>
  <c r="J24" i="22" s="1"/>
  <c r="B24" i="22"/>
  <c r="D23" i="22"/>
  <c r="C23" i="22"/>
  <c r="B23" i="22"/>
  <c r="D22" i="22"/>
  <c r="C22" i="22"/>
  <c r="B22" i="22"/>
  <c r="D19" i="22"/>
  <c r="C19" i="22"/>
  <c r="B19" i="22"/>
  <c r="D18" i="22"/>
  <c r="C18" i="22"/>
  <c r="B18" i="22"/>
  <c r="D17" i="22"/>
  <c r="C17" i="22"/>
  <c r="B17" i="22"/>
  <c r="D16" i="22"/>
  <c r="C16" i="22"/>
  <c r="B16" i="22"/>
  <c r="D15" i="22"/>
  <c r="C15" i="22"/>
  <c r="B15" i="22"/>
  <c r="D14" i="22"/>
  <c r="C14" i="22"/>
  <c r="B14" i="22"/>
  <c r="D11" i="22"/>
  <c r="C11" i="22"/>
  <c r="B11" i="22"/>
  <c r="D10" i="22"/>
  <c r="C10" i="22"/>
  <c r="B10" i="22"/>
  <c r="D7" i="22"/>
  <c r="C7" i="22"/>
  <c r="B7" i="22"/>
  <c r="D6" i="22"/>
  <c r="C6" i="22"/>
  <c r="B6" i="22"/>
  <c r="D3" i="22"/>
  <c r="C3" i="22"/>
  <c r="B3" i="22"/>
  <c r="D2" i="22"/>
  <c r="C2" i="22"/>
  <c r="B2" i="22"/>
  <c r="E51" i="22"/>
  <c r="I51" i="22" s="1"/>
  <c r="E50" i="22"/>
  <c r="H50" i="22" s="1"/>
  <c r="E26" i="22"/>
  <c r="I26" i="22" s="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6" i="21"/>
  <c r="BD157" i="21"/>
  <c r="BD158" i="21"/>
  <c r="BD159" i="21"/>
  <c r="BD160" i="21"/>
  <c r="BD161" i="21"/>
  <c r="BD162" i="21"/>
  <c r="BD163" i="21"/>
  <c r="BD164"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BD194" i="21"/>
  <c r="BD195" i="21"/>
  <c r="BD196" i="21"/>
  <c r="BD197" i="21"/>
  <c r="BD198" i="21"/>
  <c r="BD199" i="21"/>
  <c r="BD200" i="21"/>
  <c r="BD201" i="21"/>
  <c r="BD202" i="21"/>
  <c r="BD203" i="21"/>
  <c r="BD204" i="21"/>
  <c r="BD205" i="21"/>
  <c r="BD206" i="21"/>
  <c r="BD207" i="21"/>
  <c r="BD208" i="21"/>
  <c r="BD209" i="21"/>
  <c r="BD210" i="21"/>
  <c r="BD211" i="21"/>
  <c r="BD212" i="21"/>
  <c r="BD213" i="21"/>
  <c r="BD214" i="21"/>
  <c r="BD215" i="21"/>
  <c r="BD216" i="21"/>
  <c r="BD217" i="21"/>
  <c r="BD218" i="21"/>
  <c r="BD219" i="21"/>
  <c r="BD220" i="21"/>
  <c r="BD221" i="21"/>
  <c r="BD222" i="21"/>
  <c r="BD223" i="21"/>
  <c r="BD224" i="21"/>
  <c r="BD225" i="21"/>
  <c r="BD226" i="21"/>
  <c r="BD227" i="21"/>
  <c r="BD228" i="21"/>
  <c r="BD229" i="21"/>
  <c r="BD230" i="21"/>
  <c r="BD231" i="21"/>
  <c r="BD232" i="21"/>
  <c r="BD233" i="21"/>
  <c r="BD234" i="21"/>
  <c r="BD235" i="21"/>
  <c r="BD236" i="21"/>
  <c r="BD237" i="21"/>
  <c r="BD238" i="21"/>
  <c r="BD239" i="21"/>
  <c r="BD240" i="21"/>
  <c r="BD241" i="21"/>
  <c r="BD242" i="21"/>
  <c r="BD243" i="21"/>
  <c r="BD244" i="21"/>
  <c r="BD245" i="21"/>
  <c r="BD246" i="21"/>
  <c r="BD247" i="21"/>
  <c r="BD248" i="21"/>
  <c r="BD249" i="21"/>
  <c r="BD250" i="21"/>
  <c r="BD251" i="21"/>
  <c r="BD252" i="21"/>
  <c r="BD253" i="21"/>
  <c r="BD254" i="21"/>
  <c r="BD255" i="21"/>
  <c r="BD256" i="21"/>
  <c r="BD257" i="21"/>
  <c r="BD258" i="21"/>
  <c r="BD259" i="21"/>
  <c r="BD260" i="21"/>
  <c r="BD261" i="21"/>
  <c r="BD262" i="21"/>
  <c r="BD263" i="21"/>
  <c r="BD264" i="21"/>
  <c r="BD265" i="21"/>
  <c r="BD266" i="21"/>
  <c r="BD267" i="21"/>
  <c r="BD268" i="21"/>
  <c r="BD269" i="21"/>
  <c r="BD270" i="21"/>
  <c r="BD271" i="21"/>
  <c r="BD272" i="21"/>
  <c r="BD273" i="21"/>
  <c r="BD274" i="21"/>
  <c r="BD275" i="21"/>
  <c r="BD276" i="21"/>
  <c r="BD277" i="21"/>
  <c r="BD278" i="21"/>
  <c r="BD279" i="21"/>
  <c r="BD280" i="21"/>
  <c r="BD281" i="21"/>
  <c r="BD282" i="21"/>
  <c r="BD283" i="21"/>
  <c r="BD284" i="21"/>
  <c r="BD285" i="21"/>
  <c r="BD286" i="21"/>
  <c r="BD287" i="21"/>
  <c r="BD288" i="21"/>
  <c r="BD289" i="21"/>
  <c r="BD290" i="21"/>
  <c r="BD291" i="21"/>
  <c r="BD292" i="21"/>
  <c r="BD293" i="21"/>
  <c r="BD294" i="21"/>
  <c r="BD295" i="21"/>
  <c r="BD296" i="21"/>
  <c r="BD297" i="21"/>
  <c r="BD298" i="21"/>
  <c r="BD299" i="21"/>
  <c r="BD300" i="21"/>
  <c r="BD301" i="21"/>
  <c r="BD302" i="21"/>
  <c r="BD303" i="21"/>
  <c r="BD304" i="21"/>
  <c r="BD305" i="21"/>
  <c r="BD306" i="21"/>
  <c r="BD307" i="21"/>
  <c r="BD308" i="21"/>
  <c r="BD309" i="21"/>
  <c r="BD310" i="21"/>
  <c r="BD311" i="21"/>
  <c r="BD312" i="21"/>
  <c r="BD313" i="21"/>
  <c r="BD314" i="21"/>
  <c r="BD315" i="21"/>
  <c r="BD316" i="21"/>
  <c r="BD317" i="21"/>
  <c r="BD318" i="21"/>
  <c r="BD319" i="21"/>
  <c r="BD320" i="21"/>
  <c r="BD321" i="21"/>
  <c r="BD322" i="21"/>
  <c r="BD323" i="21"/>
  <c r="BD324" i="21"/>
  <c r="BD325" i="21"/>
  <c r="BD326" i="21"/>
  <c r="BD327" i="21"/>
  <c r="BD328" i="21"/>
  <c r="BD329" i="21"/>
  <c r="BD330" i="21"/>
  <c r="BD331" i="21"/>
  <c r="BD332" i="21"/>
  <c r="BD333" i="21"/>
  <c r="BD334" i="21"/>
  <c r="BD335" i="21"/>
  <c r="BD336" i="21"/>
  <c r="BD337" i="21"/>
  <c r="BD338" i="21"/>
  <c r="BD339" i="21"/>
  <c r="BD340" i="21"/>
  <c r="BD341" i="21"/>
  <c r="BD342" i="21"/>
  <c r="BD343" i="21"/>
  <c r="BD344" i="21"/>
  <c r="BD345" i="21"/>
  <c r="BD346" i="21"/>
  <c r="BD347" i="21"/>
  <c r="BD348" i="21"/>
  <c r="BD349" i="21"/>
  <c r="BD350" i="21"/>
  <c r="BD351" i="21"/>
  <c r="BD352" i="21"/>
  <c r="BD353" i="21"/>
  <c r="BD354" i="21"/>
  <c r="BD355" i="21"/>
  <c r="BD356" i="21"/>
  <c r="BD357" i="21"/>
  <c r="BD358" i="21"/>
  <c r="BD359" i="21"/>
  <c r="BD360" i="21"/>
  <c r="BD361" i="21"/>
  <c r="BD362" i="21"/>
  <c r="BD363" i="21"/>
  <c r="BD364" i="21"/>
  <c r="BD365" i="21"/>
  <c r="BD366" i="21"/>
  <c r="BD367" i="21"/>
  <c r="BD368" i="21"/>
  <c r="BD369" i="21"/>
  <c r="BD370" i="21"/>
  <c r="BD371" i="21"/>
  <c r="BD372" i="21"/>
  <c r="BD373" i="21"/>
  <c r="BD374" i="21"/>
  <c r="BD375" i="21"/>
  <c r="BD376" i="21"/>
  <c r="BD377" i="21"/>
  <c r="BD378" i="21"/>
  <c r="BD379" i="21"/>
  <c r="BD380" i="21"/>
  <c r="BD381" i="21"/>
  <c r="BD382" i="21"/>
  <c r="BD383" i="21"/>
  <c r="BD384" i="21"/>
  <c r="BD385" i="21"/>
  <c r="BD386" i="21"/>
  <c r="BD387" i="21"/>
  <c r="BD388" i="21"/>
  <c r="BD389" i="21"/>
  <c r="BD390" i="21"/>
  <c r="BD391" i="21"/>
  <c r="BD392" i="21"/>
  <c r="BD393" i="21"/>
  <c r="BD394" i="21"/>
  <c r="BD395" i="21"/>
  <c r="BD396" i="21"/>
  <c r="BD397" i="21"/>
  <c r="BD398" i="21"/>
  <c r="BD399" i="21"/>
  <c r="BD400" i="21"/>
  <c r="BD401" i="21"/>
  <c r="BD402" i="21"/>
  <c r="BD403" i="21"/>
  <c r="BD404" i="21"/>
  <c r="BD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172" i="21"/>
  <c r="BC173" i="21"/>
  <c r="BC174" i="21"/>
  <c r="BC175" i="21"/>
  <c r="BC176" i="21"/>
  <c r="BC177" i="21"/>
  <c r="BC178" i="21"/>
  <c r="BC179" i="21"/>
  <c r="BC180" i="21"/>
  <c r="BC181" i="21"/>
  <c r="BC182" i="21"/>
  <c r="BC183" i="21"/>
  <c r="BC184" i="21"/>
  <c r="BC185" i="21"/>
  <c r="BC186" i="21"/>
  <c r="BC187" i="21"/>
  <c r="BC188" i="21"/>
  <c r="BC189" i="21"/>
  <c r="BC190" i="21"/>
  <c r="BC191" i="21"/>
  <c r="BC192" i="21"/>
  <c r="BC193" i="21"/>
  <c r="BC194" i="21"/>
  <c r="BC195" i="21"/>
  <c r="BC196" i="21"/>
  <c r="BC197" i="21"/>
  <c r="BC198" i="21"/>
  <c r="BC199" i="21"/>
  <c r="BC200" i="21"/>
  <c r="BC201" i="21"/>
  <c r="BC202" i="21"/>
  <c r="BC203" i="21"/>
  <c r="BC204" i="21"/>
  <c r="BC205" i="21"/>
  <c r="BC206" i="21"/>
  <c r="BC207" i="21"/>
  <c r="BC208" i="21"/>
  <c r="BC209" i="21"/>
  <c r="BC210" i="21"/>
  <c r="BC211" i="21"/>
  <c r="BC212" i="21"/>
  <c r="BC213" i="21"/>
  <c r="BC214" i="21"/>
  <c r="BC215" i="21"/>
  <c r="BC216" i="21"/>
  <c r="BC217" i="21"/>
  <c r="BC218" i="21"/>
  <c r="BC219" i="21"/>
  <c r="BC220" i="21"/>
  <c r="BC221" i="21"/>
  <c r="BC222" i="21"/>
  <c r="BC223" i="21"/>
  <c r="BC224" i="21"/>
  <c r="BC225" i="21"/>
  <c r="BC226" i="21"/>
  <c r="BC227" i="21"/>
  <c r="BC228" i="21"/>
  <c r="BC229" i="21"/>
  <c r="BC230" i="21"/>
  <c r="BC231" i="21"/>
  <c r="BC232" i="21"/>
  <c r="BC233" i="21"/>
  <c r="BC234" i="21"/>
  <c r="BC235" i="21"/>
  <c r="BC236" i="21"/>
  <c r="BC237" i="21"/>
  <c r="BC238" i="21"/>
  <c r="BC239" i="21"/>
  <c r="BC240" i="21"/>
  <c r="BC241" i="21"/>
  <c r="BC242" i="21"/>
  <c r="BC243" i="21"/>
  <c r="BC244" i="21"/>
  <c r="BC245" i="21"/>
  <c r="BC246" i="21"/>
  <c r="BC247" i="21"/>
  <c r="BC248" i="21"/>
  <c r="BC249" i="21"/>
  <c r="BC250" i="21"/>
  <c r="BC251" i="21"/>
  <c r="BC252" i="21"/>
  <c r="BC253" i="21"/>
  <c r="BC254" i="21"/>
  <c r="BC255" i="21"/>
  <c r="BC256" i="21"/>
  <c r="BC257" i="21"/>
  <c r="BC258" i="21"/>
  <c r="BC259"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281" i="21"/>
  <c r="BC282" i="21"/>
  <c r="BC283" i="21"/>
  <c r="BC284" i="21"/>
  <c r="BC285" i="21"/>
  <c r="BC286" i="21"/>
  <c r="BC287" i="21"/>
  <c r="BC288" i="21"/>
  <c r="BC289" i="21"/>
  <c r="BC290" i="21"/>
  <c r="BC291" i="21"/>
  <c r="BC292" i="21"/>
  <c r="BC293" i="21"/>
  <c r="BC294" i="21"/>
  <c r="BC295" i="21"/>
  <c r="BC296" i="21"/>
  <c r="BC297" i="21"/>
  <c r="BC298" i="21"/>
  <c r="BC299" i="21"/>
  <c r="BC300" i="21"/>
  <c r="BC301" i="21"/>
  <c r="BC302" i="21"/>
  <c r="BC303" i="21"/>
  <c r="BC304" i="21"/>
  <c r="BC305" i="21"/>
  <c r="BC306" i="21"/>
  <c r="BC307" i="21"/>
  <c r="BC308" i="21"/>
  <c r="BC309" i="21"/>
  <c r="BC310" i="21"/>
  <c r="BC311" i="21"/>
  <c r="BC312" i="21"/>
  <c r="BC313" i="21"/>
  <c r="BC314" i="21"/>
  <c r="BC315" i="21"/>
  <c r="BC316" i="21"/>
  <c r="BC317" i="21"/>
  <c r="BC318" i="21"/>
  <c r="BC319" i="21"/>
  <c r="BC320" i="21"/>
  <c r="BC321" i="21"/>
  <c r="BC322" i="21"/>
  <c r="BC323" i="21"/>
  <c r="BC324" i="21"/>
  <c r="BC325" i="21"/>
  <c r="BC326" i="21"/>
  <c r="BC327" i="21"/>
  <c r="BC328" i="21"/>
  <c r="BC329" i="21"/>
  <c r="BC330" i="21"/>
  <c r="BC331" i="21"/>
  <c r="BC332" i="21"/>
  <c r="BC333" i="21"/>
  <c r="BC334" i="21"/>
  <c r="BC335" i="21"/>
  <c r="BC336" i="21"/>
  <c r="BC337" i="21"/>
  <c r="BC338" i="21"/>
  <c r="BC339" i="21"/>
  <c r="BC340" i="21"/>
  <c r="BC341" i="21"/>
  <c r="BC342" i="21"/>
  <c r="BC343" i="21"/>
  <c r="BC344" i="21"/>
  <c r="BC345" i="21"/>
  <c r="BC346" i="21"/>
  <c r="BC347" i="21"/>
  <c r="BC348" i="21"/>
  <c r="BC349" i="21"/>
  <c r="BC350" i="21"/>
  <c r="BC351" i="21"/>
  <c r="BC352" i="21"/>
  <c r="BC353" i="21"/>
  <c r="BC354" i="21"/>
  <c r="BC355" i="21"/>
  <c r="BC356" i="21"/>
  <c r="BC357" i="21"/>
  <c r="BC358" i="21"/>
  <c r="BC359" i="21"/>
  <c r="BC360" i="21"/>
  <c r="BC361" i="21"/>
  <c r="BC362" i="21"/>
  <c r="BC363" i="21"/>
  <c r="BC364" i="21"/>
  <c r="BC365" i="21"/>
  <c r="BC366" i="21"/>
  <c r="BC367" i="21"/>
  <c r="BC368" i="21"/>
  <c r="BC369" i="21"/>
  <c r="BC370" i="21"/>
  <c r="BC371" i="21"/>
  <c r="BC372" i="21"/>
  <c r="BC373" i="21"/>
  <c r="BC374" i="21"/>
  <c r="BC375" i="21"/>
  <c r="BC376" i="21"/>
  <c r="BC377" i="21"/>
  <c r="BC378" i="21"/>
  <c r="BC379" i="21"/>
  <c r="BC380" i="21"/>
  <c r="BC381" i="21"/>
  <c r="BC382" i="21"/>
  <c r="BC383" i="21"/>
  <c r="BC384" i="21"/>
  <c r="BC385" i="21"/>
  <c r="BC386" i="21"/>
  <c r="BC387" i="21"/>
  <c r="BC388" i="21"/>
  <c r="BC389" i="21"/>
  <c r="BC390" i="21"/>
  <c r="BC391" i="21"/>
  <c r="BC392" i="21"/>
  <c r="BC393" i="21"/>
  <c r="BC394" i="21"/>
  <c r="BC395" i="21"/>
  <c r="BC396" i="21"/>
  <c r="BC397" i="21"/>
  <c r="BC398" i="21"/>
  <c r="BC399" i="21"/>
  <c r="BC400" i="21"/>
  <c r="BC401" i="21"/>
  <c r="BC402" i="21"/>
  <c r="BC403" i="21"/>
  <c r="BC404" i="21"/>
  <c r="BC2" i="21"/>
  <c r="E61" i="22" l="1"/>
  <c r="H61" i="22" s="1"/>
  <c r="E60" i="22"/>
  <c r="E54" i="22"/>
  <c r="I54" i="22" s="1"/>
  <c r="E15" i="22"/>
  <c r="H15" i="22" s="1"/>
  <c r="E14" i="22"/>
  <c r="E11" i="22"/>
  <c r="H11" i="22" s="1"/>
  <c r="E10" i="22"/>
  <c r="E7" i="22"/>
  <c r="H7" i="22" s="1"/>
  <c r="I7" i="22"/>
  <c r="J7" i="22"/>
  <c r="E35" i="22"/>
  <c r="H35" i="22" s="1"/>
  <c r="E49" i="22"/>
  <c r="J49" i="22" s="1"/>
  <c r="E71" i="22"/>
  <c r="H71" i="22" s="1"/>
  <c r="J71" i="22"/>
  <c r="H24" i="22"/>
  <c r="H38" i="22"/>
  <c r="H60" i="22"/>
  <c r="H74" i="22"/>
  <c r="I24" i="22"/>
  <c r="I38" i="22"/>
  <c r="I60" i="22"/>
  <c r="J60" i="22"/>
  <c r="I41" i="22"/>
  <c r="I25" i="22"/>
  <c r="J51" i="22"/>
  <c r="I75" i="22"/>
  <c r="H39" i="22"/>
  <c r="J39" i="22"/>
  <c r="I39" i="22"/>
  <c r="J25" i="22"/>
  <c r="H25" i="22"/>
  <c r="H75" i="22"/>
  <c r="J75" i="22"/>
  <c r="J11" i="22"/>
  <c r="I40" i="22"/>
  <c r="J40" i="22"/>
  <c r="J64" i="22"/>
  <c r="H64" i="22"/>
  <c r="I64" i="22"/>
  <c r="I76" i="22"/>
  <c r="J76" i="22"/>
  <c r="J26" i="22"/>
  <c r="I50" i="22"/>
  <c r="J50" i="22"/>
  <c r="I65" i="22"/>
  <c r="J65" i="22"/>
  <c r="H26" i="22"/>
  <c r="H40" i="22"/>
  <c r="H51" i="22"/>
  <c r="H65" i="22"/>
  <c r="H76" i="22"/>
  <c r="E3" i="22"/>
  <c r="H3" i="22" s="1"/>
  <c r="E6" i="22"/>
  <c r="E5" i="22" s="1"/>
  <c r="E23" i="22"/>
  <c r="H23" i="22" s="1"/>
  <c r="E34" i="22"/>
  <c r="H34" i="22" s="1"/>
  <c r="E48" i="22"/>
  <c r="H48" i="22" s="1"/>
  <c r="E59" i="22"/>
  <c r="H59" i="22" s="1"/>
  <c r="E70" i="22"/>
  <c r="I70" i="22" s="1"/>
  <c r="E2" i="22"/>
  <c r="H2" i="22" s="1"/>
  <c r="E19" i="22"/>
  <c r="I19" i="22" s="1"/>
  <c r="E22" i="22"/>
  <c r="E33" i="22"/>
  <c r="H33" i="22" s="1"/>
  <c r="E47" i="22"/>
  <c r="J47" i="22" s="1"/>
  <c r="E58" i="22"/>
  <c r="I58" i="22" s="1"/>
  <c r="E69" i="22"/>
  <c r="H69" i="22" s="1"/>
  <c r="I74" i="22"/>
  <c r="E18" i="22"/>
  <c r="H18" i="22" s="1"/>
  <c r="E32" i="22"/>
  <c r="J32" i="22" s="1"/>
  <c r="J38" i="22"/>
  <c r="E43" i="22"/>
  <c r="J43" i="22" s="1"/>
  <c r="E46" i="22"/>
  <c r="I46" i="22" s="1"/>
  <c r="E57" i="22"/>
  <c r="J57" i="22" s="1"/>
  <c r="E68" i="22"/>
  <c r="H68" i="22" s="1"/>
  <c r="J74" i="22"/>
  <c r="E79" i="22"/>
  <c r="H79" i="22" s="1"/>
  <c r="E17" i="22"/>
  <c r="J17" i="22" s="1"/>
  <c r="E31" i="22"/>
  <c r="E42" i="22"/>
  <c r="J42" i="22" s="1"/>
  <c r="E56" i="22"/>
  <c r="J56" i="22" s="1"/>
  <c r="E67" i="22"/>
  <c r="J67" i="22" s="1"/>
  <c r="E78" i="22"/>
  <c r="H78" i="22" s="1"/>
  <c r="E16" i="22"/>
  <c r="J16" i="22" s="1"/>
  <c r="E27" i="22"/>
  <c r="J27" i="22" s="1"/>
  <c r="E30" i="22"/>
  <c r="H30" i="22" s="1"/>
  <c r="E41" i="22"/>
  <c r="J41" i="22" s="1"/>
  <c r="E55" i="22"/>
  <c r="H55" i="22" s="1"/>
  <c r="E66" i="22"/>
  <c r="H66" i="22" s="1"/>
  <c r="E77" i="22"/>
  <c r="J77" i="22" s="1"/>
  <c r="BH405" i="21"/>
  <c r="H70" i="22" l="1"/>
  <c r="I71" i="22"/>
  <c r="J61" i="22"/>
  <c r="I61" i="22"/>
  <c r="H58" i="22"/>
  <c r="H54" i="22"/>
  <c r="J54" i="22"/>
  <c r="E73" i="22"/>
  <c r="I43" i="22"/>
  <c r="I32" i="22"/>
  <c r="I33" i="22"/>
  <c r="I16" i="22"/>
  <c r="J15" i="22"/>
  <c r="I15" i="22"/>
  <c r="J18" i="22"/>
  <c r="H16" i="22"/>
  <c r="E13" i="22"/>
  <c r="I14" i="22"/>
  <c r="H14" i="22"/>
  <c r="J14" i="22"/>
  <c r="I11" i="22"/>
  <c r="E9" i="22"/>
  <c r="J10" i="22"/>
  <c r="I10" i="22"/>
  <c r="H10" i="22"/>
  <c r="I3" i="22"/>
  <c r="I48" i="22"/>
  <c r="H67" i="22"/>
  <c r="H6" i="22"/>
  <c r="I57" i="22"/>
  <c r="H19" i="22"/>
  <c r="I49" i="22"/>
  <c r="I59" i="22"/>
  <c r="I35" i="22"/>
  <c r="J79" i="22"/>
  <c r="I79" i="22"/>
  <c r="I77" i="22"/>
  <c r="J78" i="22"/>
  <c r="I68" i="22"/>
  <c r="J35" i="22"/>
  <c r="J59" i="22"/>
  <c r="I23" i="22"/>
  <c r="J68" i="22"/>
  <c r="J70" i="22"/>
  <c r="H49" i="22"/>
  <c r="J23" i="22"/>
  <c r="I31" i="22"/>
  <c r="J31" i="22"/>
  <c r="H43" i="22"/>
  <c r="J34" i="22"/>
  <c r="E37" i="22"/>
  <c r="J19" i="22"/>
  <c r="E53" i="22"/>
  <c r="I18" i="22"/>
  <c r="H32" i="22"/>
  <c r="E1" i="22"/>
  <c r="J2" i="22"/>
  <c r="H77" i="22"/>
  <c r="I34" i="22"/>
  <c r="I67" i="22"/>
  <c r="H17" i="22"/>
  <c r="H31" i="22"/>
  <c r="H57" i="22"/>
  <c r="J6" i="22"/>
  <c r="I2" i="22"/>
  <c r="I27" i="22"/>
  <c r="E21" i="22"/>
  <c r="J22" i="22"/>
  <c r="H27" i="22"/>
  <c r="J3" i="22"/>
  <c r="I47" i="22"/>
  <c r="I6" i="22"/>
  <c r="H47" i="22"/>
  <c r="I56" i="22"/>
  <c r="J58" i="22"/>
  <c r="I22" i="22"/>
  <c r="J66" i="22"/>
  <c r="I66" i="22"/>
  <c r="H56" i="22"/>
  <c r="J55" i="22"/>
  <c r="I55" i="22"/>
  <c r="J30" i="22"/>
  <c r="E29" i="22"/>
  <c r="I30" i="22"/>
  <c r="H22" i="22"/>
  <c r="I69" i="22"/>
  <c r="I78" i="22"/>
  <c r="I42" i="22"/>
  <c r="J48" i="22"/>
  <c r="J46" i="22"/>
  <c r="E45" i="22"/>
  <c r="E63" i="22"/>
  <c r="H41" i="22"/>
  <c r="J33" i="22"/>
  <c r="I17" i="22"/>
  <c r="J69" i="22"/>
  <c r="H42" i="22"/>
  <c r="H46" i="22"/>
  <c r="AY3" i="21"/>
  <c r="AY4" i="21"/>
  <c r="AZ4" i="21" s="1"/>
  <c r="AY5" i="21"/>
  <c r="AZ5" i="21" s="1"/>
  <c r="AY6" i="21"/>
  <c r="AZ6" i="21" s="1"/>
  <c r="AY7" i="21"/>
  <c r="AZ7" i="21" s="1"/>
  <c r="AY8" i="21"/>
  <c r="AZ8" i="21" s="1"/>
  <c r="AY9" i="21"/>
  <c r="AZ9" i="21" s="1"/>
  <c r="AY10" i="21"/>
  <c r="AZ10" i="21" s="1"/>
  <c r="AY11" i="21"/>
  <c r="AY12" i="21"/>
  <c r="AZ12" i="21" s="1"/>
  <c r="AY13" i="21"/>
  <c r="AZ13" i="21" s="1"/>
  <c r="AY14" i="21"/>
  <c r="AZ14" i="21" s="1"/>
  <c r="AY15" i="21"/>
  <c r="AZ15" i="21" s="1"/>
  <c r="AY16" i="21"/>
  <c r="AZ16" i="21" s="1"/>
  <c r="AY17" i="21"/>
  <c r="AZ17" i="21" s="1"/>
  <c r="AY18" i="21"/>
  <c r="AZ18" i="21" s="1"/>
  <c r="AY19" i="21"/>
  <c r="AZ19" i="21" s="1"/>
  <c r="AY20" i="21"/>
  <c r="AZ20" i="21" s="1"/>
  <c r="AY21" i="21"/>
  <c r="AZ21" i="21" s="1"/>
  <c r="AY22" i="21"/>
  <c r="AZ22" i="21" s="1"/>
  <c r="AY23" i="21"/>
  <c r="AZ23" i="21" s="1"/>
  <c r="AY24" i="21"/>
  <c r="AZ24" i="21" s="1"/>
  <c r="AY25" i="21"/>
  <c r="AZ25" i="21" s="1"/>
  <c r="AY26" i="21"/>
  <c r="AZ26" i="21" s="1"/>
  <c r="AY27" i="21"/>
  <c r="AY28" i="21"/>
  <c r="AY29" i="21"/>
  <c r="AZ29" i="21" s="1"/>
  <c r="AY30" i="21"/>
  <c r="AZ30" i="21" s="1"/>
  <c r="AY31" i="21"/>
  <c r="AZ31" i="21" s="1"/>
  <c r="AY32" i="21"/>
  <c r="AZ32" i="21" s="1"/>
  <c r="AY33" i="21"/>
  <c r="AZ33" i="21" s="1"/>
  <c r="AY34" i="21"/>
  <c r="AZ34" i="21" s="1"/>
  <c r="AY35" i="21"/>
  <c r="AY36" i="21"/>
  <c r="AZ36" i="21" s="1"/>
  <c r="AY37" i="21"/>
  <c r="AZ37" i="21" s="1"/>
  <c r="AY38" i="21"/>
  <c r="AZ38" i="21" s="1"/>
  <c r="AY39" i="21"/>
  <c r="AZ39" i="21" s="1"/>
  <c r="AY40" i="21"/>
  <c r="AZ40" i="21" s="1"/>
  <c r="AY41" i="21"/>
  <c r="AZ41" i="21" s="1"/>
  <c r="AY42" i="21"/>
  <c r="AZ42" i="21" s="1"/>
  <c r="AY43" i="21"/>
  <c r="AZ43" i="21" s="1"/>
  <c r="AY44" i="21"/>
  <c r="AZ44" i="21" s="1"/>
  <c r="AY45" i="21"/>
  <c r="AZ45" i="21" s="1"/>
  <c r="AY46" i="21"/>
  <c r="AZ46" i="21" s="1"/>
  <c r="AY47" i="21"/>
  <c r="AY48" i="21"/>
  <c r="AZ48" i="21" s="1"/>
  <c r="AY49" i="21"/>
  <c r="AZ49" i="21" s="1"/>
  <c r="AY50" i="21"/>
  <c r="AZ50" i="21" s="1"/>
  <c r="AY51" i="21"/>
  <c r="AZ51" i="21" s="1"/>
  <c r="AY52" i="21"/>
  <c r="AZ52" i="21" s="1"/>
  <c r="AY53" i="21"/>
  <c r="AZ53" i="21" s="1"/>
  <c r="AY54" i="21"/>
  <c r="AZ54" i="21" s="1"/>
  <c r="AY55" i="21"/>
  <c r="AZ55" i="21" s="1"/>
  <c r="AY56" i="21"/>
  <c r="AZ56" i="21" s="1"/>
  <c r="AY57" i="21"/>
  <c r="AZ57" i="21" s="1"/>
  <c r="AY58" i="21"/>
  <c r="AZ58" i="21" s="1"/>
  <c r="AY59" i="21"/>
  <c r="AZ59" i="21" s="1"/>
  <c r="AY60" i="21"/>
  <c r="AZ60" i="21" s="1"/>
  <c r="AY61" i="21"/>
  <c r="AZ61" i="21" s="1"/>
  <c r="AY62" i="21"/>
  <c r="AZ62" i="21" s="1"/>
  <c r="AY63" i="21"/>
  <c r="AZ63" i="21" s="1"/>
  <c r="AY64" i="21"/>
  <c r="AZ64" i="21" s="1"/>
  <c r="AY65" i="21"/>
  <c r="AZ65" i="21" s="1"/>
  <c r="AY66" i="21"/>
  <c r="AZ66" i="21" s="1"/>
  <c r="AY67" i="21"/>
  <c r="AZ67" i="21" s="1"/>
  <c r="AY68" i="21"/>
  <c r="AZ68" i="21" s="1"/>
  <c r="AY69" i="21"/>
  <c r="AZ69" i="21" s="1"/>
  <c r="AY70" i="21"/>
  <c r="AZ70" i="21" s="1"/>
  <c r="AY71" i="21"/>
  <c r="AZ71" i="21" s="1"/>
  <c r="AY72" i="21"/>
  <c r="AZ72" i="21" s="1"/>
  <c r="AY73" i="21"/>
  <c r="AZ73" i="21" s="1"/>
  <c r="AY74" i="21"/>
  <c r="AZ74" i="21" s="1"/>
  <c r="AY75" i="21"/>
  <c r="AZ75" i="21" s="1"/>
  <c r="AY76" i="21"/>
  <c r="AZ76" i="21" s="1"/>
  <c r="AY77" i="21"/>
  <c r="AZ77" i="21" s="1"/>
  <c r="AY78" i="21"/>
  <c r="AZ78" i="21" s="1"/>
  <c r="AY79" i="21"/>
  <c r="AY80" i="21"/>
  <c r="AZ80" i="21" s="1"/>
  <c r="AY81" i="21"/>
  <c r="AZ81" i="21" s="1"/>
  <c r="AY82" i="21"/>
  <c r="AZ82" i="21" s="1"/>
  <c r="AY83" i="21"/>
  <c r="AY84" i="21"/>
  <c r="AZ84" i="21" s="1"/>
  <c r="AY85" i="21"/>
  <c r="AZ85" i="21" s="1"/>
  <c r="AY86" i="21"/>
  <c r="AZ86" i="21" s="1"/>
  <c r="AY87" i="21"/>
  <c r="AZ87" i="21" s="1"/>
  <c r="AY88" i="21"/>
  <c r="AZ88" i="21" s="1"/>
  <c r="AY89" i="21"/>
  <c r="AZ89" i="21" s="1"/>
  <c r="AY90" i="21"/>
  <c r="AZ90" i="21" s="1"/>
  <c r="AY91" i="21"/>
  <c r="AY92" i="21"/>
  <c r="AZ92" i="21" s="1"/>
  <c r="AY93" i="21"/>
  <c r="AZ93" i="21" s="1"/>
  <c r="AY94" i="21"/>
  <c r="AZ94" i="21" s="1"/>
  <c r="AY95" i="21"/>
  <c r="AY96" i="21"/>
  <c r="AZ96" i="21" s="1"/>
  <c r="AY97" i="21"/>
  <c r="AZ97" i="21" s="1"/>
  <c r="AY98" i="21"/>
  <c r="AY99" i="21"/>
  <c r="AY100" i="21"/>
  <c r="AZ100" i="21" s="1"/>
  <c r="AY101" i="21"/>
  <c r="AZ101" i="21" s="1"/>
  <c r="AY102" i="21"/>
  <c r="AZ102" i="21" s="1"/>
  <c r="AY103" i="21"/>
  <c r="AZ103" i="21" s="1"/>
  <c r="AY104" i="21"/>
  <c r="AZ104" i="21" s="1"/>
  <c r="AY105" i="21"/>
  <c r="AZ105" i="21" s="1"/>
  <c r="AY106" i="21"/>
  <c r="AZ106" i="21" s="1"/>
  <c r="AY107" i="21"/>
  <c r="AZ107" i="21" s="1"/>
  <c r="AY108" i="21"/>
  <c r="AZ108" i="21" s="1"/>
  <c r="AY109" i="21"/>
  <c r="AZ109" i="21" s="1"/>
  <c r="AY110" i="21"/>
  <c r="AZ110" i="21" s="1"/>
  <c r="AY111" i="21"/>
  <c r="AZ111" i="21" s="1"/>
  <c r="AY112" i="21"/>
  <c r="AZ112" i="21" s="1"/>
  <c r="AY113" i="21"/>
  <c r="AZ113" i="21" s="1"/>
  <c r="AY114" i="21"/>
  <c r="AY115" i="21"/>
  <c r="AZ115" i="21" s="1"/>
  <c r="AY116" i="21"/>
  <c r="AZ116" i="21" s="1"/>
  <c r="AY117" i="21"/>
  <c r="AZ117" i="21" s="1"/>
  <c r="AY118" i="21"/>
  <c r="AZ118" i="21" s="1"/>
  <c r="AY119" i="21"/>
  <c r="AZ119" i="21" s="1"/>
  <c r="AY120" i="21"/>
  <c r="AZ120" i="21" s="1"/>
  <c r="AY121" i="21"/>
  <c r="AZ121" i="21" s="1"/>
  <c r="AY122" i="21"/>
  <c r="AY123" i="21"/>
  <c r="AZ123" i="21" s="1"/>
  <c r="AY124" i="21"/>
  <c r="AZ124" i="21" s="1"/>
  <c r="AY125" i="21"/>
  <c r="AZ125" i="21" s="1"/>
  <c r="AY126" i="21"/>
  <c r="AZ126" i="21" s="1"/>
  <c r="AY127" i="21"/>
  <c r="AZ127" i="21" s="1"/>
  <c r="AY128" i="21"/>
  <c r="AZ128" i="21" s="1"/>
  <c r="AY129" i="21"/>
  <c r="AZ129" i="21" s="1"/>
  <c r="AY130" i="21"/>
  <c r="AZ130" i="21" s="1"/>
  <c r="AY131" i="21"/>
  <c r="AZ131" i="21" s="1"/>
  <c r="AY132" i="21"/>
  <c r="AZ132" i="21" s="1"/>
  <c r="AY133" i="21"/>
  <c r="AZ133" i="21" s="1"/>
  <c r="AY134" i="21"/>
  <c r="AZ134" i="21" s="1"/>
  <c r="AY135" i="21"/>
  <c r="AZ135" i="21" s="1"/>
  <c r="AY136" i="21"/>
  <c r="AZ136" i="21" s="1"/>
  <c r="AY137" i="21"/>
  <c r="AZ137" i="21" s="1"/>
  <c r="AY138" i="21"/>
  <c r="AZ138" i="21" s="1"/>
  <c r="AY139" i="21"/>
  <c r="AY140" i="21"/>
  <c r="AZ140" i="21" s="1"/>
  <c r="AY141" i="21"/>
  <c r="AZ141" i="21" s="1"/>
  <c r="AY142" i="21"/>
  <c r="AZ142" i="21" s="1"/>
  <c r="AY143" i="21"/>
  <c r="AZ143" i="21" s="1"/>
  <c r="AY144" i="21"/>
  <c r="AZ144" i="21" s="1"/>
  <c r="AY145" i="21"/>
  <c r="AZ145" i="21" s="1"/>
  <c r="AY146" i="21"/>
  <c r="AZ146" i="21" s="1"/>
  <c r="AY147" i="21"/>
  <c r="AY148" i="21"/>
  <c r="AZ148" i="21" s="1"/>
  <c r="AY149" i="21"/>
  <c r="AZ149" i="21" s="1"/>
  <c r="AY150" i="21"/>
  <c r="AZ150" i="21" s="1"/>
  <c r="AY151" i="21"/>
  <c r="AZ151" i="21" s="1"/>
  <c r="AY152" i="21"/>
  <c r="AZ152" i="21" s="1"/>
  <c r="AY153" i="21"/>
  <c r="AZ153" i="21" s="1"/>
  <c r="AY154" i="21"/>
  <c r="AZ154" i="21" s="1"/>
  <c r="AY155" i="21"/>
  <c r="AY156" i="21"/>
  <c r="AZ156" i="21" s="1"/>
  <c r="AY157" i="21"/>
  <c r="AZ157" i="21" s="1"/>
  <c r="AY158" i="21"/>
  <c r="AZ158" i="21" s="1"/>
  <c r="AY159" i="21"/>
  <c r="AZ159" i="21" s="1"/>
  <c r="AY160" i="21"/>
  <c r="AZ160" i="21" s="1"/>
  <c r="AY161" i="21"/>
  <c r="AY162" i="21"/>
  <c r="AZ162" i="21" s="1"/>
  <c r="AY163" i="21"/>
  <c r="AY164" i="21"/>
  <c r="AZ164" i="21" s="1"/>
  <c r="AY165" i="21"/>
  <c r="AZ165" i="21" s="1"/>
  <c r="AY166" i="21"/>
  <c r="AZ166" i="21" s="1"/>
  <c r="AY167" i="21"/>
  <c r="AZ167" i="21" s="1"/>
  <c r="AY168" i="21"/>
  <c r="AZ168" i="21" s="1"/>
  <c r="AY169" i="21"/>
  <c r="AZ169" i="21" s="1"/>
  <c r="AY170" i="21"/>
  <c r="AZ170" i="21" s="1"/>
  <c r="AY171" i="21"/>
  <c r="AZ171" i="21" s="1"/>
  <c r="AY172" i="21"/>
  <c r="AZ172" i="21" s="1"/>
  <c r="AY173" i="21"/>
  <c r="AZ173" i="21" s="1"/>
  <c r="AY174" i="21"/>
  <c r="AZ174" i="21" s="1"/>
  <c r="AY175" i="21"/>
  <c r="AZ175" i="21" s="1"/>
  <c r="AY176" i="21"/>
  <c r="AZ176" i="21" s="1"/>
  <c r="AY177" i="21"/>
  <c r="AZ177" i="21" s="1"/>
  <c r="AY178" i="21"/>
  <c r="AZ178" i="21" s="1"/>
  <c r="AY179" i="21"/>
  <c r="AZ179" i="21" s="1"/>
  <c r="AY180" i="21"/>
  <c r="AZ180" i="21" s="1"/>
  <c r="AY181" i="21"/>
  <c r="AZ181" i="21" s="1"/>
  <c r="AY182" i="21"/>
  <c r="AZ182" i="21" s="1"/>
  <c r="AY183" i="21"/>
  <c r="AZ183" i="21" s="1"/>
  <c r="AY184" i="21"/>
  <c r="AZ184" i="21" s="1"/>
  <c r="AY185" i="21"/>
  <c r="AZ185" i="21" s="1"/>
  <c r="AY186" i="21"/>
  <c r="AZ186" i="21" s="1"/>
  <c r="AY187" i="21"/>
  <c r="AZ187" i="21" s="1"/>
  <c r="AY188" i="21"/>
  <c r="AZ188" i="21" s="1"/>
  <c r="AY189" i="21"/>
  <c r="AZ189" i="21" s="1"/>
  <c r="AY190" i="21"/>
  <c r="AZ190" i="21" s="1"/>
  <c r="AY191" i="21"/>
  <c r="AZ191" i="21" s="1"/>
  <c r="AY192" i="21"/>
  <c r="AZ192" i="21" s="1"/>
  <c r="AY193" i="21"/>
  <c r="AZ193" i="21" s="1"/>
  <c r="AY194" i="21"/>
  <c r="AZ194" i="21" s="1"/>
  <c r="AY195" i="21"/>
  <c r="AZ195" i="21" s="1"/>
  <c r="AY196" i="21"/>
  <c r="AY197" i="21"/>
  <c r="AZ197" i="21" s="1"/>
  <c r="AY198" i="21"/>
  <c r="AZ198" i="21" s="1"/>
  <c r="AY199" i="21"/>
  <c r="AZ199" i="21" s="1"/>
  <c r="AY200" i="21"/>
  <c r="AZ200" i="21" s="1"/>
  <c r="AY201" i="21"/>
  <c r="AZ201" i="21" s="1"/>
  <c r="AY202" i="21"/>
  <c r="AY203" i="21"/>
  <c r="AZ203" i="21" s="1"/>
  <c r="AY204" i="21"/>
  <c r="AZ204" i="21" s="1"/>
  <c r="AY205" i="21"/>
  <c r="AZ205" i="21" s="1"/>
  <c r="AY206" i="21"/>
  <c r="AZ206" i="21" s="1"/>
  <c r="AY207" i="21"/>
  <c r="AY208" i="21"/>
  <c r="AZ208" i="21" s="1"/>
  <c r="AY209" i="21"/>
  <c r="AZ209" i="21" s="1"/>
  <c r="AY210" i="21"/>
  <c r="AZ210" i="21" s="1"/>
  <c r="AY211" i="21"/>
  <c r="AY212" i="21"/>
  <c r="AZ212" i="21" s="1"/>
  <c r="AY213" i="21"/>
  <c r="AZ213" i="21" s="1"/>
  <c r="AY214" i="21"/>
  <c r="AZ214" i="21" s="1"/>
  <c r="AY215" i="21"/>
  <c r="AZ215" i="21" s="1"/>
  <c r="AY216" i="21"/>
  <c r="AZ216" i="21" s="1"/>
  <c r="AY217" i="21"/>
  <c r="AZ217" i="21" s="1"/>
  <c r="AY218" i="21"/>
  <c r="AZ218" i="21" s="1"/>
  <c r="AY219" i="21"/>
  <c r="AY220" i="21"/>
  <c r="AZ220" i="21" s="1"/>
  <c r="AY221" i="21"/>
  <c r="AZ221" i="21" s="1"/>
  <c r="AY222" i="21"/>
  <c r="AZ222" i="21" s="1"/>
  <c r="AY223" i="21"/>
  <c r="AZ223" i="21" s="1"/>
  <c r="AY224" i="21"/>
  <c r="AZ224" i="21" s="1"/>
  <c r="AY225" i="21"/>
  <c r="AZ225" i="21" s="1"/>
  <c r="AY226" i="21"/>
  <c r="AZ226" i="21" s="1"/>
  <c r="AY227" i="21"/>
  <c r="AY228" i="21"/>
  <c r="AZ228" i="21" s="1"/>
  <c r="AY229" i="21"/>
  <c r="AZ229" i="21" s="1"/>
  <c r="AY230" i="21"/>
  <c r="AZ230" i="21" s="1"/>
  <c r="AY231" i="21"/>
  <c r="AZ231" i="21" s="1"/>
  <c r="AY232" i="21"/>
  <c r="AZ232" i="21" s="1"/>
  <c r="AY233" i="21"/>
  <c r="AZ233" i="21" s="1"/>
  <c r="AY234" i="21"/>
  <c r="AZ234" i="21" s="1"/>
  <c r="AY235" i="21"/>
  <c r="AZ235" i="21" s="1"/>
  <c r="AY236" i="21"/>
  <c r="AZ236" i="21" s="1"/>
  <c r="AY237" i="21"/>
  <c r="AZ237" i="21" s="1"/>
  <c r="AY238" i="21"/>
  <c r="AZ238" i="21" s="1"/>
  <c r="AY239" i="21"/>
  <c r="AZ239" i="21" s="1"/>
  <c r="AY240" i="21"/>
  <c r="AZ240" i="21" s="1"/>
  <c r="AY241" i="21"/>
  <c r="AZ241" i="21" s="1"/>
  <c r="AY242" i="21"/>
  <c r="AZ242" i="21" s="1"/>
  <c r="AY243" i="21"/>
  <c r="AZ243" i="21" s="1"/>
  <c r="AY244" i="21"/>
  <c r="AZ244" i="21" s="1"/>
  <c r="AY245" i="21"/>
  <c r="AZ245" i="21" s="1"/>
  <c r="AY246" i="21"/>
  <c r="AZ246" i="21" s="1"/>
  <c r="AY247" i="21"/>
  <c r="AZ247" i="21" s="1"/>
  <c r="AY248" i="21"/>
  <c r="AZ248" i="21" s="1"/>
  <c r="AY249" i="21"/>
  <c r="AZ249" i="21" s="1"/>
  <c r="AY250" i="21"/>
  <c r="AY251" i="21"/>
  <c r="AZ251" i="21" s="1"/>
  <c r="AY252" i="21"/>
  <c r="AZ252" i="21" s="1"/>
  <c r="AY253" i="21"/>
  <c r="AZ253" i="21" s="1"/>
  <c r="AY254" i="21"/>
  <c r="AZ254" i="21" s="1"/>
  <c r="AY255" i="21"/>
  <c r="AY256" i="21"/>
  <c r="AZ256" i="21" s="1"/>
  <c r="AY257" i="21"/>
  <c r="AZ257" i="21" s="1"/>
  <c r="AY258" i="21"/>
  <c r="AZ258" i="21" s="1"/>
  <c r="AY259" i="21"/>
  <c r="AZ259" i="21" s="1"/>
  <c r="AY260" i="21"/>
  <c r="AZ260" i="21" s="1"/>
  <c r="AY261" i="21"/>
  <c r="AZ261" i="21" s="1"/>
  <c r="AY262" i="21"/>
  <c r="AZ262" i="21" s="1"/>
  <c r="AY263" i="21"/>
  <c r="AY264" i="21"/>
  <c r="AZ264" i="21" s="1"/>
  <c r="AY265" i="21"/>
  <c r="AZ265" i="21" s="1"/>
  <c r="AY266" i="21"/>
  <c r="AY267" i="21"/>
  <c r="AY268" i="21"/>
  <c r="AZ268" i="21" s="1"/>
  <c r="AY269" i="21"/>
  <c r="AZ269" i="21" s="1"/>
  <c r="AY270" i="21"/>
  <c r="AZ270" i="21" s="1"/>
  <c r="AY271" i="21"/>
  <c r="AZ271" i="21" s="1"/>
  <c r="AY272" i="21"/>
  <c r="AZ272" i="21" s="1"/>
  <c r="AY273" i="21"/>
  <c r="AZ273" i="21" s="1"/>
  <c r="AY274" i="21"/>
  <c r="AZ274" i="21" s="1"/>
  <c r="AY275" i="21"/>
  <c r="AY276" i="21"/>
  <c r="AZ276" i="21" s="1"/>
  <c r="AY277" i="21"/>
  <c r="AZ277" i="21" s="1"/>
  <c r="AY278" i="21"/>
  <c r="AZ278" i="21" s="1"/>
  <c r="AY279" i="21"/>
  <c r="AZ279" i="21" s="1"/>
  <c r="AY280" i="21"/>
  <c r="AZ280" i="21" s="1"/>
  <c r="AY281" i="21"/>
  <c r="AZ281" i="21" s="1"/>
  <c r="AY282" i="21"/>
  <c r="AZ282" i="21" s="1"/>
  <c r="AY283" i="21"/>
  <c r="AY284" i="21"/>
  <c r="AZ284" i="21" s="1"/>
  <c r="AY285" i="21"/>
  <c r="AZ285" i="21" s="1"/>
  <c r="AY286" i="21"/>
  <c r="AZ286" i="21" s="1"/>
  <c r="AY287" i="21"/>
  <c r="AZ287" i="21" s="1"/>
  <c r="AY288" i="21"/>
  <c r="AZ288" i="21" s="1"/>
  <c r="AY289" i="21"/>
  <c r="AZ289" i="21" s="1"/>
  <c r="AY290" i="21"/>
  <c r="AZ290" i="21" s="1"/>
  <c r="AY291" i="21"/>
  <c r="AY292" i="21"/>
  <c r="AZ292" i="21" s="1"/>
  <c r="AY293" i="21"/>
  <c r="AZ293" i="21" s="1"/>
  <c r="AY294" i="21"/>
  <c r="AZ294" i="21" s="1"/>
  <c r="AY295" i="21"/>
  <c r="AY296" i="21"/>
  <c r="AZ296" i="21" s="1"/>
  <c r="AY297" i="21"/>
  <c r="AZ297" i="21" s="1"/>
  <c r="AY298" i="21"/>
  <c r="AZ298" i="21" s="1"/>
  <c r="AY299" i="21"/>
  <c r="AZ299" i="21" s="1"/>
  <c r="AY300" i="21"/>
  <c r="AZ300" i="21" s="1"/>
  <c r="AY301" i="21"/>
  <c r="AZ301" i="21" s="1"/>
  <c r="AY302" i="21"/>
  <c r="AZ302" i="21" s="1"/>
  <c r="AY303" i="21"/>
  <c r="AZ303" i="21" s="1"/>
  <c r="AY304" i="21"/>
  <c r="AZ304" i="21" s="1"/>
  <c r="AY305" i="21"/>
  <c r="AZ305" i="21" s="1"/>
  <c r="AY306" i="21"/>
  <c r="AZ306" i="21" s="1"/>
  <c r="AY307" i="21"/>
  <c r="AZ307" i="21" s="1"/>
  <c r="AY308" i="21"/>
  <c r="AZ308" i="21" s="1"/>
  <c r="AY309" i="21"/>
  <c r="AZ309" i="21" s="1"/>
  <c r="AY310" i="21"/>
  <c r="AZ310" i="21" s="1"/>
  <c r="AY311" i="21"/>
  <c r="AZ311" i="21" s="1"/>
  <c r="AY312" i="21"/>
  <c r="AZ312" i="21" s="1"/>
  <c r="AY313" i="21"/>
  <c r="AZ313" i="21" s="1"/>
  <c r="AY314" i="21"/>
  <c r="AZ314" i="21" s="1"/>
  <c r="AY315" i="21"/>
  <c r="AZ315" i="21" s="1"/>
  <c r="AY316" i="21"/>
  <c r="AZ316" i="21" s="1"/>
  <c r="AY317" i="21"/>
  <c r="AZ317" i="21" s="1"/>
  <c r="AY318" i="21"/>
  <c r="AZ318" i="21" s="1"/>
  <c r="AY319" i="21"/>
  <c r="AZ319" i="21" s="1"/>
  <c r="AY320" i="21"/>
  <c r="AZ320" i="21" s="1"/>
  <c r="AY321" i="21"/>
  <c r="AZ321" i="21" s="1"/>
  <c r="AY322" i="21"/>
  <c r="AZ322" i="21" s="1"/>
  <c r="AY323" i="21"/>
  <c r="AZ323" i="21" s="1"/>
  <c r="AY324" i="21"/>
  <c r="AZ324" i="21" s="1"/>
  <c r="AY325" i="21"/>
  <c r="AZ325" i="21" s="1"/>
  <c r="AY326" i="21"/>
  <c r="AZ326" i="21" s="1"/>
  <c r="AY327" i="21"/>
  <c r="AZ327" i="21" s="1"/>
  <c r="AY328" i="21"/>
  <c r="AZ328" i="21" s="1"/>
  <c r="AY329" i="21"/>
  <c r="AZ329" i="21" s="1"/>
  <c r="AY330" i="21"/>
  <c r="AZ330" i="21" s="1"/>
  <c r="AY331" i="21"/>
  <c r="AZ331" i="21" s="1"/>
  <c r="AY332" i="21"/>
  <c r="AZ332" i="21" s="1"/>
  <c r="AY333" i="21"/>
  <c r="AZ333" i="21" s="1"/>
  <c r="AY334" i="21"/>
  <c r="AZ334" i="21" s="1"/>
  <c r="AY335" i="21"/>
  <c r="AZ335" i="21" s="1"/>
  <c r="AY336" i="21"/>
  <c r="AZ336" i="21" s="1"/>
  <c r="AY337" i="21"/>
  <c r="AZ337" i="21" s="1"/>
  <c r="AY338" i="21"/>
  <c r="AZ338" i="21" s="1"/>
  <c r="AY339" i="21"/>
  <c r="AY340" i="21"/>
  <c r="AZ340" i="21" s="1"/>
  <c r="AY341" i="21"/>
  <c r="AZ341" i="21" s="1"/>
  <c r="AY342" i="21"/>
  <c r="AZ342" i="21" s="1"/>
  <c r="AY343" i="21"/>
  <c r="AZ343" i="21" s="1"/>
  <c r="AY344" i="21"/>
  <c r="AZ344" i="21" s="1"/>
  <c r="AY345" i="21"/>
  <c r="AZ345" i="21" s="1"/>
  <c r="AY346" i="21"/>
  <c r="AZ346" i="21" s="1"/>
  <c r="AY347" i="21"/>
  <c r="AY348" i="21"/>
  <c r="AZ348" i="21" s="1"/>
  <c r="AY349" i="21"/>
  <c r="AZ349" i="21" s="1"/>
  <c r="AY350" i="21"/>
  <c r="AZ350" i="21" s="1"/>
  <c r="AY351" i="21"/>
  <c r="AZ351" i="21" s="1"/>
  <c r="AY352" i="21"/>
  <c r="AZ352" i="21" s="1"/>
  <c r="AY353" i="21"/>
  <c r="AZ353" i="21" s="1"/>
  <c r="AY354" i="21"/>
  <c r="AY355" i="21"/>
  <c r="AZ355" i="21" s="1"/>
  <c r="AY356" i="21"/>
  <c r="AZ356" i="21" s="1"/>
  <c r="AY357" i="21"/>
  <c r="AZ357" i="21" s="1"/>
  <c r="AY358" i="21"/>
  <c r="AZ358" i="21" s="1"/>
  <c r="AY359" i="21"/>
  <c r="AZ359" i="21" s="1"/>
  <c r="AY360" i="21"/>
  <c r="AZ360" i="21" s="1"/>
  <c r="AY361" i="21"/>
  <c r="AY362" i="21"/>
  <c r="AZ362" i="21" s="1"/>
  <c r="AY363" i="21"/>
  <c r="AZ363" i="21" s="1"/>
  <c r="AY364" i="21"/>
  <c r="AZ364" i="21" s="1"/>
  <c r="AY365" i="21"/>
  <c r="AZ365" i="21" s="1"/>
  <c r="AY366" i="21"/>
  <c r="AZ366" i="21" s="1"/>
  <c r="AY367" i="21"/>
  <c r="AZ367" i="21" s="1"/>
  <c r="AY368" i="21"/>
  <c r="AZ368" i="21" s="1"/>
  <c r="AY369" i="21"/>
  <c r="AZ369" i="21" s="1"/>
  <c r="AY370" i="21"/>
  <c r="AZ370" i="21" s="1"/>
  <c r="AY371" i="21"/>
  <c r="AZ371" i="21" s="1"/>
  <c r="AY372" i="21"/>
  <c r="AZ372" i="21" s="1"/>
  <c r="AY373" i="21"/>
  <c r="AZ373" i="21" s="1"/>
  <c r="AY374" i="21"/>
  <c r="AZ374" i="21" s="1"/>
  <c r="AY375" i="21"/>
  <c r="AY376" i="21"/>
  <c r="AZ376" i="21" s="1"/>
  <c r="AY377" i="21"/>
  <c r="AZ377" i="21" s="1"/>
  <c r="AY378" i="21"/>
  <c r="AZ378" i="21" s="1"/>
  <c r="AY379" i="21"/>
  <c r="AZ379" i="21" s="1"/>
  <c r="AY380" i="21"/>
  <c r="AZ380" i="21" s="1"/>
  <c r="AY381" i="21"/>
  <c r="AZ381" i="21" s="1"/>
  <c r="AY382" i="21"/>
  <c r="AZ382" i="21" s="1"/>
  <c r="AY383" i="21"/>
  <c r="AZ383" i="21" s="1"/>
  <c r="AY384" i="21"/>
  <c r="AZ384" i="21" s="1"/>
  <c r="AY385" i="21"/>
  <c r="AZ385" i="21" s="1"/>
  <c r="AY386" i="21"/>
  <c r="AZ386" i="21" s="1"/>
  <c r="AY387" i="21"/>
  <c r="AZ387" i="21" s="1"/>
  <c r="AY388" i="21"/>
  <c r="AZ388" i="21" s="1"/>
  <c r="AY389" i="21"/>
  <c r="AZ389" i="21" s="1"/>
  <c r="AY390" i="21"/>
  <c r="AZ390" i="21" s="1"/>
  <c r="AY391" i="21"/>
  <c r="AZ391" i="21" s="1"/>
  <c r="AY392" i="21"/>
  <c r="AZ392" i="21" s="1"/>
  <c r="AY393" i="21"/>
  <c r="AZ393" i="21" s="1"/>
  <c r="AY394" i="21"/>
  <c r="AZ394" i="21" s="1"/>
  <c r="AY395" i="21"/>
  <c r="AZ395" i="21" s="1"/>
  <c r="AY396" i="21"/>
  <c r="AZ396" i="21" s="1"/>
  <c r="AY397" i="21"/>
  <c r="AZ397" i="21" s="1"/>
  <c r="AY398" i="21"/>
  <c r="AZ398" i="21" s="1"/>
  <c r="AY399" i="21"/>
  <c r="AZ399" i="21" s="1"/>
  <c r="AY400" i="21"/>
  <c r="AZ400" i="21" s="1"/>
  <c r="AY401" i="21"/>
  <c r="AZ401" i="21" s="1"/>
  <c r="AY402" i="21"/>
  <c r="AZ402" i="21" s="1"/>
  <c r="AY403" i="21"/>
  <c r="AZ403" i="21" s="1"/>
  <c r="AY404" i="21"/>
  <c r="AZ404" i="21" s="1"/>
  <c r="AZ161" i="21"/>
  <c r="AZ3" i="21"/>
  <c r="AZ11" i="21"/>
  <c r="AZ27" i="21"/>
  <c r="AZ28" i="21"/>
  <c r="AZ35" i="21"/>
  <c r="AZ83" i="21"/>
  <c r="AZ91" i="21"/>
  <c r="AZ99" i="21"/>
  <c r="AZ139" i="21"/>
  <c r="AZ147" i="21"/>
  <c r="AZ155" i="21"/>
  <c r="AZ163" i="21"/>
  <c r="AZ196" i="21"/>
  <c r="AZ211" i="21"/>
  <c r="AZ219" i="21"/>
  <c r="AZ227" i="21"/>
  <c r="AZ255" i="21"/>
  <c r="AZ267" i="21"/>
  <c r="AZ275" i="21"/>
  <c r="AZ283" i="21"/>
  <c r="AZ291" i="21"/>
  <c r="AZ339" i="21"/>
  <c r="AZ347" i="21"/>
  <c r="BG404" i="21"/>
  <c r="BE404" i="21"/>
  <c r="BF404" i="21" s="1"/>
  <c r="AW404" i="21"/>
  <c r="AX404" i="21" s="1"/>
  <c r="AU404" i="21"/>
  <c r="AV404" i="21" s="1"/>
  <c r="AS404" i="21"/>
  <c r="AT404" i="21" s="1"/>
  <c r="AQ404" i="21"/>
  <c r="AR404" i="21" s="1"/>
  <c r="AO404" i="21"/>
  <c r="AM404" i="21"/>
  <c r="AK404" i="21"/>
  <c r="AL404" i="21" s="1"/>
  <c r="AG404" i="21"/>
  <c r="AH404" i="21" s="1"/>
  <c r="AE404" i="21"/>
  <c r="AF404" i="21" s="1"/>
  <c r="AC404" i="21"/>
  <c r="AA404" i="21"/>
  <c r="AB404" i="21" s="1"/>
  <c r="W404" i="21"/>
  <c r="X404" i="21" s="1"/>
  <c r="U404" i="21"/>
  <c r="V404" i="21" s="1"/>
  <c r="S404" i="21"/>
  <c r="T404" i="21" s="1"/>
  <c r="Q404" i="21"/>
  <c r="R404" i="21" s="1"/>
  <c r="Y404" i="21" s="1"/>
  <c r="P404" i="21"/>
  <c r="O404" i="21"/>
  <c r="N404" i="21"/>
  <c r="M404" i="21"/>
  <c r="L404" i="21"/>
  <c r="K404" i="21"/>
  <c r="J404" i="21"/>
  <c r="I404" i="21"/>
  <c r="H404" i="21"/>
  <c r="G404" i="21"/>
  <c r="F404" i="21"/>
  <c r="E404" i="21"/>
  <c r="D404" i="21"/>
  <c r="C404" i="21"/>
  <c r="B404" i="21"/>
  <c r="A404" i="21"/>
  <c r="BG403" i="21"/>
  <c r="BH403" i="21" s="1"/>
  <c r="BE403" i="21"/>
  <c r="BF403" i="21" s="1"/>
  <c r="AW403" i="21"/>
  <c r="AU403" i="21"/>
  <c r="AV403" i="21" s="1"/>
  <c r="AS403" i="21"/>
  <c r="AT403" i="21" s="1"/>
  <c r="AQ403" i="21"/>
  <c r="AO403" i="21"/>
  <c r="AP403" i="21" s="1"/>
  <c r="AM403" i="21"/>
  <c r="AN403" i="21" s="1"/>
  <c r="AK403" i="21"/>
  <c r="AL403" i="21" s="1"/>
  <c r="AG403" i="21"/>
  <c r="AE403" i="21"/>
  <c r="AF403" i="21" s="1"/>
  <c r="AC403" i="21"/>
  <c r="AD403" i="21" s="1"/>
  <c r="AA403" i="21"/>
  <c r="AB403" i="21" s="1"/>
  <c r="W403" i="21"/>
  <c r="X403" i="21" s="1"/>
  <c r="U403" i="21"/>
  <c r="V403" i="21" s="1"/>
  <c r="S403" i="21"/>
  <c r="Q403" i="21"/>
  <c r="R403" i="21" s="1"/>
  <c r="P403" i="21"/>
  <c r="O403" i="21"/>
  <c r="N403" i="21"/>
  <c r="M403" i="21"/>
  <c r="L403" i="21"/>
  <c r="K403" i="21"/>
  <c r="J403" i="21"/>
  <c r="I403" i="21"/>
  <c r="H403" i="21"/>
  <c r="G403" i="21"/>
  <c r="F403" i="21"/>
  <c r="E403" i="21"/>
  <c r="D403" i="21"/>
  <c r="C403" i="21"/>
  <c r="B403" i="21"/>
  <c r="A403" i="21"/>
  <c r="BG402" i="21"/>
  <c r="BH402" i="21" s="1"/>
  <c r="BE402" i="21"/>
  <c r="BF402" i="21" s="1"/>
  <c r="AW402" i="21"/>
  <c r="AX402" i="21" s="1"/>
  <c r="AU402" i="21"/>
  <c r="AV402" i="21" s="1"/>
  <c r="AS402" i="21"/>
  <c r="AT402" i="21" s="1"/>
  <c r="AQ402" i="21"/>
  <c r="AR402" i="21" s="1"/>
  <c r="AO402" i="21"/>
  <c r="AP402" i="21" s="1"/>
  <c r="AM402" i="21"/>
  <c r="AK402" i="21"/>
  <c r="AL402" i="21" s="1"/>
  <c r="AG402" i="21"/>
  <c r="AH402" i="21" s="1"/>
  <c r="AE402" i="21"/>
  <c r="AF402" i="21" s="1"/>
  <c r="AC402" i="21"/>
  <c r="AD402" i="21" s="1"/>
  <c r="AA402" i="21"/>
  <c r="W402" i="21"/>
  <c r="X402" i="21" s="1"/>
  <c r="U402" i="21"/>
  <c r="V402" i="21" s="1"/>
  <c r="S402" i="21"/>
  <c r="T402" i="21" s="1"/>
  <c r="Q402" i="21"/>
  <c r="R402" i="21" s="1"/>
  <c r="P402" i="21"/>
  <c r="O402" i="21"/>
  <c r="N402" i="21"/>
  <c r="M402" i="21"/>
  <c r="L402" i="21"/>
  <c r="K402" i="21"/>
  <c r="J402" i="21"/>
  <c r="I402" i="21"/>
  <c r="H402" i="21"/>
  <c r="G402" i="21"/>
  <c r="F402" i="21"/>
  <c r="E402" i="21"/>
  <c r="D402" i="21"/>
  <c r="C402" i="21"/>
  <c r="B402" i="21"/>
  <c r="A402" i="21"/>
  <c r="BG401" i="21"/>
  <c r="BH401" i="21" s="1"/>
  <c r="BE401" i="21"/>
  <c r="BF401" i="21" s="1"/>
  <c r="AW401" i="21"/>
  <c r="AX401" i="21" s="1"/>
  <c r="AU401" i="21"/>
  <c r="AV401" i="21" s="1"/>
  <c r="AS401" i="21"/>
  <c r="AT401" i="21" s="1"/>
  <c r="AQ401" i="21"/>
  <c r="AO401" i="21"/>
  <c r="AP401" i="21" s="1"/>
  <c r="AM401" i="21"/>
  <c r="AN401" i="21" s="1"/>
  <c r="AK401" i="21"/>
  <c r="AL401" i="21" s="1"/>
  <c r="AG401" i="21"/>
  <c r="AH401" i="21" s="1"/>
  <c r="AE401" i="21"/>
  <c r="AF401" i="21" s="1"/>
  <c r="AC401" i="21"/>
  <c r="AD401" i="21" s="1"/>
  <c r="AA401" i="21"/>
  <c r="AB401" i="21" s="1"/>
  <c r="W401" i="21"/>
  <c r="X401" i="21" s="1"/>
  <c r="U401" i="21"/>
  <c r="S401" i="21"/>
  <c r="T401" i="21" s="1"/>
  <c r="Q401" i="21"/>
  <c r="R401" i="21" s="1"/>
  <c r="P401" i="21"/>
  <c r="O401" i="21"/>
  <c r="N401" i="21"/>
  <c r="M401" i="21"/>
  <c r="L401" i="21"/>
  <c r="K401" i="21"/>
  <c r="J401" i="21"/>
  <c r="I401" i="21"/>
  <c r="H401" i="21"/>
  <c r="G401" i="21"/>
  <c r="F401" i="21"/>
  <c r="E401" i="21"/>
  <c r="D401" i="21"/>
  <c r="C401" i="21"/>
  <c r="B401" i="21"/>
  <c r="A401" i="21"/>
  <c r="BG400" i="21"/>
  <c r="BE400" i="21"/>
  <c r="BF400" i="21" s="1"/>
  <c r="AW400" i="21"/>
  <c r="AX400" i="21" s="1"/>
  <c r="AU400" i="21"/>
  <c r="AS400" i="21"/>
  <c r="AT400" i="21" s="1"/>
  <c r="AQ400" i="21"/>
  <c r="AR400" i="21" s="1"/>
  <c r="AO400" i="21"/>
  <c r="AP400" i="21" s="1"/>
  <c r="AM400" i="21"/>
  <c r="AN400" i="21" s="1"/>
  <c r="AK400" i="21"/>
  <c r="AL400" i="21" s="1"/>
  <c r="AG400" i="21"/>
  <c r="AE400" i="21"/>
  <c r="AF400" i="21" s="1"/>
  <c r="AC400" i="21"/>
  <c r="AD400" i="21" s="1"/>
  <c r="AA400" i="21"/>
  <c r="W400" i="21"/>
  <c r="X400" i="21" s="1"/>
  <c r="U400" i="21"/>
  <c r="V400" i="21" s="1"/>
  <c r="S400" i="21"/>
  <c r="Q400" i="21"/>
  <c r="R400" i="21" s="1"/>
  <c r="P400" i="21"/>
  <c r="O400" i="21"/>
  <c r="N400" i="21"/>
  <c r="M400" i="21"/>
  <c r="L400" i="21"/>
  <c r="K400" i="21"/>
  <c r="J400" i="21"/>
  <c r="I400" i="21"/>
  <c r="H400" i="21"/>
  <c r="G400" i="21"/>
  <c r="F400" i="21"/>
  <c r="E400" i="21"/>
  <c r="D400" i="21"/>
  <c r="C400" i="21"/>
  <c r="B400" i="21"/>
  <c r="A400" i="21"/>
  <c r="BG399" i="21"/>
  <c r="BH399" i="21" s="1"/>
  <c r="BE399" i="21"/>
  <c r="BF399" i="21" s="1"/>
  <c r="AW399" i="21"/>
  <c r="AX399" i="21" s="1"/>
  <c r="AU399" i="21"/>
  <c r="AV399" i="21" s="1"/>
  <c r="AS399" i="21"/>
  <c r="AT399" i="21" s="1"/>
  <c r="AQ399" i="21"/>
  <c r="AO399" i="21"/>
  <c r="AP399" i="21" s="1"/>
  <c r="AM399" i="21"/>
  <c r="AN399" i="21" s="1"/>
  <c r="AK399" i="21"/>
  <c r="AL399" i="21" s="1"/>
  <c r="AG399" i="21"/>
  <c r="AH399" i="21" s="1"/>
  <c r="AE399" i="21"/>
  <c r="AC399" i="21"/>
  <c r="AA399" i="21"/>
  <c r="AB399" i="21" s="1"/>
  <c r="W399" i="21"/>
  <c r="U399" i="21"/>
  <c r="V399" i="21" s="1"/>
  <c r="S399" i="21"/>
  <c r="T399" i="21" s="1"/>
  <c r="Q399" i="21"/>
  <c r="R399" i="21" s="1"/>
  <c r="P399" i="21"/>
  <c r="O399" i="21"/>
  <c r="N399" i="21"/>
  <c r="M399" i="21"/>
  <c r="L399" i="21"/>
  <c r="K399" i="21"/>
  <c r="J399" i="21"/>
  <c r="I399" i="21"/>
  <c r="H399" i="21"/>
  <c r="G399" i="21"/>
  <c r="F399" i="21"/>
  <c r="E399" i="21"/>
  <c r="D399" i="21"/>
  <c r="C399" i="21"/>
  <c r="B399" i="21"/>
  <c r="A399" i="21"/>
  <c r="BG398" i="21"/>
  <c r="BE398" i="21"/>
  <c r="BF398" i="21" s="1"/>
  <c r="AW398" i="21"/>
  <c r="AX398" i="21" s="1"/>
  <c r="AU398" i="21"/>
  <c r="AV398" i="21" s="1"/>
  <c r="AS398" i="21"/>
  <c r="AT398" i="21" s="1"/>
  <c r="AQ398" i="21"/>
  <c r="AR398" i="21" s="1"/>
  <c r="AO398" i="21"/>
  <c r="AP398" i="21" s="1"/>
  <c r="AM398" i="21"/>
  <c r="AN398" i="21" s="1"/>
  <c r="AK398" i="21"/>
  <c r="AG398" i="21"/>
  <c r="AH398" i="21" s="1"/>
  <c r="AE398" i="21"/>
  <c r="AF398" i="21" s="1"/>
  <c r="AC398" i="21"/>
  <c r="AA398" i="21"/>
  <c r="AB398" i="21" s="1"/>
  <c r="W398" i="21"/>
  <c r="X398" i="21" s="1"/>
  <c r="U398" i="21"/>
  <c r="V398" i="21" s="1"/>
  <c r="S398" i="21"/>
  <c r="Q398" i="21"/>
  <c r="R398" i="21" s="1"/>
  <c r="P398" i="21"/>
  <c r="O398" i="21"/>
  <c r="N398" i="21"/>
  <c r="M398" i="21"/>
  <c r="L398" i="21"/>
  <c r="K398" i="21"/>
  <c r="J398" i="21"/>
  <c r="I398" i="21"/>
  <c r="H398" i="21"/>
  <c r="G398" i="21"/>
  <c r="F398" i="21"/>
  <c r="E398" i="21"/>
  <c r="D398" i="21"/>
  <c r="C398" i="21"/>
  <c r="B398" i="21"/>
  <c r="A398" i="21"/>
  <c r="BG397" i="21"/>
  <c r="BH397" i="21" s="1"/>
  <c r="BE397" i="21"/>
  <c r="BF397" i="21" s="1"/>
  <c r="AW397" i="21"/>
  <c r="AX397" i="21" s="1"/>
  <c r="AU397" i="21"/>
  <c r="AV397" i="21" s="1"/>
  <c r="AS397" i="21"/>
  <c r="AT397" i="21" s="1"/>
  <c r="AQ397" i="21"/>
  <c r="AR397" i="21" s="1"/>
  <c r="AO397" i="21"/>
  <c r="AM397" i="21"/>
  <c r="AN397" i="21" s="1"/>
  <c r="AK397" i="21"/>
  <c r="AL397" i="21" s="1"/>
  <c r="AG397" i="21"/>
  <c r="AE397" i="21"/>
  <c r="AF397" i="21" s="1"/>
  <c r="AC397" i="21"/>
  <c r="AD397" i="21" s="1"/>
  <c r="AA397" i="21"/>
  <c r="AB397" i="21" s="1"/>
  <c r="W397" i="21"/>
  <c r="U397" i="21"/>
  <c r="V397" i="21" s="1"/>
  <c r="S397" i="21"/>
  <c r="T397" i="21" s="1"/>
  <c r="Q397" i="21"/>
  <c r="R397" i="21" s="1"/>
  <c r="P397" i="21"/>
  <c r="O397" i="21"/>
  <c r="N397" i="21"/>
  <c r="M397" i="21"/>
  <c r="L397" i="21"/>
  <c r="K397" i="21"/>
  <c r="J397" i="21"/>
  <c r="I397" i="21"/>
  <c r="H397" i="21"/>
  <c r="G397" i="21"/>
  <c r="F397" i="21"/>
  <c r="E397" i="21"/>
  <c r="D397" i="21"/>
  <c r="C397" i="21"/>
  <c r="B397" i="21"/>
  <c r="A397" i="21"/>
  <c r="BG396" i="21"/>
  <c r="BH396" i="21" s="1"/>
  <c r="BE396" i="21"/>
  <c r="AW396" i="21"/>
  <c r="AX396" i="21" s="1"/>
  <c r="AU396" i="21"/>
  <c r="AV396" i="21" s="1"/>
  <c r="AS396" i="21"/>
  <c r="AQ396" i="21"/>
  <c r="AR396" i="21" s="1"/>
  <c r="AO396" i="21"/>
  <c r="AP396" i="21" s="1"/>
  <c r="AM396" i="21"/>
  <c r="AK396" i="21"/>
  <c r="AL396" i="21" s="1"/>
  <c r="AG396" i="21"/>
  <c r="AH396" i="21" s="1"/>
  <c r="AE396" i="21"/>
  <c r="AF396" i="21" s="1"/>
  <c r="AC396" i="21"/>
  <c r="AA396" i="21"/>
  <c r="AB396" i="21" s="1"/>
  <c r="W396" i="21"/>
  <c r="X396" i="21" s="1"/>
  <c r="U396" i="21"/>
  <c r="V396" i="21" s="1"/>
  <c r="S396" i="21"/>
  <c r="T396" i="21" s="1"/>
  <c r="Q396" i="21"/>
  <c r="R396" i="21" s="1"/>
  <c r="Y396" i="21" s="1"/>
  <c r="P396" i="21"/>
  <c r="O396" i="21"/>
  <c r="N396" i="21"/>
  <c r="M396" i="21"/>
  <c r="L396" i="21"/>
  <c r="K396" i="21"/>
  <c r="J396" i="21"/>
  <c r="I396" i="21"/>
  <c r="H396" i="21"/>
  <c r="G396" i="21"/>
  <c r="F396" i="21"/>
  <c r="E396" i="21"/>
  <c r="D396" i="21"/>
  <c r="C396" i="21"/>
  <c r="B396" i="21"/>
  <c r="A396" i="21"/>
  <c r="BG395" i="21"/>
  <c r="BH395" i="21" s="1"/>
  <c r="BE395" i="21"/>
  <c r="BF395" i="21" s="1"/>
  <c r="AW395" i="21"/>
  <c r="AU395" i="21"/>
  <c r="AV395" i="21" s="1"/>
  <c r="AS395" i="21"/>
  <c r="AT395" i="21" s="1"/>
  <c r="AQ395" i="21"/>
  <c r="AO395" i="21"/>
  <c r="AP395" i="21" s="1"/>
  <c r="AM395" i="21"/>
  <c r="AN395" i="21" s="1"/>
  <c r="AK395" i="21"/>
  <c r="AL395" i="21" s="1"/>
  <c r="AG395" i="21"/>
  <c r="AE395" i="21"/>
  <c r="AF395" i="21" s="1"/>
  <c r="AC395" i="21"/>
  <c r="AD395" i="21" s="1"/>
  <c r="AA395" i="21"/>
  <c r="AB395" i="21" s="1"/>
  <c r="W395" i="21"/>
  <c r="X395" i="21" s="1"/>
  <c r="U395" i="21"/>
  <c r="V395" i="21" s="1"/>
  <c r="S395" i="21"/>
  <c r="T395" i="21" s="1"/>
  <c r="Z395" i="21" s="1"/>
  <c r="Q395" i="21"/>
  <c r="R395" i="21" s="1"/>
  <c r="P395" i="21"/>
  <c r="O395" i="21"/>
  <c r="N395" i="21"/>
  <c r="M395" i="21"/>
  <c r="L395" i="21"/>
  <c r="K395" i="21"/>
  <c r="J395" i="21"/>
  <c r="I395" i="21"/>
  <c r="H395" i="21"/>
  <c r="G395" i="21"/>
  <c r="F395" i="21"/>
  <c r="E395" i="21"/>
  <c r="D395" i="21"/>
  <c r="C395" i="21"/>
  <c r="B395" i="21"/>
  <c r="A395" i="21"/>
  <c r="BG394" i="21"/>
  <c r="BH394" i="21" s="1"/>
  <c r="BE394" i="21"/>
  <c r="AW394" i="21"/>
  <c r="AX394" i="21" s="1"/>
  <c r="AU394" i="21"/>
  <c r="AS394" i="21"/>
  <c r="AT394" i="21" s="1"/>
  <c r="AQ394" i="21"/>
  <c r="AR394" i="21" s="1"/>
  <c r="AO394" i="21"/>
  <c r="AP394" i="21" s="1"/>
  <c r="AM394" i="21"/>
  <c r="AN394" i="21" s="1"/>
  <c r="AK394" i="21"/>
  <c r="AL394" i="21" s="1"/>
  <c r="AG394" i="21"/>
  <c r="AH394" i="21" s="1"/>
  <c r="AE394" i="21"/>
  <c r="AF394" i="21" s="1"/>
  <c r="AC394" i="21"/>
  <c r="AD394" i="21" s="1"/>
  <c r="AA394" i="21"/>
  <c r="AB394" i="21" s="1"/>
  <c r="W394" i="21"/>
  <c r="X394" i="21" s="1"/>
  <c r="U394" i="21"/>
  <c r="S394" i="21"/>
  <c r="T394" i="21" s="1"/>
  <c r="Q394" i="21"/>
  <c r="R394" i="21" s="1"/>
  <c r="P394" i="21"/>
  <c r="O394" i="21"/>
  <c r="N394" i="21"/>
  <c r="M394" i="21"/>
  <c r="L394" i="21"/>
  <c r="K394" i="21"/>
  <c r="J394" i="21"/>
  <c r="I394" i="21"/>
  <c r="H394" i="21"/>
  <c r="G394" i="21"/>
  <c r="F394" i="21"/>
  <c r="E394" i="21"/>
  <c r="D394" i="21"/>
  <c r="C394" i="21"/>
  <c r="B394" i="21"/>
  <c r="A394" i="21"/>
  <c r="BG393" i="21"/>
  <c r="BH393" i="21" s="1"/>
  <c r="BE393" i="21"/>
  <c r="BF393" i="21" s="1"/>
  <c r="AW393" i="21"/>
  <c r="AX393" i="21" s="1"/>
  <c r="AU393" i="21"/>
  <c r="AV393" i="21" s="1"/>
  <c r="AS393" i="21"/>
  <c r="AT393" i="21" s="1"/>
  <c r="AQ393" i="21"/>
  <c r="AO393" i="21"/>
  <c r="AP393" i="21" s="1"/>
  <c r="AM393" i="21"/>
  <c r="AN393" i="21" s="1"/>
  <c r="AK393" i="21"/>
  <c r="AL393" i="21" s="1"/>
  <c r="AG393" i="21"/>
  <c r="AH393" i="21" s="1"/>
  <c r="AE393" i="21"/>
  <c r="AF393" i="21" s="1"/>
  <c r="AC393" i="21"/>
  <c r="AD393" i="21" s="1"/>
  <c r="AA393" i="21"/>
  <c r="AB393" i="21" s="1"/>
  <c r="W393" i="21"/>
  <c r="X393" i="21" s="1"/>
  <c r="U393" i="21"/>
  <c r="S393" i="21"/>
  <c r="T393" i="21" s="1"/>
  <c r="Q393" i="21"/>
  <c r="R393" i="21" s="1"/>
  <c r="P393" i="21"/>
  <c r="O393" i="21"/>
  <c r="N393" i="21"/>
  <c r="M393" i="21"/>
  <c r="L393" i="21"/>
  <c r="K393" i="21"/>
  <c r="J393" i="21"/>
  <c r="I393" i="21"/>
  <c r="H393" i="21"/>
  <c r="G393" i="21"/>
  <c r="F393" i="21"/>
  <c r="E393" i="21"/>
  <c r="D393" i="21"/>
  <c r="C393" i="21"/>
  <c r="B393" i="21"/>
  <c r="A393" i="21"/>
  <c r="BG392" i="21"/>
  <c r="BH392" i="21" s="1"/>
  <c r="BE392" i="21"/>
  <c r="BF392" i="21" s="1"/>
  <c r="AW392" i="21"/>
  <c r="AX392" i="21" s="1"/>
  <c r="AU392" i="21"/>
  <c r="AV392" i="21" s="1"/>
  <c r="AS392" i="21"/>
  <c r="AT392" i="21" s="1"/>
  <c r="AQ392" i="21"/>
  <c r="AR392" i="21" s="1"/>
  <c r="AO392" i="21"/>
  <c r="AP392" i="21" s="1"/>
  <c r="AM392" i="21"/>
  <c r="AN392" i="21" s="1"/>
  <c r="AK392" i="21"/>
  <c r="AL392" i="21" s="1"/>
  <c r="AG392" i="21"/>
  <c r="AH392" i="21" s="1"/>
  <c r="AE392" i="21"/>
  <c r="AF392" i="21" s="1"/>
  <c r="AC392" i="21"/>
  <c r="AD392" i="21" s="1"/>
  <c r="AA392" i="21"/>
  <c r="W392" i="21"/>
  <c r="X392" i="21" s="1"/>
  <c r="U392" i="21"/>
  <c r="V392" i="21" s="1"/>
  <c r="S392" i="21"/>
  <c r="T392" i="21" s="1"/>
  <c r="Q392" i="21"/>
  <c r="R392" i="21" s="1"/>
  <c r="P392" i="21"/>
  <c r="O392" i="21"/>
  <c r="N392" i="21"/>
  <c r="M392" i="21"/>
  <c r="L392" i="21"/>
  <c r="K392" i="21"/>
  <c r="J392" i="21"/>
  <c r="I392" i="21"/>
  <c r="H392" i="21"/>
  <c r="G392" i="21"/>
  <c r="F392" i="21"/>
  <c r="E392" i="21"/>
  <c r="D392" i="21"/>
  <c r="C392" i="21"/>
  <c r="B392" i="21"/>
  <c r="A392" i="21"/>
  <c r="BG391" i="21"/>
  <c r="BH391" i="21" s="1"/>
  <c r="BE391" i="21"/>
  <c r="BF391" i="21" s="1"/>
  <c r="AW391" i="21"/>
  <c r="AU391" i="21"/>
  <c r="AV391" i="21" s="1"/>
  <c r="AS391" i="21"/>
  <c r="AT391" i="21" s="1"/>
  <c r="AQ391" i="21"/>
  <c r="AR391" i="21" s="1"/>
  <c r="AO391" i="21"/>
  <c r="AP391" i="21" s="1"/>
  <c r="AM391" i="21"/>
  <c r="AK391" i="21"/>
  <c r="AL391" i="21" s="1"/>
  <c r="AG391" i="21"/>
  <c r="AH391" i="21" s="1"/>
  <c r="AE391" i="21"/>
  <c r="AC391" i="21"/>
  <c r="AD391" i="21" s="1"/>
  <c r="AJ391" i="21" s="1"/>
  <c r="AA391" i="21"/>
  <c r="AB391" i="21" s="1"/>
  <c r="W391" i="21"/>
  <c r="U391" i="21"/>
  <c r="V391" i="21" s="1"/>
  <c r="S391" i="21"/>
  <c r="T391" i="21" s="1"/>
  <c r="Q391" i="21"/>
  <c r="R391" i="21" s="1"/>
  <c r="P391" i="21"/>
  <c r="O391" i="21"/>
  <c r="N391" i="21"/>
  <c r="M391" i="21"/>
  <c r="L391" i="21"/>
  <c r="K391" i="21"/>
  <c r="J391" i="21"/>
  <c r="I391" i="21"/>
  <c r="H391" i="21"/>
  <c r="G391" i="21"/>
  <c r="F391" i="21"/>
  <c r="E391" i="21"/>
  <c r="D391" i="21"/>
  <c r="C391" i="21"/>
  <c r="B391" i="21"/>
  <c r="A391" i="21"/>
  <c r="BG390" i="21"/>
  <c r="BH390" i="21" s="1"/>
  <c r="BE390" i="21"/>
  <c r="BF390" i="21" s="1"/>
  <c r="AW390" i="21"/>
  <c r="AX390" i="21" s="1"/>
  <c r="AU390" i="21"/>
  <c r="AV390" i="21" s="1"/>
  <c r="AS390" i="21"/>
  <c r="AQ390" i="21"/>
  <c r="AR390" i="21" s="1"/>
  <c r="AO390" i="21"/>
  <c r="AP390" i="21" s="1"/>
  <c r="AM390" i="21"/>
  <c r="AN390" i="21" s="1"/>
  <c r="AK390" i="21"/>
  <c r="AL390" i="21" s="1"/>
  <c r="AG390" i="21"/>
  <c r="AH390" i="21" s="1"/>
  <c r="AE390" i="21"/>
  <c r="AF390" i="21" s="1"/>
  <c r="AC390" i="21"/>
  <c r="AD390" i="21" s="1"/>
  <c r="AA390" i="21"/>
  <c r="AB390" i="21" s="1"/>
  <c r="W390" i="21"/>
  <c r="X390" i="21" s="1"/>
  <c r="U390" i="21"/>
  <c r="V390" i="21" s="1"/>
  <c r="S390" i="21"/>
  <c r="T390" i="21" s="1"/>
  <c r="Q390" i="21"/>
  <c r="R390" i="21" s="1"/>
  <c r="P390" i="21"/>
  <c r="O390" i="21"/>
  <c r="N390" i="21"/>
  <c r="M390" i="21"/>
  <c r="L390" i="21"/>
  <c r="K390" i="21"/>
  <c r="J390" i="21"/>
  <c r="I390" i="21"/>
  <c r="H390" i="21"/>
  <c r="G390" i="21"/>
  <c r="F390" i="21"/>
  <c r="E390" i="21"/>
  <c r="D390" i="21"/>
  <c r="C390" i="21"/>
  <c r="B390" i="21"/>
  <c r="A390" i="21"/>
  <c r="BG389" i="21"/>
  <c r="BH389" i="21" s="1"/>
  <c r="BE389" i="21"/>
  <c r="BF389" i="21" s="1"/>
  <c r="AW389" i="21"/>
  <c r="AX389" i="21" s="1"/>
  <c r="AU389" i="21"/>
  <c r="AS389" i="21"/>
  <c r="AT389" i="21" s="1"/>
  <c r="AQ389" i="21"/>
  <c r="AR389" i="21" s="1"/>
  <c r="AO389" i="21"/>
  <c r="AP389" i="21" s="1"/>
  <c r="AM389" i="21"/>
  <c r="AN389" i="21" s="1"/>
  <c r="AK389" i="21"/>
  <c r="AL389" i="21" s="1"/>
  <c r="AG389" i="21"/>
  <c r="AH389" i="21" s="1"/>
  <c r="AE389" i="21"/>
  <c r="AF389" i="21" s="1"/>
  <c r="AC389" i="21"/>
  <c r="AA389" i="21"/>
  <c r="AB389" i="21" s="1"/>
  <c r="W389" i="21"/>
  <c r="X389" i="21" s="1"/>
  <c r="U389" i="21"/>
  <c r="V389" i="21" s="1"/>
  <c r="S389" i="21"/>
  <c r="T389" i="21" s="1"/>
  <c r="Q389" i="21"/>
  <c r="R389" i="21" s="1"/>
  <c r="P389" i="21"/>
  <c r="O389" i="21"/>
  <c r="N389" i="21"/>
  <c r="M389" i="21"/>
  <c r="L389" i="21"/>
  <c r="K389" i="21"/>
  <c r="J389" i="21"/>
  <c r="I389" i="21"/>
  <c r="H389" i="21"/>
  <c r="G389" i="21"/>
  <c r="F389" i="21"/>
  <c r="E389" i="21"/>
  <c r="D389" i="21"/>
  <c r="C389" i="21"/>
  <c r="B389" i="21"/>
  <c r="A389" i="21"/>
  <c r="BG388" i="21"/>
  <c r="BH388" i="21" s="1"/>
  <c r="BE388" i="21"/>
  <c r="BF388" i="21" s="1"/>
  <c r="AW388" i="21"/>
  <c r="AX388" i="21" s="1"/>
  <c r="AU388" i="21"/>
  <c r="AV388" i="21" s="1"/>
  <c r="AS388" i="21"/>
  <c r="AT388" i="21" s="1"/>
  <c r="AQ388" i="21"/>
  <c r="AO388" i="21"/>
  <c r="AP388" i="21" s="1"/>
  <c r="AM388" i="21"/>
  <c r="AN388" i="21" s="1"/>
  <c r="AK388" i="21"/>
  <c r="AL388" i="21" s="1"/>
  <c r="AG388" i="21"/>
  <c r="AE388" i="21"/>
  <c r="AF388" i="21" s="1"/>
  <c r="AC388" i="21"/>
  <c r="AD388" i="21" s="1"/>
  <c r="AA388" i="21"/>
  <c r="AB388" i="21" s="1"/>
  <c r="W388" i="21"/>
  <c r="X388" i="21" s="1"/>
  <c r="U388" i="21"/>
  <c r="V388" i="21" s="1"/>
  <c r="S388" i="21"/>
  <c r="T388" i="21" s="1"/>
  <c r="Q388" i="21"/>
  <c r="R388" i="21" s="1"/>
  <c r="Y388" i="21" s="1"/>
  <c r="P388" i="21"/>
  <c r="O388" i="21"/>
  <c r="N388" i="21"/>
  <c r="M388" i="21"/>
  <c r="L388" i="21"/>
  <c r="K388" i="21"/>
  <c r="J388" i="21"/>
  <c r="I388" i="21"/>
  <c r="H388" i="21"/>
  <c r="G388" i="21"/>
  <c r="F388" i="21"/>
  <c r="E388" i="21"/>
  <c r="D388" i="21"/>
  <c r="C388" i="21"/>
  <c r="B388" i="21"/>
  <c r="A388" i="21"/>
  <c r="BG387" i="21"/>
  <c r="BH387" i="21" s="1"/>
  <c r="BE387" i="21"/>
  <c r="BF387" i="21" s="1"/>
  <c r="AW387" i="21"/>
  <c r="AX387" i="21" s="1"/>
  <c r="AU387" i="21"/>
  <c r="AV387" i="21" s="1"/>
  <c r="AS387" i="21"/>
  <c r="AT387" i="21" s="1"/>
  <c r="AQ387" i="21"/>
  <c r="AO387" i="21"/>
  <c r="AP387" i="21" s="1"/>
  <c r="AM387" i="21"/>
  <c r="AN387" i="21" s="1"/>
  <c r="AK387" i="21"/>
  <c r="AL387" i="21" s="1"/>
  <c r="AG387" i="21"/>
  <c r="AE387" i="21"/>
  <c r="AF387" i="21" s="1"/>
  <c r="AC387" i="21"/>
  <c r="AD387" i="21" s="1"/>
  <c r="AA387" i="21"/>
  <c r="AB387" i="21" s="1"/>
  <c r="W387" i="21"/>
  <c r="X387" i="21" s="1"/>
  <c r="U387" i="21"/>
  <c r="V387" i="21" s="1"/>
  <c r="S387" i="21"/>
  <c r="Q387" i="21"/>
  <c r="R387" i="21" s="1"/>
  <c r="P387" i="21"/>
  <c r="O387" i="21"/>
  <c r="N387" i="21"/>
  <c r="M387" i="21"/>
  <c r="L387" i="21"/>
  <c r="K387" i="21"/>
  <c r="J387" i="21"/>
  <c r="I387" i="21"/>
  <c r="H387" i="21"/>
  <c r="G387" i="21"/>
  <c r="F387" i="21"/>
  <c r="E387" i="21"/>
  <c r="D387" i="21"/>
  <c r="C387" i="21"/>
  <c r="B387" i="21"/>
  <c r="A387" i="21"/>
  <c r="BG386" i="21"/>
  <c r="BH386" i="21" s="1"/>
  <c r="BE386" i="21"/>
  <c r="BF386" i="21" s="1"/>
  <c r="AW386" i="21"/>
  <c r="AX386" i="21" s="1"/>
  <c r="AU386" i="21"/>
  <c r="AS386" i="21"/>
  <c r="AT386" i="21" s="1"/>
  <c r="AQ386" i="21"/>
  <c r="AR386" i="21" s="1"/>
  <c r="AO386" i="21"/>
  <c r="AP386" i="21" s="1"/>
  <c r="AM386" i="21"/>
  <c r="AN386" i="21" s="1"/>
  <c r="AK386" i="21"/>
  <c r="AL386" i="21" s="1"/>
  <c r="AG386" i="21"/>
  <c r="AH386" i="21" s="1"/>
  <c r="AE386" i="21"/>
  <c r="AF386" i="21" s="1"/>
  <c r="AC386" i="21"/>
  <c r="AA386" i="21"/>
  <c r="AB386" i="21" s="1"/>
  <c r="W386" i="21"/>
  <c r="X386" i="21" s="1"/>
  <c r="U386" i="21"/>
  <c r="V386" i="21" s="1"/>
  <c r="S386" i="21"/>
  <c r="T386" i="21" s="1"/>
  <c r="Q386" i="21"/>
  <c r="R386" i="21" s="1"/>
  <c r="P386" i="21"/>
  <c r="O386" i="21"/>
  <c r="N386" i="21"/>
  <c r="M386" i="21"/>
  <c r="L386" i="21"/>
  <c r="K386" i="21"/>
  <c r="J386" i="21"/>
  <c r="I386" i="21"/>
  <c r="H386" i="21"/>
  <c r="G386" i="21"/>
  <c r="F386" i="21"/>
  <c r="E386" i="21"/>
  <c r="D386" i="21"/>
  <c r="C386" i="21"/>
  <c r="B386" i="21"/>
  <c r="A386" i="21"/>
  <c r="BG385" i="21"/>
  <c r="BH385" i="21" s="1"/>
  <c r="BE385" i="21"/>
  <c r="AW385" i="21"/>
  <c r="AX385" i="21" s="1"/>
  <c r="AU385" i="21"/>
  <c r="AV385" i="21" s="1"/>
  <c r="AS385" i="21"/>
  <c r="AT385" i="21" s="1"/>
  <c r="AQ385" i="21"/>
  <c r="AR385" i="21" s="1"/>
  <c r="AO385" i="21"/>
  <c r="AP385" i="21" s="1"/>
  <c r="AM385" i="21"/>
  <c r="AN385" i="21" s="1"/>
  <c r="AK385" i="21"/>
  <c r="AL385" i="21" s="1"/>
  <c r="AG385" i="21"/>
  <c r="AH385" i="21" s="1"/>
  <c r="AE385" i="21"/>
  <c r="AF385" i="21" s="1"/>
  <c r="AC385" i="21"/>
  <c r="AA385" i="21"/>
  <c r="AB385" i="21" s="1"/>
  <c r="W385" i="21"/>
  <c r="X385" i="21" s="1"/>
  <c r="U385" i="21"/>
  <c r="V385" i="21" s="1"/>
  <c r="S385" i="21"/>
  <c r="Q385" i="21"/>
  <c r="R385" i="21" s="1"/>
  <c r="P385" i="21"/>
  <c r="O385" i="21"/>
  <c r="N385" i="21"/>
  <c r="M385" i="21"/>
  <c r="L385" i="21"/>
  <c r="K385" i="21"/>
  <c r="J385" i="21"/>
  <c r="I385" i="21"/>
  <c r="H385" i="21"/>
  <c r="G385" i="21"/>
  <c r="F385" i="21"/>
  <c r="E385" i="21"/>
  <c r="D385" i="21"/>
  <c r="C385" i="21"/>
  <c r="B385" i="21"/>
  <c r="A385" i="21"/>
  <c r="BG384" i="21"/>
  <c r="BH384" i="21" s="1"/>
  <c r="BE384" i="21"/>
  <c r="BF384" i="21" s="1"/>
  <c r="AW384" i="21"/>
  <c r="AX384" i="21" s="1"/>
  <c r="AU384" i="21"/>
  <c r="AV384" i="21" s="1"/>
  <c r="AS384" i="21"/>
  <c r="AT384" i="21" s="1"/>
  <c r="AQ384" i="21"/>
  <c r="AR384" i="21" s="1"/>
  <c r="AO384" i="21"/>
  <c r="AP384" i="21" s="1"/>
  <c r="AM384" i="21"/>
  <c r="AN384" i="21" s="1"/>
  <c r="AK384" i="21"/>
  <c r="AL384" i="21" s="1"/>
  <c r="AG384" i="21"/>
  <c r="AE384" i="21"/>
  <c r="AF384" i="21" s="1"/>
  <c r="AC384" i="21"/>
  <c r="AD384" i="21" s="1"/>
  <c r="AA384" i="21"/>
  <c r="AB384" i="21" s="1"/>
  <c r="AI384" i="21" s="1"/>
  <c r="W384" i="21"/>
  <c r="X384" i="21" s="1"/>
  <c r="U384" i="21"/>
  <c r="S384" i="21"/>
  <c r="T384" i="21" s="1"/>
  <c r="Q384" i="21"/>
  <c r="R384" i="21" s="1"/>
  <c r="P384" i="21"/>
  <c r="O384" i="21"/>
  <c r="N384" i="21"/>
  <c r="M384" i="21"/>
  <c r="L384" i="21"/>
  <c r="K384" i="21"/>
  <c r="J384" i="21"/>
  <c r="I384" i="21"/>
  <c r="H384" i="21"/>
  <c r="G384" i="21"/>
  <c r="F384" i="21"/>
  <c r="E384" i="21"/>
  <c r="D384" i="21"/>
  <c r="C384" i="21"/>
  <c r="B384" i="21"/>
  <c r="A384" i="21"/>
  <c r="BG383" i="21"/>
  <c r="BH383" i="21" s="1"/>
  <c r="BE383" i="21"/>
  <c r="BF383" i="21" s="1"/>
  <c r="AW383" i="21"/>
  <c r="AU383" i="21"/>
  <c r="AV383" i="21" s="1"/>
  <c r="AS383" i="21"/>
  <c r="AT383" i="21" s="1"/>
  <c r="AQ383" i="21"/>
  <c r="AR383" i="21" s="1"/>
  <c r="AO383" i="21"/>
  <c r="AP383" i="21" s="1"/>
  <c r="AM383" i="21"/>
  <c r="AN383" i="21" s="1"/>
  <c r="AK383" i="21"/>
  <c r="AL383" i="21" s="1"/>
  <c r="AG383" i="21"/>
  <c r="AH383" i="21" s="1"/>
  <c r="AE383" i="21"/>
  <c r="AF383" i="21" s="1"/>
  <c r="AC383" i="21"/>
  <c r="AD383" i="21" s="1"/>
  <c r="AJ383" i="21" s="1"/>
  <c r="AA383" i="21"/>
  <c r="W383" i="21"/>
  <c r="U383" i="21"/>
  <c r="V383" i="21" s="1"/>
  <c r="S383" i="21"/>
  <c r="T383" i="21" s="1"/>
  <c r="Q383" i="21"/>
  <c r="R383" i="21" s="1"/>
  <c r="P383" i="21"/>
  <c r="O383" i="21"/>
  <c r="N383" i="21"/>
  <c r="M383" i="21"/>
  <c r="L383" i="21"/>
  <c r="K383" i="21"/>
  <c r="J383" i="21"/>
  <c r="I383" i="21"/>
  <c r="H383" i="21"/>
  <c r="G383" i="21"/>
  <c r="F383" i="21"/>
  <c r="E383" i="21"/>
  <c r="D383" i="21"/>
  <c r="C383" i="21"/>
  <c r="B383" i="21"/>
  <c r="A383" i="21"/>
  <c r="BG382" i="21"/>
  <c r="BH382" i="21" s="1"/>
  <c r="BE382" i="21"/>
  <c r="BF382" i="21" s="1"/>
  <c r="AW382" i="21"/>
  <c r="AX382" i="21" s="1"/>
  <c r="AU382" i="21"/>
  <c r="AV382" i="21" s="1"/>
  <c r="AS382" i="21"/>
  <c r="AT382" i="21" s="1"/>
  <c r="AQ382" i="21"/>
  <c r="AR382" i="21" s="1"/>
  <c r="AO382" i="21"/>
  <c r="AP382" i="21" s="1"/>
  <c r="AM382" i="21"/>
  <c r="AN382" i="21" s="1"/>
  <c r="AK382" i="21"/>
  <c r="AL382" i="21" s="1"/>
  <c r="AG382" i="21"/>
  <c r="AH382" i="21" s="1"/>
  <c r="AE382" i="21"/>
  <c r="AF382" i="21" s="1"/>
  <c r="AC382" i="21"/>
  <c r="AD382" i="21" s="1"/>
  <c r="AA382" i="21"/>
  <c r="W382" i="21"/>
  <c r="X382" i="21" s="1"/>
  <c r="U382" i="21"/>
  <c r="V382" i="21" s="1"/>
  <c r="S382" i="21"/>
  <c r="Q382" i="21"/>
  <c r="R382" i="21" s="1"/>
  <c r="P382" i="21"/>
  <c r="O382" i="21"/>
  <c r="N382" i="21"/>
  <c r="M382" i="21"/>
  <c r="L382" i="21"/>
  <c r="K382" i="21"/>
  <c r="J382" i="21"/>
  <c r="I382" i="21"/>
  <c r="H382" i="21"/>
  <c r="G382" i="21"/>
  <c r="F382" i="21"/>
  <c r="E382" i="21"/>
  <c r="D382" i="21"/>
  <c r="C382" i="21"/>
  <c r="B382" i="21"/>
  <c r="A382" i="21"/>
  <c r="BG381" i="21"/>
  <c r="BH381" i="21" s="1"/>
  <c r="BE381" i="21"/>
  <c r="BF381" i="21" s="1"/>
  <c r="AW381" i="21"/>
  <c r="AX381" i="21" s="1"/>
  <c r="AU381" i="21"/>
  <c r="AS381" i="21"/>
  <c r="AT381" i="21" s="1"/>
  <c r="AQ381" i="21"/>
  <c r="AR381" i="21" s="1"/>
  <c r="AO381" i="21"/>
  <c r="AP381" i="21" s="1"/>
  <c r="AM381" i="21"/>
  <c r="AN381" i="21" s="1"/>
  <c r="AK381" i="21"/>
  <c r="AL381" i="21" s="1"/>
  <c r="AG381" i="21"/>
  <c r="AH381" i="21" s="1"/>
  <c r="AE381" i="21"/>
  <c r="AC381" i="21"/>
  <c r="AD381" i="21" s="1"/>
  <c r="AA381" i="21"/>
  <c r="AB381" i="21" s="1"/>
  <c r="W381" i="21"/>
  <c r="U381" i="21"/>
  <c r="V381" i="21" s="1"/>
  <c r="S381" i="21"/>
  <c r="T381" i="21" s="1"/>
  <c r="Q381" i="21"/>
  <c r="R381" i="21" s="1"/>
  <c r="P381" i="21"/>
  <c r="O381" i="21"/>
  <c r="N381" i="21"/>
  <c r="M381" i="21"/>
  <c r="L381" i="21"/>
  <c r="K381" i="21"/>
  <c r="J381" i="21"/>
  <c r="I381" i="21"/>
  <c r="H381" i="21"/>
  <c r="G381" i="21"/>
  <c r="F381" i="21"/>
  <c r="E381" i="21"/>
  <c r="D381" i="21"/>
  <c r="C381" i="21"/>
  <c r="B381" i="21"/>
  <c r="A381" i="21"/>
  <c r="BG380" i="21"/>
  <c r="BH380" i="21" s="1"/>
  <c r="BE380" i="21"/>
  <c r="BF380" i="21" s="1"/>
  <c r="AW380" i="21"/>
  <c r="AX380" i="21" s="1"/>
  <c r="AU380" i="21"/>
  <c r="AV380" i="21" s="1"/>
  <c r="AS380" i="21"/>
  <c r="AT380" i="21" s="1"/>
  <c r="AQ380" i="21"/>
  <c r="AR380" i="21" s="1"/>
  <c r="AO380" i="21"/>
  <c r="AP380" i="21" s="1"/>
  <c r="AM380" i="21"/>
  <c r="AN380" i="21" s="1"/>
  <c r="AK380" i="21"/>
  <c r="AG380" i="21"/>
  <c r="AH380" i="21" s="1"/>
  <c r="AE380" i="21"/>
  <c r="AF380" i="21" s="1"/>
  <c r="AC380" i="21"/>
  <c r="AA380" i="21"/>
  <c r="AB380" i="21" s="1"/>
  <c r="W380" i="21"/>
  <c r="X380" i="21" s="1"/>
  <c r="U380" i="21"/>
  <c r="V380" i="21" s="1"/>
  <c r="S380" i="21"/>
  <c r="T380" i="21" s="1"/>
  <c r="Q380" i="21"/>
  <c r="R380" i="21" s="1"/>
  <c r="Y380" i="21" s="1"/>
  <c r="P380" i="21"/>
  <c r="O380" i="21"/>
  <c r="N380" i="21"/>
  <c r="M380" i="21"/>
  <c r="L380" i="21"/>
  <c r="K380" i="21"/>
  <c r="J380" i="21"/>
  <c r="I380" i="21"/>
  <c r="H380" i="21"/>
  <c r="G380" i="21"/>
  <c r="F380" i="21"/>
  <c r="E380" i="21"/>
  <c r="D380" i="21"/>
  <c r="C380" i="21"/>
  <c r="B380" i="21"/>
  <c r="A380" i="21"/>
  <c r="BG379" i="21"/>
  <c r="BH379" i="21" s="1"/>
  <c r="BE379" i="21"/>
  <c r="BF379" i="21" s="1"/>
  <c r="AW379" i="21"/>
  <c r="AX379" i="21" s="1"/>
  <c r="AU379" i="21"/>
  <c r="AV379" i="21" s="1"/>
  <c r="AS379" i="21"/>
  <c r="AT379" i="21" s="1"/>
  <c r="AQ379" i="21"/>
  <c r="AR379" i="21" s="1"/>
  <c r="AO379" i="21"/>
  <c r="AM379" i="21"/>
  <c r="AN379" i="21" s="1"/>
  <c r="AK379" i="21"/>
  <c r="AL379" i="21" s="1"/>
  <c r="AG379" i="21"/>
  <c r="AE379" i="21"/>
  <c r="AF379" i="21" s="1"/>
  <c r="AC379" i="21"/>
  <c r="AD379" i="21" s="1"/>
  <c r="AA379" i="21"/>
  <c r="AB379" i="21" s="1"/>
  <c r="W379" i="21"/>
  <c r="U379" i="21"/>
  <c r="V379" i="21" s="1"/>
  <c r="S379" i="21"/>
  <c r="T379" i="21" s="1"/>
  <c r="Q379" i="21"/>
  <c r="R379" i="21" s="1"/>
  <c r="P379" i="21"/>
  <c r="O379" i="21"/>
  <c r="N379" i="21"/>
  <c r="M379" i="21"/>
  <c r="L379" i="21"/>
  <c r="K379" i="21"/>
  <c r="J379" i="21"/>
  <c r="I379" i="21"/>
  <c r="H379" i="21"/>
  <c r="G379" i="21"/>
  <c r="F379" i="21"/>
  <c r="E379" i="21"/>
  <c r="D379" i="21"/>
  <c r="C379" i="21"/>
  <c r="B379" i="21"/>
  <c r="A379" i="21"/>
  <c r="BG378" i="21"/>
  <c r="BH378" i="21" s="1"/>
  <c r="BE378" i="21"/>
  <c r="BF378" i="21" s="1"/>
  <c r="AW378" i="21"/>
  <c r="AX378" i="21" s="1"/>
  <c r="AU378" i="21"/>
  <c r="AV378" i="21" s="1"/>
  <c r="AS378" i="21"/>
  <c r="AQ378" i="21"/>
  <c r="AR378" i="21" s="1"/>
  <c r="AO378" i="21"/>
  <c r="AP378" i="21" s="1"/>
  <c r="AM378" i="21"/>
  <c r="AK378" i="21"/>
  <c r="AL378" i="21" s="1"/>
  <c r="AG378" i="21"/>
  <c r="AH378" i="21" s="1"/>
  <c r="AE378" i="21"/>
  <c r="AF378" i="21" s="1"/>
  <c r="AC378" i="21"/>
  <c r="AD378" i="21" s="1"/>
  <c r="AA378" i="21"/>
  <c r="AB378" i="21" s="1"/>
  <c r="W378" i="21"/>
  <c r="X378" i="21" s="1"/>
  <c r="U378" i="21"/>
  <c r="S378" i="21"/>
  <c r="T378" i="21" s="1"/>
  <c r="Q378" i="21"/>
  <c r="R378" i="21" s="1"/>
  <c r="P378" i="21"/>
  <c r="O378" i="21"/>
  <c r="N378" i="21"/>
  <c r="M378" i="21"/>
  <c r="L378" i="21"/>
  <c r="K378" i="21"/>
  <c r="J378" i="21"/>
  <c r="I378" i="21"/>
  <c r="H378" i="21"/>
  <c r="G378" i="21"/>
  <c r="F378" i="21"/>
  <c r="E378" i="21"/>
  <c r="D378" i="21"/>
  <c r="C378" i="21"/>
  <c r="B378" i="21"/>
  <c r="A378" i="21"/>
  <c r="BG377" i="21"/>
  <c r="BE377" i="21"/>
  <c r="BF377" i="21" s="1"/>
  <c r="AW377" i="21"/>
  <c r="AX377" i="21" s="1"/>
  <c r="AU377" i="21"/>
  <c r="AV377" i="21" s="1"/>
  <c r="AS377" i="21"/>
  <c r="AT377" i="21" s="1"/>
  <c r="AQ377" i="21"/>
  <c r="AO377" i="21"/>
  <c r="AP377" i="21" s="1"/>
  <c r="AM377" i="21"/>
  <c r="AN377" i="21" s="1"/>
  <c r="AK377" i="21"/>
  <c r="AL377" i="21" s="1"/>
  <c r="AG377" i="21"/>
  <c r="AH377" i="21" s="1"/>
  <c r="AE377" i="21"/>
  <c r="AF377" i="21" s="1"/>
  <c r="AC377" i="21"/>
  <c r="AD377" i="21" s="1"/>
  <c r="AA377" i="21"/>
  <c r="W377" i="21"/>
  <c r="X377" i="21" s="1"/>
  <c r="U377" i="21"/>
  <c r="V377" i="21" s="1"/>
  <c r="S377" i="21"/>
  <c r="Q377" i="21"/>
  <c r="R377" i="21" s="1"/>
  <c r="P377" i="21"/>
  <c r="O377" i="21"/>
  <c r="N377" i="21"/>
  <c r="M377" i="21"/>
  <c r="L377" i="21"/>
  <c r="K377" i="21"/>
  <c r="J377" i="21"/>
  <c r="I377" i="21"/>
  <c r="H377" i="21"/>
  <c r="G377" i="21"/>
  <c r="F377" i="21"/>
  <c r="E377" i="21"/>
  <c r="D377" i="21"/>
  <c r="C377" i="21"/>
  <c r="B377" i="21"/>
  <c r="A377" i="21"/>
  <c r="BG376" i="21"/>
  <c r="BH376" i="21" s="1"/>
  <c r="BE376" i="21"/>
  <c r="AW376" i="21"/>
  <c r="AX376" i="21" s="1"/>
  <c r="AU376" i="21"/>
  <c r="AS376" i="21"/>
  <c r="AT376" i="21" s="1"/>
  <c r="AQ376" i="21"/>
  <c r="AR376" i="21" s="1"/>
  <c r="AO376" i="21"/>
  <c r="AP376" i="21" s="1"/>
  <c r="AM376" i="21"/>
  <c r="AN376" i="21" s="1"/>
  <c r="AK376" i="21"/>
  <c r="AL376" i="21" s="1"/>
  <c r="AG376" i="21"/>
  <c r="AH376" i="21" s="1"/>
  <c r="AE376" i="21"/>
  <c r="AC376" i="21"/>
  <c r="AD376" i="21" s="1"/>
  <c r="AA376" i="21"/>
  <c r="AB376" i="21" s="1"/>
  <c r="W376" i="21"/>
  <c r="U376" i="21"/>
  <c r="V376" i="21" s="1"/>
  <c r="S376" i="21"/>
  <c r="T376" i="21" s="1"/>
  <c r="Q376" i="21"/>
  <c r="P376" i="21"/>
  <c r="O376" i="21"/>
  <c r="N376" i="21"/>
  <c r="M376" i="21"/>
  <c r="L376" i="21"/>
  <c r="K376" i="21"/>
  <c r="J376" i="21"/>
  <c r="I376" i="21"/>
  <c r="H376" i="21"/>
  <c r="G376" i="21"/>
  <c r="F376" i="21"/>
  <c r="E376" i="21"/>
  <c r="D376" i="21"/>
  <c r="C376" i="21"/>
  <c r="B376" i="21"/>
  <c r="A376" i="21"/>
  <c r="BG375" i="21"/>
  <c r="BH375" i="21" s="1"/>
  <c r="BE375" i="21"/>
  <c r="BF375" i="21" s="1"/>
  <c r="AW375" i="21"/>
  <c r="AX375" i="21" s="1"/>
  <c r="AU375" i="21"/>
  <c r="AV375" i="21" s="1"/>
  <c r="AS375" i="21"/>
  <c r="AT375" i="21" s="1"/>
  <c r="AQ375" i="21"/>
  <c r="AO375" i="21"/>
  <c r="AP375" i="21" s="1"/>
  <c r="AM375" i="21"/>
  <c r="AN375" i="21" s="1"/>
  <c r="AK375" i="21"/>
  <c r="AG375" i="21"/>
  <c r="AH375" i="21" s="1"/>
  <c r="AE375" i="21"/>
  <c r="AF375" i="21" s="1"/>
  <c r="AC375" i="21"/>
  <c r="AA375" i="21"/>
  <c r="AB375" i="21" s="1"/>
  <c r="W375" i="21"/>
  <c r="X375" i="21" s="1"/>
  <c r="U375" i="21"/>
  <c r="V375" i="21" s="1"/>
  <c r="S375" i="21"/>
  <c r="T375" i="21" s="1"/>
  <c r="Q375" i="21"/>
  <c r="R375" i="21" s="1"/>
  <c r="P375" i="21"/>
  <c r="O375" i="21"/>
  <c r="N375" i="21"/>
  <c r="M375" i="21"/>
  <c r="L375" i="21"/>
  <c r="K375" i="21"/>
  <c r="J375" i="21"/>
  <c r="I375" i="21"/>
  <c r="H375" i="21"/>
  <c r="G375" i="21"/>
  <c r="F375" i="21"/>
  <c r="E375" i="21"/>
  <c r="D375" i="21"/>
  <c r="C375" i="21"/>
  <c r="B375" i="21"/>
  <c r="A375" i="21"/>
  <c r="BG374" i="21"/>
  <c r="BE374" i="21"/>
  <c r="BF374" i="21" s="1"/>
  <c r="AW374" i="21"/>
  <c r="AX374" i="21" s="1"/>
  <c r="AU374" i="21"/>
  <c r="AV374" i="21" s="1"/>
  <c r="AS374" i="21"/>
  <c r="AT374" i="21" s="1"/>
  <c r="AQ374" i="21"/>
  <c r="AR374" i="21" s="1"/>
  <c r="AO374" i="21"/>
  <c r="AM374" i="21"/>
  <c r="AN374" i="21" s="1"/>
  <c r="AK374" i="21"/>
  <c r="AL374" i="21" s="1"/>
  <c r="AG374" i="21"/>
  <c r="AE374" i="21"/>
  <c r="AF374" i="21" s="1"/>
  <c r="AC374" i="21"/>
  <c r="AD374" i="21" s="1"/>
  <c r="AA374" i="21"/>
  <c r="W374" i="21"/>
  <c r="X374" i="21" s="1"/>
  <c r="U374" i="21"/>
  <c r="V374" i="21" s="1"/>
  <c r="S374" i="21"/>
  <c r="T374" i="21" s="1"/>
  <c r="Q374" i="21"/>
  <c r="R374" i="21" s="1"/>
  <c r="P374" i="21"/>
  <c r="O374" i="21"/>
  <c r="N374" i="21"/>
  <c r="M374" i="21"/>
  <c r="L374" i="21"/>
  <c r="K374" i="21"/>
  <c r="J374" i="21"/>
  <c r="I374" i="21"/>
  <c r="H374" i="21"/>
  <c r="G374" i="21"/>
  <c r="F374" i="21"/>
  <c r="E374" i="21"/>
  <c r="D374" i="21"/>
  <c r="C374" i="21"/>
  <c r="B374" i="21"/>
  <c r="A374" i="21"/>
  <c r="BG373" i="21"/>
  <c r="BH373" i="21" s="1"/>
  <c r="BE373" i="21"/>
  <c r="BF373" i="21" s="1"/>
  <c r="AW373" i="21"/>
  <c r="AX373" i="21" s="1"/>
  <c r="AU373" i="21"/>
  <c r="AV373" i="21" s="1"/>
  <c r="AS373" i="21"/>
  <c r="AQ373" i="21"/>
  <c r="AR373" i="21" s="1"/>
  <c r="AO373" i="21"/>
  <c r="AM373" i="21"/>
  <c r="AK373" i="21"/>
  <c r="AL373" i="21" s="1"/>
  <c r="AG373" i="21"/>
  <c r="AH373" i="21" s="1"/>
  <c r="AE373" i="21"/>
  <c r="AC373" i="21"/>
  <c r="AD373" i="21" s="1"/>
  <c r="AA373" i="21"/>
  <c r="AB373" i="21" s="1"/>
  <c r="W373" i="21"/>
  <c r="X373" i="21" s="1"/>
  <c r="U373" i="21"/>
  <c r="V373" i="21" s="1"/>
  <c r="S373" i="21"/>
  <c r="Q373" i="21"/>
  <c r="R373" i="21" s="1"/>
  <c r="P373" i="21"/>
  <c r="O373" i="21"/>
  <c r="N373" i="21"/>
  <c r="M373" i="21"/>
  <c r="L373" i="21"/>
  <c r="K373" i="21"/>
  <c r="J373" i="21"/>
  <c r="I373" i="21"/>
  <c r="H373" i="21"/>
  <c r="G373" i="21"/>
  <c r="F373" i="21"/>
  <c r="E373" i="21"/>
  <c r="D373" i="21"/>
  <c r="C373" i="21"/>
  <c r="B373" i="21"/>
  <c r="A373" i="21"/>
  <c r="BG372" i="21"/>
  <c r="BH372" i="21" s="1"/>
  <c r="BE372" i="21"/>
  <c r="BF372" i="21" s="1"/>
  <c r="AW372" i="21"/>
  <c r="AU372" i="21"/>
  <c r="AV372" i="21" s="1"/>
  <c r="AS372" i="21"/>
  <c r="AT372" i="21" s="1"/>
  <c r="AQ372" i="21"/>
  <c r="AR372" i="21" s="1"/>
  <c r="AO372" i="21"/>
  <c r="AP372" i="21" s="1"/>
  <c r="AM372" i="21"/>
  <c r="AN372" i="21" s="1"/>
  <c r="AK372" i="21"/>
  <c r="AG372" i="21"/>
  <c r="AE372" i="21"/>
  <c r="AF372" i="21" s="1"/>
  <c r="AC372" i="21"/>
  <c r="AD372" i="21" s="1"/>
  <c r="AA372" i="21"/>
  <c r="AB372" i="21" s="1"/>
  <c r="W372" i="21"/>
  <c r="X372" i="21" s="1"/>
  <c r="U372" i="21"/>
  <c r="V372" i="21" s="1"/>
  <c r="S372" i="21"/>
  <c r="Q372" i="21"/>
  <c r="R372" i="21" s="1"/>
  <c r="Y372" i="21" s="1"/>
  <c r="P372" i="21"/>
  <c r="O372" i="21"/>
  <c r="N372" i="21"/>
  <c r="M372" i="21"/>
  <c r="L372" i="21"/>
  <c r="K372" i="21"/>
  <c r="J372" i="21"/>
  <c r="I372" i="21"/>
  <c r="H372" i="21"/>
  <c r="G372" i="21"/>
  <c r="F372" i="21"/>
  <c r="E372" i="21"/>
  <c r="D372" i="21"/>
  <c r="C372" i="21"/>
  <c r="B372" i="21"/>
  <c r="A372" i="21"/>
  <c r="BG371" i="21"/>
  <c r="BH371" i="21" s="1"/>
  <c r="BE371" i="21"/>
  <c r="BF371" i="21" s="1"/>
  <c r="AW371" i="21"/>
  <c r="AX371" i="21" s="1"/>
  <c r="AU371" i="21"/>
  <c r="AV371" i="21" s="1"/>
  <c r="AS371" i="21"/>
  <c r="AT371" i="21" s="1"/>
  <c r="AQ371" i="21"/>
  <c r="AR371" i="21" s="1"/>
  <c r="AO371" i="21"/>
  <c r="AM371" i="21"/>
  <c r="AK371" i="21"/>
  <c r="AL371" i="21" s="1"/>
  <c r="AG371" i="21"/>
  <c r="AE371" i="21"/>
  <c r="AF371" i="21" s="1"/>
  <c r="AC371" i="21"/>
  <c r="AD371" i="21" s="1"/>
  <c r="AA371" i="21"/>
  <c r="AB371" i="21" s="1"/>
  <c r="W371" i="21"/>
  <c r="U371" i="21"/>
  <c r="V371" i="21" s="1"/>
  <c r="S371" i="21"/>
  <c r="T371" i="21" s="1"/>
  <c r="Q371" i="21"/>
  <c r="R371" i="21" s="1"/>
  <c r="P371" i="21"/>
  <c r="O371" i="21"/>
  <c r="N371" i="21"/>
  <c r="M371" i="21"/>
  <c r="L371" i="21"/>
  <c r="K371" i="21"/>
  <c r="J371" i="21"/>
  <c r="I371" i="21"/>
  <c r="H371" i="21"/>
  <c r="G371" i="21"/>
  <c r="F371" i="21"/>
  <c r="E371" i="21"/>
  <c r="D371" i="21"/>
  <c r="C371" i="21"/>
  <c r="B371" i="21"/>
  <c r="A371" i="21"/>
  <c r="BG370" i="21"/>
  <c r="BH370" i="21" s="1"/>
  <c r="BE370" i="21"/>
  <c r="BF370" i="21" s="1"/>
  <c r="AW370" i="21"/>
  <c r="AX370" i="21" s="1"/>
  <c r="AU370" i="21"/>
  <c r="AV370" i="21" s="1"/>
  <c r="AS370" i="21"/>
  <c r="AQ370" i="21"/>
  <c r="AO370" i="21"/>
  <c r="AP370" i="21" s="1"/>
  <c r="AM370" i="21"/>
  <c r="AN370" i="21" s="1"/>
  <c r="AK370" i="21"/>
  <c r="AL370" i="21" s="1"/>
  <c r="AG370" i="21"/>
  <c r="AH370" i="21" s="1"/>
  <c r="AE370" i="21"/>
  <c r="AF370" i="21" s="1"/>
  <c r="AC370" i="21"/>
  <c r="AD370" i="21" s="1"/>
  <c r="AA370" i="21"/>
  <c r="AB370" i="21" s="1"/>
  <c r="W370" i="21"/>
  <c r="X370" i="21" s="1"/>
  <c r="U370" i="21"/>
  <c r="V370" i="21" s="1"/>
  <c r="S370" i="21"/>
  <c r="Q370" i="21"/>
  <c r="R370" i="21" s="1"/>
  <c r="P370" i="21"/>
  <c r="O370" i="21"/>
  <c r="N370" i="21"/>
  <c r="M370" i="21"/>
  <c r="L370" i="21"/>
  <c r="K370" i="21"/>
  <c r="J370" i="21"/>
  <c r="I370" i="21"/>
  <c r="H370" i="21"/>
  <c r="G370" i="21"/>
  <c r="F370" i="21"/>
  <c r="E370" i="21"/>
  <c r="D370" i="21"/>
  <c r="C370" i="21"/>
  <c r="B370" i="21"/>
  <c r="A370" i="21"/>
  <c r="BG369" i="21"/>
  <c r="BE369" i="21"/>
  <c r="BF369" i="21" s="1"/>
  <c r="AW369" i="21"/>
  <c r="AX369" i="21" s="1"/>
  <c r="AU369" i="21"/>
  <c r="AS369" i="21"/>
  <c r="AT369" i="21" s="1"/>
  <c r="AQ369" i="21"/>
  <c r="AR369" i="21" s="1"/>
  <c r="AO369" i="21"/>
  <c r="AP369" i="21" s="1"/>
  <c r="AM369" i="21"/>
  <c r="AK369" i="21"/>
  <c r="AL369" i="21" s="1"/>
  <c r="AG369" i="21"/>
  <c r="AH369" i="21" s="1"/>
  <c r="AE369" i="21"/>
  <c r="AF369" i="21" s="1"/>
  <c r="AC369" i="21"/>
  <c r="AD369" i="21" s="1"/>
  <c r="AA369" i="21"/>
  <c r="W369" i="21"/>
  <c r="U369" i="21"/>
  <c r="V369" i="21" s="1"/>
  <c r="S369" i="21"/>
  <c r="Q369" i="21"/>
  <c r="R369" i="21" s="1"/>
  <c r="P369" i="21"/>
  <c r="O369" i="21"/>
  <c r="N369" i="21"/>
  <c r="M369" i="21"/>
  <c r="L369" i="21"/>
  <c r="K369" i="21"/>
  <c r="J369" i="21"/>
  <c r="I369" i="21"/>
  <c r="H369" i="21"/>
  <c r="G369" i="21"/>
  <c r="F369" i="21"/>
  <c r="E369" i="21"/>
  <c r="D369" i="21"/>
  <c r="C369" i="21"/>
  <c r="B369" i="21"/>
  <c r="A369" i="21"/>
  <c r="BG368" i="21"/>
  <c r="BE368" i="21"/>
  <c r="BF368" i="21" s="1"/>
  <c r="AW368" i="21"/>
  <c r="AU368" i="21"/>
  <c r="AV368" i="21" s="1"/>
  <c r="AS368" i="21"/>
  <c r="AT368" i="21" s="1"/>
  <c r="AQ368" i="21"/>
  <c r="AR368" i="21" s="1"/>
  <c r="AO368" i="21"/>
  <c r="AP368" i="21" s="1"/>
  <c r="AM368" i="21"/>
  <c r="AN368" i="21" s="1"/>
  <c r="AK368" i="21"/>
  <c r="AL368" i="21" s="1"/>
  <c r="AG368" i="21"/>
  <c r="AH368" i="21" s="1"/>
  <c r="AE368" i="21"/>
  <c r="AC368" i="21"/>
  <c r="AA368" i="21"/>
  <c r="AB368" i="21" s="1"/>
  <c r="W368" i="21"/>
  <c r="X368" i="21" s="1"/>
  <c r="U368" i="21"/>
  <c r="V368" i="21" s="1"/>
  <c r="S368" i="21"/>
  <c r="T368" i="21" s="1"/>
  <c r="Q368" i="21"/>
  <c r="R368" i="21" s="1"/>
  <c r="P368" i="21"/>
  <c r="O368" i="21"/>
  <c r="N368" i="21"/>
  <c r="M368" i="21"/>
  <c r="L368" i="21"/>
  <c r="K368" i="21"/>
  <c r="J368" i="21"/>
  <c r="I368" i="21"/>
  <c r="H368" i="21"/>
  <c r="G368" i="21"/>
  <c r="F368" i="21"/>
  <c r="E368" i="21"/>
  <c r="D368" i="21"/>
  <c r="C368" i="21"/>
  <c r="B368" i="21"/>
  <c r="A368" i="21"/>
  <c r="BG367" i="21"/>
  <c r="BH367" i="21" s="1"/>
  <c r="BE367" i="21"/>
  <c r="BF367" i="21" s="1"/>
  <c r="AW367" i="21"/>
  <c r="AX367" i="21" s="1"/>
  <c r="AU367" i="21"/>
  <c r="AV367" i="21" s="1"/>
  <c r="AS367" i="21"/>
  <c r="AT367" i="21" s="1"/>
  <c r="AQ367" i="21"/>
  <c r="AR367" i="21" s="1"/>
  <c r="AO367" i="21"/>
  <c r="AP367" i="21" s="1"/>
  <c r="AM367" i="21"/>
  <c r="AN367" i="21" s="1"/>
  <c r="AK367" i="21"/>
  <c r="AL367" i="21" s="1"/>
  <c r="AG367" i="21"/>
  <c r="AE367" i="21"/>
  <c r="AF367" i="21" s="1"/>
  <c r="AC367" i="21"/>
  <c r="AA367" i="21"/>
  <c r="AB367" i="21" s="1"/>
  <c r="W367" i="21"/>
  <c r="U367" i="21"/>
  <c r="V367" i="21" s="1"/>
  <c r="S367" i="21"/>
  <c r="T367" i="21" s="1"/>
  <c r="Q367" i="21"/>
  <c r="R367" i="21" s="1"/>
  <c r="P367" i="21"/>
  <c r="O367" i="21"/>
  <c r="N367" i="21"/>
  <c r="M367" i="21"/>
  <c r="L367" i="21"/>
  <c r="K367" i="21"/>
  <c r="J367" i="21"/>
  <c r="I367" i="21"/>
  <c r="H367" i="21"/>
  <c r="G367" i="21"/>
  <c r="F367" i="21"/>
  <c r="E367" i="21"/>
  <c r="D367" i="21"/>
  <c r="C367" i="21"/>
  <c r="B367" i="21"/>
  <c r="A367" i="21"/>
  <c r="BG366" i="21"/>
  <c r="BH366" i="21" s="1"/>
  <c r="BE366" i="21"/>
  <c r="BF366" i="21" s="1"/>
  <c r="AW366" i="21"/>
  <c r="AX366" i="21" s="1"/>
  <c r="AU366" i="21"/>
  <c r="AV366" i="21" s="1"/>
  <c r="AS366" i="21"/>
  <c r="AT366" i="21" s="1"/>
  <c r="AQ366" i="21"/>
  <c r="AR366" i="21" s="1"/>
  <c r="AO366" i="21"/>
  <c r="AP366" i="21" s="1"/>
  <c r="AM366" i="21"/>
  <c r="AK366" i="21"/>
  <c r="AL366" i="21" s="1"/>
  <c r="AG366" i="21"/>
  <c r="AE366" i="21"/>
  <c r="AF366" i="21" s="1"/>
  <c r="AC366" i="21"/>
  <c r="AD366" i="21" s="1"/>
  <c r="AA366" i="21"/>
  <c r="AB366" i="21" s="1"/>
  <c r="W366" i="21"/>
  <c r="X366" i="21" s="1"/>
  <c r="U366" i="21"/>
  <c r="V366" i="21" s="1"/>
  <c r="S366" i="21"/>
  <c r="T366" i="21" s="1"/>
  <c r="Q366" i="21"/>
  <c r="R366" i="21" s="1"/>
  <c r="P366" i="21"/>
  <c r="O366" i="21"/>
  <c r="N366" i="21"/>
  <c r="M366" i="21"/>
  <c r="L366" i="21"/>
  <c r="K366" i="21"/>
  <c r="J366" i="21"/>
  <c r="I366" i="21"/>
  <c r="H366" i="21"/>
  <c r="G366" i="21"/>
  <c r="F366" i="21"/>
  <c r="E366" i="21"/>
  <c r="D366" i="21"/>
  <c r="C366" i="21"/>
  <c r="B366" i="21"/>
  <c r="A366" i="21"/>
  <c r="BG365" i="21"/>
  <c r="BH365" i="21" s="1"/>
  <c r="BE365" i="21"/>
  <c r="BF365" i="21" s="1"/>
  <c r="AW365" i="21"/>
  <c r="AX365" i="21" s="1"/>
  <c r="AU365" i="21"/>
  <c r="AV365" i="21" s="1"/>
  <c r="AS365" i="21"/>
  <c r="AQ365" i="21"/>
  <c r="AO365" i="21"/>
  <c r="AP365" i="21" s="1"/>
  <c r="AM365" i="21"/>
  <c r="AK365" i="21"/>
  <c r="AL365" i="21" s="1"/>
  <c r="AG365" i="21"/>
  <c r="AE365" i="21"/>
  <c r="AF365" i="21" s="1"/>
  <c r="AC365" i="21"/>
  <c r="AD365" i="21" s="1"/>
  <c r="AA365" i="21"/>
  <c r="AB365" i="21" s="1"/>
  <c r="W365" i="21"/>
  <c r="X365" i="21" s="1"/>
  <c r="U365" i="21"/>
  <c r="V365" i="21" s="1"/>
  <c r="S365" i="21"/>
  <c r="Q365" i="21"/>
  <c r="R365" i="21" s="1"/>
  <c r="P365" i="21"/>
  <c r="O365" i="21"/>
  <c r="N365" i="21"/>
  <c r="M365" i="21"/>
  <c r="L365" i="21"/>
  <c r="K365" i="21"/>
  <c r="J365" i="21"/>
  <c r="I365" i="21"/>
  <c r="H365" i="21"/>
  <c r="G365" i="21"/>
  <c r="F365" i="21"/>
  <c r="E365" i="21"/>
  <c r="D365" i="21"/>
  <c r="C365" i="21"/>
  <c r="B365" i="21"/>
  <c r="A365" i="21"/>
  <c r="BG364" i="21"/>
  <c r="BH364" i="21" s="1"/>
  <c r="BE364" i="21"/>
  <c r="BF364" i="21" s="1"/>
  <c r="AW364" i="21"/>
  <c r="AX364" i="21" s="1"/>
  <c r="AU364" i="21"/>
  <c r="AS364" i="21"/>
  <c r="AT364" i="21" s="1"/>
  <c r="AQ364" i="21"/>
  <c r="AO364" i="21"/>
  <c r="AP364" i="21" s="1"/>
  <c r="AM364" i="21"/>
  <c r="AK364" i="21"/>
  <c r="AL364" i="21" s="1"/>
  <c r="AG364" i="21"/>
  <c r="AH364" i="21" s="1"/>
  <c r="AE364" i="21"/>
  <c r="AF364" i="21" s="1"/>
  <c r="AC364" i="21"/>
  <c r="AA364" i="21"/>
  <c r="AB364" i="21" s="1"/>
  <c r="W364" i="21"/>
  <c r="X364" i="21" s="1"/>
  <c r="U364" i="21"/>
  <c r="V364" i="21" s="1"/>
  <c r="S364" i="21"/>
  <c r="Q364" i="21"/>
  <c r="R364" i="21" s="1"/>
  <c r="Y364" i="21" s="1"/>
  <c r="P364" i="21"/>
  <c r="O364" i="21"/>
  <c r="N364" i="21"/>
  <c r="M364" i="21"/>
  <c r="L364" i="21"/>
  <c r="K364" i="21"/>
  <c r="J364" i="21"/>
  <c r="I364" i="21"/>
  <c r="H364" i="21"/>
  <c r="G364" i="21"/>
  <c r="F364" i="21"/>
  <c r="E364" i="21"/>
  <c r="D364" i="21"/>
  <c r="C364" i="21"/>
  <c r="B364" i="21"/>
  <c r="A364" i="21"/>
  <c r="BG363" i="21"/>
  <c r="BH363" i="21" s="1"/>
  <c r="BE363" i="21"/>
  <c r="AW363" i="21"/>
  <c r="AX363" i="21" s="1"/>
  <c r="AU363" i="21"/>
  <c r="AS363" i="21"/>
  <c r="AT363" i="21" s="1"/>
  <c r="AQ363" i="21"/>
  <c r="AR363" i="21" s="1"/>
  <c r="AO363" i="21"/>
  <c r="AP363" i="21" s="1"/>
  <c r="AM363" i="21"/>
  <c r="AN363" i="21" s="1"/>
  <c r="AK363" i="21"/>
  <c r="AL363" i="21" s="1"/>
  <c r="AG363" i="21"/>
  <c r="AH363" i="21" s="1"/>
  <c r="AE363" i="21"/>
  <c r="AF363" i="21" s="1"/>
  <c r="AC363" i="21"/>
  <c r="AD363" i="21" s="1"/>
  <c r="AA363" i="21"/>
  <c r="W363" i="21"/>
  <c r="X363" i="21" s="1"/>
  <c r="U363" i="21"/>
  <c r="V363" i="21" s="1"/>
  <c r="S363" i="21"/>
  <c r="T363" i="21" s="1"/>
  <c r="Z363" i="21" s="1"/>
  <c r="Q363" i="21"/>
  <c r="P363" i="21"/>
  <c r="O363" i="21"/>
  <c r="N363" i="21"/>
  <c r="M363" i="21"/>
  <c r="L363" i="21"/>
  <c r="K363" i="21"/>
  <c r="J363" i="21"/>
  <c r="I363" i="21"/>
  <c r="H363" i="21"/>
  <c r="G363" i="21"/>
  <c r="F363" i="21"/>
  <c r="E363" i="21"/>
  <c r="D363" i="21"/>
  <c r="C363" i="21"/>
  <c r="B363" i="21"/>
  <c r="A363" i="21"/>
  <c r="BG362" i="21"/>
  <c r="BH362" i="21" s="1"/>
  <c r="BE362" i="21"/>
  <c r="BF362" i="21" s="1"/>
  <c r="AW362" i="21"/>
  <c r="AX362" i="21" s="1"/>
  <c r="AU362" i="21"/>
  <c r="AS362" i="21"/>
  <c r="AT362" i="21" s="1"/>
  <c r="AQ362" i="21"/>
  <c r="AR362" i="21" s="1"/>
  <c r="AO362" i="21"/>
  <c r="AP362" i="21" s="1"/>
  <c r="AM362" i="21"/>
  <c r="AN362" i="21" s="1"/>
  <c r="AK362" i="21"/>
  <c r="AL362" i="21" s="1"/>
  <c r="AG362" i="21"/>
  <c r="AH362" i="21" s="1"/>
  <c r="AE362" i="21"/>
  <c r="AF362" i="21" s="1"/>
  <c r="AC362" i="21"/>
  <c r="AD362" i="21" s="1"/>
  <c r="AA362" i="21"/>
  <c r="AB362" i="21" s="1"/>
  <c r="W362" i="21"/>
  <c r="X362" i="21" s="1"/>
  <c r="U362" i="21"/>
  <c r="V362" i="21" s="1"/>
  <c r="S362" i="21"/>
  <c r="T362" i="21" s="1"/>
  <c r="Q362" i="21"/>
  <c r="R362" i="21" s="1"/>
  <c r="P362" i="21"/>
  <c r="O362" i="21"/>
  <c r="N362" i="21"/>
  <c r="M362" i="21"/>
  <c r="L362" i="21"/>
  <c r="K362" i="21"/>
  <c r="J362" i="21"/>
  <c r="I362" i="21"/>
  <c r="H362" i="21"/>
  <c r="G362" i="21"/>
  <c r="F362" i="21"/>
  <c r="E362" i="21"/>
  <c r="D362" i="21"/>
  <c r="C362" i="21"/>
  <c r="B362" i="21"/>
  <c r="A362" i="21"/>
  <c r="BG361" i="21"/>
  <c r="BE361" i="21"/>
  <c r="BF361" i="21" s="1"/>
  <c r="AW361" i="21"/>
  <c r="AX361" i="21" s="1"/>
  <c r="AU361" i="21"/>
  <c r="AV361" i="21" s="1"/>
  <c r="AS361" i="21"/>
  <c r="AT361" i="21" s="1"/>
  <c r="AQ361" i="21"/>
  <c r="AR361" i="21" s="1"/>
  <c r="AO361" i="21"/>
  <c r="AP361" i="21" s="1"/>
  <c r="AM361" i="21"/>
  <c r="AN361" i="21" s="1"/>
  <c r="AK361" i="21"/>
  <c r="AL361" i="21" s="1"/>
  <c r="AG361" i="21"/>
  <c r="AH361" i="21" s="1"/>
  <c r="AE361" i="21"/>
  <c r="AC361" i="21"/>
  <c r="AD361" i="21" s="1"/>
  <c r="AA361" i="21"/>
  <c r="W361" i="21"/>
  <c r="U361" i="21"/>
  <c r="V361" i="21" s="1"/>
  <c r="S361" i="21"/>
  <c r="Q361" i="21"/>
  <c r="R361" i="21" s="1"/>
  <c r="P361" i="21"/>
  <c r="O361" i="21"/>
  <c r="N361" i="21"/>
  <c r="M361" i="21"/>
  <c r="L361" i="21"/>
  <c r="K361" i="21"/>
  <c r="J361" i="21"/>
  <c r="I361" i="21"/>
  <c r="H361" i="21"/>
  <c r="G361" i="21"/>
  <c r="F361" i="21"/>
  <c r="E361" i="21"/>
  <c r="D361" i="21"/>
  <c r="C361" i="21"/>
  <c r="B361" i="21"/>
  <c r="A361" i="21"/>
  <c r="BG360" i="21"/>
  <c r="BH360" i="21" s="1"/>
  <c r="BE360" i="21"/>
  <c r="BF360" i="21" s="1"/>
  <c r="AW360" i="21"/>
  <c r="AX360" i="21" s="1"/>
  <c r="AU360" i="21"/>
  <c r="AV360" i="21" s="1"/>
  <c r="AS360" i="21"/>
  <c r="AT360" i="21" s="1"/>
  <c r="AQ360" i="21"/>
  <c r="AR360" i="21" s="1"/>
  <c r="AO360" i="21"/>
  <c r="AP360" i="21" s="1"/>
  <c r="AM360" i="21"/>
  <c r="AN360" i="21" s="1"/>
  <c r="AK360" i="21"/>
  <c r="AL360" i="21" s="1"/>
  <c r="AG360" i="21"/>
  <c r="AH360" i="21" s="1"/>
  <c r="AE360" i="21"/>
  <c r="AF360" i="21" s="1"/>
  <c r="AC360" i="21"/>
  <c r="AA360" i="21"/>
  <c r="AB360" i="21" s="1"/>
  <c r="AI360" i="21" s="1"/>
  <c r="W360" i="21"/>
  <c r="U360" i="21"/>
  <c r="V360" i="21" s="1"/>
  <c r="S360" i="21"/>
  <c r="T360" i="21" s="1"/>
  <c r="Q360" i="21"/>
  <c r="R360" i="21" s="1"/>
  <c r="P360" i="21"/>
  <c r="O360" i="21"/>
  <c r="N360" i="21"/>
  <c r="M360" i="21"/>
  <c r="L360" i="21"/>
  <c r="K360" i="21"/>
  <c r="J360" i="21"/>
  <c r="I360" i="21"/>
  <c r="H360" i="21"/>
  <c r="G360" i="21"/>
  <c r="F360" i="21"/>
  <c r="E360" i="21"/>
  <c r="D360" i="21"/>
  <c r="C360" i="21"/>
  <c r="B360" i="21"/>
  <c r="A360" i="21"/>
  <c r="BG359" i="21"/>
  <c r="BH359" i="21" s="1"/>
  <c r="BE359" i="21"/>
  <c r="BF359" i="21" s="1"/>
  <c r="AW359" i="21"/>
  <c r="AU359" i="21"/>
  <c r="AV359" i="21" s="1"/>
  <c r="AS359" i="21"/>
  <c r="AT359" i="21" s="1"/>
  <c r="AQ359" i="21"/>
  <c r="AR359" i="21" s="1"/>
  <c r="AO359" i="21"/>
  <c r="AP359" i="21" s="1"/>
  <c r="AM359" i="21"/>
  <c r="AN359" i="21" s="1"/>
  <c r="AK359" i="21"/>
  <c r="AG359" i="21"/>
  <c r="AH359" i="21" s="1"/>
  <c r="AE359" i="21"/>
  <c r="AF359" i="21" s="1"/>
  <c r="AC359" i="21"/>
  <c r="AD359" i="21" s="1"/>
  <c r="AJ359" i="21" s="1"/>
  <c r="AA359" i="21"/>
  <c r="AB359" i="21" s="1"/>
  <c r="W359" i="21"/>
  <c r="U359" i="21"/>
  <c r="V359" i="21" s="1"/>
  <c r="S359" i="21"/>
  <c r="T359" i="21" s="1"/>
  <c r="Q359" i="21"/>
  <c r="R359" i="21" s="1"/>
  <c r="P359" i="21"/>
  <c r="O359" i="21"/>
  <c r="N359" i="21"/>
  <c r="M359" i="21"/>
  <c r="L359" i="21"/>
  <c r="K359" i="21"/>
  <c r="J359" i="21"/>
  <c r="I359" i="21"/>
  <c r="H359" i="21"/>
  <c r="G359" i="21"/>
  <c r="F359" i="21"/>
  <c r="E359" i="21"/>
  <c r="D359" i="21"/>
  <c r="C359" i="21"/>
  <c r="B359" i="21"/>
  <c r="A359" i="21"/>
  <c r="BG358" i="21"/>
  <c r="BH358" i="21" s="1"/>
  <c r="BE358" i="21"/>
  <c r="BF358" i="21" s="1"/>
  <c r="AW358" i="21"/>
  <c r="AX358" i="21" s="1"/>
  <c r="AU358" i="21"/>
  <c r="AV358" i="21" s="1"/>
  <c r="AS358" i="21"/>
  <c r="AT358" i="21" s="1"/>
  <c r="AQ358" i="21"/>
  <c r="AR358" i="21" s="1"/>
  <c r="AO358" i="21"/>
  <c r="AM358" i="21"/>
  <c r="AN358" i="21" s="1"/>
  <c r="AK358" i="21"/>
  <c r="AL358" i="21" s="1"/>
  <c r="AG358" i="21"/>
  <c r="AE358" i="21"/>
  <c r="AF358" i="21" s="1"/>
  <c r="AC358" i="21"/>
  <c r="AA358" i="21"/>
  <c r="AB358" i="21" s="1"/>
  <c r="W358" i="21"/>
  <c r="X358" i="21" s="1"/>
  <c r="U358" i="21"/>
  <c r="V358" i="21" s="1"/>
  <c r="S358" i="21"/>
  <c r="T358" i="21" s="1"/>
  <c r="Q358" i="21"/>
  <c r="R358" i="21" s="1"/>
  <c r="P358" i="21"/>
  <c r="O358" i="21"/>
  <c r="N358" i="21"/>
  <c r="M358" i="21"/>
  <c r="L358" i="21"/>
  <c r="K358" i="21"/>
  <c r="J358" i="21"/>
  <c r="I358" i="21"/>
  <c r="H358" i="21"/>
  <c r="G358" i="21"/>
  <c r="F358" i="21"/>
  <c r="E358" i="21"/>
  <c r="D358" i="21"/>
  <c r="C358" i="21"/>
  <c r="B358" i="21"/>
  <c r="A358" i="21"/>
  <c r="BG357" i="21"/>
  <c r="BH357" i="21" s="1"/>
  <c r="BE357" i="21"/>
  <c r="BF357" i="21" s="1"/>
  <c r="AW357" i="21"/>
  <c r="AX357" i="21" s="1"/>
  <c r="AU357" i="21"/>
  <c r="AV357" i="21" s="1"/>
  <c r="AS357" i="21"/>
  <c r="AT357" i="21" s="1"/>
  <c r="AQ357" i="21"/>
  <c r="AO357" i="21"/>
  <c r="AP357" i="21" s="1"/>
  <c r="AM357" i="21"/>
  <c r="AK357" i="21"/>
  <c r="AL357" i="21" s="1"/>
  <c r="AG357" i="21"/>
  <c r="AH357" i="21" s="1"/>
  <c r="AE357" i="21"/>
  <c r="AF357" i="21" s="1"/>
  <c r="AC357" i="21"/>
  <c r="AD357" i="21" s="1"/>
  <c r="AA357" i="21"/>
  <c r="AB357" i="21" s="1"/>
  <c r="W357" i="21"/>
  <c r="X357" i="21" s="1"/>
  <c r="U357" i="21"/>
  <c r="V357" i="21" s="1"/>
  <c r="S357" i="21"/>
  <c r="T357" i="21" s="1"/>
  <c r="Q357" i="21"/>
  <c r="R357" i="21" s="1"/>
  <c r="P357" i="21"/>
  <c r="O357" i="21"/>
  <c r="N357" i="21"/>
  <c r="M357" i="21"/>
  <c r="L357" i="21"/>
  <c r="K357" i="21"/>
  <c r="J357" i="21"/>
  <c r="I357" i="21"/>
  <c r="H357" i="21"/>
  <c r="G357" i="21"/>
  <c r="F357" i="21"/>
  <c r="E357" i="21"/>
  <c r="D357" i="21"/>
  <c r="C357" i="21"/>
  <c r="B357" i="21"/>
  <c r="A357" i="21"/>
  <c r="BG356" i="21"/>
  <c r="BH356" i="21" s="1"/>
  <c r="BE356" i="21"/>
  <c r="BF356" i="21" s="1"/>
  <c r="AW356" i="21"/>
  <c r="AU356" i="21"/>
  <c r="AS356" i="21"/>
  <c r="AT356" i="21" s="1"/>
  <c r="AQ356" i="21"/>
  <c r="AR356" i="21" s="1"/>
  <c r="AO356" i="21"/>
  <c r="AP356" i="21" s="1"/>
  <c r="AM356" i="21"/>
  <c r="AN356" i="21" s="1"/>
  <c r="AK356" i="21"/>
  <c r="AL356" i="21" s="1"/>
  <c r="AG356" i="21"/>
  <c r="AH356" i="21" s="1"/>
  <c r="AE356" i="21"/>
  <c r="AF356" i="21" s="1"/>
  <c r="AC356" i="21"/>
  <c r="AD356" i="21" s="1"/>
  <c r="AA356" i="21"/>
  <c r="AB356" i="21" s="1"/>
  <c r="W356" i="21"/>
  <c r="X356" i="21" s="1"/>
  <c r="U356" i="21"/>
  <c r="V356" i="21" s="1"/>
  <c r="S356" i="21"/>
  <c r="Q356" i="21"/>
  <c r="R356" i="21" s="1"/>
  <c r="Y356" i="21" s="1"/>
  <c r="P356" i="21"/>
  <c r="O356" i="21"/>
  <c r="N356" i="21"/>
  <c r="M356" i="21"/>
  <c r="L356" i="21"/>
  <c r="K356" i="21"/>
  <c r="J356" i="21"/>
  <c r="I356" i="21"/>
  <c r="H356" i="21"/>
  <c r="G356" i="21"/>
  <c r="F356" i="21"/>
  <c r="E356" i="21"/>
  <c r="D356" i="21"/>
  <c r="C356" i="21"/>
  <c r="B356" i="21"/>
  <c r="A356" i="21"/>
  <c r="BG355" i="21"/>
  <c r="BH355" i="21" s="1"/>
  <c r="BE355" i="21"/>
  <c r="BF355" i="21" s="1"/>
  <c r="AW355" i="21"/>
  <c r="AX355" i="21" s="1"/>
  <c r="AU355" i="21"/>
  <c r="AV355" i="21" s="1"/>
  <c r="AS355" i="21"/>
  <c r="AT355" i="21" s="1"/>
  <c r="AQ355" i="21"/>
  <c r="AO355" i="21"/>
  <c r="AP355" i="21" s="1"/>
  <c r="AM355" i="21"/>
  <c r="AN355" i="21" s="1"/>
  <c r="AK355" i="21"/>
  <c r="AL355" i="21" s="1"/>
  <c r="AG355" i="21"/>
  <c r="AH355" i="21" s="1"/>
  <c r="AE355" i="21"/>
  <c r="AF355" i="21" s="1"/>
  <c r="AC355" i="21"/>
  <c r="AD355" i="21" s="1"/>
  <c r="AA355" i="21"/>
  <c r="AB355" i="21" s="1"/>
  <c r="W355" i="21"/>
  <c r="X355" i="21" s="1"/>
  <c r="U355" i="21"/>
  <c r="V355" i="21" s="1"/>
  <c r="S355" i="21"/>
  <c r="T355" i="21" s="1"/>
  <c r="Z355" i="21" s="1"/>
  <c r="Q355" i="21"/>
  <c r="R355" i="21" s="1"/>
  <c r="P355" i="21"/>
  <c r="O355" i="21"/>
  <c r="N355" i="21"/>
  <c r="M355" i="21"/>
  <c r="L355" i="21"/>
  <c r="K355" i="21"/>
  <c r="J355" i="21"/>
  <c r="I355" i="21"/>
  <c r="H355" i="21"/>
  <c r="G355" i="21"/>
  <c r="F355" i="21"/>
  <c r="E355" i="21"/>
  <c r="D355" i="21"/>
  <c r="C355" i="21"/>
  <c r="B355" i="21"/>
  <c r="A355" i="21"/>
  <c r="BG354" i="21"/>
  <c r="BH354" i="21" s="1"/>
  <c r="BE354" i="21"/>
  <c r="BF354" i="21" s="1"/>
  <c r="AW354" i="21"/>
  <c r="AX354" i="21" s="1"/>
  <c r="AU354" i="21"/>
  <c r="AS354" i="21"/>
  <c r="AT354" i="21" s="1"/>
  <c r="AQ354" i="21"/>
  <c r="AR354" i="21" s="1"/>
  <c r="AO354" i="21"/>
  <c r="AP354" i="21" s="1"/>
  <c r="AM354" i="21"/>
  <c r="AK354" i="21"/>
  <c r="AL354" i="21" s="1"/>
  <c r="AG354" i="21"/>
  <c r="AH354" i="21" s="1"/>
  <c r="AE354" i="21"/>
  <c r="AF354" i="21" s="1"/>
  <c r="AC354" i="21"/>
  <c r="AD354" i="21" s="1"/>
  <c r="AA354" i="21"/>
  <c r="AB354" i="21" s="1"/>
  <c r="W354" i="21"/>
  <c r="X354" i="21" s="1"/>
  <c r="U354" i="21"/>
  <c r="S354" i="21"/>
  <c r="Q354" i="21"/>
  <c r="R354" i="21" s="1"/>
  <c r="P354" i="21"/>
  <c r="O354" i="21"/>
  <c r="N354" i="21"/>
  <c r="M354" i="21"/>
  <c r="L354" i="21"/>
  <c r="K354" i="21"/>
  <c r="J354" i="21"/>
  <c r="I354" i="21"/>
  <c r="H354" i="21"/>
  <c r="G354" i="21"/>
  <c r="F354" i="21"/>
  <c r="E354" i="21"/>
  <c r="D354" i="21"/>
  <c r="C354" i="21"/>
  <c r="B354" i="21"/>
  <c r="A354" i="21"/>
  <c r="BG353" i="21"/>
  <c r="BE353" i="21"/>
  <c r="BF353" i="21" s="1"/>
  <c r="AW353" i="21"/>
  <c r="AX353" i="21" s="1"/>
  <c r="AU353" i="21"/>
  <c r="AV353" i="21" s="1"/>
  <c r="AS353" i="21"/>
  <c r="AT353" i="21" s="1"/>
  <c r="AQ353" i="21"/>
  <c r="AR353" i="21" s="1"/>
  <c r="AO353" i="21"/>
  <c r="AP353" i="21" s="1"/>
  <c r="AM353" i="21"/>
  <c r="AN353" i="21" s="1"/>
  <c r="AK353" i="21"/>
  <c r="AL353" i="21" s="1"/>
  <c r="AG353" i="21"/>
  <c r="AE353" i="21"/>
  <c r="AF353" i="21" s="1"/>
  <c r="AC353" i="21"/>
  <c r="AD353" i="21" s="1"/>
  <c r="AA353" i="21"/>
  <c r="AB353" i="21" s="1"/>
  <c r="W353" i="21"/>
  <c r="U353" i="21"/>
  <c r="V353" i="21" s="1"/>
  <c r="S353" i="21"/>
  <c r="T353" i="21" s="1"/>
  <c r="Q353" i="21"/>
  <c r="R353" i="21" s="1"/>
  <c r="P353" i="21"/>
  <c r="O353" i="21"/>
  <c r="N353" i="21"/>
  <c r="M353" i="21"/>
  <c r="L353" i="21"/>
  <c r="K353" i="21"/>
  <c r="J353" i="21"/>
  <c r="I353" i="21"/>
  <c r="H353" i="21"/>
  <c r="G353" i="21"/>
  <c r="F353" i="21"/>
  <c r="E353" i="21"/>
  <c r="D353" i="21"/>
  <c r="C353" i="21"/>
  <c r="B353" i="21"/>
  <c r="A353" i="21"/>
  <c r="BG352" i="21"/>
  <c r="BH352" i="21" s="1"/>
  <c r="BE352" i="21"/>
  <c r="BF352" i="21" s="1"/>
  <c r="AW352" i="21"/>
  <c r="AX352" i="21" s="1"/>
  <c r="AU352" i="21"/>
  <c r="AV352" i="21" s="1"/>
  <c r="AS352" i="21"/>
  <c r="AT352" i="21" s="1"/>
  <c r="AQ352" i="21"/>
  <c r="AO352" i="21"/>
  <c r="AP352" i="21" s="1"/>
  <c r="AM352" i="21"/>
  <c r="AN352" i="21" s="1"/>
  <c r="AK352" i="21"/>
  <c r="AG352" i="21"/>
  <c r="AH352" i="21" s="1"/>
  <c r="AE352" i="21"/>
  <c r="AC352" i="21"/>
  <c r="AA352" i="21"/>
  <c r="AB352" i="21" s="1"/>
  <c r="W352" i="21"/>
  <c r="U352" i="21"/>
  <c r="V352" i="21" s="1"/>
  <c r="S352" i="21"/>
  <c r="T352" i="21" s="1"/>
  <c r="Q352" i="21"/>
  <c r="R352" i="21" s="1"/>
  <c r="P352" i="21"/>
  <c r="O352" i="21"/>
  <c r="N352" i="21"/>
  <c r="M352" i="21"/>
  <c r="L352" i="21"/>
  <c r="K352" i="21"/>
  <c r="J352" i="21"/>
  <c r="I352" i="21"/>
  <c r="H352" i="21"/>
  <c r="G352" i="21"/>
  <c r="F352" i="21"/>
  <c r="E352" i="21"/>
  <c r="D352" i="21"/>
  <c r="C352" i="21"/>
  <c r="B352" i="21"/>
  <c r="A352" i="21"/>
  <c r="BG351" i="21"/>
  <c r="BH351" i="21" s="1"/>
  <c r="BE351" i="21"/>
  <c r="BF351" i="21" s="1"/>
  <c r="AW351" i="21"/>
  <c r="AX351" i="21" s="1"/>
  <c r="AU351" i="21"/>
  <c r="AS351" i="21"/>
  <c r="AT351" i="21" s="1"/>
  <c r="AQ351" i="21"/>
  <c r="AR351" i="21" s="1"/>
  <c r="AO351" i="21"/>
  <c r="AP351" i="21" s="1"/>
  <c r="AM351" i="21"/>
  <c r="AN351" i="21" s="1"/>
  <c r="AK351" i="21"/>
  <c r="AG351" i="21"/>
  <c r="AH351" i="21" s="1"/>
  <c r="AE351" i="21"/>
  <c r="AF351" i="21" s="1"/>
  <c r="AC351" i="21"/>
  <c r="AD351" i="21" s="1"/>
  <c r="AA351" i="21"/>
  <c r="AB351" i="21" s="1"/>
  <c r="W351" i="21"/>
  <c r="X351" i="21" s="1"/>
  <c r="U351" i="21"/>
  <c r="V351" i="21" s="1"/>
  <c r="S351" i="21"/>
  <c r="Q351" i="21"/>
  <c r="R351" i="21" s="1"/>
  <c r="P351" i="21"/>
  <c r="O351" i="21"/>
  <c r="N351" i="21"/>
  <c r="M351" i="21"/>
  <c r="L351" i="21"/>
  <c r="K351" i="21"/>
  <c r="J351" i="21"/>
  <c r="I351" i="21"/>
  <c r="H351" i="21"/>
  <c r="G351" i="21"/>
  <c r="F351" i="21"/>
  <c r="E351" i="21"/>
  <c r="D351" i="21"/>
  <c r="C351" i="21"/>
  <c r="B351" i="21"/>
  <c r="A351" i="21"/>
  <c r="BG350" i="21"/>
  <c r="BH350" i="21" s="1"/>
  <c r="BE350" i="21"/>
  <c r="BF350" i="21" s="1"/>
  <c r="AW350" i="21"/>
  <c r="AX350" i="21" s="1"/>
  <c r="AU350" i="21"/>
  <c r="AV350" i="21" s="1"/>
  <c r="AS350" i="21"/>
  <c r="AT350" i="21" s="1"/>
  <c r="AQ350" i="21"/>
  <c r="AR350" i="21" s="1"/>
  <c r="AO350" i="21"/>
  <c r="AP350" i="21" s="1"/>
  <c r="AM350" i="21"/>
  <c r="AN350" i="21" s="1"/>
  <c r="AK350" i="21"/>
  <c r="AL350" i="21" s="1"/>
  <c r="AG350" i="21"/>
  <c r="AH350" i="21" s="1"/>
  <c r="AE350" i="21"/>
  <c r="AF350" i="21" s="1"/>
  <c r="AC350" i="21"/>
  <c r="AD350" i="21" s="1"/>
  <c r="AA350" i="21"/>
  <c r="W350" i="21"/>
  <c r="X350" i="21" s="1"/>
  <c r="U350" i="21"/>
  <c r="V350" i="21" s="1"/>
  <c r="S350" i="21"/>
  <c r="Q350" i="21"/>
  <c r="R350" i="21" s="1"/>
  <c r="P350" i="21"/>
  <c r="O350" i="21"/>
  <c r="N350" i="21"/>
  <c r="M350" i="21"/>
  <c r="L350" i="21"/>
  <c r="K350" i="21"/>
  <c r="J350" i="21"/>
  <c r="I350" i="21"/>
  <c r="H350" i="21"/>
  <c r="G350" i="21"/>
  <c r="F350" i="21"/>
  <c r="E350" i="21"/>
  <c r="D350" i="21"/>
  <c r="C350" i="21"/>
  <c r="B350" i="21"/>
  <c r="A350" i="21"/>
  <c r="BG349" i="21"/>
  <c r="BH349" i="21" s="1"/>
  <c r="BE349" i="21"/>
  <c r="BF349" i="21" s="1"/>
  <c r="AW349" i="21"/>
  <c r="AU349" i="21"/>
  <c r="AV349" i="21" s="1"/>
  <c r="AS349" i="21"/>
  <c r="AT349" i="21" s="1"/>
  <c r="AQ349" i="21"/>
  <c r="AO349" i="21"/>
  <c r="AP349" i="21" s="1"/>
  <c r="AM349" i="21"/>
  <c r="AN349" i="21" s="1"/>
  <c r="AK349" i="21"/>
  <c r="AL349" i="21" s="1"/>
  <c r="AG349" i="21"/>
  <c r="AH349" i="21" s="1"/>
  <c r="AE349" i="21"/>
  <c r="AC349" i="21"/>
  <c r="AD349" i="21" s="1"/>
  <c r="AA349" i="21"/>
  <c r="AB349" i="21" s="1"/>
  <c r="W349" i="21"/>
  <c r="U349" i="21"/>
  <c r="V349" i="21" s="1"/>
  <c r="S349" i="21"/>
  <c r="T349" i="21" s="1"/>
  <c r="Q349" i="21"/>
  <c r="R349" i="21" s="1"/>
  <c r="P349" i="21"/>
  <c r="O349" i="21"/>
  <c r="N349" i="21"/>
  <c r="M349" i="21"/>
  <c r="L349" i="21"/>
  <c r="K349" i="21"/>
  <c r="J349" i="21"/>
  <c r="I349" i="21"/>
  <c r="H349" i="21"/>
  <c r="G349" i="21"/>
  <c r="F349" i="21"/>
  <c r="E349" i="21"/>
  <c r="D349" i="21"/>
  <c r="C349" i="21"/>
  <c r="B349" i="21"/>
  <c r="A349" i="21"/>
  <c r="BG348" i="21"/>
  <c r="BE348" i="21"/>
  <c r="BF348" i="21" s="1"/>
  <c r="AW348" i="21"/>
  <c r="AX348" i="21" s="1"/>
  <c r="AU348" i="21"/>
  <c r="AS348" i="21"/>
  <c r="AT348" i="21" s="1"/>
  <c r="AQ348" i="21"/>
  <c r="AR348" i="21" s="1"/>
  <c r="AO348" i="21"/>
  <c r="AP348" i="21" s="1"/>
  <c r="AM348" i="21"/>
  <c r="AK348" i="21"/>
  <c r="AL348" i="21" s="1"/>
  <c r="AG348" i="21"/>
  <c r="AH348" i="21" s="1"/>
  <c r="AE348" i="21"/>
  <c r="AF348" i="21" s="1"/>
  <c r="AC348" i="21"/>
  <c r="AA348" i="21"/>
  <c r="AB348" i="21" s="1"/>
  <c r="W348" i="21"/>
  <c r="U348" i="21"/>
  <c r="V348" i="21" s="1"/>
  <c r="S348" i="21"/>
  <c r="T348" i="21" s="1"/>
  <c r="Q348" i="21"/>
  <c r="R348" i="21" s="1"/>
  <c r="Y348" i="21" s="1"/>
  <c r="P348" i="21"/>
  <c r="O348" i="21"/>
  <c r="N348" i="21"/>
  <c r="M348" i="21"/>
  <c r="L348" i="21"/>
  <c r="K348" i="21"/>
  <c r="J348" i="21"/>
  <c r="I348" i="21"/>
  <c r="H348" i="21"/>
  <c r="G348" i="21"/>
  <c r="F348" i="21"/>
  <c r="E348" i="21"/>
  <c r="D348" i="21"/>
  <c r="C348" i="21"/>
  <c r="B348" i="21"/>
  <c r="A348" i="21"/>
  <c r="BG347" i="21"/>
  <c r="BH347" i="21" s="1"/>
  <c r="BE347" i="21"/>
  <c r="BF347" i="21" s="1"/>
  <c r="AW347" i="21"/>
  <c r="AX347" i="21" s="1"/>
  <c r="AU347" i="21"/>
  <c r="AS347" i="21"/>
  <c r="AT347" i="21" s="1"/>
  <c r="AQ347" i="21"/>
  <c r="AR347" i="21" s="1"/>
  <c r="AO347" i="21"/>
  <c r="AM347" i="21"/>
  <c r="AN347" i="21" s="1"/>
  <c r="AK347" i="21"/>
  <c r="AL347" i="21" s="1"/>
  <c r="AG347" i="21"/>
  <c r="AE347" i="21"/>
  <c r="AF347" i="21" s="1"/>
  <c r="AC347" i="21"/>
  <c r="AD347" i="21" s="1"/>
  <c r="AA347" i="21"/>
  <c r="AB347" i="21" s="1"/>
  <c r="W347" i="21"/>
  <c r="X347" i="21" s="1"/>
  <c r="U347" i="21"/>
  <c r="S347" i="21"/>
  <c r="T347" i="21" s="1"/>
  <c r="Z347" i="21" s="1"/>
  <c r="Q347" i="21"/>
  <c r="R347" i="21" s="1"/>
  <c r="P347" i="21"/>
  <c r="O347" i="21"/>
  <c r="N347" i="21"/>
  <c r="M347" i="21"/>
  <c r="L347" i="21"/>
  <c r="K347" i="21"/>
  <c r="J347" i="21"/>
  <c r="I347" i="21"/>
  <c r="H347" i="21"/>
  <c r="G347" i="21"/>
  <c r="F347" i="21"/>
  <c r="E347" i="21"/>
  <c r="D347" i="21"/>
  <c r="C347" i="21"/>
  <c r="B347" i="21"/>
  <c r="A347" i="21"/>
  <c r="BG346" i="21"/>
  <c r="BE346" i="21"/>
  <c r="BF346" i="21" s="1"/>
  <c r="AW346" i="21"/>
  <c r="AX346" i="21" s="1"/>
  <c r="AU346" i="21"/>
  <c r="AV346" i="21" s="1"/>
  <c r="AS346" i="21"/>
  <c r="AQ346" i="21"/>
  <c r="AR346" i="21" s="1"/>
  <c r="AO346" i="21"/>
  <c r="AP346" i="21" s="1"/>
  <c r="AM346" i="21"/>
  <c r="AK346" i="21"/>
  <c r="AL346" i="21" s="1"/>
  <c r="AG346" i="21"/>
  <c r="AH346" i="21" s="1"/>
  <c r="AE346" i="21"/>
  <c r="AF346" i="21" s="1"/>
  <c r="AC346" i="21"/>
  <c r="AD346" i="21" s="1"/>
  <c r="AA346" i="21"/>
  <c r="W346" i="21"/>
  <c r="X346" i="21" s="1"/>
  <c r="U346" i="21"/>
  <c r="V346" i="21" s="1"/>
  <c r="S346" i="21"/>
  <c r="Q346" i="21"/>
  <c r="R346" i="21" s="1"/>
  <c r="P346" i="21"/>
  <c r="O346" i="21"/>
  <c r="N346" i="21"/>
  <c r="M346" i="21"/>
  <c r="L346" i="21"/>
  <c r="K346" i="21"/>
  <c r="J346" i="21"/>
  <c r="I346" i="21"/>
  <c r="H346" i="21"/>
  <c r="G346" i="21"/>
  <c r="F346" i="21"/>
  <c r="E346" i="21"/>
  <c r="D346" i="21"/>
  <c r="C346" i="21"/>
  <c r="B346" i="21"/>
  <c r="A346" i="21"/>
  <c r="BG345" i="21"/>
  <c r="BE345" i="21"/>
  <c r="BF345" i="21" s="1"/>
  <c r="AW345" i="21"/>
  <c r="AX345" i="21" s="1"/>
  <c r="AU345" i="21"/>
  <c r="AV345" i="21" s="1"/>
  <c r="AS345" i="21"/>
  <c r="AT345" i="21" s="1"/>
  <c r="AQ345" i="21"/>
  <c r="AO345" i="21"/>
  <c r="AP345" i="21" s="1"/>
  <c r="AM345" i="21"/>
  <c r="AK345" i="21"/>
  <c r="AL345" i="21" s="1"/>
  <c r="AG345" i="21"/>
  <c r="AH345" i="21" s="1"/>
  <c r="AE345" i="21"/>
  <c r="AF345" i="21" s="1"/>
  <c r="AC345" i="21"/>
  <c r="AD345" i="21" s="1"/>
  <c r="AA345" i="21"/>
  <c r="AB345" i="21" s="1"/>
  <c r="W345" i="21"/>
  <c r="U345" i="21"/>
  <c r="V345" i="21" s="1"/>
  <c r="S345" i="21"/>
  <c r="T345" i="21" s="1"/>
  <c r="Q345" i="21"/>
  <c r="R345" i="21" s="1"/>
  <c r="P345" i="21"/>
  <c r="O345" i="21"/>
  <c r="N345" i="21"/>
  <c r="M345" i="21"/>
  <c r="L345" i="21"/>
  <c r="K345" i="21"/>
  <c r="J345" i="21"/>
  <c r="I345" i="21"/>
  <c r="H345" i="21"/>
  <c r="G345" i="21"/>
  <c r="F345" i="21"/>
  <c r="E345" i="21"/>
  <c r="D345" i="21"/>
  <c r="C345" i="21"/>
  <c r="B345" i="21"/>
  <c r="A345" i="21"/>
  <c r="BG344" i="21"/>
  <c r="BH344" i="21" s="1"/>
  <c r="BE344" i="21"/>
  <c r="BF344" i="21" s="1"/>
  <c r="AW344" i="21"/>
  <c r="AX344" i="21" s="1"/>
  <c r="AU344" i="21"/>
  <c r="AS344" i="21"/>
  <c r="AT344" i="21" s="1"/>
  <c r="AQ344" i="21"/>
  <c r="AO344" i="21"/>
  <c r="AP344" i="21" s="1"/>
  <c r="AM344" i="21"/>
  <c r="AN344" i="21" s="1"/>
  <c r="AK344" i="21"/>
  <c r="AL344" i="21" s="1"/>
  <c r="AG344" i="21"/>
  <c r="AH344" i="21" s="1"/>
  <c r="AE344" i="21"/>
  <c r="AF344" i="21" s="1"/>
  <c r="AC344" i="21"/>
  <c r="AA344" i="21"/>
  <c r="AB344" i="21" s="1"/>
  <c r="AI344" i="21" s="1"/>
  <c r="W344" i="21"/>
  <c r="U344" i="21"/>
  <c r="V344" i="21" s="1"/>
  <c r="S344" i="21"/>
  <c r="T344" i="21" s="1"/>
  <c r="Q344" i="21"/>
  <c r="P344" i="21"/>
  <c r="O344" i="21"/>
  <c r="N344" i="21"/>
  <c r="M344" i="21"/>
  <c r="L344" i="21"/>
  <c r="K344" i="21"/>
  <c r="J344" i="21"/>
  <c r="I344" i="21"/>
  <c r="H344" i="21"/>
  <c r="G344" i="21"/>
  <c r="F344" i="21"/>
  <c r="E344" i="21"/>
  <c r="D344" i="21"/>
  <c r="C344" i="21"/>
  <c r="B344" i="21"/>
  <c r="A344" i="21"/>
  <c r="BG343" i="21"/>
  <c r="BH343" i="21" s="1"/>
  <c r="BE343" i="21"/>
  <c r="BF343" i="21" s="1"/>
  <c r="AW343" i="21"/>
  <c r="AX343" i="21" s="1"/>
  <c r="AU343" i="21"/>
  <c r="AV343" i="21" s="1"/>
  <c r="AS343" i="21"/>
  <c r="AT343" i="21" s="1"/>
  <c r="AQ343" i="21"/>
  <c r="AR343" i="21" s="1"/>
  <c r="AO343" i="21"/>
  <c r="AM343" i="21"/>
  <c r="AN343" i="21" s="1"/>
  <c r="AK343" i="21"/>
  <c r="AL343" i="21" s="1"/>
  <c r="AG343" i="21"/>
  <c r="AE343" i="21"/>
  <c r="AF343" i="21" s="1"/>
  <c r="AC343" i="21"/>
  <c r="AA343" i="21"/>
  <c r="AB343" i="21" s="1"/>
  <c r="W343" i="21"/>
  <c r="X343" i="21" s="1"/>
  <c r="U343" i="21"/>
  <c r="V343" i="21" s="1"/>
  <c r="S343" i="21"/>
  <c r="T343" i="21" s="1"/>
  <c r="Q343" i="21"/>
  <c r="R343" i="21" s="1"/>
  <c r="P343" i="21"/>
  <c r="O343" i="21"/>
  <c r="N343" i="21"/>
  <c r="M343" i="21"/>
  <c r="L343" i="21"/>
  <c r="K343" i="21"/>
  <c r="J343" i="21"/>
  <c r="I343" i="21"/>
  <c r="H343" i="21"/>
  <c r="G343" i="21"/>
  <c r="F343" i="21"/>
  <c r="E343" i="21"/>
  <c r="D343" i="21"/>
  <c r="C343" i="21"/>
  <c r="B343" i="21"/>
  <c r="A343" i="21"/>
  <c r="BG342" i="21"/>
  <c r="BE342" i="21"/>
  <c r="BF342" i="21" s="1"/>
  <c r="AW342" i="21"/>
  <c r="AX342" i="21" s="1"/>
  <c r="AU342" i="21"/>
  <c r="AV342" i="21" s="1"/>
  <c r="AS342" i="21"/>
  <c r="AT342" i="21" s="1"/>
  <c r="AQ342" i="21"/>
  <c r="AR342" i="21" s="1"/>
  <c r="AO342" i="21"/>
  <c r="AP342" i="21" s="1"/>
  <c r="AM342" i="21"/>
  <c r="AK342" i="21"/>
  <c r="AL342" i="21" s="1"/>
  <c r="AG342" i="21"/>
  <c r="AE342" i="21"/>
  <c r="AF342" i="21" s="1"/>
  <c r="AC342" i="21"/>
  <c r="AD342" i="21" s="1"/>
  <c r="AA342" i="21"/>
  <c r="AB342" i="21" s="1"/>
  <c r="W342" i="21"/>
  <c r="X342" i="21" s="1"/>
  <c r="U342" i="21"/>
  <c r="V342" i="21" s="1"/>
  <c r="S342" i="21"/>
  <c r="Q342" i="21"/>
  <c r="R342" i="21" s="1"/>
  <c r="P342" i="21"/>
  <c r="O342" i="21"/>
  <c r="N342" i="21"/>
  <c r="M342" i="21"/>
  <c r="L342" i="21"/>
  <c r="K342" i="21"/>
  <c r="J342" i="21"/>
  <c r="I342" i="21"/>
  <c r="H342" i="21"/>
  <c r="G342" i="21"/>
  <c r="F342" i="21"/>
  <c r="E342" i="21"/>
  <c r="D342" i="21"/>
  <c r="C342" i="21"/>
  <c r="B342" i="21"/>
  <c r="A342" i="21"/>
  <c r="BG341" i="21"/>
  <c r="BE341" i="21"/>
  <c r="BF341" i="21" s="1"/>
  <c r="AW341" i="21"/>
  <c r="AX341" i="21" s="1"/>
  <c r="AU341" i="21"/>
  <c r="AV341" i="21" s="1"/>
  <c r="AS341" i="21"/>
  <c r="AT341" i="21" s="1"/>
  <c r="AQ341" i="21"/>
  <c r="AO341" i="21"/>
  <c r="AP341" i="21" s="1"/>
  <c r="AM341" i="21"/>
  <c r="AN341" i="21" s="1"/>
  <c r="AK341" i="21"/>
  <c r="AL341" i="21" s="1"/>
  <c r="AG341" i="21"/>
  <c r="AH341" i="21" s="1"/>
  <c r="AE341" i="21"/>
  <c r="AF341" i="21" s="1"/>
  <c r="AC341" i="21"/>
  <c r="AD341" i="21" s="1"/>
  <c r="AA341" i="21"/>
  <c r="W341" i="21"/>
  <c r="U341" i="21"/>
  <c r="V341" i="21" s="1"/>
  <c r="S341" i="21"/>
  <c r="T341" i="21" s="1"/>
  <c r="Q341" i="21"/>
  <c r="R341" i="21" s="1"/>
  <c r="P341" i="21"/>
  <c r="O341" i="21"/>
  <c r="N341" i="21"/>
  <c r="M341" i="21"/>
  <c r="L341" i="21"/>
  <c r="K341" i="21"/>
  <c r="J341" i="21"/>
  <c r="I341" i="21"/>
  <c r="H341" i="21"/>
  <c r="G341" i="21"/>
  <c r="F341" i="21"/>
  <c r="E341" i="21"/>
  <c r="D341" i="21"/>
  <c r="C341" i="21"/>
  <c r="B341" i="21"/>
  <c r="A341" i="21"/>
  <c r="BG340" i="21"/>
  <c r="BH340" i="21" s="1"/>
  <c r="BE340" i="21"/>
  <c r="BF340" i="21" s="1"/>
  <c r="AW340" i="21"/>
  <c r="AX340" i="21" s="1"/>
  <c r="AU340" i="21"/>
  <c r="AS340" i="21"/>
  <c r="AT340" i="21" s="1"/>
  <c r="AQ340" i="21"/>
  <c r="AO340" i="21"/>
  <c r="AP340" i="21" s="1"/>
  <c r="AM340" i="21"/>
  <c r="AN340" i="21" s="1"/>
  <c r="AK340" i="21"/>
  <c r="AG340" i="21"/>
  <c r="AE340" i="21"/>
  <c r="AF340" i="21" s="1"/>
  <c r="AC340" i="21"/>
  <c r="AA340" i="21"/>
  <c r="AB340" i="21" s="1"/>
  <c r="W340" i="21"/>
  <c r="X340" i="21" s="1"/>
  <c r="U340" i="21"/>
  <c r="V340" i="21" s="1"/>
  <c r="S340" i="21"/>
  <c r="T340" i="21" s="1"/>
  <c r="Q340" i="21"/>
  <c r="P340" i="21"/>
  <c r="O340" i="21"/>
  <c r="N340" i="21"/>
  <c r="M340" i="21"/>
  <c r="L340" i="21"/>
  <c r="K340" i="21"/>
  <c r="J340" i="21"/>
  <c r="I340" i="21"/>
  <c r="H340" i="21"/>
  <c r="G340" i="21"/>
  <c r="F340" i="21"/>
  <c r="E340" i="21"/>
  <c r="D340" i="21"/>
  <c r="C340" i="21"/>
  <c r="B340" i="21"/>
  <c r="A340" i="21"/>
  <c r="BG339" i="21"/>
  <c r="BH339" i="21" s="1"/>
  <c r="BE339" i="21"/>
  <c r="BF339" i="21" s="1"/>
  <c r="AW339" i="21"/>
  <c r="AU339" i="21"/>
  <c r="AV339" i="21" s="1"/>
  <c r="AS339" i="21"/>
  <c r="AQ339" i="21"/>
  <c r="AR339" i="21" s="1"/>
  <c r="AO339" i="21"/>
  <c r="AM339" i="21"/>
  <c r="AN339" i="21" s="1"/>
  <c r="AK339" i="21"/>
  <c r="AL339" i="21" s="1"/>
  <c r="AG339" i="21"/>
  <c r="AE339" i="21"/>
  <c r="AF339" i="21" s="1"/>
  <c r="AC339" i="21"/>
  <c r="AD339" i="21" s="1"/>
  <c r="AA339" i="21"/>
  <c r="AB339" i="21" s="1"/>
  <c r="W339" i="21"/>
  <c r="X339" i="21" s="1"/>
  <c r="U339" i="21"/>
  <c r="V339" i="21" s="1"/>
  <c r="S339" i="21"/>
  <c r="T339" i="21" s="1"/>
  <c r="Z339" i="21" s="1"/>
  <c r="Q339" i="21"/>
  <c r="R339" i="21" s="1"/>
  <c r="P339" i="21"/>
  <c r="O339" i="21"/>
  <c r="N339" i="21"/>
  <c r="M339" i="21"/>
  <c r="L339" i="21"/>
  <c r="K339" i="21"/>
  <c r="J339" i="21"/>
  <c r="I339" i="21"/>
  <c r="H339" i="21"/>
  <c r="G339" i="21"/>
  <c r="F339" i="21"/>
  <c r="E339" i="21"/>
  <c r="D339" i="21"/>
  <c r="C339" i="21"/>
  <c r="B339" i="21"/>
  <c r="A339" i="21"/>
  <c r="BG338" i="21"/>
  <c r="BE338" i="21"/>
  <c r="BF338" i="21" s="1"/>
  <c r="AW338" i="21"/>
  <c r="AX338" i="21" s="1"/>
  <c r="AU338" i="21"/>
  <c r="AV338" i="21" s="1"/>
  <c r="AS338" i="21"/>
  <c r="AT338" i="21" s="1"/>
  <c r="AQ338" i="21"/>
  <c r="AR338" i="21" s="1"/>
  <c r="AO338" i="21"/>
  <c r="AP338" i="21" s="1"/>
  <c r="AM338" i="21"/>
  <c r="AK338" i="21"/>
  <c r="AL338" i="21" s="1"/>
  <c r="AG338" i="21"/>
  <c r="AE338" i="21"/>
  <c r="AF338" i="21" s="1"/>
  <c r="AC338" i="21"/>
  <c r="AD338" i="21" s="1"/>
  <c r="AA338" i="21"/>
  <c r="AB338" i="21" s="1"/>
  <c r="W338" i="21"/>
  <c r="X338" i="21" s="1"/>
  <c r="U338" i="21"/>
  <c r="V338" i="21" s="1"/>
  <c r="S338" i="21"/>
  <c r="Q338" i="21"/>
  <c r="R338" i="21" s="1"/>
  <c r="P338" i="21"/>
  <c r="O338" i="21"/>
  <c r="N338" i="21"/>
  <c r="M338" i="21"/>
  <c r="L338" i="21"/>
  <c r="K338" i="21"/>
  <c r="J338" i="21"/>
  <c r="I338" i="21"/>
  <c r="H338" i="21"/>
  <c r="G338" i="21"/>
  <c r="F338" i="21"/>
  <c r="E338" i="21"/>
  <c r="D338" i="21"/>
  <c r="C338" i="21"/>
  <c r="B338" i="21"/>
  <c r="A338" i="21"/>
  <c r="BG337" i="21"/>
  <c r="BH337" i="21" s="1"/>
  <c r="BE337" i="21"/>
  <c r="BF337" i="21" s="1"/>
  <c r="AW337" i="21"/>
  <c r="AX337" i="21" s="1"/>
  <c r="AU337" i="21"/>
  <c r="AV337" i="21" s="1"/>
  <c r="AS337" i="21"/>
  <c r="AQ337" i="21"/>
  <c r="AO337" i="21"/>
  <c r="AP337" i="21" s="1"/>
  <c r="AM337" i="21"/>
  <c r="AK337" i="21"/>
  <c r="AL337" i="21" s="1"/>
  <c r="AG337" i="21"/>
  <c r="AH337" i="21" s="1"/>
  <c r="AE337" i="21"/>
  <c r="AF337" i="21" s="1"/>
  <c r="AC337" i="21"/>
  <c r="AD337" i="21" s="1"/>
  <c r="AA337" i="21"/>
  <c r="AB337" i="21" s="1"/>
  <c r="W337" i="21"/>
  <c r="U337" i="21"/>
  <c r="V337" i="21" s="1"/>
  <c r="S337" i="21"/>
  <c r="Q337" i="21"/>
  <c r="R337" i="21" s="1"/>
  <c r="P337" i="21"/>
  <c r="O337" i="21"/>
  <c r="N337" i="21"/>
  <c r="M337" i="21"/>
  <c r="L337" i="21"/>
  <c r="K337" i="21"/>
  <c r="J337" i="21"/>
  <c r="I337" i="21"/>
  <c r="H337" i="21"/>
  <c r="G337" i="21"/>
  <c r="F337" i="21"/>
  <c r="E337" i="21"/>
  <c r="D337" i="21"/>
  <c r="C337" i="21"/>
  <c r="B337" i="21"/>
  <c r="A337" i="21"/>
  <c r="BG336" i="21"/>
  <c r="BH336" i="21" s="1"/>
  <c r="BE336" i="21"/>
  <c r="AW336" i="21"/>
  <c r="AU336" i="21"/>
  <c r="AS336" i="21"/>
  <c r="AT336" i="21" s="1"/>
  <c r="AQ336" i="21"/>
  <c r="AR336" i="21" s="1"/>
  <c r="AO336" i="21"/>
  <c r="AP336" i="21" s="1"/>
  <c r="AM336" i="21"/>
  <c r="AN336" i="21" s="1"/>
  <c r="AK336" i="21"/>
  <c r="AG336" i="21"/>
  <c r="AH336" i="21" s="1"/>
  <c r="AE336" i="21"/>
  <c r="AF336" i="21" s="1"/>
  <c r="AC336" i="21"/>
  <c r="AA336" i="21"/>
  <c r="AB336" i="21" s="1"/>
  <c r="AI336" i="21" s="1"/>
  <c r="W336" i="21"/>
  <c r="X336" i="21" s="1"/>
  <c r="U336" i="21"/>
  <c r="V336" i="21" s="1"/>
  <c r="S336" i="21"/>
  <c r="T336" i="21" s="1"/>
  <c r="Q336" i="21"/>
  <c r="P336" i="21"/>
  <c r="O336" i="21"/>
  <c r="N336" i="21"/>
  <c r="M336" i="21"/>
  <c r="L336" i="21"/>
  <c r="K336" i="21"/>
  <c r="J336" i="21"/>
  <c r="I336" i="21"/>
  <c r="H336" i="21"/>
  <c r="G336" i="21"/>
  <c r="F336" i="21"/>
  <c r="E336" i="21"/>
  <c r="D336" i="21"/>
  <c r="C336" i="21"/>
  <c r="B336" i="21"/>
  <c r="A336" i="21"/>
  <c r="BG335" i="21"/>
  <c r="BH335" i="21" s="1"/>
  <c r="BE335" i="21"/>
  <c r="BF335" i="21" s="1"/>
  <c r="AW335" i="21"/>
  <c r="AX335" i="21" s="1"/>
  <c r="AU335" i="21"/>
  <c r="AS335" i="21"/>
  <c r="AT335" i="21" s="1"/>
  <c r="AQ335" i="21"/>
  <c r="AR335" i="21" s="1"/>
  <c r="AO335" i="21"/>
  <c r="AP335" i="21" s="1"/>
  <c r="AM335" i="21"/>
  <c r="AN335" i="21" s="1"/>
  <c r="AK335" i="21"/>
  <c r="AL335" i="21" s="1"/>
  <c r="AG335" i="21"/>
  <c r="AH335" i="21" s="1"/>
  <c r="AE335" i="21"/>
  <c r="AF335" i="21" s="1"/>
  <c r="AC335" i="21"/>
  <c r="AA335" i="21"/>
  <c r="AB335" i="21" s="1"/>
  <c r="W335" i="21"/>
  <c r="X335" i="21" s="1"/>
  <c r="U335" i="21"/>
  <c r="S335" i="21"/>
  <c r="T335" i="21" s="1"/>
  <c r="Q335" i="21"/>
  <c r="R335" i="21" s="1"/>
  <c r="P335" i="21"/>
  <c r="O335" i="21"/>
  <c r="N335" i="21"/>
  <c r="M335" i="21"/>
  <c r="L335" i="21"/>
  <c r="K335" i="21"/>
  <c r="J335" i="21"/>
  <c r="I335" i="21"/>
  <c r="H335" i="21"/>
  <c r="G335" i="21"/>
  <c r="F335" i="21"/>
  <c r="E335" i="21"/>
  <c r="D335" i="21"/>
  <c r="C335" i="21"/>
  <c r="B335" i="21"/>
  <c r="A335" i="21"/>
  <c r="BG334" i="21"/>
  <c r="BE334" i="21"/>
  <c r="BF334" i="21" s="1"/>
  <c r="AW334" i="21"/>
  <c r="AX334" i="21" s="1"/>
  <c r="AU334" i="21"/>
  <c r="AV334" i="21" s="1"/>
  <c r="AS334" i="21"/>
  <c r="AT334" i="21" s="1"/>
  <c r="AQ334" i="21"/>
  <c r="AR334" i="21" s="1"/>
  <c r="AO334" i="21"/>
  <c r="AP334" i="21" s="1"/>
  <c r="AM334" i="21"/>
  <c r="AK334" i="21"/>
  <c r="AL334" i="21" s="1"/>
  <c r="AG334" i="21"/>
  <c r="AH334" i="21" s="1"/>
  <c r="AE334" i="21"/>
  <c r="AF334" i="21" s="1"/>
  <c r="AC334" i="21"/>
  <c r="AD334" i="21" s="1"/>
  <c r="AA334" i="21"/>
  <c r="AB334" i="21" s="1"/>
  <c r="W334" i="21"/>
  <c r="X334" i="21" s="1"/>
  <c r="U334" i="21"/>
  <c r="S334" i="21"/>
  <c r="Q334" i="21"/>
  <c r="R334" i="21" s="1"/>
  <c r="P334" i="21"/>
  <c r="O334" i="21"/>
  <c r="N334" i="21"/>
  <c r="M334" i="21"/>
  <c r="L334" i="21"/>
  <c r="K334" i="21"/>
  <c r="J334" i="21"/>
  <c r="I334" i="21"/>
  <c r="H334" i="21"/>
  <c r="G334" i="21"/>
  <c r="F334" i="21"/>
  <c r="E334" i="21"/>
  <c r="D334" i="21"/>
  <c r="C334" i="21"/>
  <c r="B334" i="21"/>
  <c r="A334" i="21"/>
  <c r="BG333" i="21"/>
  <c r="BH333" i="21" s="1"/>
  <c r="BE333" i="21"/>
  <c r="BF333" i="21" s="1"/>
  <c r="AW333" i="21"/>
  <c r="AX333" i="21" s="1"/>
  <c r="AU333" i="21"/>
  <c r="AV333" i="21" s="1"/>
  <c r="AS333" i="21"/>
  <c r="AT333" i="21" s="1"/>
  <c r="AQ333" i="21"/>
  <c r="AR333" i="21" s="1"/>
  <c r="AO333" i="21"/>
  <c r="AP333" i="21" s="1"/>
  <c r="AM333" i="21"/>
  <c r="AK333" i="21"/>
  <c r="AL333" i="21" s="1"/>
  <c r="AG333" i="21"/>
  <c r="AH333" i="21" s="1"/>
  <c r="AE333" i="21"/>
  <c r="AF333" i="21" s="1"/>
  <c r="AC333" i="21"/>
  <c r="AA333" i="21"/>
  <c r="AB333" i="21" s="1"/>
  <c r="W333" i="21"/>
  <c r="X333" i="21" s="1"/>
  <c r="U333" i="21"/>
  <c r="V333" i="21" s="1"/>
  <c r="S333" i="21"/>
  <c r="Q333" i="21"/>
  <c r="R333" i="21" s="1"/>
  <c r="P333" i="21"/>
  <c r="O333" i="21"/>
  <c r="N333" i="21"/>
  <c r="M333" i="21"/>
  <c r="L333" i="21"/>
  <c r="K333" i="21"/>
  <c r="J333" i="21"/>
  <c r="I333" i="21"/>
  <c r="H333" i="21"/>
  <c r="G333" i="21"/>
  <c r="F333" i="21"/>
  <c r="E333" i="21"/>
  <c r="D333" i="21"/>
  <c r="C333" i="21"/>
  <c r="B333" i="21"/>
  <c r="A333" i="21"/>
  <c r="BG332" i="21"/>
  <c r="BH332" i="21" s="1"/>
  <c r="BE332" i="21"/>
  <c r="AW332" i="21"/>
  <c r="AU332" i="21"/>
  <c r="AV332" i="21" s="1"/>
  <c r="AS332" i="21"/>
  <c r="AT332" i="21" s="1"/>
  <c r="AQ332" i="21"/>
  <c r="AO332" i="21"/>
  <c r="AP332" i="21" s="1"/>
  <c r="AM332" i="21"/>
  <c r="AK332" i="21"/>
  <c r="AL332" i="21" s="1"/>
  <c r="AG332" i="21"/>
  <c r="AH332" i="21" s="1"/>
  <c r="AE332" i="21"/>
  <c r="AF332" i="21" s="1"/>
  <c r="AC332" i="21"/>
  <c r="AD332" i="21" s="1"/>
  <c r="AA332" i="21"/>
  <c r="AB332" i="21" s="1"/>
  <c r="W332" i="21"/>
  <c r="U332" i="21"/>
  <c r="V332" i="21" s="1"/>
  <c r="S332" i="21"/>
  <c r="T332" i="21" s="1"/>
  <c r="Q332" i="21"/>
  <c r="R332" i="21" s="1"/>
  <c r="Y332" i="21" s="1"/>
  <c r="P332" i="21"/>
  <c r="O332" i="21"/>
  <c r="N332" i="21"/>
  <c r="M332" i="21"/>
  <c r="L332" i="21"/>
  <c r="K332" i="21"/>
  <c r="J332" i="21"/>
  <c r="I332" i="21"/>
  <c r="H332" i="21"/>
  <c r="G332" i="21"/>
  <c r="F332" i="21"/>
  <c r="E332" i="21"/>
  <c r="D332" i="21"/>
  <c r="C332" i="21"/>
  <c r="B332" i="21"/>
  <c r="A332" i="21"/>
  <c r="BG331" i="21"/>
  <c r="BH331" i="21" s="1"/>
  <c r="BE331" i="21"/>
  <c r="AW331" i="21"/>
  <c r="AX331" i="21" s="1"/>
  <c r="AU331" i="21"/>
  <c r="AS331" i="21"/>
  <c r="AT331" i="21" s="1"/>
  <c r="AQ331" i="21"/>
  <c r="AO331" i="21"/>
  <c r="AP331" i="21" s="1"/>
  <c r="AM331" i="21"/>
  <c r="AN331" i="21" s="1"/>
  <c r="AK331" i="21"/>
  <c r="AL331" i="21" s="1"/>
  <c r="AG331" i="21"/>
  <c r="AH331" i="21" s="1"/>
  <c r="AE331" i="21"/>
  <c r="AF331" i="21" s="1"/>
  <c r="AC331" i="21"/>
  <c r="AA331" i="21"/>
  <c r="AB331" i="21" s="1"/>
  <c r="W331" i="21"/>
  <c r="X331" i="21" s="1"/>
  <c r="U331" i="21"/>
  <c r="V331" i="21" s="1"/>
  <c r="S331" i="21"/>
  <c r="T331" i="21" s="1"/>
  <c r="Z331" i="21" s="1"/>
  <c r="Q331" i="21"/>
  <c r="P331" i="21"/>
  <c r="O331" i="21"/>
  <c r="N331" i="21"/>
  <c r="M331" i="21"/>
  <c r="L331" i="21"/>
  <c r="K331" i="21"/>
  <c r="J331" i="21"/>
  <c r="I331" i="21"/>
  <c r="H331" i="21"/>
  <c r="G331" i="21"/>
  <c r="F331" i="21"/>
  <c r="E331" i="21"/>
  <c r="D331" i="21"/>
  <c r="C331" i="21"/>
  <c r="B331" i="21"/>
  <c r="A331" i="21"/>
  <c r="BG330" i="21"/>
  <c r="BH330" i="21" s="1"/>
  <c r="BE330" i="21"/>
  <c r="BF330" i="21" s="1"/>
  <c r="AW330" i="21"/>
  <c r="AX330" i="21" s="1"/>
  <c r="AU330" i="21"/>
  <c r="AV330" i="21" s="1"/>
  <c r="AS330" i="21"/>
  <c r="AT330" i="21" s="1"/>
  <c r="AQ330" i="21"/>
  <c r="AR330" i="21" s="1"/>
  <c r="AO330" i="21"/>
  <c r="AP330" i="21" s="1"/>
  <c r="AM330" i="21"/>
  <c r="AN330" i="21" s="1"/>
  <c r="AK330" i="21"/>
  <c r="AG330" i="21"/>
  <c r="AE330" i="21"/>
  <c r="AF330" i="21" s="1"/>
  <c r="AC330" i="21"/>
  <c r="AA330" i="21"/>
  <c r="AB330" i="21" s="1"/>
  <c r="W330" i="21"/>
  <c r="X330" i="21" s="1"/>
  <c r="U330" i="21"/>
  <c r="S330" i="21"/>
  <c r="T330" i="21" s="1"/>
  <c r="Q330" i="21"/>
  <c r="R330" i="21" s="1"/>
  <c r="P330" i="21"/>
  <c r="O330" i="21"/>
  <c r="N330" i="21"/>
  <c r="M330" i="21"/>
  <c r="L330" i="21"/>
  <c r="K330" i="21"/>
  <c r="J330" i="21"/>
  <c r="I330" i="21"/>
  <c r="H330" i="21"/>
  <c r="G330" i="21"/>
  <c r="F330" i="21"/>
  <c r="E330" i="21"/>
  <c r="D330" i="21"/>
  <c r="C330" i="21"/>
  <c r="B330" i="21"/>
  <c r="A330" i="21"/>
  <c r="BG329" i="21"/>
  <c r="BE329" i="21"/>
  <c r="BF329" i="21" s="1"/>
  <c r="AW329" i="21"/>
  <c r="AX329" i="21" s="1"/>
  <c r="AU329" i="21"/>
  <c r="AV329" i="21" s="1"/>
  <c r="AS329" i="21"/>
  <c r="AT329" i="21" s="1"/>
  <c r="AQ329" i="21"/>
  <c r="AO329" i="21"/>
  <c r="AP329" i="21" s="1"/>
  <c r="AM329" i="21"/>
  <c r="AK329" i="21"/>
  <c r="AL329" i="21" s="1"/>
  <c r="AG329" i="21"/>
  <c r="AE329" i="21"/>
  <c r="AF329" i="21" s="1"/>
  <c r="AC329" i="21"/>
  <c r="AD329" i="21" s="1"/>
  <c r="AA329" i="21"/>
  <c r="W329" i="21"/>
  <c r="X329" i="21" s="1"/>
  <c r="U329" i="21"/>
  <c r="V329" i="21" s="1"/>
  <c r="S329" i="21"/>
  <c r="Q329" i="21"/>
  <c r="R329" i="21" s="1"/>
  <c r="P329" i="21"/>
  <c r="O329" i="21"/>
  <c r="N329" i="21"/>
  <c r="M329" i="21"/>
  <c r="L329" i="21"/>
  <c r="K329" i="21"/>
  <c r="J329" i="21"/>
  <c r="I329" i="21"/>
  <c r="H329" i="21"/>
  <c r="G329" i="21"/>
  <c r="F329" i="21"/>
  <c r="E329" i="21"/>
  <c r="D329" i="21"/>
  <c r="C329" i="21"/>
  <c r="B329" i="21"/>
  <c r="A329" i="21"/>
  <c r="BG328" i="21"/>
  <c r="BH328" i="21" s="1"/>
  <c r="BE328" i="21"/>
  <c r="BF328" i="21" s="1"/>
  <c r="AW328" i="21"/>
  <c r="AU328" i="21"/>
  <c r="AS328" i="21"/>
  <c r="AT328" i="21" s="1"/>
  <c r="AQ328" i="21"/>
  <c r="AO328" i="21"/>
  <c r="AP328" i="21" s="1"/>
  <c r="AM328" i="21"/>
  <c r="AK328" i="21"/>
  <c r="AL328" i="21" s="1"/>
  <c r="AG328" i="21"/>
  <c r="AH328" i="21" s="1"/>
  <c r="AE328" i="21"/>
  <c r="AC328" i="21"/>
  <c r="AD328" i="21" s="1"/>
  <c r="AA328" i="21"/>
  <c r="AB328" i="21" s="1"/>
  <c r="W328" i="21"/>
  <c r="U328" i="21"/>
  <c r="V328" i="21" s="1"/>
  <c r="S328" i="21"/>
  <c r="T328" i="21" s="1"/>
  <c r="Q328" i="21"/>
  <c r="R328" i="21" s="1"/>
  <c r="P328" i="21"/>
  <c r="O328" i="21"/>
  <c r="N328" i="21"/>
  <c r="M328" i="21"/>
  <c r="L328" i="21"/>
  <c r="K328" i="21"/>
  <c r="J328" i="21"/>
  <c r="I328" i="21"/>
  <c r="H328" i="21"/>
  <c r="G328" i="21"/>
  <c r="F328" i="21"/>
  <c r="E328" i="21"/>
  <c r="D328" i="21"/>
  <c r="C328" i="21"/>
  <c r="B328" i="21"/>
  <c r="A328" i="21"/>
  <c r="BG327" i="21"/>
  <c r="BH327" i="21" s="1"/>
  <c r="BE327" i="21"/>
  <c r="AW327" i="21"/>
  <c r="AX327" i="21" s="1"/>
  <c r="AU327" i="21"/>
  <c r="AS327" i="21"/>
  <c r="AT327" i="21" s="1"/>
  <c r="AQ327" i="21"/>
  <c r="AO327" i="21"/>
  <c r="AP327" i="21" s="1"/>
  <c r="AM327" i="21"/>
  <c r="AN327" i="21" s="1"/>
  <c r="AK327" i="21"/>
  <c r="AG327" i="21"/>
  <c r="AH327" i="21" s="1"/>
  <c r="AE327" i="21"/>
  <c r="AF327" i="21" s="1"/>
  <c r="AC327" i="21"/>
  <c r="AA327" i="21"/>
  <c r="AB327" i="21" s="1"/>
  <c r="W327" i="21"/>
  <c r="X327" i="21" s="1"/>
  <c r="U327" i="21"/>
  <c r="V327" i="21" s="1"/>
  <c r="S327" i="21"/>
  <c r="Q327" i="21"/>
  <c r="R327" i="21" s="1"/>
  <c r="P327" i="21"/>
  <c r="O327" i="21"/>
  <c r="N327" i="21"/>
  <c r="M327" i="21"/>
  <c r="L327" i="21"/>
  <c r="K327" i="21"/>
  <c r="J327" i="21"/>
  <c r="I327" i="21"/>
  <c r="H327" i="21"/>
  <c r="G327" i="21"/>
  <c r="F327" i="21"/>
  <c r="E327" i="21"/>
  <c r="D327" i="21"/>
  <c r="C327" i="21"/>
  <c r="B327" i="21"/>
  <c r="A327" i="21"/>
  <c r="BG326" i="21"/>
  <c r="BH326" i="21" s="1"/>
  <c r="BE326" i="21"/>
  <c r="BF326" i="21" s="1"/>
  <c r="AW326" i="21"/>
  <c r="AX326" i="21" s="1"/>
  <c r="AU326" i="21"/>
  <c r="AV326" i="21" s="1"/>
  <c r="AS326" i="21"/>
  <c r="AT326" i="21" s="1"/>
  <c r="AQ326" i="21"/>
  <c r="AR326" i="21" s="1"/>
  <c r="AO326" i="21"/>
  <c r="AM326" i="21"/>
  <c r="AN326" i="21" s="1"/>
  <c r="AK326" i="21"/>
  <c r="AL326" i="21" s="1"/>
  <c r="AG326" i="21"/>
  <c r="AE326" i="21"/>
  <c r="AF326" i="21" s="1"/>
  <c r="AC326" i="21"/>
  <c r="AD326" i="21" s="1"/>
  <c r="AA326" i="21"/>
  <c r="AB326" i="21" s="1"/>
  <c r="W326" i="21"/>
  <c r="X326" i="21" s="1"/>
  <c r="U326" i="21"/>
  <c r="V326" i="21" s="1"/>
  <c r="S326" i="21"/>
  <c r="T326" i="21" s="1"/>
  <c r="Q326" i="21"/>
  <c r="R326" i="21" s="1"/>
  <c r="P326" i="21"/>
  <c r="O326" i="21"/>
  <c r="N326" i="21"/>
  <c r="M326" i="21"/>
  <c r="L326" i="21"/>
  <c r="K326" i="21"/>
  <c r="J326" i="21"/>
  <c r="I326" i="21"/>
  <c r="H326" i="21"/>
  <c r="G326" i="21"/>
  <c r="F326" i="21"/>
  <c r="E326" i="21"/>
  <c r="D326" i="21"/>
  <c r="C326" i="21"/>
  <c r="B326" i="21"/>
  <c r="A326" i="21"/>
  <c r="BG325" i="21"/>
  <c r="BE325" i="21"/>
  <c r="BF325" i="21" s="1"/>
  <c r="AW325" i="21"/>
  <c r="AX325" i="21" s="1"/>
  <c r="AU325" i="21"/>
  <c r="AV325" i="21" s="1"/>
  <c r="AS325" i="21"/>
  <c r="AQ325" i="21"/>
  <c r="AR325" i="21" s="1"/>
  <c r="AO325" i="21"/>
  <c r="AP325" i="21" s="1"/>
  <c r="AM325" i="21"/>
  <c r="AK325" i="21"/>
  <c r="AL325" i="21" s="1"/>
  <c r="AG325" i="21"/>
  <c r="AH325" i="21" s="1"/>
  <c r="AE325" i="21"/>
  <c r="AF325" i="21" s="1"/>
  <c r="AC325" i="21"/>
  <c r="AD325" i="21" s="1"/>
  <c r="AA325" i="21"/>
  <c r="AB325" i="21" s="1"/>
  <c r="W325" i="21"/>
  <c r="X325" i="21" s="1"/>
  <c r="U325" i="21"/>
  <c r="V325" i="21" s="1"/>
  <c r="S325" i="21"/>
  <c r="Q325" i="21"/>
  <c r="R325" i="21" s="1"/>
  <c r="P325" i="21"/>
  <c r="O325" i="21"/>
  <c r="N325" i="21"/>
  <c r="M325" i="21"/>
  <c r="L325" i="21"/>
  <c r="K325" i="21"/>
  <c r="J325" i="21"/>
  <c r="I325" i="21"/>
  <c r="H325" i="21"/>
  <c r="G325" i="21"/>
  <c r="F325" i="21"/>
  <c r="E325" i="21"/>
  <c r="D325" i="21"/>
  <c r="C325" i="21"/>
  <c r="B325" i="21"/>
  <c r="A325" i="21"/>
  <c r="BG324" i="21"/>
  <c r="BH324" i="21" s="1"/>
  <c r="BE324" i="21"/>
  <c r="BF324" i="21" s="1"/>
  <c r="AW324" i="21"/>
  <c r="AU324" i="21"/>
  <c r="AV324" i="21" s="1"/>
  <c r="AS324" i="21"/>
  <c r="AT324" i="21" s="1"/>
  <c r="AQ324" i="21"/>
  <c r="AO324" i="21"/>
  <c r="AP324" i="21" s="1"/>
  <c r="AM324" i="21"/>
  <c r="AN324" i="21" s="1"/>
  <c r="AK324" i="21"/>
  <c r="AL324" i="21" s="1"/>
  <c r="AG324" i="21"/>
  <c r="AH324" i="21" s="1"/>
  <c r="AE324" i="21"/>
  <c r="AF324" i="21" s="1"/>
  <c r="AC324" i="21"/>
  <c r="AD324" i="21" s="1"/>
  <c r="AA324" i="21"/>
  <c r="AB324" i="21" s="1"/>
  <c r="W324" i="21"/>
  <c r="U324" i="21"/>
  <c r="V324" i="21" s="1"/>
  <c r="S324" i="21"/>
  <c r="Q324" i="21"/>
  <c r="R324" i="21" s="1"/>
  <c r="P324" i="21"/>
  <c r="O324" i="21"/>
  <c r="N324" i="21"/>
  <c r="M324" i="21"/>
  <c r="L324" i="21"/>
  <c r="K324" i="21"/>
  <c r="J324" i="21"/>
  <c r="I324" i="21"/>
  <c r="H324" i="21"/>
  <c r="G324" i="21"/>
  <c r="F324" i="21"/>
  <c r="E324" i="21"/>
  <c r="D324" i="21"/>
  <c r="C324" i="21"/>
  <c r="B324" i="21"/>
  <c r="A324" i="21"/>
  <c r="BG323" i="21"/>
  <c r="BH323" i="21" s="1"/>
  <c r="BE323" i="21"/>
  <c r="AW323" i="21"/>
  <c r="AX323" i="21" s="1"/>
  <c r="AU323" i="21"/>
  <c r="AS323" i="21"/>
  <c r="AT323" i="21" s="1"/>
  <c r="AQ323" i="21"/>
  <c r="AR323" i="21" s="1"/>
  <c r="AO323" i="21"/>
  <c r="AP323" i="21" s="1"/>
  <c r="AM323" i="21"/>
  <c r="AN323" i="21" s="1"/>
  <c r="AK323" i="21"/>
  <c r="AL323" i="21" s="1"/>
  <c r="AG323" i="21"/>
  <c r="AH323" i="21" s="1"/>
  <c r="AE323" i="21"/>
  <c r="AF323" i="21" s="1"/>
  <c r="AC323" i="21"/>
  <c r="AA323" i="21"/>
  <c r="AB323" i="21" s="1"/>
  <c r="W323" i="21"/>
  <c r="X323" i="21" s="1"/>
  <c r="U323" i="21"/>
  <c r="V323" i="21" s="1"/>
  <c r="S323" i="21"/>
  <c r="T323" i="21" s="1"/>
  <c r="Q323" i="21"/>
  <c r="P323" i="21"/>
  <c r="O323" i="21"/>
  <c r="N323" i="21"/>
  <c r="M323" i="21"/>
  <c r="L323" i="21"/>
  <c r="K323" i="21"/>
  <c r="J323" i="21"/>
  <c r="I323" i="21"/>
  <c r="H323" i="21"/>
  <c r="G323" i="21"/>
  <c r="F323" i="21"/>
  <c r="E323" i="21"/>
  <c r="D323" i="21"/>
  <c r="C323" i="21"/>
  <c r="B323" i="21"/>
  <c r="A323" i="21"/>
  <c r="BG322" i="21"/>
  <c r="BH322" i="21" s="1"/>
  <c r="BE322" i="21"/>
  <c r="BF322" i="21" s="1"/>
  <c r="AW322" i="21"/>
  <c r="AX322" i="21" s="1"/>
  <c r="AU322" i="21"/>
  <c r="AV322" i="21" s="1"/>
  <c r="AS322" i="21"/>
  <c r="AT322" i="21" s="1"/>
  <c r="AQ322" i="21"/>
  <c r="AR322" i="21" s="1"/>
  <c r="AO322" i="21"/>
  <c r="AP322" i="21" s="1"/>
  <c r="AM322" i="21"/>
  <c r="AN322" i="21" s="1"/>
  <c r="AK322" i="21"/>
  <c r="AL322" i="21" s="1"/>
  <c r="AG322" i="21"/>
  <c r="AE322" i="21"/>
  <c r="AF322" i="21" s="1"/>
  <c r="AC322" i="21"/>
  <c r="AA322" i="21"/>
  <c r="AB322" i="21" s="1"/>
  <c r="W322" i="21"/>
  <c r="X322" i="21" s="1"/>
  <c r="U322" i="21"/>
  <c r="S322" i="21"/>
  <c r="T322" i="21" s="1"/>
  <c r="Q322" i="21"/>
  <c r="R322" i="21" s="1"/>
  <c r="P322" i="21"/>
  <c r="O322" i="21"/>
  <c r="N322" i="21"/>
  <c r="M322" i="21"/>
  <c r="L322" i="21"/>
  <c r="K322" i="21"/>
  <c r="J322" i="21"/>
  <c r="I322" i="21"/>
  <c r="H322" i="21"/>
  <c r="G322" i="21"/>
  <c r="F322" i="21"/>
  <c r="E322" i="21"/>
  <c r="D322" i="21"/>
  <c r="C322" i="21"/>
  <c r="B322" i="21"/>
  <c r="A322" i="21"/>
  <c r="BG321" i="21"/>
  <c r="BE321" i="21"/>
  <c r="BF321" i="21" s="1"/>
  <c r="AW321" i="21"/>
  <c r="AX321" i="21" s="1"/>
  <c r="AU321" i="21"/>
  <c r="AV321" i="21" s="1"/>
  <c r="AS321" i="21"/>
  <c r="AT321" i="21" s="1"/>
  <c r="AQ321" i="21"/>
  <c r="AR321" i="21" s="1"/>
  <c r="AO321" i="21"/>
  <c r="AP321" i="21" s="1"/>
  <c r="AM321" i="21"/>
  <c r="AK321" i="21"/>
  <c r="AL321" i="21" s="1"/>
  <c r="AG321" i="21"/>
  <c r="AH321" i="21" s="1"/>
  <c r="AE321" i="21"/>
  <c r="AF321" i="21" s="1"/>
  <c r="AC321" i="21"/>
  <c r="AD321" i="21" s="1"/>
  <c r="AA321" i="21"/>
  <c r="W321" i="21"/>
  <c r="X321" i="21" s="1"/>
  <c r="U321" i="21"/>
  <c r="V321" i="21" s="1"/>
  <c r="S321" i="21"/>
  <c r="Q321" i="21"/>
  <c r="R321" i="21" s="1"/>
  <c r="P321" i="21"/>
  <c r="O321" i="21"/>
  <c r="N321" i="21"/>
  <c r="M321" i="21"/>
  <c r="L321" i="21"/>
  <c r="K321" i="21"/>
  <c r="J321" i="21"/>
  <c r="I321" i="21"/>
  <c r="H321" i="21"/>
  <c r="G321" i="21"/>
  <c r="F321" i="21"/>
  <c r="E321" i="21"/>
  <c r="D321" i="21"/>
  <c r="C321" i="21"/>
  <c r="B321" i="21"/>
  <c r="A321" i="21"/>
  <c r="BG320" i="21"/>
  <c r="BH320" i="21" s="1"/>
  <c r="BE320" i="21"/>
  <c r="BF320" i="21" s="1"/>
  <c r="AW320" i="21"/>
  <c r="AX320" i="21" s="1"/>
  <c r="AU320" i="21"/>
  <c r="AV320" i="21" s="1"/>
  <c r="AS320" i="21"/>
  <c r="AT320" i="21" s="1"/>
  <c r="AQ320" i="21"/>
  <c r="AR320" i="21" s="1"/>
  <c r="AO320" i="21"/>
  <c r="AP320" i="21" s="1"/>
  <c r="AM320" i="21"/>
  <c r="AK320" i="21"/>
  <c r="AL320" i="21" s="1"/>
  <c r="AG320" i="21"/>
  <c r="AH320" i="21" s="1"/>
  <c r="AE320" i="21"/>
  <c r="AC320" i="21"/>
  <c r="AD320" i="21" s="1"/>
  <c r="AA320" i="21"/>
  <c r="AB320" i="21" s="1"/>
  <c r="W320" i="21"/>
  <c r="U320" i="21"/>
  <c r="V320" i="21" s="1"/>
  <c r="S320" i="21"/>
  <c r="Q320" i="21"/>
  <c r="R320" i="21" s="1"/>
  <c r="P320" i="21"/>
  <c r="O320" i="21"/>
  <c r="N320" i="21"/>
  <c r="M320" i="21"/>
  <c r="L320" i="21"/>
  <c r="K320" i="21"/>
  <c r="J320" i="21"/>
  <c r="I320" i="21"/>
  <c r="H320" i="21"/>
  <c r="G320" i="21"/>
  <c r="F320" i="21"/>
  <c r="E320" i="21"/>
  <c r="D320" i="21"/>
  <c r="C320" i="21"/>
  <c r="B320" i="21"/>
  <c r="A320" i="21"/>
  <c r="BG319" i="21"/>
  <c r="BH319" i="21" s="1"/>
  <c r="BE319" i="21"/>
  <c r="BF319" i="21" s="1"/>
  <c r="AW319" i="21"/>
  <c r="AX319" i="21" s="1"/>
  <c r="AU319" i="21"/>
  <c r="AV319" i="21" s="1"/>
  <c r="AS319" i="21"/>
  <c r="AT319" i="21" s="1"/>
  <c r="AQ319" i="21"/>
  <c r="AO319" i="21"/>
  <c r="AP319" i="21" s="1"/>
  <c r="AM319" i="21"/>
  <c r="AN319" i="21" s="1"/>
  <c r="AK319" i="21"/>
  <c r="AG319" i="21"/>
  <c r="AH319" i="21" s="1"/>
  <c r="AE319" i="21"/>
  <c r="AC319" i="21"/>
  <c r="AA319" i="21"/>
  <c r="AB319" i="21" s="1"/>
  <c r="W319" i="21"/>
  <c r="X319" i="21" s="1"/>
  <c r="U319" i="21"/>
  <c r="V319" i="21" s="1"/>
  <c r="S319" i="21"/>
  <c r="T319" i="21" s="1"/>
  <c r="Q319" i="21"/>
  <c r="R319" i="21" s="1"/>
  <c r="P319" i="21"/>
  <c r="O319" i="21"/>
  <c r="N319" i="21"/>
  <c r="M319" i="21"/>
  <c r="L319" i="21"/>
  <c r="K319" i="21"/>
  <c r="J319" i="21"/>
  <c r="I319" i="21"/>
  <c r="H319" i="21"/>
  <c r="G319" i="21"/>
  <c r="F319" i="21"/>
  <c r="E319" i="21"/>
  <c r="D319" i="21"/>
  <c r="C319" i="21"/>
  <c r="B319" i="21"/>
  <c r="A319" i="21"/>
  <c r="BG318" i="21"/>
  <c r="BH318" i="21" s="1"/>
  <c r="BE318" i="21"/>
  <c r="AW318" i="21"/>
  <c r="AX318" i="21" s="1"/>
  <c r="AU318" i="21"/>
  <c r="AV318" i="21" s="1"/>
  <c r="AS318" i="21"/>
  <c r="AT318" i="21" s="1"/>
  <c r="AQ318" i="21"/>
  <c r="AR318" i="21" s="1"/>
  <c r="AO318" i="21"/>
  <c r="AP318" i="21" s="1"/>
  <c r="AM318" i="21"/>
  <c r="AN318" i="21" s="1"/>
  <c r="AK318" i="21"/>
  <c r="AG318" i="21"/>
  <c r="AE318" i="21"/>
  <c r="AF318" i="21" s="1"/>
  <c r="AC318" i="21"/>
  <c r="AD318" i="21" s="1"/>
  <c r="AA318" i="21"/>
  <c r="AB318" i="21" s="1"/>
  <c r="W318" i="21"/>
  <c r="X318" i="21" s="1"/>
  <c r="U318" i="21"/>
  <c r="V318" i="21" s="1"/>
  <c r="S318" i="21"/>
  <c r="Q318" i="21"/>
  <c r="R318" i="21" s="1"/>
  <c r="P318" i="21"/>
  <c r="O318" i="21"/>
  <c r="N318" i="21"/>
  <c r="M318" i="21"/>
  <c r="L318" i="21"/>
  <c r="K318" i="21"/>
  <c r="J318" i="21"/>
  <c r="I318" i="21"/>
  <c r="H318" i="21"/>
  <c r="G318" i="21"/>
  <c r="F318" i="21"/>
  <c r="E318" i="21"/>
  <c r="D318" i="21"/>
  <c r="C318" i="21"/>
  <c r="B318" i="21"/>
  <c r="A318" i="21"/>
  <c r="BG317" i="21"/>
  <c r="BH317" i="21" s="1"/>
  <c r="BE317" i="21"/>
  <c r="BF317" i="21" s="1"/>
  <c r="AW317" i="21"/>
  <c r="AX317" i="21" s="1"/>
  <c r="AU317" i="21"/>
  <c r="AV317" i="21" s="1"/>
  <c r="AS317" i="21"/>
  <c r="AQ317" i="21"/>
  <c r="AR317" i="21" s="1"/>
  <c r="AO317" i="21"/>
  <c r="AP317" i="21" s="1"/>
  <c r="AM317" i="21"/>
  <c r="AK317" i="21"/>
  <c r="AL317" i="21" s="1"/>
  <c r="AG317" i="21"/>
  <c r="AE317" i="21"/>
  <c r="AF317" i="21" s="1"/>
  <c r="AC317" i="21"/>
  <c r="AD317" i="21" s="1"/>
  <c r="AA317" i="21"/>
  <c r="AB317" i="21" s="1"/>
  <c r="W317" i="21"/>
  <c r="X317" i="21" s="1"/>
  <c r="U317" i="21"/>
  <c r="V317" i="21" s="1"/>
  <c r="S317" i="21"/>
  <c r="T317" i="21" s="1"/>
  <c r="Q317" i="21"/>
  <c r="R317" i="21" s="1"/>
  <c r="P317" i="21"/>
  <c r="O317" i="21"/>
  <c r="N317" i="21"/>
  <c r="M317" i="21"/>
  <c r="L317" i="21"/>
  <c r="K317" i="21"/>
  <c r="J317" i="21"/>
  <c r="I317" i="21"/>
  <c r="H317" i="21"/>
  <c r="G317" i="21"/>
  <c r="F317" i="21"/>
  <c r="E317" i="21"/>
  <c r="D317" i="21"/>
  <c r="C317" i="21"/>
  <c r="B317" i="21"/>
  <c r="A317" i="21"/>
  <c r="BG316" i="21"/>
  <c r="BH316" i="21" s="1"/>
  <c r="BE316" i="21"/>
  <c r="BF316" i="21" s="1"/>
  <c r="AW316" i="21"/>
  <c r="AX316" i="21" s="1"/>
  <c r="AU316" i="21"/>
  <c r="AV316" i="21" s="1"/>
  <c r="AS316" i="21"/>
  <c r="AT316" i="21" s="1"/>
  <c r="AQ316" i="21"/>
  <c r="AO316" i="21"/>
  <c r="AP316" i="21" s="1"/>
  <c r="AM316" i="21"/>
  <c r="AK316" i="21"/>
  <c r="AL316" i="21" s="1"/>
  <c r="AG316" i="21"/>
  <c r="AH316" i="21" s="1"/>
  <c r="AE316" i="21"/>
  <c r="AF316" i="21" s="1"/>
  <c r="AC316" i="21"/>
  <c r="AD316" i="21" s="1"/>
  <c r="AA316" i="21"/>
  <c r="AB316" i="21" s="1"/>
  <c r="W316" i="21"/>
  <c r="X316" i="21" s="1"/>
  <c r="U316" i="21"/>
  <c r="V316" i="21" s="1"/>
  <c r="S316" i="21"/>
  <c r="Q316" i="21"/>
  <c r="R316" i="21" s="1"/>
  <c r="P316" i="21"/>
  <c r="O316" i="21"/>
  <c r="N316" i="21"/>
  <c r="M316" i="21"/>
  <c r="L316" i="21"/>
  <c r="K316" i="21"/>
  <c r="J316" i="21"/>
  <c r="I316" i="21"/>
  <c r="H316" i="21"/>
  <c r="G316" i="21"/>
  <c r="F316" i="21"/>
  <c r="E316" i="21"/>
  <c r="D316" i="21"/>
  <c r="C316" i="21"/>
  <c r="B316" i="21"/>
  <c r="A316" i="21"/>
  <c r="BG315" i="21"/>
  <c r="BH315" i="21" s="1"/>
  <c r="BE315" i="21"/>
  <c r="BF315" i="21" s="1"/>
  <c r="AW315" i="21"/>
  <c r="AU315" i="21"/>
  <c r="AS315" i="21"/>
  <c r="AT315" i="21" s="1"/>
  <c r="AQ315" i="21"/>
  <c r="AR315" i="21" s="1"/>
  <c r="AO315" i="21"/>
  <c r="AP315" i="21" s="1"/>
  <c r="AM315" i="21"/>
  <c r="AN315" i="21" s="1"/>
  <c r="AK315" i="21"/>
  <c r="AL315" i="21" s="1"/>
  <c r="AG315" i="21"/>
  <c r="AH315" i="21" s="1"/>
  <c r="AE315" i="21"/>
  <c r="AF315" i="21" s="1"/>
  <c r="AC315" i="21"/>
  <c r="AD315" i="21" s="1"/>
  <c r="AA315" i="21"/>
  <c r="AB315" i="21" s="1"/>
  <c r="W315" i="21"/>
  <c r="X315" i="21" s="1"/>
  <c r="U315" i="21"/>
  <c r="V315" i="21" s="1"/>
  <c r="S315" i="21"/>
  <c r="T315" i="21" s="1"/>
  <c r="Q315" i="21"/>
  <c r="P315" i="21"/>
  <c r="O315" i="21"/>
  <c r="N315" i="21"/>
  <c r="M315" i="21"/>
  <c r="L315" i="21"/>
  <c r="K315" i="21"/>
  <c r="J315" i="21"/>
  <c r="I315" i="21"/>
  <c r="H315" i="21"/>
  <c r="G315" i="21"/>
  <c r="F315" i="21"/>
  <c r="E315" i="21"/>
  <c r="D315" i="21"/>
  <c r="C315" i="21"/>
  <c r="B315" i="21"/>
  <c r="A315" i="21"/>
  <c r="BG314" i="21"/>
  <c r="BH314" i="21" s="1"/>
  <c r="BE314" i="21"/>
  <c r="BF314" i="21" s="1"/>
  <c r="AW314" i="21"/>
  <c r="AX314" i="21" s="1"/>
  <c r="AU314" i="21"/>
  <c r="AV314" i="21" s="1"/>
  <c r="AS314" i="21"/>
  <c r="AT314" i="21" s="1"/>
  <c r="AQ314" i="21"/>
  <c r="AR314" i="21" s="1"/>
  <c r="AO314" i="21"/>
  <c r="AP314" i="21" s="1"/>
  <c r="AM314" i="21"/>
  <c r="AN314" i="21" s="1"/>
  <c r="AK314" i="21"/>
  <c r="AL314" i="21" s="1"/>
  <c r="AG314" i="21"/>
  <c r="AH314" i="21" s="1"/>
  <c r="AE314" i="21"/>
  <c r="AF314" i="21" s="1"/>
  <c r="AC314" i="21"/>
  <c r="AD314" i="21" s="1"/>
  <c r="AA314" i="21"/>
  <c r="AB314" i="21" s="1"/>
  <c r="W314" i="21"/>
  <c r="X314" i="21" s="1"/>
  <c r="U314" i="21"/>
  <c r="S314" i="21"/>
  <c r="Q314" i="21"/>
  <c r="R314" i="21" s="1"/>
  <c r="P314" i="21"/>
  <c r="O314" i="21"/>
  <c r="N314" i="21"/>
  <c r="M314" i="21"/>
  <c r="L314" i="21"/>
  <c r="K314" i="21"/>
  <c r="J314" i="21"/>
  <c r="I314" i="21"/>
  <c r="H314" i="21"/>
  <c r="G314" i="21"/>
  <c r="F314" i="21"/>
  <c r="E314" i="21"/>
  <c r="D314" i="21"/>
  <c r="C314" i="21"/>
  <c r="B314" i="21"/>
  <c r="A314" i="21"/>
  <c r="BG313" i="21"/>
  <c r="BE313" i="21"/>
  <c r="BF313" i="21" s="1"/>
  <c r="AW313" i="21"/>
  <c r="AX313" i="21" s="1"/>
  <c r="AU313" i="21"/>
  <c r="AV313" i="21" s="1"/>
  <c r="AS313" i="21"/>
  <c r="AT313" i="21" s="1"/>
  <c r="AQ313" i="21"/>
  <c r="AR313" i="21" s="1"/>
  <c r="AO313" i="21"/>
  <c r="AP313" i="21" s="1"/>
  <c r="AM313" i="21"/>
  <c r="AN313" i="21" s="1"/>
  <c r="AK313" i="21"/>
  <c r="AL313" i="21" s="1"/>
  <c r="AG313" i="21"/>
  <c r="AE313" i="21"/>
  <c r="AF313" i="21" s="1"/>
  <c r="AC313" i="21"/>
  <c r="AD313" i="21" s="1"/>
  <c r="AA313" i="21"/>
  <c r="W313" i="21"/>
  <c r="X313" i="21" s="1"/>
  <c r="U313" i="21"/>
  <c r="V313" i="21" s="1"/>
  <c r="S313" i="21"/>
  <c r="Q313" i="21"/>
  <c r="R313" i="21" s="1"/>
  <c r="P313" i="21"/>
  <c r="O313" i="21"/>
  <c r="N313" i="21"/>
  <c r="M313" i="21"/>
  <c r="L313" i="21"/>
  <c r="K313" i="21"/>
  <c r="J313" i="21"/>
  <c r="I313" i="21"/>
  <c r="H313" i="21"/>
  <c r="G313" i="21"/>
  <c r="F313" i="21"/>
  <c r="E313" i="21"/>
  <c r="D313" i="21"/>
  <c r="C313" i="21"/>
  <c r="B313" i="21"/>
  <c r="A313" i="21"/>
  <c r="BG312" i="21"/>
  <c r="BE312" i="21"/>
  <c r="BF312" i="21" s="1"/>
  <c r="AW312" i="21"/>
  <c r="AX312" i="21" s="1"/>
  <c r="AU312" i="21"/>
  <c r="AV312" i="21" s="1"/>
  <c r="AS312" i="21"/>
  <c r="AT312" i="21" s="1"/>
  <c r="AQ312" i="21"/>
  <c r="AR312" i="21" s="1"/>
  <c r="AO312" i="21"/>
  <c r="AP312" i="21" s="1"/>
  <c r="AM312" i="21"/>
  <c r="AK312" i="21"/>
  <c r="AL312" i="21" s="1"/>
  <c r="AG312" i="21"/>
  <c r="AH312" i="21" s="1"/>
  <c r="AE312" i="21"/>
  <c r="AC312" i="21"/>
  <c r="AD312" i="21" s="1"/>
  <c r="AA312" i="21"/>
  <c r="W312" i="21"/>
  <c r="U312" i="21"/>
  <c r="V312" i="21" s="1"/>
  <c r="S312" i="21"/>
  <c r="T312" i="21" s="1"/>
  <c r="Q312" i="21"/>
  <c r="R312" i="21" s="1"/>
  <c r="P312" i="21"/>
  <c r="O312" i="21"/>
  <c r="N312" i="21"/>
  <c r="M312" i="21"/>
  <c r="L312" i="21"/>
  <c r="K312" i="21"/>
  <c r="J312" i="21"/>
  <c r="I312" i="21"/>
  <c r="H312" i="21"/>
  <c r="G312" i="21"/>
  <c r="F312" i="21"/>
  <c r="E312" i="21"/>
  <c r="D312" i="21"/>
  <c r="C312" i="21"/>
  <c r="B312" i="21"/>
  <c r="A312" i="21"/>
  <c r="BG311" i="21"/>
  <c r="BH311" i="21" s="1"/>
  <c r="BE311" i="21"/>
  <c r="BF311" i="21" s="1"/>
  <c r="AW311" i="21"/>
  <c r="AU311" i="21"/>
  <c r="AV311" i="21" s="1"/>
  <c r="AS311" i="21"/>
  <c r="AT311" i="21" s="1"/>
  <c r="AQ311" i="21"/>
  <c r="AR311" i="21" s="1"/>
  <c r="AO311" i="21"/>
  <c r="AP311" i="21" s="1"/>
  <c r="AM311" i="21"/>
  <c r="AK311" i="21"/>
  <c r="AL311" i="21" s="1"/>
  <c r="AG311" i="21"/>
  <c r="AH311" i="21" s="1"/>
  <c r="AE311" i="21"/>
  <c r="AC311" i="21"/>
  <c r="AA311" i="21"/>
  <c r="AB311" i="21" s="1"/>
  <c r="W311" i="21"/>
  <c r="X311" i="21" s="1"/>
  <c r="U311" i="21"/>
  <c r="V311" i="21" s="1"/>
  <c r="S311" i="21"/>
  <c r="T311" i="21" s="1"/>
  <c r="Q311" i="21"/>
  <c r="R311" i="21" s="1"/>
  <c r="P311" i="21"/>
  <c r="O311" i="21"/>
  <c r="N311" i="21"/>
  <c r="M311" i="21"/>
  <c r="L311" i="21"/>
  <c r="K311" i="21"/>
  <c r="J311" i="21"/>
  <c r="I311" i="21"/>
  <c r="H311" i="21"/>
  <c r="G311" i="21"/>
  <c r="F311" i="21"/>
  <c r="E311" i="21"/>
  <c r="D311" i="21"/>
  <c r="C311" i="21"/>
  <c r="B311" i="21"/>
  <c r="A311" i="21"/>
  <c r="BG310" i="21"/>
  <c r="BE310" i="21"/>
  <c r="BF310" i="21" s="1"/>
  <c r="AW310" i="21"/>
  <c r="AX310" i="21" s="1"/>
  <c r="AU310" i="21"/>
  <c r="AS310" i="21"/>
  <c r="AT310" i="21" s="1"/>
  <c r="AQ310" i="21"/>
  <c r="AR310" i="21" s="1"/>
  <c r="AO310" i="21"/>
  <c r="AP310" i="21" s="1"/>
  <c r="AM310" i="21"/>
  <c r="AN310" i="21" s="1"/>
  <c r="AK310" i="21"/>
  <c r="AL310" i="21" s="1"/>
  <c r="AG310" i="21"/>
  <c r="AE310" i="21"/>
  <c r="AF310" i="21" s="1"/>
  <c r="AC310" i="21"/>
  <c r="AA310" i="21"/>
  <c r="AB310" i="21" s="1"/>
  <c r="W310" i="21"/>
  <c r="X310" i="21" s="1"/>
  <c r="U310" i="21"/>
  <c r="V310" i="21" s="1"/>
  <c r="S310" i="21"/>
  <c r="T310" i="21" s="1"/>
  <c r="Q310" i="21"/>
  <c r="R310" i="21" s="1"/>
  <c r="P310" i="21"/>
  <c r="O310" i="21"/>
  <c r="N310" i="21"/>
  <c r="M310" i="21"/>
  <c r="L310" i="21"/>
  <c r="K310" i="21"/>
  <c r="J310" i="21"/>
  <c r="I310" i="21"/>
  <c r="H310" i="21"/>
  <c r="G310" i="21"/>
  <c r="F310" i="21"/>
  <c r="E310" i="21"/>
  <c r="D310" i="21"/>
  <c r="C310" i="21"/>
  <c r="B310" i="21"/>
  <c r="A310" i="21"/>
  <c r="BG309" i="21"/>
  <c r="BH309" i="21" s="1"/>
  <c r="BE309" i="21"/>
  <c r="BF309" i="21" s="1"/>
  <c r="AW309" i="21"/>
  <c r="AX309" i="21" s="1"/>
  <c r="AU309" i="21"/>
  <c r="AV309" i="21" s="1"/>
  <c r="AS309" i="21"/>
  <c r="AT309" i="21" s="1"/>
  <c r="AQ309" i="21"/>
  <c r="AO309" i="21"/>
  <c r="AP309" i="21" s="1"/>
  <c r="AM309" i="21"/>
  <c r="AK309" i="21"/>
  <c r="AL309" i="21" s="1"/>
  <c r="AG309" i="21"/>
  <c r="AE309" i="21"/>
  <c r="AF309" i="21" s="1"/>
  <c r="AC309" i="21"/>
  <c r="AD309" i="21" s="1"/>
  <c r="AA309" i="21"/>
  <c r="AB309" i="21" s="1"/>
  <c r="W309" i="21"/>
  <c r="X309" i="21" s="1"/>
  <c r="U309" i="21"/>
  <c r="V309" i="21" s="1"/>
  <c r="S309" i="21"/>
  <c r="T309" i="21" s="1"/>
  <c r="Q309" i="21"/>
  <c r="R309" i="21" s="1"/>
  <c r="P309" i="21"/>
  <c r="O309" i="21"/>
  <c r="N309" i="21"/>
  <c r="M309" i="21"/>
  <c r="L309" i="21"/>
  <c r="K309" i="21"/>
  <c r="J309" i="21"/>
  <c r="I309" i="21"/>
  <c r="H309" i="21"/>
  <c r="G309" i="21"/>
  <c r="F309" i="21"/>
  <c r="E309" i="21"/>
  <c r="D309" i="21"/>
  <c r="C309" i="21"/>
  <c r="B309" i="21"/>
  <c r="A309" i="21"/>
  <c r="BG308" i="21"/>
  <c r="BE308" i="21"/>
  <c r="BF308" i="21" s="1"/>
  <c r="AW308" i="21"/>
  <c r="AX308" i="21" s="1"/>
  <c r="AU308" i="21"/>
  <c r="AV308" i="21" s="1"/>
  <c r="AS308" i="21"/>
  <c r="AQ308" i="21"/>
  <c r="AO308" i="21"/>
  <c r="AP308" i="21" s="1"/>
  <c r="AM308" i="21"/>
  <c r="AN308" i="21" s="1"/>
  <c r="AK308" i="21"/>
  <c r="AL308" i="21" s="1"/>
  <c r="AG308" i="21"/>
  <c r="AH308" i="21" s="1"/>
  <c r="AE308" i="21"/>
  <c r="AF308" i="21" s="1"/>
  <c r="AC308" i="21"/>
  <c r="AD308" i="21" s="1"/>
  <c r="AA308" i="21"/>
  <c r="AB308" i="21" s="1"/>
  <c r="W308" i="21"/>
  <c r="X308" i="21" s="1"/>
  <c r="U308" i="21"/>
  <c r="V308" i="21" s="1"/>
  <c r="S308" i="21"/>
  <c r="T308" i="21" s="1"/>
  <c r="Q308" i="21"/>
  <c r="R308" i="21" s="1"/>
  <c r="P308" i="21"/>
  <c r="O308" i="21"/>
  <c r="N308" i="21"/>
  <c r="M308" i="21"/>
  <c r="L308" i="21"/>
  <c r="K308" i="21"/>
  <c r="J308" i="21"/>
  <c r="I308" i="21"/>
  <c r="H308" i="21"/>
  <c r="G308" i="21"/>
  <c r="F308" i="21"/>
  <c r="E308" i="21"/>
  <c r="D308" i="21"/>
  <c r="C308" i="21"/>
  <c r="B308" i="21"/>
  <c r="A308" i="21"/>
  <c r="BG307" i="21"/>
  <c r="BH307" i="21" s="1"/>
  <c r="BE307" i="21"/>
  <c r="AW307" i="21"/>
  <c r="AX307" i="21" s="1"/>
  <c r="AU307" i="21"/>
  <c r="AS307" i="21"/>
  <c r="AT307" i="21" s="1"/>
  <c r="AQ307" i="21"/>
  <c r="AR307" i="21" s="1"/>
  <c r="AO307" i="21"/>
  <c r="AP307" i="21" s="1"/>
  <c r="AM307" i="21"/>
  <c r="AN307" i="21" s="1"/>
  <c r="AK307" i="21"/>
  <c r="AG307" i="21"/>
  <c r="AH307" i="21" s="1"/>
  <c r="AE307" i="21"/>
  <c r="AF307" i="21" s="1"/>
  <c r="AC307" i="21"/>
  <c r="AD307" i="21" s="1"/>
  <c r="AA307" i="21"/>
  <c r="AB307" i="21" s="1"/>
  <c r="W307" i="21"/>
  <c r="X307" i="21" s="1"/>
  <c r="U307" i="21"/>
  <c r="S307" i="21"/>
  <c r="T307" i="21" s="1"/>
  <c r="Q307" i="21"/>
  <c r="R307" i="21" s="1"/>
  <c r="P307" i="21"/>
  <c r="O307" i="21"/>
  <c r="N307" i="21"/>
  <c r="M307" i="21"/>
  <c r="L307" i="21"/>
  <c r="K307" i="21"/>
  <c r="J307" i="21"/>
  <c r="I307" i="21"/>
  <c r="H307" i="21"/>
  <c r="G307" i="21"/>
  <c r="F307" i="21"/>
  <c r="E307" i="21"/>
  <c r="D307" i="21"/>
  <c r="C307" i="21"/>
  <c r="B307" i="21"/>
  <c r="A307" i="21"/>
  <c r="BG306" i="21"/>
  <c r="BH306" i="21" s="1"/>
  <c r="BE306" i="21"/>
  <c r="BF306" i="21" s="1"/>
  <c r="AW306" i="21"/>
  <c r="AX306" i="21" s="1"/>
  <c r="AU306" i="21"/>
  <c r="AS306" i="21"/>
  <c r="AT306" i="21" s="1"/>
  <c r="AQ306" i="21"/>
  <c r="AR306" i="21" s="1"/>
  <c r="AO306" i="21"/>
  <c r="AP306" i="21" s="1"/>
  <c r="AM306" i="21"/>
  <c r="AN306" i="21" s="1"/>
  <c r="AK306" i="21"/>
  <c r="AL306" i="21" s="1"/>
  <c r="AG306" i="21"/>
  <c r="AH306" i="21" s="1"/>
  <c r="AE306" i="21"/>
  <c r="AF306" i="21" s="1"/>
  <c r="AC306" i="21"/>
  <c r="AA306" i="21"/>
  <c r="AB306" i="21" s="1"/>
  <c r="W306" i="21"/>
  <c r="X306" i="21" s="1"/>
  <c r="U306" i="21"/>
  <c r="V306" i="21" s="1"/>
  <c r="S306" i="21"/>
  <c r="T306" i="21" s="1"/>
  <c r="Q306" i="21"/>
  <c r="R306" i="21" s="1"/>
  <c r="P306" i="21"/>
  <c r="O306" i="21"/>
  <c r="N306" i="21"/>
  <c r="M306" i="21"/>
  <c r="L306" i="21"/>
  <c r="K306" i="21"/>
  <c r="J306" i="21"/>
  <c r="I306" i="21"/>
  <c r="H306" i="21"/>
  <c r="G306" i="21"/>
  <c r="F306" i="21"/>
  <c r="E306" i="21"/>
  <c r="D306" i="21"/>
  <c r="C306" i="21"/>
  <c r="B306" i="21"/>
  <c r="A306" i="21"/>
  <c r="BG305" i="21"/>
  <c r="BE305" i="21"/>
  <c r="BF305" i="21" s="1"/>
  <c r="AW305" i="21"/>
  <c r="AX305" i="21" s="1"/>
  <c r="AU305" i="21"/>
  <c r="AV305" i="21" s="1"/>
  <c r="AS305" i="21"/>
  <c r="AT305" i="21" s="1"/>
  <c r="AQ305" i="21"/>
  <c r="AR305" i="21" s="1"/>
  <c r="AO305" i="21"/>
  <c r="AP305" i="21" s="1"/>
  <c r="AM305" i="21"/>
  <c r="AN305" i="21" s="1"/>
  <c r="AK305" i="21"/>
  <c r="AL305" i="21" s="1"/>
  <c r="AG305" i="21"/>
  <c r="AE305" i="21"/>
  <c r="AF305" i="21" s="1"/>
  <c r="AC305" i="21"/>
  <c r="AD305" i="21" s="1"/>
  <c r="AA305" i="21"/>
  <c r="W305" i="21"/>
  <c r="X305" i="21" s="1"/>
  <c r="U305" i="21"/>
  <c r="S305" i="21"/>
  <c r="Q305" i="21"/>
  <c r="R305" i="21" s="1"/>
  <c r="P305" i="21"/>
  <c r="O305" i="21"/>
  <c r="N305" i="21"/>
  <c r="M305" i="21"/>
  <c r="L305" i="21"/>
  <c r="K305" i="21"/>
  <c r="J305" i="21"/>
  <c r="I305" i="21"/>
  <c r="H305" i="21"/>
  <c r="G305" i="21"/>
  <c r="F305" i="21"/>
  <c r="E305" i="21"/>
  <c r="D305" i="21"/>
  <c r="C305" i="21"/>
  <c r="B305" i="21"/>
  <c r="A305" i="21"/>
  <c r="BG304" i="21"/>
  <c r="BH304" i="21" s="1"/>
  <c r="BE304" i="21"/>
  <c r="BF304" i="21" s="1"/>
  <c r="AW304" i="21"/>
  <c r="AX304" i="21" s="1"/>
  <c r="AU304" i="21"/>
  <c r="AV304" i="21" s="1"/>
  <c r="AS304" i="21"/>
  <c r="AQ304" i="21"/>
  <c r="AR304" i="21" s="1"/>
  <c r="AO304" i="21"/>
  <c r="AP304" i="21" s="1"/>
  <c r="AM304" i="21"/>
  <c r="AK304" i="21"/>
  <c r="AL304" i="21" s="1"/>
  <c r="AG304" i="21"/>
  <c r="AH304" i="21" s="1"/>
  <c r="AE304" i="21"/>
  <c r="AC304" i="21"/>
  <c r="AD304" i="21" s="1"/>
  <c r="AA304" i="21"/>
  <c r="W304" i="21"/>
  <c r="U304" i="21"/>
  <c r="V304" i="21" s="1"/>
  <c r="S304" i="21"/>
  <c r="T304" i="21" s="1"/>
  <c r="Q304" i="21"/>
  <c r="R304" i="21" s="1"/>
  <c r="P304" i="21"/>
  <c r="O304" i="21"/>
  <c r="N304" i="21"/>
  <c r="M304" i="21"/>
  <c r="L304" i="21"/>
  <c r="K304" i="21"/>
  <c r="J304" i="21"/>
  <c r="I304" i="21"/>
  <c r="H304" i="21"/>
  <c r="G304" i="21"/>
  <c r="F304" i="21"/>
  <c r="E304" i="21"/>
  <c r="D304" i="21"/>
  <c r="C304" i="21"/>
  <c r="B304" i="21"/>
  <c r="A304" i="21"/>
  <c r="BG303" i="21"/>
  <c r="BE303" i="21"/>
  <c r="BF303" i="21" s="1"/>
  <c r="AW303" i="21"/>
  <c r="AX303" i="21" s="1"/>
  <c r="AU303" i="21"/>
  <c r="AV303" i="21" s="1"/>
  <c r="AS303" i="21"/>
  <c r="AT303" i="21" s="1"/>
  <c r="AQ303" i="21"/>
  <c r="AR303" i="21" s="1"/>
  <c r="AO303" i="21"/>
  <c r="AM303" i="21"/>
  <c r="AN303" i="21" s="1"/>
  <c r="AK303" i="21"/>
  <c r="AL303" i="21" s="1"/>
  <c r="AG303" i="21"/>
  <c r="AH303" i="21" s="1"/>
  <c r="AE303" i="21"/>
  <c r="AF303" i="21" s="1"/>
  <c r="AC303" i="21"/>
  <c r="AA303" i="21"/>
  <c r="AB303" i="21" s="1"/>
  <c r="W303" i="21"/>
  <c r="U303" i="21"/>
  <c r="V303" i="21" s="1"/>
  <c r="S303" i="21"/>
  <c r="Q303" i="21"/>
  <c r="R303" i="21" s="1"/>
  <c r="P303" i="21"/>
  <c r="O303" i="21"/>
  <c r="N303" i="21"/>
  <c r="M303" i="21"/>
  <c r="L303" i="21"/>
  <c r="K303" i="21"/>
  <c r="J303" i="21"/>
  <c r="I303" i="21"/>
  <c r="H303" i="21"/>
  <c r="G303" i="21"/>
  <c r="F303" i="21"/>
  <c r="E303" i="21"/>
  <c r="D303" i="21"/>
  <c r="C303" i="21"/>
  <c r="B303" i="21"/>
  <c r="A303" i="21"/>
  <c r="BG302" i="21"/>
  <c r="BH302" i="21" s="1"/>
  <c r="BE302" i="21"/>
  <c r="AW302" i="21"/>
  <c r="AX302" i="21" s="1"/>
  <c r="AU302" i="21"/>
  <c r="AV302" i="21" s="1"/>
  <c r="AS302" i="21"/>
  <c r="AT302" i="21" s="1"/>
  <c r="AQ302" i="21"/>
  <c r="AR302" i="21" s="1"/>
  <c r="AO302" i="21"/>
  <c r="AP302" i="21" s="1"/>
  <c r="AM302" i="21"/>
  <c r="AN302" i="21" s="1"/>
  <c r="AK302" i="21"/>
  <c r="AG302" i="21"/>
  <c r="AE302" i="21"/>
  <c r="AF302" i="21" s="1"/>
  <c r="AC302" i="21"/>
  <c r="AA302" i="21"/>
  <c r="AB302" i="21" s="1"/>
  <c r="W302" i="21"/>
  <c r="X302" i="21" s="1"/>
  <c r="U302" i="21"/>
  <c r="S302" i="21"/>
  <c r="Q302" i="21"/>
  <c r="R302" i="21" s="1"/>
  <c r="P302" i="21"/>
  <c r="O302" i="21"/>
  <c r="N302" i="21"/>
  <c r="M302" i="21"/>
  <c r="L302" i="21"/>
  <c r="K302" i="21"/>
  <c r="J302" i="21"/>
  <c r="I302" i="21"/>
  <c r="H302" i="21"/>
  <c r="G302" i="21"/>
  <c r="F302" i="21"/>
  <c r="E302" i="21"/>
  <c r="D302" i="21"/>
  <c r="C302" i="21"/>
  <c r="B302" i="21"/>
  <c r="A302" i="21"/>
  <c r="BG301" i="21"/>
  <c r="BH301" i="21" s="1"/>
  <c r="BE301" i="21"/>
  <c r="BF301" i="21" s="1"/>
  <c r="AW301" i="21"/>
  <c r="AX301" i="21" s="1"/>
  <c r="AU301" i="21"/>
  <c r="AS301" i="21"/>
  <c r="AT301" i="21" s="1"/>
  <c r="AQ301" i="21"/>
  <c r="AR301" i="21" s="1"/>
  <c r="AO301" i="21"/>
  <c r="AP301" i="21" s="1"/>
  <c r="AM301" i="21"/>
  <c r="AK301" i="21"/>
  <c r="AL301" i="21" s="1"/>
  <c r="AG301" i="21"/>
  <c r="AH301" i="21" s="1"/>
  <c r="AE301" i="21"/>
  <c r="AC301" i="21"/>
  <c r="AD301" i="21" s="1"/>
  <c r="AA301" i="21"/>
  <c r="AB301" i="21" s="1"/>
  <c r="W301" i="21"/>
  <c r="U301" i="21"/>
  <c r="V301" i="21" s="1"/>
  <c r="S301" i="21"/>
  <c r="Q301" i="21"/>
  <c r="R301" i="21" s="1"/>
  <c r="P301" i="21"/>
  <c r="O301" i="21"/>
  <c r="N301" i="21"/>
  <c r="M301" i="21"/>
  <c r="L301" i="21"/>
  <c r="K301" i="21"/>
  <c r="J301" i="21"/>
  <c r="I301" i="21"/>
  <c r="H301" i="21"/>
  <c r="G301" i="21"/>
  <c r="F301" i="21"/>
  <c r="E301" i="21"/>
  <c r="D301" i="21"/>
  <c r="C301" i="21"/>
  <c r="B301" i="21"/>
  <c r="A301" i="21"/>
  <c r="BG300" i="21"/>
  <c r="BE300" i="21"/>
  <c r="BF300" i="21" s="1"/>
  <c r="AW300" i="21"/>
  <c r="AX300" i="21" s="1"/>
  <c r="AU300" i="21"/>
  <c r="AV300" i="21" s="1"/>
  <c r="AS300" i="21"/>
  <c r="AT300" i="21" s="1"/>
  <c r="AQ300" i="21"/>
  <c r="AR300" i="21" s="1"/>
  <c r="AO300" i="21"/>
  <c r="AP300" i="21" s="1"/>
  <c r="AM300" i="21"/>
  <c r="AN300" i="21" s="1"/>
  <c r="AK300" i="21"/>
  <c r="AL300" i="21" s="1"/>
  <c r="AG300" i="21"/>
  <c r="AH300" i="21" s="1"/>
  <c r="AE300" i="21"/>
  <c r="AC300" i="21"/>
  <c r="AD300" i="21" s="1"/>
  <c r="AA300" i="21"/>
  <c r="AB300" i="21" s="1"/>
  <c r="W300" i="21"/>
  <c r="U300" i="21"/>
  <c r="V300" i="21" s="1"/>
  <c r="S300" i="21"/>
  <c r="T300" i="21" s="1"/>
  <c r="Q300" i="21"/>
  <c r="R300" i="21" s="1"/>
  <c r="P300" i="21"/>
  <c r="O300" i="21"/>
  <c r="N300" i="21"/>
  <c r="M300" i="21"/>
  <c r="L300" i="21"/>
  <c r="K300" i="21"/>
  <c r="J300" i="21"/>
  <c r="I300" i="21"/>
  <c r="H300" i="21"/>
  <c r="G300" i="21"/>
  <c r="F300" i="21"/>
  <c r="E300" i="21"/>
  <c r="D300" i="21"/>
  <c r="C300" i="21"/>
  <c r="B300" i="21"/>
  <c r="A300" i="21"/>
  <c r="BG299" i="21"/>
  <c r="BH299" i="21" s="1"/>
  <c r="BE299" i="21"/>
  <c r="BF299" i="21" s="1"/>
  <c r="AW299" i="21"/>
  <c r="AU299" i="21"/>
  <c r="AV299" i="21" s="1"/>
  <c r="AS299" i="21"/>
  <c r="AT299" i="21" s="1"/>
  <c r="AQ299" i="21"/>
  <c r="AO299" i="21"/>
  <c r="AP299" i="21" s="1"/>
  <c r="AM299" i="21"/>
  <c r="AN299" i="21" s="1"/>
  <c r="AK299" i="21"/>
  <c r="AG299" i="21"/>
  <c r="AH299" i="21" s="1"/>
  <c r="AE299" i="21"/>
  <c r="AC299" i="21"/>
  <c r="AD299" i="21" s="1"/>
  <c r="AA299" i="21"/>
  <c r="AB299" i="21" s="1"/>
  <c r="W299" i="21"/>
  <c r="X299" i="21" s="1"/>
  <c r="U299" i="21"/>
  <c r="V299" i="21" s="1"/>
  <c r="S299" i="21"/>
  <c r="T299" i="21" s="1"/>
  <c r="Q299" i="21"/>
  <c r="P299" i="21"/>
  <c r="O299" i="21"/>
  <c r="N299" i="21"/>
  <c r="M299" i="21"/>
  <c r="L299" i="21"/>
  <c r="K299" i="21"/>
  <c r="J299" i="21"/>
  <c r="I299" i="21"/>
  <c r="H299" i="21"/>
  <c r="G299" i="21"/>
  <c r="F299" i="21"/>
  <c r="E299" i="21"/>
  <c r="D299" i="21"/>
  <c r="C299" i="21"/>
  <c r="B299" i="21"/>
  <c r="A299" i="21"/>
  <c r="BG298" i="21"/>
  <c r="BH298" i="21" s="1"/>
  <c r="BE298" i="21"/>
  <c r="BF298" i="21" s="1"/>
  <c r="AW298" i="21"/>
  <c r="AX298" i="21" s="1"/>
  <c r="AU298" i="21"/>
  <c r="AV298" i="21" s="1"/>
  <c r="AS298" i="21"/>
  <c r="AT298" i="21" s="1"/>
  <c r="AQ298" i="21"/>
  <c r="AR298" i="21" s="1"/>
  <c r="AO298" i="21"/>
  <c r="AM298" i="21"/>
  <c r="AN298" i="21" s="1"/>
  <c r="AK298" i="21"/>
  <c r="AG298" i="21"/>
  <c r="AH298" i="21" s="1"/>
  <c r="AE298" i="21"/>
  <c r="AF298" i="21" s="1"/>
  <c r="AC298" i="21"/>
  <c r="AA298" i="21"/>
  <c r="AB298" i="21" s="1"/>
  <c r="W298" i="21"/>
  <c r="U298" i="21"/>
  <c r="V298" i="21" s="1"/>
  <c r="S298" i="21"/>
  <c r="T298" i="21" s="1"/>
  <c r="Q298" i="21"/>
  <c r="R298" i="21" s="1"/>
  <c r="P298" i="21"/>
  <c r="O298" i="21"/>
  <c r="N298" i="21"/>
  <c r="M298" i="21"/>
  <c r="L298" i="21"/>
  <c r="K298" i="21"/>
  <c r="J298" i="21"/>
  <c r="I298" i="21"/>
  <c r="H298" i="21"/>
  <c r="G298" i="21"/>
  <c r="F298" i="21"/>
  <c r="E298" i="21"/>
  <c r="D298" i="21"/>
  <c r="C298" i="21"/>
  <c r="B298" i="21"/>
  <c r="A298" i="21"/>
  <c r="BG297" i="21"/>
  <c r="BH297" i="21" s="1"/>
  <c r="BE297" i="21"/>
  <c r="BF297" i="21" s="1"/>
  <c r="AW297" i="21"/>
  <c r="AX297" i="21" s="1"/>
  <c r="AU297" i="21"/>
  <c r="AV297" i="21" s="1"/>
  <c r="AS297" i="21"/>
  <c r="AQ297" i="21"/>
  <c r="AO297" i="21"/>
  <c r="AP297" i="21" s="1"/>
  <c r="AM297" i="21"/>
  <c r="AK297" i="21"/>
  <c r="AL297" i="21" s="1"/>
  <c r="AG297" i="21"/>
  <c r="AH297" i="21" s="1"/>
  <c r="AE297" i="21"/>
  <c r="AF297" i="21" s="1"/>
  <c r="AC297" i="21"/>
  <c r="AD297" i="21" s="1"/>
  <c r="AA297" i="21"/>
  <c r="AB297" i="21" s="1"/>
  <c r="W297" i="21"/>
  <c r="X297" i="21" s="1"/>
  <c r="U297" i="21"/>
  <c r="V297" i="21" s="1"/>
  <c r="S297" i="21"/>
  <c r="T297" i="21" s="1"/>
  <c r="Q297" i="21"/>
  <c r="R297" i="21" s="1"/>
  <c r="P297" i="21"/>
  <c r="O297" i="21"/>
  <c r="N297" i="21"/>
  <c r="M297" i="21"/>
  <c r="L297" i="21"/>
  <c r="K297" i="21"/>
  <c r="J297" i="21"/>
  <c r="I297" i="21"/>
  <c r="H297" i="21"/>
  <c r="G297" i="21"/>
  <c r="F297" i="21"/>
  <c r="E297" i="21"/>
  <c r="D297" i="21"/>
  <c r="C297" i="21"/>
  <c r="B297" i="21"/>
  <c r="A297" i="21"/>
  <c r="BG296" i="21"/>
  <c r="BH296" i="21" s="1"/>
  <c r="BE296" i="21"/>
  <c r="BF296" i="21" s="1"/>
  <c r="AW296" i="21"/>
  <c r="AX296" i="21" s="1"/>
  <c r="AU296" i="21"/>
  <c r="AV296" i="21" s="1"/>
  <c r="AS296" i="21"/>
  <c r="AT296" i="21" s="1"/>
  <c r="AQ296" i="21"/>
  <c r="AR296" i="21" s="1"/>
  <c r="AO296" i="21"/>
  <c r="AP296" i="21" s="1"/>
  <c r="AM296" i="21"/>
  <c r="AK296" i="21"/>
  <c r="AL296" i="21" s="1"/>
  <c r="AG296" i="21"/>
  <c r="AE296" i="21"/>
  <c r="AF296" i="21" s="1"/>
  <c r="AC296" i="21"/>
  <c r="AD296" i="21" s="1"/>
  <c r="AA296" i="21"/>
  <c r="AB296" i="21" s="1"/>
  <c r="W296" i="21"/>
  <c r="U296" i="21"/>
  <c r="V296" i="21" s="1"/>
  <c r="S296" i="21"/>
  <c r="Q296" i="21"/>
  <c r="R296" i="21" s="1"/>
  <c r="P296" i="21"/>
  <c r="O296" i="21"/>
  <c r="N296" i="21"/>
  <c r="M296" i="21"/>
  <c r="L296" i="21"/>
  <c r="K296" i="21"/>
  <c r="J296" i="21"/>
  <c r="I296" i="21"/>
  <c r="H296" i="21"/>
  <c r="G296" i="21"/>
  <c r="F296" i="21"/>
  <c r="E296" i="21"/>
  <c r="D296" i="21"/>
  <c r="C296" i="21"/>
  <c r="B296" i="21"/>
  <c r="A296" i="21"/>
  <c r="BG295" i="21"/>
  <c r="BH295" i="21" s="1"/>
  <c r="BE295" i="21"/>
  <c r="BF295" i="21" s="1"/>
  <c r="AW295" i="21"/>
  <c r="AX295" i="21" s="1"/>
  <c r="AU295" i="21"/>
  <c r="AV295" i="21" s="1"/>
  <c r="AS295" i="21"/>
  <c r="AT295" i="21" s="1"/>
  <c r="AQ295" i="21"/>
  <c r="AO295" i="21"/>
  <c r="AP295" i="21" s="1"/>
  <c r="AM295" i="21"/>
  <c r="AN295" i="21" s="1"/>
  <c r="AK295" i="21"/>
  <c r="AL295" i="21" s="1"/>
  <c r="AG295" i="21"/>
  <c r="AE295" i="21"/>
  <c r="AF295" i="21" s="1"/>
  <c r="AC295" i="21"/>
  <c r="AD295" i="21" s="1"/>
  <c r="AA295" i="21"/>
  <c r="W295" i="21"/>
  <c r="X295" i="21" s="1"/>
  <c r="U295" i="21"/>
  <c r="S295" i="21"/>
  <c r="T295" i="21" s="1"/>
  <c r="Q295" i="21"/>
  <c r="R295" i="21" s="1"/>
  <c r="P295" i="21"/>
  <c r="O295" i="21"/>
  <c r="N295" i="21"/>
  <c r="M295" i="21"/>
  <c r="L295" i="21"/>
  <c r="K295" i="21"/>
  <c r="J295" i="21"/>
  <c r="I295" i="21"/>
  <c r="H295" i="21"/>
  <c r="G295" i="21"/>
  <c r="F295" i="21"/>
  <c r="E295" i="21"/>
  <c r="D295" i="21"/>
  <c r="C295" i="21"/>
  <c r="B295" i="21"/>
  <c r="A295" i="21"/>
  <c r="BG294" i="21"/>
  <c r="BE294" i="21"/>
  <c r="BF294" i="21" s="1"/>
  <c r="AW294" i="21"/>
  <c r="AU294" i="21"/>
  <c r="AV294" i="21" s="1"/>
  <c r="AS294" i="21"/>
  <c r="AT294" i="21" s="1"/>
  <c r="AQ294" i="21"/>
  <c r="AR294" i="21" s="1"/>
  <c r="AO294" i="21"/>
  <c r="AP294" i="21" s="1"/>
  <c r="AM294" i="21"/>
  <c r="AK294" i="21"/>
  <c r="AL294" i="21" s="1"/>
  <c r="AG294" i="21"/>
  <c r="AH294" i="21" s="1"/>
  <c r="AE294" i="21"/>
  <c r="AF294" i="21" s="1"/>
  <c r="AC294" i="21"/>
  <c r="AD294" i="21" s="1"/>
  <c r="AA294" i="21"/>
  <c r="W294" i="21"/>
  <c r="X294" i="21" s="1"/>
  <c r="U294" i="21"/>
  <c r="V294" i="21" s="1"/>
  <c r="S294" i="21"/>
  <c r="Q294" i="21"/>
  <c r="R294" i="21" s="1"/>
  <c r="P294" i="21"/>
  <c r="O294" i="21"/>
  <c r="N294" i="21"/>
  <c r="M294" i="21"/>
  <c r="L294" i="21"/>
  <c r="K294" i="21"/>
  <c r="J294" i="21"/>
  <c r="I294" i="21"/>
  <c r="H294" i="21"/>
  <c r="G294" i="21"/>
  <c r="F294" i="21"/>
  <c r="E294" i="21"/>
  <c r="D294" i="21"/>
  <c r="C294" i="21"/>
  <c r="B294" i="21"/>
  <c r="A294" i="21"/>
  <c r="BG293" i="21"/>
  <c r="BH293" i="21" s="1"/>
  <c r="BE293" i="21"/>
  <c r="BF293" i="21" s="1"/>
  <c r="AW293" i="21"/>
  <c r="AX293" i="21" s="1"/>
  <c r="AU293" i="21"/>
  <c r="AV293" i="21" s="1"/>
  <c r="AS293" i="21"/>
  <c r="AT293" i="21" s="1"/>
  <c r="AQ293" i="21"/>
  <c r="AO293" i="21"/>
  <c r="AP293" i="21" s="1"/>
  <c r="AM293" i="21"/>
  <c r="AN293" i="21" s="1"/>
  <c r="AK293" i="21"/>
  <c r="AL293" i="21" s="1"/>
  <c r="AG293" i="21"/>
  <c r="AH293" i="21" s="1"/>
  <c r="AE293" i="21"/>
  <c r="AC293" i="21"/>
  <c r="AD293" i="21" s="1"/>
  <c r="AA293" i="21"/>
  <c r="AB293" i="21" s="1"/>
  <c r="W293" i="21"/>
  <c r="U293" i="21"/>
  <c r="V293" i="21" s="1"/>
  <c r="S293" i="21"/>
  <c r="T293" i="21" s="1"/>
  <c r="Q293" i="21"/>
  <c r="R293" i="21" s="1"/>
  <c r="P293" i="21"/>
  <c r="O293" i="21"/>
  <c r="N293" i="21"/>
  <c r="M293" i="21"/>
  <c r="L293" i="21"/>
  <c r="K293" i="21"/>
  <c r="J293" i="21"/>
  <c r="I293" i="21"/>
  <c r="H293" i="21"/>
  <c r="G293" i="21"/>
  <c r="F293" i="21"/>
  <c r="E293" i="21"/>
  <c r="D293" i="21"/>
  <c r="C293" i="21"/>
  <c r="B293" i="21"/>
  <c r="A293" i="21"/>
  <c r="BG292" i="21"/>
  <c r="BH292" i="21" s="1"/>
  <c r="BE292" i="21"/>
  <c r="BF292" i="21" s="1"/>
  <c r="AW292" i="21"/>
  <c r="AX292" i="21" s="1"/>
  <c r="AU292" i="21"/>
  <c r="AS292" i="21"/>
  <c r="AT292" i="21" s="1"/>
  <c r="AQ292" i="21"/>
  <c r="AR292" i="21" s="1"/>
  <c r="AO292" i="21"/>
  <c r="AP292" i="21" s="1"/>
  <c r="AM292" i="21"/>
  <c r="AN292" i="21" s="1"/>
  <c r="AK292" i="21"/>
  <c r="AG292" i="21"/>
  <c r="AH292" i="21" s="1"/>
  <c r="AE292" i="21"/>
  <c r="AF292" i="21" s="1"/>
  <c r="AC292" i="21"/>
  <c r="AA292" i="21"/>
  <c r="AB292" i="21" s="1"/>
  <c r="W292" i="21"/>
  <c r="X292" i="21" s="1"/>
  <c r="U292" i="21"/>
  <c r="V292" i="21" s="1"/>
  <c r="S292" i="21"/>
  <c r="T292" i="21" s="1"/>
  <c r="Q292" i="21"/>
  <c r="R292" i="21" s="1"/>
  <c r="P292" i="21"/>
  <c r="O292" i="21"/>
  <c r="N292" i="21"/>
  <c r="M292" i="21"/>
  <c r="L292" i="21"/>
  <c r="K292" i="21"/>
  <c r="J292" i="21"/>
  <c r="I292" i="21"/>
  <c r="H292" i="21"/>
  <c r="G292" i="21"/>
  <c r="F292" i="21"/>
  <c r="E292" i="21"/>
  <c r="D292" i="21"/>
  <c r="C292" i="21"/>
  <c r="B292" i="21"/>
  <c r="A292" i="21"/>
  <c r="BG291" i="21"/>
  <c r="BH291" i="21" s="1"/>
  <c r="BE291" i="21"/>
  <c r="BF291" i="21" s="1"/>
  <c r="AW291" i="21"/>
  <c r="AX291" i="21" s="1"/>
  <c r="AU291" i="21"/>
  <c r="AV291" i="21" s="1"/>
  <c r="AS291" i="21"/>
  <c r="AT291" i="21" s="1"/>
  <c r="AQ291" i="21"/>
  <c r="AR291" i="21" s="1"/>
  <c r="AO291" i="21"/>
  <c r="AM291" i="21"/>
  <c r="AN291" i="21" s="1"/>
  <c r="AK291" i="21"/>
  <c r="AL291" i="21" s="1"/>
  <c r="AG291" i="21"/>
  <c r="AE291" i="21"/>
  <c r="AF291" i="21" s="1"/>
  <c r="AC291" i="21"/>
  <c r="AD291" i="21" s="1"/>
  <c r="AA291" i="21"/>
  <c r="AB291" i="21" s="1"/>
  <c r="W291" i="21"/>
  <c r="X291" i="21" s="1"/>
  <c r="U291" i="21"/>
  <c r="V291" i="21" s="1"/>
  <c r="S291" i="21"/>
  <c r="T291" i="21" s="1"/>
  <c r="Q291" i="21"/>
  <c r="R291" i="21" s="1"/>
  <c r="P291" i="21"/>
  <c r="O291" i="21"/>
  <c r="N291" i="21"/>
  <c r="M291" i="21"/>
  <c r="L291" i="21"/>
  <c r="K291" i="21"/>
  <c r="J291" i="21"/>
  <c r="I291" i="21"/>
  <c r="H291" i="21"/>
  <c r="G291" i="21"/>
  <c r="F291" i="21"/>
  <c r="E291" i="21"/>
  <c r="D291" i="21"/>
  <c r="C291" i="21"/>
  <c r="B291" i="21"/>
  <c r="A291" i="21"/>
  <c r="BG290" i="21"/>
  <c r="BE290" i="21"/>
  <c r="BF290" i="21" s="1"/>
  <c r="AW290" i="21"/>
  <c r="AX290" i="21" s="1"/>
  <c r="AU290" i="21"/>
  <c r="AV290" i="21" s="1"/>
  <c r="AS290" i="21"/>
  <c r="AQ290" i="21"/>
  <c r="AR290" i="21" s="1"/>
  <c r="AO290" i="21"/>
  <c r="AP290" i="21" s="1"/>
  <c r="AM290" i="21"/>
  <c r="AK290" i="21"/>
  <c r="AL290" i="21" s="1"/>
  <c r="AG290" i="21"/>
  <c r="AH290" i="21" s="1"/>
  <c r="AE290" i="21"/>
  <c r="AF290" i="21" s="1"/>
  <c r="AC290" i="21"/>
  <c r="AD290" i="21" s="1"/>
  <c r="AA290" i="21"/>
  <c r="AB290" i="21" s="1"/>
  <c r="W290" i="21"/>
  <c r="X290" i="21" s="1"/>
  <c r="U290" i="21"/>
  <c r="V290" i="21" s="1"/>
  <c r="S290" i="21"/>
  <c r="Q290" i="21"/>
  <c r="R290" i="21" s="1"/>
  <c r="P290" i="21"/>
  <c r="O290" i="21"/>
  <c r="N290" i="21"/>
  <c r="M290" i="21"/>
  <c r="L290" i="21"/>
  <c r="K290" i="21"/>
  <c r="J290" i="21"/>
  <c r="I290" i="21"/>
  <c r="H290" i="21"/>
  <c r="G290" i="21"/>
  <c r="F290" i="21"/>
  <c r="E290" i="21"/>
  <c r="D290" i="21"/>
  <c r="C290" i="21"/>
  <c r="B290" i="21"/>
  <c r="A290" i="21"/>
  <c r="BG289" i="21"/>
  <c r="BH289" i="21" s="1"/>
  <c r="BE289" i="21"/>
  <c r="BF289" i="21" s="1"/>
  <c r="AW289" i="21"/>
  <c r="AX289" i="21" s="1"/>
  <c r="AU289" i="21"/>
  <c r="AV289" i="21" s="1"/>
  <c r="AS289" i="21"/>
  <c r="AT289" i="21" s="1"/>
  <c r="AQ289" i="21"/>
  <c r="AO289" i="21"/>
  <c r="AP289" i="21" s="1"/>
  <c r="AM289" i="21"/>
  <c r="AN289" i="21" s="1"/>
  <c r="AK289" i="21"/>
  <c r="AL289" i="21" s="1"/>
  <c r="AG289" i="21"/>
  <c r="AH289" i="21" s="1"/>
  <c r="AE289" i="21"/>
  <c r="AF289" i="21" s="1"/>
  <c r="AC289" i="21"/>
  <c r="AD289" i="21" s="1"/>
  <c r="AA289" i="21"/>
  <c r="AB289" i="21" s="1"/>
  <c r="W289" i="21"/>
  <c r="U289" i="21"/>
  <c r="V289" i="21" s="1"/>
  <c r="S289" i="21"/>
  <c r="T289" i="21" s="1"/>
  <c r="Q289" i="21"/>
  <c r="R289" i="21" s="1"/>
  <c r="P289" i="21"/>
  <c r="O289" i="21"/>
  <c r="N289" i="21"/>
  <c r="M289" i="21"/>
  <c r="L289" i="21"/>
  <c r="K289" i="21"/>
  <c r="J289" i="21"/>
  <c r="I289" i="21"/>
  <c r="H289" i="21"/>
  <c r="G289" i="21"/>
  <c r="F289" i="21"/>
  <c r="E289" i="21"/>
  <c r="D289" i="21"/>
  <c r="C289" i="21"/>
  <c r="B289" i="21"/>
  <c r="A289" i="21"/>
  <c r="BG288" i="21"/>
  <c r="BH288" i="21" s="1"/>
  <c r="BE288" i="21"/>
  <c r="AW288" i="21"/>
  <c r="AX288" i="21" s="1"/>
  <c r="AU288" i="21"/>
  <c r="AS288" i="21"/>
  <c r="AT288" i="21" s="1"/>
  <c r="AQ288" i="21"/>
  <c r="AR288" i="21" s="1"/>
  <c r="AO288" i="21"/>
  <c r="AP288" i="21" s="1"/>
  <c r="AM288" i="21"/>
  <c r="AN288" i="21" s="1"/>
  <c r="AK288" i="21"/>
  <c r="AL288" i="21" s="1"/>
  <c r="AG288" i="21"/>
  <c r="AH288" i="21" s="1"/>
  <c r="AE288" i="21"/>
  <c r="AF288" i="21" s="1"/>
  <c r="AC288" i="21"/>
  <c r="AA288" i="21"/>
  <c r="AB288" i="21" s="1"/>
  <c r="W288" i="21"/>
  <c r="X288" i="21" s="1"/>
  <c r="U288" i="21"/>
  <c r="V288" i="21" s="1"/>
  <c r="S288" i="21"/>
  <c r="T288" i="21" s="1"/>
  <c r="Q288" i="21"/>
  <c r="R288" i="21" s="1"/>
  <c r="P288" i="21"/>
  <c r="O288" i="21"/>
  <c r="N288" i="21"/>
  <c r="M288" i="21"/>
  <c r="L288" i="21"/>
  <c r="K288" i="21"/>
  <c r="J288" i="21"/>
  <c r="I288" i="21"/>
  <c r="H288" i="21"/>
  <c r="G288" i="21"/>
  <c r="F288" i="21"/>
  <c r="E288" i="21"/>
  <c r="D288" i="21"/>
  <c r="C288" i="21"/>
  <c r="B288" i="21"/>
  <c r="A288" i="21"/>
  <c r="BG287" i="21"/>
  <c r="BH287" i="21" s="1"/>
  <c r="BE287" i="21"/>
  <c r="BF287" i="21" s="1"/>
  <c r="AW287" i="21"/>
  <c r="AX287" i="21" s="1"/>
  <c r="AU287" i="21"/>
  <c r="AV287" i="21" s="1"/>
  <c r="AS287" i="21"/>
  <c r="AT287" i="21" s="1"/>
  <c r="AQ287" i="21"/>
  <c r="AR287" i="21" s="1"/>
  <c r="AO287" i="21"/>
  <c r="AP287" i="21" s="1"/>
  <c r="AM287" i="21"/>
  <c r="AN287" i="21" s="1"/>
  <c r="AK287" i="21"/>
  <c r="AL287" i="21" s="1"/>
  <c r="AG287" i="21"/>
  <c r="AE287" i="21"/>
  <c r="AF287" i="21" s="1"/>
  <c r="AC287" i="21"/>
  <c r="AD287" i="21" s="1"/>
  <c r="AA287" i="21"/>
  <c r="AB287" i="21" s="1"/>
  <c r="W287" i="21"/>
  <c r="X287" i="21" s="1"/>
  <c r="U287" i="21"/>
  <c r="S287" i="21"/>
  <c r="T287" i="21" s="1"/>
  <c r="Q287" i="21"/>
  <c r="R287" i="21" s="1"/>
  <c r="P287" i="21"/>
  <c r="O287" i="21"/>
  <c r="N287" i="21"/>
  <c r="M287" i="21"/>
  <c r="L287" i="21"/>
  <c r="K287" i="21"/>
  <c r="J287" i="21"/>
  <c r="I287" i="21"/>
  <c r="H287" i="21"/>
  <c r="G287" i="21"/>
  <c r="F287" i="21"/>
  <c r="E287" i="21"/>
  <c r="D287" i="21"/>
  <c r="C287" i="21"/>
  <c r="B287" i="21"/>
  <c r="A287" i="21"/>
  <c r="BG286" i="21"/>
  <c r="BE286" i="21"/>
  <c r="BF286" i="21" s="1"/>
  <c r="AW286" i="21"/>
  <c r="AX286" i="21" s="1"/>
  <c r="AU286" i="21"/>
  <c r="AV286" i="21" s="1"/>
  <c r="AS286" i="21"/>
  <c r="AT286" i="21" s="1"/>
  <c r="AQ286" i="21"/>
  <c r="AO286" i="21"/>
  <c r="AP286" i="21" s="1"/>
  <c r="AM286" i="21"/>
  <c r="AN286" i="21" s="1"/>
  <c r="AK286" i="21"/>
  <c r="AL286" i="21" s="1"/>
  <c r="AG286" i="21"/>
  <c r="AH286" i="21" s="1"/>
  <c r="AE286" i="21"/>
  <c r="AC286" i="21"/>
  <c r="AD286" i="21" s="1"/>
  <c r="AA286" i="21"/>
  <c r="AB286" i="21" s="1"/>
  <c r="W286" i="21"/>
  <c r="U286" i="21"/>
  <c r="V286" i="21" s="1"/>
  <c r="S286" i="21"/>
  <c r="T286" i="21" s="1"/>
  <c r="Q286" i="21"/>
  <c r="R286" i="21" s="1"/>
  <c r="P286" i="21"/>
  <c r="O286" i="21"/>
  <c r="N286" i="21"/>
  <c r="M286" i="21"/>
  <c r="L286" i="21"/>
  <c r="K286" i="21"/>
  <c r="J286" i="21"/>
  <c r="I286" i="21"/>
  <c r="H286" i="21"/>
  <c r="G286" i="21"/>
  <c r="F286" i="21"/>
  <c r="E286" i="21"/>
  <c r="D286" i="21"/>
  <c r="C286" i="21"/>
  <c r="B286" i="21"/>
  <c r="A286" i="21"/>
  <c r="BG285" i="21"/>
  <c r="BH285" i="21" s="1"/>
  <c r="BE285" i="21"/>
  <c r="BF285" i="21" s="1"/>
  <c r="AW285" i="21"/>
  <c r="AX285" i="21" s="1"/>
  <c r="AU285" i="21"/>
  <c r="AS285" i="21"/>
  <c r="AT285" i="21" s="1"/>
  <c r="AQ285" i="21"/>
  <c r="AO285" i="21"/>
  <c r="AP285" i="21" s="1"/>
  <c r="AM285" i="21"/>
  <c r="AN285" i="21" s="1"/>
  <c r="AK285" i="21"/>
  <c r="AL285" i="21" s="1"/>
  <c r="AG285" i="21"/>
  <c r="AH285" i="21" s="1"/>
  <c r="AE285" i="21"/>
  <c r="AF285" i="21" s="1"/>
  <c r="AC285" i="21"/>
  <c r="AA285" i="21"/>
  <c r="AB285" i="21" s="1"/>
  <c r="W285" i="21"/>
  <c r="U285" i="21"/>
  <c r="V285" i="21" s="1"/>
  <c r="S285" i="21"/>
  <c r="T285" i="21" s="1"/>
  <c r="Q285" i="21"/>
  <c r="R285" i="21" s="1"/>
  <c r="P285" i="21"/>
  <c r="O285" i="21"/>
  <c r="N285" i="21"/>
  <c r="M285" i="21"/>
  <c r="L285" i="21"/>
  <c r="K285" i="21"/>
  <c r="J285" i="21"/>
  <c r="I285" i="21"/>
  <c r="H285" i="21"/>
  <c r="G285" i="21"/>
  <c r="F285" i="21"/>
  <c r="E285" i="21"/>
  <c r="D285" i="21"/>
  <c r="C285" i="21"/>
  <c r="B285" i="21"/>
  <c r="A285" i="21"/>
  <c r="BG284" i="21"/>
  <c r="BH284" i="21" s="1"/>
  <c r="BE284" i="21"/>
  <c r="BF284" i="21" s="1"/>
  <c r="AW284" i="21"/>
  <c r="AX284" i="21" s="1"/>
  <c r="AU284" i="21"/>
  <c r="AV284" i="21" s="1"/>
  <c r="AS284" i="21"/>
  <c r="AT284" i="21" s="1"/>
  <c r="AQ284" i="21"/>
  <c r="AR284" i="21" s="1"/>
  <c r="AO284" i="21"/>
  <c r="AP284" i="21" s="1"/>
  <c r="AM284" i="21"/>
  <c r="AN284" i="21" s="1"/>
  <c r="AK284" i="21"/>
  <c r="AL284" i="21" s="1"/>
  <c r="AG284" i="21"/>
  <c r="AE284" i="21"/>
  <c r="AF284" i="21" s="1"/>
  <c r="AC284" i="21"/>
  <c r="AD284" i="21" s="1"/>
  <c r="AA284" i="21"/>
  <c r="AB284" i="21" s="1"/>
  <c r="W284" i="21"/>
  <c r="X284" i="21" s="1"/>
  <c r="U284" i="21"/>
  <c r="S284" i="21"/>
  <c r="T284" i="21" s="1"/>
  <c r="Q284" i="21"/>
  <c r="R284" i="21" s="1"/>
  <c r="P284" i="21"/>
  <c r="O284" i="21"/>
  <c r="N284" i="21"/>
  <c r="M284" i="21"/>
  <c r="L284" i="21"/>
  <c r="K284" i="21"/>
  <c r="J284" i="21"/>
  <c r="I284" i="21"/>
  <c r="H284" i="21"/>
  <c r="G284" i="21"/>
  <c r="F284" i="21"/>
  <c r="E284" i="21"/>
  <c r="D284" i="21"/>
  <c r="C284" i="21"/>
  <c r="B284" i="21"/>
  <c r="A284" i="21"/>
  <c r="BG283" i="21"/>
  <c r="BE283" i="21"/>
  <c r="BF283" i="21" s="1"/>
  <c r="AW283" i="21"/>
  <c r="AX283" i="21" s="1"/>
  <c r="AU283" i="21"/>
  <c r="AV283" i="21" s="1"/>
  <c r="AS283" i="21"/>
  <c r="AQ283" i="21"/>
  <c r="AR283" i="21" s="1"/>
  <c r="AO283" i="21"/>
  <c r="AP283" i="21" s="1"/>
  <c r="AM283" i="21"/>
  <c r="AK283" i="21"/>
  <c r="AL283" i="21" s="1"/>
  <c r="AG283" i="21"/>
  <c r="AH283" i="21" s="1"/>
  <c r="AE283" i="21"/>
  <c r="AF283" i="21" s="1"/>
  <c r="AC283" i="21"/>
  <c r="AD283" i="21" s="1"/>
  <c r="AA283" i="21"/>
  <c r="W283" i="21"/>
  <c r="X283" i="21" s="1"/>
  <c r="U283" i="21"/>
  <c r="V283" i="21" s="1"/>
  <c r="S283" i="21"/>
  <c r="Q283" i="21"/>
  <c r="R283" i="21" s="1"/>
  <c r="P283" i="21"/>
  <c r="O283" i="21"/>
  <c r="N283" i="21"/>
  <c r="M283" i="21"/>
  <c r="L283" i="21"/>
  <c r="K283" i="21"/>
  <c r="J283" i="21"/>
  <c r="I283" i="21"/>
  <c r="H283" i="21"/>
  <c r="G283" i="21"/>
  <c r="F283" i="21"/>
  <c r="E283" i="21"/>
  <c r="D283" i="21"/>
  <c r="C283" i="21"/>
  <c r="B283" i="21"/>
  <c r="A283" i="21"/>
  <c r="BG282" i="21"/>
  <c r="BH282" i="21" s="1"/>
  <c r="BE282" i="21"/>
  <c r="BF282" i="21" s="1"/>
  <c r="AW282" i="21"/>
  <c r="AX282" i="21" s="1"/>
  <c r="AU282" i="21"/>
  <c r="AV282" i="21" s="1"/>
  <c r="AS282" i="21"/>
  <c r="AT282" i="21" s="1"/>
  <c r="AQ282" i="21"/>
  <c r="AO282" i="21"/>
  <c r="AP282" i="21" s="1"/>
  <c r="AM282" i="21"/>
  <c r="AN282" i="21" s="1"/>
  <c r="AK282" i="21"/>
  <c r="AL282" i="21" s="1"/>
  <c r="AG282" i="21"/>
  <c r="AH282" i="21" s="1"/>
  <c r="AE282" i="21"/>
  <c r="AF282" i="21" s="1"/>
  <c r="AC282" i="21"/>
  <c r="AD282" i="21" s="1"/>
  <c r="AA282" i="21"/>
  <c r="AB282" i="21" s="1"/>
  <c r="W282" i="21"/>
  <c r="U282" i="21"/>
  <c r="V282" i="21" s="1"/>
  <c r="S282" i="21"/>
  <c r="Q282" i="21"/>
  <c r="R282" i="21" s="1"/>
  <c r="P282" i="21"/>
  <c r="O282" i="21"/>
  <c r="N282" i="21"/>
  <c r="M282" i="21"/>
  <c r="L282" i="21"/>
  <c r="K282" i="21"/>
  <c r="J282" i="21"/>
  <c r="I282" i="21"/>
  <c r="H282" i="21"/>
  <c r="G282" i="21"/>
  <c r="F282" i="21"/>
  <c r="E282" i="21"/>
  <c r="D282" i="21"/>
  <c r="C282" i="21"/>
  <c r="B282" i="21"/>
  <c r="A282" i="21"/>
  <c r="BG281" i="21"/>
  <c r="BH281" i="21" s="1"/>
  <c r="BE281" i="21"/>
  <c r="BF281" i="21" s="1"/>
  <c r="AW281" i="21"/>
  <c r="AX281" i="21" s="1"/>
  <c r="AU281" i="21"/>
  <c r="AS281" i="21"/>
  <c r="AT281" i="21" s="1"/>
  <c r="AQ281" i="21"/>
  <c r="AO281" i="21"/>
  <c r="AP281" i="21" s="1"/>
  <c r="AM281" i="21"/>
  <c r="AN281" i="21" s="1"/>
  <c r="AK281" i="21"/>
  <c r="AL281" i="21" s="1"/>
  <c r="AG281" i="21"/>
  <c r="AH281" i="21" s="1"/>
  <c r="AE281" i="21"/>
  <c r="AF281" i="21" s="1"/>
  <c r="AC281" i="21"/>
  <c r="AA281" i="21"/>
  <c r="AB281" i="21" s="1"/>
  <c r="W281" i="21"/>
  <c r="X281" i="21" s="1"/>
  <c r="U281" i="21"/>
  <c r="V281" i="21" s="1"/>
  <c r="S281" i="21"/>
  <c r="T281" i="21" s="1"/>
  <c r="Q281" i="21"/>
  <c r="R281" i="21" s="1"/>
  <c r="P281" i="21"/>
  <c r="O281" i="21"/>
  <c r="N281" i="21"/>
  <c r="M281" i="21"/>
  <c r="L281" i="21"/>
  <c r="K281" i="21"/>
  <c r="J281" i="21"/>
  <c r="I281" i="21"/>
  <c r="H281" i="21"/>
  <c r="G281" i="21"/>
  <c r="F281" i="21"/>
  <c r="E281" i="21"/>
  <c r="D281" i="21"/>
  <c r="C281" i="21"/>
  <c r="B281" i="21"/>
  <c r="A281" i="21"/>
  <c r="BG280" i="21"/>
  <c r="BE280" i="21"/>
  <c r="BF280" i="21" s="1"/>
  <c r="AW280" i="21"/>
  <c r="AX280" i="21" s="1"/>
  <c r="AU280" i="21"/>
  <c r="AV280" i="21" s="1"/>
  <c r="AS280" i="21"/>
  <c r="AT280" i="21" s="1"/>
  <c r="AQ280" i="21"/>
  <c r="AR280" i="21" s="1"/>
  <c r="AO280" i="21"/>
  <c r="AM280" i="21"/>
  <c r="AN280" i="21" s="1"/>
  <c r="AK280" i="21"/>
  <c r="AL280" i="21" s="1"/>
  <c r="AG280" i="21"/>
  <c r="AE280" i="21"/>
  <c r="AF280" i="21" s="1"/>
  <c r="AC280" i="21"/>
  <c r="AA280" i="21"/>
  <c r="AB280" i="21" s="1"/>
  <c r="W280" i="21"/>
  <c r="X280" i="21" s="1"/>
  <c r="U280" i="21"/>
  <c r="S280" i="21"/>
  <c r="T280" i="21" s="1"/>
  <c r="Q280" i="21"/>
  <c r="R280" i="21" s="1"/>
  <c r="P280" i="21"/>
  <c r="O280" i="21"/>
  <c r="N280" i="21"/>
  <c r="M280" i="21"/>
  <c r="L280" i="21"/>
  <c r="K280" i="21"/>
  <c r="J280" i="21"/>
  <c r="I280" i="21"/>
  <c r="H280" i="21"/>
  <c r="G280" i="21"/>
  <c r="F280" i="21"/>
  <c r="E280" i="21"/>
  <c r="D280" i="21"/>
  <c r="C280" i="21"/>
  <c r="B280" i="21"/>
  <c r="A280" i="21"/>
  <c r="BG279" i="21"/>
  <c r="BE279" i="21"/>
  <c r="BF279" i="21" s="1"/>
  <c r="AW279" i="21"/>
  <c r="AX279" i="21" s="1"/>
  <c r="AU279" i="21"/>
  <c r="AV279" i="21" s="1"/>
  <c r="AS279" i="21"/>
  <c r="AQ279" i="21"/>
  <c r="AR279" i="21" s="1"/>
  <c r="AO279" i="21"/>
  <c r="AP279" i="21" s="1"/>
  <c r="AM279" i="21"/>
  <c r="AK279" i="21"/>
  <c r="AL279" i="21" s="1"/>
  <c r="AG279" i="21"/>
  <c r="AH279" i="21" s="1"/>
  <c r="AE279" i="21"/>
  <c r="AF279" i="21" s="1"/>
  <c r="AC279" i="21"/>
  <c r="AD279" i="21" s="1"/>
  <c r="AA279" i="21"/>
  <c r="W279" i="21"/>
  <c r="X279" i="21" s="1"/>
  <c r="U279" i="21"/>
  <c r="V279" i="21" s="1"/>
  <c r="S279" i="21"/>
  <c r="Q279" i="21"/>
  <c r="R279" i="21" s="1"/>
  <c r="P279" i="21"/>
  <c r="O279" i="21"/>
  <c r="N279" i="21"/>
  <c r="M279" i="21"/>
  <c r="L279" i="21"/>
  <c r="K279" i="21"/>
  <c r="J279" i="21"/>
  <c r="I279" i="21"/>
  <c r="H279" i="21"/>
  <c r="G279" i="21"/>
  <c r="F279" i="21"/>
  <c r="E279" i="21"/>
  <c r="D279" i="21"/>
  <c r="C279" i="21"/>
  <c r="B279" i="21"/>
  <c r="A279" i="21"/>
  <c r="BG278" i="21"/>
  <c r="BH278" i="21" s="1"/>
  <c r="BE278" i="21"/>
  <c r="BF278" i="21" s="1"/>
  <c r="AW278" i="21"/>
  <c r="AX278" i="21" s="1"/>
  <c r="AU278" i="21"/>
  <c r="AV278" i="21" s="1"/>
  <c r="AS278" i="21"/>
  <c r="AT278" i="21" s="1"/>
  <c r="AQ278" i="21"/>
  <c r="AO278" i="21"/>
  <c r="AP278" i="21" s="1"/>
  <c r="AM278" i="21"/>
  <c r="AK278" i="21"/>
  <c r="AL278" i="21" s="1"/>
  <c r="AG278" i="21"/>
  <c r="AH278" i="21" s="1"/>
  <c r="AE278" i="21"/>
  <c r="AF278" i="21" s="1"/>
  <c r="AC278" i="21"/>
  <c r="AD278" i="21" s="1"/>
  <c r="AA278" i="21"/>
  <c r="AB278" i="21" s="1"/>
  <c r="W278" i="21"/>
  <c r="U278" i="21"/>
  <c r="V278" i="21" s="1"/>
  <c r="S278" i="21"/>
  <c r="Q278" i="21"/>
  <c r="R278" i="21" s="1"/>
  <c r="P278" i="21"/>
  <c r="O278" i="21"/>
  <c r="N278" i="21"/>
  <c r="M278" i="21"/>
  <c r="L278" i="21"/>
  <c r="K278" i="21"/>
  <c r="J278" i="21"/>
  <c r="I278" i="21"/>
  <c r="H278" i="21"/>
  <c r="G278" i="21"/>
  <c r="F278" i="21"/>
  <c r="E278" i="21"/>
  <c r="D278" i="21"/>
  <c r="C278" i="21"/>
  <c r="B278" i="21"/>
  <c r="A278" i="21"/>
  <c r="BG277" i="21"/>
  <c r="BH277" i="21" s="1"/>
  <c r="BE277" i="21"/>
  <c r="BF277" i="21" s="1"/>
  <c r="AW277" i="21"/>
  <c r="AX277" i="21" s="1"/>
  <c r="AU277" i="21"/>
  <c r="AS277" i="21"/>
  <c r="AT277" i="21" s="1"/>
  <c r="AQ277" i="21"/>
  <c r="AR277" i="21" s="1"/>
  <c r="AO277" i="21"/>
  <c r="AP277" i="21" s="1"/>
  <c r="AM277" i="21"/>
  <c r="AN277" i="21" s="1"/>
  <c r="AK277" i="21"/>
  <c r="AL277" i="21" s="1"/>
  <c r="AG277" i="21"/>
  <c r="AH277" i="21" s="1"/>
  <c r="AE277" i="21"/>
  <c r="AF277" i="21" s="1"/>
  <c r="AC277" i="21"/>
  <c r="AA277" i="21"/>
  <c r="AB277" i="21" s="1"/>
  <c r="W277" i="21"/>
  <c r="U277" i="21"/>
  <c r="V277" i="21" s="1"/>
  <c r="S277" i="21"/>
  <c r="T277" i="21" s="1"/>
  <c r="Q277" i="21"/>
  <c r="P277" i="21"/>
  <c r="O277" i="21"/>
  <c r="N277" i="21"/>
  <c r="M277" i="21"/>
  <c r="L277" i="21"/>
  <c r="K277" i="21"/>
  <c r="J277" i="21"/>
  <c r="I277" i="21"/>
  <c r="H277" i="21"/>
  <c r="G277" i="21"/>
  <c r="F277" i="21"/>
  <c r="E277" i="21"/>
  <c r="D277" i="21"/>
  <c r="C277" i="21"/>
  <c r="B277" i="21"/>
  <c r="A277" i="21"/>
  <c r="BG276" i="21"/>
  <c r="BH276" i="21" s="1"/>
  <c r="BE276" i="21"/>
  <c r="BF276" i="21" s="1"/>
  <c r="AW276" i="21"/>
  <c r="AX276" i="21" s="1"/>
  <c r="AU276" i="21"/>
  <c r="AS276" i="21"/>
  <c r="AT276" i="21" s="1"/>
  <c r="AQ276" i="21"/>
  <c r="AR276" i="21" s="1"/>
  <c r="AO276" i="21"/>
  <c r="AM276" i="21"/>
  <c r="AN276" i="21" s="1"/>
  <c r="AK276" i="21"/>
  <c r="AL276" i="21" s="1"/>
  <c r="AG276" i="21"/>
  <c r="AE276" i="21"/>
  <c r="AF276" i="21" s="1"/>
  <c r="AC276" i="21"/>
  <c r="AD276" i="21" s="1"/>
  <c r="AA276" i="21"/>
  <c r="AB276" i="21" s="1"/>
  <c r="W276" i="21"/>
  <c r="X276" i="21" s="1"/>
  <c r="U276" i="21"/>
  <c r="S276" i="21"/>
  <c r="T276" i="21" s="1"/>
  <c r="Q276" i="21"/>
  <c r="R276" i="21" s="1"/>
  <c r="P276" i="21"/>
  <c r="O276" i="21"/>
  <c r="N276" i="21"/>
  <c r="M276" i="21"/>
  <c r="L276" i="21"/>
  <c r="K276" i="21"/>
  <c r="J276" i="21"/>
  <c r="I276" i="21"/>
  <c r="H276" i="21"/>
  <c r="G276" i="21"/>
  <c r="F276" i="21"/>
  <c r="E276" i="21"/>
  <c r="D276" i="21"/>
  <c r="C276" i="21"/>
  <c r="B276" i="21"/>
  <c r="A276" i="21"/>
  <c r="BG275" i="21"/>
  <c r="BE275" i="21"/>
  <c r="BF275" i="21" s="1"/>
  <c r="AW275" i="21"/>
  <c r="AX275" i="21" s="1"/>
  <c r="AU275" i="21"/>
  <c r="AV275" i="21" s="1"/>
  <c r="AS275" i="21"/>
  <c r="AQ275" i="21"/>
  <c r="AR275" i="21" s="1"/>
  <c r="AO275" i="21"/>
  <c r="AP275" i="21" s="1"/>
  <c r="AM275" i="21"/>
  <c r="AK275" i="21"/>
  <c r="AL275" i="21" s="1"/>
  <c r="AG275" i="21"/>
  <c r="AH275" i="21" s="1"/>
  <c r="AE275" i="21"/>
  <c r="AF275" i="21" s="1"/>
  <c r="AC275" i="21"/>
  <c r="AD275" i="21" s="1"/>
  <c r="AA275" i="21"/>
  <c r="AB275" i="21" s="1"/>
  <c r="W275" i="21"/>
  <c r="X275" i="21" s="1"/>
  <c r="U275" i="21"/>
  <c r="V275" i="21" s="1"/>
  <c r="S275" i="21"/>
  <c r="Q275" i="21"/>
  <c r="R275" i="21" s="1"/>
  <c r="P275" i="21"/>
  <c r="O275" i="21"/>
  <c r="N275" i="21"/>
  <c r="M275" i="21"/>
  <c r="L275" i="21"/>
  <c r="K275" i="21"/>
  <c r="J275" i="21"/>
  <c r="I275" i="21"/>
  <c r="H275" i="21"/>
  <c r="G275" i="21"/>
  <c r="F275" i="21"/>
  <c r="E275" i="21"/>
  <c r="D275" i="21"/>
  <c r="C275" i="21"/>
  <c r="B275" i="21"/>
  <c r="A275" i="21"/>
  <c r="BG274" i="21"/>
  <c r="BE274" i="21"/>
  <c r="BF274" i="21" s="1"/>
  <c r="AW274" i="21"/>
  <c r="AX274" i="21" s="1"/>
  <c r="AU274" i="21"/>
  <c r="AV274" i="21" s="1"/>
  <c r="AS274" i="21"/>
  <c r="AT274" i="21" s="1"/>
  <c r="AQ274" i="21"/>
  <c r="AO274" i="21"/>
  <c r="AP274" i="21" s="1"/>
  <c r="AM274" i="21"/>
  <c r="AK274" i="21"/>
  <c r="AL274" i="21" s="1"/>
  <c r="AG274" i="21"/>
  <c r="AH274" i="21" s="1"/>
  <c r="AE274" i="21"/>
  <c r="AF274" i="21" s="1"/>
  <c r="AC274" i="21"/>
  <c r="AD274" i="21" s="1"/>
  <c r="AA274" i="21"/>
  <c r="AB274" i="21" s="1"/>
  <c r="W274" i="21"/>
  <c r="U274" i="21"/>
  <c r="V274" i="21" s="1"/>
  <c r="S274" i="21"/>
  <c r="T274" i="21" s="1"/>
  <c r="Q274" i="21"/>
  <c r="R274" i="21" s="1"/>
  <c r="P274" i="21"/>
  <c r="O274" i="21"/>
  <c r="N274" i="21"/>
  <c r="M274" i="21"/>
  <c r="L274" i="21"/>
  <c r="K274" i="21"/>
  <c r="J274" i="21"/>
  <c r="I274" i="21"/>
  <c r="H274" i="21"/>
  <c r="G274" i="21"/>
  <c r="F274" i="21"/>
  <c r="E274" i="21"/>
  <c r="D274" i="21"/>
  <c r="C274" i="21"/>
  <c r="B274" i="21"/>
  <c r="A274" i="21"/>
  <c r="BG273" i="21"/>
  <c r="BH273" i="21" s="1"/>
  <c r="BE273" i="21"/>
  <c r="BF273" i="21" s="1"/>
  <c r="AW273" i="21"/>
  <c r="AX273" i="21" s="1"/>
  <c r="AU273" i="21"/>
  <c r="AS273" i="21"/>
  <c r="AT273" i="21" s="1"/>
  <c r="AQ273" i="21"/>
  <c r="AR273" i="21" s="1"/>
  <c r="AO273" i="21"/>
  <c r="AP273" i="21" s="1"/>
  <c r="AM273" i="21"/>
  <c r="AN273" i="21" s="1"/>
  <c r="AK273" i="21"/>
  <c r="AG273" i="21"/>
  <c r="AH273" i="21" s="1"/>
  <c r="AE273" i="21"/>
  <c r="AF273" i="21" s="1"/>
  <c r="AC273" i="21"/>
  <c r="AA273" i="21"/>
  <c r="AB273" i="21" s="1"/>
  <c r="W273" i="21"/>
  <c r="U273" i="21"/>
  <c r="V273" i="21" s="1"/>
  <c r="S273" i="21"/>
  <c r="T273" i="21" s="1"/>
  <c r="Q273" i="21"/>
  <c r="P273" i="21"/>
  <c r="O273" i="21"/>
  <c r="N273" i="21"/>
  <c r="M273" i="21"/>
  <c r="L273" i="21"/>
  <c r="K273" i="21"/>
  <c r="J273" i="21"/>
  <c r="I273" i="21"/>
  <c r="H273" i="21"/>
  <c r="G273" i="21"/>
  <c r="F273" i="21"/>
  <c r="E273" i="21"/>
  <c r="D273" i="21"/>
  <c r="C273" i="21"/>
  <c r="B273" i="21"/>
  <c r="A273" i="21"/>
  <c r="BG272" i="21"/>
  <c r="BH272" i="21" s="1"/>
  <c r="BE272" i="21"/>
  <c r="BF272" i="21" s="1"/>
  <c r="AW272" i="21"/>
  <c r="AX272" i="21" s="1"/>
  <c r="AU272" i="21"/>
  <c r="AV272" i="21" s="1"/>
  <c r="AS272" i="21"/>
  <c r="AT272" i="21" s="1"/>
  <c r="AQ272" i="21"/>
  <c r="AR272" i="21" s="1"/>
  <c r="AO272" i="21"/>
  <c r="AM272" i="21"/>
  <c r="AN272" i="21" s="1"/>
  <c r="AK272" i="21"/>
  <c r="AL272" i="21" s="1"/>
  <c r="AG272" i="21"/>
  <c r="AE272" i="21"/>
  <c r="AF272" i="21" s="1"/>
  <c r="AC272" i="21"/>
  <c r="AD272" i="21" s="1"/>
  <c r="AA272" i="21"/>
  <c r="AB272" i="21" s="1"/>
  <c r="W272" i="21"/>
  <c r="X272" i="21" s="1"/>
  <c r="U272" i="21"/>
  <c r="S272" i="21"/>
  <c r="T272" i="21" s="1"/>
  <c r="Q272" i="21"/>
  <c r="R272" i="21" s="1"/>
  <c r="P272" i="21"/>
  <c r="O272" i="21"/>
  <c r="N272" i="21"/>
  <c r="M272" i="21"/>
  <c r="L272" i="21"/>
  <c r="K272" i="21"/>
  <c r="J272" i="21"/>
  <c r="I272" i="21"/>
  <c r="H272" i="21"/>
  <c r="G272" i="21"/>
  <c r="F272" i="21"/>
  <c r="E272" i="21"/>
  <c r="D272" i="21"/>
  <c r="C272" i="21"/>
  <c r="B272" i="21"/>
  <c r="A272" i="21"/>
  <c r="BG271" i="21"/>
  <c r="BE271" i="21"/>
  <c r="BF271" i="21" s="1"/>
  <c r="AW271" i="21"/>
  <c r="AX271" i="21" s="1"/>
  <c r="AU271" i="21"/>
  <c r="AV271" i="21" s="1"/>
  <c r="AS271" i="21"/>
  <c r="AT271" i="21" s="1"/>
  <c r="AQ271" i="21"/>
  <c r="AR271" i="21" s="1"/>
  <c r="AO271" i="21"/>
  <c r="AP271" i="21" s="1"/>
  <c r="AM271" i="21"/>
  <c r="AK271" i="21"/>
  <c r="AL271" i="21" s="1"/>
  <c r="AG271" i="21"/>
  <c r="AE271" i="21"/>
  <c r="AF271" i="21" s="1"/>
  <c r="AC271" i="21"/>
  <c r="AD271" i="21" s="1"/>
  <c r="AA271" i="21"/>
  <c r="AB271" i="21" s="1"/>
  <c r="W271" i="21"/>
  <c r="X271" i="21" s="1"/>
  <c r="U271" i="21"/>
  <c r="V271" i="21" s="1"/>
  <c r="S271" i="21"/>
  <c r="Q271" i="21"/>
  <c r="R271" i="21" s="1"/>
  <c r="P271" i="21"/>
  <c r="O271" i="21"/>
  <c r="N271" i="21"/>
  <c r="M271" i="21"/>
  <c r="L271" i="21"/>
  <c r="K271" i="21"/>
  <c r="J271" i="21"/>
  <c r="I271" i="21"/>
  <c r="H271" i="21"/>
  <c r="G271" i="21"/>
  <c r="F271" i="21"/>
  <c r="E271" i="21"/>
  <c r="D271" i="21"/>
  <c r="C271" i="21"/>
  <c r="B271" i="21"/>
  <c r="A271" i="21"/>
  <c r="BG270" i="21"/>
  <c r="BE270" i="21"/>
  <c r="BF270" i="21" s="1"/>
  <c r="AW270" i="21"/>
  <c r="AX270" i="21" s="1"/>
  <c r="AU270" i="21"/>
  <c r="AV270" i="21" s="1"/>
  <c r="AS270" i="21"/>
  <c r="AT270" i="21" s="1"/>
  <c r="AQ270" i="21"/>
  <c r="AO270" i="21"/>
  <c r="AP270" i="21" s="1"/>
  <c r="AM270" i="21"/>
  <c r="AN270" i="21" s="1"/>
  <c r="AK270" i="21"/>
  <c r="AL270" i="21" s="1"/>
  <c r="AG270" i="21"/>
  <c r="AH270" i="21" s="1"/>
  <c r="AE270" i="21"/>
  <c r="AF270" i="21" s="1"/>
  <c r="AC270" i="21"/>
  <c r="AD270" i="21" s="1"/>
  <c r="AA270" i="21"/>
  <c r="AB270" i="21" s="1"/>
  <c r="W270" i="21"/>
  <c r="U270" i="21"/>
  <c r="V270" i="21" s="1"/>
  <c r="S270" i="21"/>
  <c r="T270" i="21" s="1"/>
  <c r="Q270" i="21"/>
  <c r="R270" i="21" s="1"/>
  <c r="P270" i="21"/>
  <c r="O270" i="21"/>
  <c r="N270" i="21"/>
  <c r="M270" i="21"/>
  <c r="L270" i="21"/>
  <c r="K270" i="21"/>
  <c r="J270" i="21"/>
  <c r="I270" i="21"/>
  <c r="H270" i="21"/>
  <c r="G270" i="21"/>
  <c r="F270" i="21"/>
  <c r="E270" i="21"/>
  <c r="D270" i="21"/>
  <c r="C270" i="21"/>
  <c r="B270" i="21"/>
  <c r="A270" i="21"/>
  <c r="BG269" i="21"/>
  <c r="BH269" i="21" s="1"/>
  <c r="BE269" i="21"/>
  <c r="AW269" i="21"/>
  <c r="AX269" i="21" s="1"/>
  <c r="AU269" i="21"/>
  <c r="AS269" i="21"/>
  <c r="AT269" i="21" s="1"/>
  <c r="AQ269" i="21"/>
  <c r="AO269" i="21"/>
  <c r="AP269" i="21" s="1"/>
  <c r="AM269" i="21"/>
  <c r="AN269" i="21" s="1"/>
  <c r="AK269" i="21"/>
  <c r="AG269" i="21"/>
  <c r="AH269" i="21" s="1"/>
  <c r="AE269" i="21"/>
  <c r="AF269" i="21" s="1"/>
  <c r="AC269" i="21"/>
  <c r="AA269" i="21"/>
  <c r="AB269" i="21" s="1"/>
  <c r="W269" i="21"/>
  <c r="X269" i="21" s="1"/>
  <c r="U269" i="21"/>
  <c r="V269" i="21" s="1"/>
  <c r="S269" i="21"/>
  <c r="T269" i="21" s="1"/>
  <c r="Q269" i="21"/>
  <c r="P269" i="21"/>
  <c r="O269" i="21"/>
  <c r="N269" i="21"/>
  <c r="M269" i="21"/>
  <c r="L269" i="21"/>
  <c r="K269" i="21"/>
  <c r="J269" i="21"/>
  <c r="I269" i="21"/>
  <c r="H269" i="21"/>
  <c r="G269" i="21"/>
  <c r="F269" i="21"/>
  <c r="E269" i="21"/>
  <c r="D269" i="21"/>
  <c r="C269" i="21"/>
  <c r="B269" i="21"/>
  <c r="A269" i="21"/>
  <c r="BG268" i="21"/>
  <c r="BH268" i="21" s="1"/>
  <c r="BE268" i="21"/>
  <c r="BF268" i="21" s="1"/>
  <c r="AW268" i="21"/>
  <c r="AX268" i="21" s="1"/>
  <c r="AU268" i="21"/>
  <c r="AV268" i="21" s="1"/>
  <c r="AS268" i="21"/>
  <c r="AT268" i="21" s="1"/>
  <c r="AQ268" i="21"/>
  <c r="AR268" i="21" s="1"/>
  <c r="AO268" i="21"/>
  <c r="AM268" i="21"/>
  <c r="AN268" i="21" s="1"/>
  <c r="AK268" i="21"/>
  <c r="AL268" i="21" s="1"/>
  <c r="AG268" i="21"/>
  <c r="AE268" i="21"/>
  <c r="AF268" i="21" s="1"/>
  <c r="AC268" i="21"/>
  <c r="AD268" i="21" s="1"/>
  <c r="AA268" i="21"/>
  <c r="AB268" i="21" s="1"/>
  <c r="W268" i="21"/>
  <c r="X268" i="21" s="1"/>
  <c r="U268" i="21"/>
  <c r="V268" i="21" s="1"/>
  <c r="S268" i="21"/>
  <c r="T268" i="21" s="1"/>
  <c r="Q268" i="21"/>
  <c r="R268" i="21" s="1"/>
  <c r="P268" i="21"/>
  <c r="O268" i="21"/>
  <c r="N268" i="21"/>
  <c r="M268" i="21"/>
  <c r="L268" i="21"/>
  <c r="K268" i="21"/>
  <c r="J268" i="21"/>
  <c r="I268" i="21"/>
  <c r="H268" i="21"/>
  <c r="G268" i="21"/>
  <c r="F268" i="21"/>
  <c r="E268" i="21"/>
  <c r="D268" i="21"/>
  <c r="C268" i="21"/>
  <c r="B268" i="21"/>
  <c r="A268" i="21"/>
  <c r="BG267" i="21"/>
  <c r="BE267" i="21"/>
  <c r="BF267" i="21" s="1"/>
  <c r="AW267" i="21"/>
  <c r="AX267" i="21" s="1"/>
  <c r="AU267" i="21"/>
  <c r="AV267" i="21" s="1"/>
  <c r="AS267" i="21"/>
  <c r="AT267" i="21" s="1"/>
  <c r="AQ267" i="21"/>
  <c r="AR267" i="21" s="1"/>
  <c r="AO267" i="21"/>
  <c r="AP267" i="21" s="1"/>
  <c r="AM267" i="21"/>
  <c r="AK267" i="21"/>
  <c r="AL267" i="21" s="1"/>
  <c r="AG267" i="21"/>
  <c r="AH267" i="21" s="1"/>
  <c r="AE267" i="21"/>
  <c r="AF267" i="21" s="1"/>
  <c r="AC267" i="21"/>
  <c r="AD267" i="21" s="1"/>
  <c r="AA267" i="21"/>
  <c r="AB267" i="21" s="1"/>
  <c r="W267" i="21"/>
  <c r="X267" i="21" s="1"/>
  <c r="U267" i="21"/>
  <c r="V267" i="21" s="1"/>
  <c r="S267" i="21"/>
  <c r="Q267" i="21"/>
  <c r="R267" i="21" s="1"/>
  <c r="P267" i="21"/>
  <c r="O267" i="21"/>
  <c r="N267" i="21"/>
  <c r="M267" i="21"/>
  <c r="L267" i="21"/>
  <c r="K267" i="21"/>
  <c r="J267" i="21"/>
  <c r="I267" i="21"/>
  <c r="H267" i="21"/>
  <c r="G267" i="21"/>
  <c r="F267" i="21"/>
  <c r="E267" i="21"/>
  <c r="D267" i="21"/>
  <c r="C267" i="21"/>
  <c r="B267" i="21"/>
  <c r="A267" i="21"/>
  <c r="BG266" i="21"/>
  <c r="BH266" i="21" s="1"/>
  <c r="BE266" i="21"/>
  <c r="BF266" i="21" s="1"/>
  <c r="AW266" i="21"/>
  <c r="AU266" i="21"/>
  <c r="AV266" i="21" s="1"/>
  <c r="AS266" i="21"/>
  <c r="AT266" i="21" s="1"/>
  <c r="AQ266" i="21"/>
  <c r="AO266" i="21"/>
  <c r="AP266" i="21" s="1"/>
  <c r="AM266" i="21"/>
  <c r="AN266" i="21" s="1"/>
  <c r="AK266" i="21"/>
  <c r="AL266" i="21" s="1"/>
  <c r="AG266" i="21"/>
  <c r="AH266" i="21" s="1"/>
  <c r="AE266" i="21"/>
  <c r="AF266" i="21" s="1"/>
  <c r="AC266" i="21"/>
  <c r="AD266" i="21" s="1"/>
  <c r="AA266" i="21"/>
  <c r="AB266" i="21" s="1"/>
  <c r="W266" i="21"/>
  <c r="U266" i="21"/>
  <c r="V266" i="21" s="1"/>
  <c r="S266" i="21"/>
  <c r="Q266" i="21"/>
  <c r="R266" i="21" s="1"/>
  <c r="P266" i="21"/>
  <c r="O266" i="21"/>
  <c r="N266" i="21"/>
  <c r="M266" i="21"/>
  <c r="L266" i="21"/>
  <c r="K266" i="21"/>
  <c r="J266" i="21"/>
  <c r="I266" i="21"/>
  <c r="H266" i="21"/>
  <c r="G266" i="21"/>
  <c r="F266" i="21"/>
  <c r="E266" i="21"/>
  <c r="D266" i="21"/>
  <c r="C266" i="21"/>
  <c r="B266" i="21"/>
  <c r="A266" i="21"/>
  <c r="BG265" i="21"/>
  <c r="BH265" i="21" s="1"/>
  <c r="BE265" i="21"/>
  <c r="AW265" i="21"/>
  <c r="AX265" i="21" s="1"/>
  <c r="AU265" i="21"/>
  <c r="AS265" i="21"/>
  <c r="AT265" i="21" s="1"/>
  <c r="AQ265" i="21"/>
  <c r="AR265" i="21" s="1"/>
  <c r="AO265" i="21"/>
  <c r="AP265" i="21" s="1"/>
  <c r="AM265" i="21"/>
  <c r="AN265" i="21" s="1"/>
  <c r="AK265" i="21"/>
  <c r="AG265" i="21"/>
  <c r="AH265" i="21" s="1"/>
  <c r="AE265" i="21"/>
  <c r="AF265" i="21" s="1"/>
  <c r="AC265" i="21"/>
  <c r="AD265" i="21" s="1"/>
  <c r="AA265" i="21"/>
  <c r="AB265" i="21" s="1"/>
  <c r="W265" i="21"/>
  <c r="X265" i="21" s="1"/>
  <c r="U265" i="21"/>
  <c r="V265" i="21" s="1"/>
  <c r="S265" i="21"/>
  <c r="T265" i="21" s="1"/>
  <c r="Q265" i="21"/>
  <c r="P265" i="21"/>
  <c r="O265" i="21"/>
  <c r="N265" i="21"/>
  <c r="M265" i="21"/>
  <c r="L265" i="21"/>
  <c r="K265" i="21"/>
  <c r="J265" i="21"/>
  <c r="I265" i="21"/>
  <c r="H265" i="21"/>
  <c r="G265" i="21"/>
  <c r="F265" i="21"/>
  <c r="E265" i="21"/>
  <c r="D265" i="21"/>
  <c r="C265" i="21"/>
  <c r="B265" i="21"/>
  <c r="A265" i="21"/>
  <c r="BG264" i="21"/>
  <c r="BH264" i="21" s="1"/>
  <c r="BE264" i="21"/>
  <c r="BF264" i="21" s="1"/>
  <c r="AW264" i="21"/>
  <c r="AX264" i="21" s="1"/>
  <c r="AU264" i="21"/>
  <c r="AV264" i="21" s="1"/>
  <c r="AS264" i="21"/>
  <c r="AT264" i="21" s="1"/>
  <c r="AQ264" i="21"/>
  <c r="AR264" i="21" s="1"/>
  <c r="AO264" i="21"/>
  <c r="AP264" i="21" s="1"/>
  <c r="AM264" i="21"/>
  <c r="AN264" i="21" s="1"/>
  <c r="AK264" i="21"/>
  <c r="AL264" i="21" s="1"/>
  <c r="AG264" i="21"/>
  <c r="AE264" i="21"/>
  <c r="AF264" i="21" s="1"/>
  <c r="AC264" i="21"/>
  <c r="AA264" i="21"/>
  <c r="AB264" i="21" s="1"/>
  <c r="W264" i="21"/>
  <c r="U264" i="21"/>
  <c r="V264" i="21" s="1"/>
  <c r="S264" i="21"/>
  <c r="T264" i="21" s="1"/>
  <c r="Q264" i="21"/>
  <c r="R264" i="21" s="1"/>
  <c r="P264" i="21"/>
  <c r="O264" i="21"/>
  <c r="N264" i="21"/>
  <c r="M264" i="21"/>
  <c r="L264" i="21"/>
  <c r="K264" i="21"/>
  <c r="J264" i="21"/>
  <c r="I264" i="21"/>
  <c r="H264" i="21"/>
  <c r="G264" i="21"/>
  <c r="F264" i="21"/>
  <c r="E264" i="21"/>
  <c r="D264" i="21"/>
  <c r="C264" i="21"/>
  <c r="B264" i="21"/>
  <c r="A264" i="21"/>
  <c r="BG263" i="21"/>
  <c r="BH263" i="21" s="1"/>
  <c r="BE263" i="21"/>
  <c r="BF263" i="21" s="1"/>
  <c r="AW263" i="21"/>
  <c r="AX263" i="21" s="1"/>
  <c r="AU263" i="21"/>
  <c r="AS263" i="21"/>
  <c r="AT263" i="21" s="1"/>
  <c r="AQ263" i="21"/>
  <c r="AR263" i="21" s="1"/>
  <c r="AO263" i="21"/>
  <c r="AP263" i="21" s="1"/>
  <c r="AM263" i="21"/>
  <c r="AN263" i="21" s="1"/>
  <c r="AK263" i="21"/>
  <c r="AG263" i="21"/>
  <c r="AH263" i="21" s="1"/>
  <c r="AE263" i="21"/>
  <c r="AF263" i="21" s="1"/>
  <c r="AC263" i="21"/>
  <c r="AA263" i="21"/>
  <c r="AB263" i="21" s="1"/>
  <c r="W263" i="21"/>
  <c r="X263" i="21" s="1"/>
  <c r="U263" i="21"/>
  <c r="V263" i="21" s="1"/>
  <c r="S263" i="21"/>
  <c r="T263" i="21" s="1"/>
  <c r="Q263" i="21"/>
  <c r="R263" i="21" s="1"/>
  <c r="P263" i="21"/>
  <c r="O263" i="21"/>
  <c r="N263" i="21"/>
  <c r="M263" i="21"/>
  <c r="L263" i="21"/>
  <c r="K263" i="21"/>
  <c r="J263" i="21"/>
  <c r="I263" i="21"/>
  <c r="H263" i="21"/>
  <c r="G263" i="21"/>
  <c r="F263" i="21"/>
  <c r="E263" i="21"/>
  <c r="D263" i="21"/>
  <c r="C263" i="21"/>
  <c r="B263" i="21"/>
  <c r="A263" i="21"/>
  <c r="BG262" i="21"/>
  <c r="BH262" i="21" s="1"/>
  <c r="BE262" i="21"/>
  <c r="BF262" i="21" s="1"/>
  <c r="AW262" i="21"/>
  <c r="AX262" i="21" s="1"/>
  <c r="AU262" i="21"/>
  <c r="AV262" i="21" s="1"/>
  <c r="AS262" i="21"/>
  <c r="AT262" i="21" s="1"/>
  <c r="AQ262" i="21"/>
  <c r="AR262" i="21" s="1"/>
  <c r="AO262" i="21"/>
  <c r="AM262" i="21"/>
  <c r="AN262" i="21" s="1"/>
  <c r="AK262" i="21"/>
  <c r="AL262" i="21" s="1"/>
  <c r="AG262" i="21"/>
  <c r="AE262" i="21"/>
  <c r="AF262" i="21" s="1"/>
  <c r="AC262" i="21"/>
  <c r="AD262" i="21" s="1"/>
  <c r="AA262" i="21"/>
  <c r="AB262" i="21" s="1"/>
  <c r="W262" i="21"/>
  <c r="X262" i="21" s="1"/>
  <c r="U262" i="21"/>
  <c r="V262" i="21" s="1"/>
  <c r="S262" i="21"/>
  <c r="T262" i="21" s="1"/>
  <c r="Q262" i="21"/>
  <c r="R262" i="21" s="1"/>
  <c r="P262" i="21"/>
  <c r="O262" i="21"/>
  <c r="N262" i="21"/>
  <c r="M262" i="21"/>
  <c r="L262" i="21"/>
  <c r="K262" i="21"/>
  <c r="J262" i="21"/>
  <c r="I262" i="21"/>
  <c r="H262" i="21"/>
  <c r="G262" i="21"/>
  <c r="F262" i="21"/>
  <c r="E262" i="21"/>
  <c r="D262" i="21"/>
  <c r="C262" i="21"/>
  <c r="B262" i="21"/>
  <c r="A262" i="21"/>
  <c r="BG261" i="21"/>
  <c r="BE261" i="21"/>
  <c r="BF261" i="21" s="1"/>
  <c r="AW261" i="21"/>
  <c r="AX261" i="21" s="1"/>
  <c r="AU261" i="21"/>
  <c r="AV261" i="21" s="1"/>
  <c r="AS261" i="21"/>
  <c r="AQ261" i="21"/>
  <c r="AR261" i="21" s="1"/>
  <c r="AO261" i="21"/>
  <c r="AP261" i="21" s="1"/>
  <c r="AM261" i="21"/>
  <c r="AK261" i="21"/>
  <c r="AL261" i="21" s="1"/>
  <c r="AG261" i="21"/>
  <c r="AH261" i="21" s="1"/>
  <c r="AE261" i="21"/>
  <c r="AF261" i="21" s="1"/>
  <c r="AC261" i="21"/>
  <c r="AD261" i="21" s="1"/>
  <c r="AA261" i="21"/>
  <c r="AB261" i="21" s="1"/>
  <c r="W261" i="21"/>
  <c r="X261" i="21" s="1"/>
  <c r="U261" i="21"/>
  <c r="V261" i="21" s="1"/>
  <c r="S261" i="21"/>
  <c r="Q261" i="21"/>
  <c r="R261" i="21" s="1"/>
  <c r="P261" i="21"/>
  <c r="O261" i="21"/>
  <c r="N261" i="21"/>
  <c r="M261" i="21"/>
  <c r="L261" i="21"/>
  <c r="K261" i="21"/>
  <c r="J261" i="21"/>
  <c r="I261" i="21"/>
  <c r="H261" i="21"/>
  <c r="G261" i="21"/>
  <c r="F261" i="21"/>
  <c r="E261" i="21"/>
  <c r="D261" i="21"/>
  <c r="C261" i="21"/>
  <c r="B261" i="21"/>
  <c r="A261" i="21"/>
  <c r="BG260" i="21"/>
  <c r="BH260" i="21" s="1"/>
  <c r="BE260" i="21"/>
  <c r="BF260" i="21" s="1"/>
  <c r="AW260" i="21"/>
  <c r="AU260" i="21"/>
  <c r="AV260" i="21" s="1"/>
  <c r="AS260" i="21"/>
  <c r="AT260" i="21" s="1"/>
  <c r="AQ260" i="21"/>
  <c r="AO260" i="21"/>
  <c r="AP260" i="21" s="1"/>
  <c r="AM260" i="21"/>
  <c r="AN260" i="21" s="1"/>
  <c r="AK260" i="21"/>
  <c r="AL260" i="21" s="1"/>
  <c r="AG260" i="21"/>
  <c r="AH260" i="21" s="1"/>
  <c r="AE260" i="21"/>
  <c r="AF260" i="21" s="1"/>
  <c r="AC260" i="21"/>
  <c r="AD260" i="21" s="1"/>
  <c r="AA260" i="21"/>
  <c r="AB260" i="21" s="1"/>
  <c r="W260" i="21"/>
  <c r="U260" i="21"/>
  <c r="V260" i="21" s="1"/>
  <c r="S260" i="21"/>
  <c r="T260" i="21" s="1"/>
  <c r="Q260" i="21"/>
  <c r="R260" i="21" s="1"/>
  <c r="P260" i="21"/>
  <c r="O260" i="21"/>
  <c r="N260" i="21"/>
  <c r="M260" i="21"/>
  <c r="L260" i="21"/>
  <c r="K260" i="21"/>
  <c r="J260" i="21"/>
  <c r="I260" i="21"/>
  <c r="H260" i="21"/>
  <c r="G260" i="21"/>
  <c r="F260" i="21"/>
  <c r="E260" i="21"/>
  <c r="D260" i="21"/>
  <c r="C260" i="21"/>
  <c r="B260" i="21"/>
  <c r="A260" i="21"/>
  <c r="BG259" i="21"/>
  <c r="BH259" i="21" s="1"/>
  <c r="BE259" i="21"/>
  <c r="AW259" i="21"/>
  <c r="AX259" i="21" s="1"/>
  <c r="AU259" i="21"/>
  <c r="AS259" i="21"/>
  <c r="AT259" i="21" s="1"/>
  <c r="AQ259" i="21"/>
  <c r="AR259" i="21" s="1"/>
  <c r="AO259" i="21"/>
  <c r="AP259" i="21" s="1"/>
  <c r="AM259" i="21"/>
  <c r="AN259" i="21" s="1"/>
  <c r="AK259" i="21"/>
  <c r="AL259" i="21" s="1"/>
  <c r="AG259" i="21"/>
  <c r="AH259" i="21" s="1"/>
  <c r="AE259" i="21"/>
  <c r="AF259" i="21" s="1"/>
  <c r="AC259" i="21"/>
  <c r="AA259" i="21"/>
  <c r="AB259" i="21" s="1"/>
  <c r="W259" i="21"/>
  <c r="X259" i="21" s="1"/>
  <c r="U259" i="21"/>
  <c r="V259" i="21" s="1"/>
  <c r="S259" i="21"/>
  <c r="T259" i="21" s="1"/>
  <c r="Q259" i="21"/>
  <c r="P259" i="21"/>
  <c r="O259" i="21"/>
  <c r="N259" i="21"/>
  <c r="M259" i="21"/>
  <c r="L259" i="21"/>
  <c r="K259" i="21"/>
  <c r="J259" i="21"/>
  <c r="I259" i="21"/>
  <c r="H259" i="21"/>
  <c r="G259" i="21"/>
  <c r="F259" i="21"/>
  <c r="E259" i="21"/>
  <c r="D259" i="21"/>
  <c r="C259" i="21"/>
  <c r="B259" i="21"/>
  <c r="A259" i="21"/>
  <c r="BG258" i="21"/>
  <c r="BH258" i="21" s="1"/>
  <c r="BE258" i="21"/>
  <c r="BF258" i="21" s="1"/>
  <c r="AW258" i="21"/>
  <c r="AX258" i="21" s="1"/>
  <c r="AU258" i="21"/>
  <c r="AV258" i="21" s="1"/>
  <c r="AS258" i="21"/>
  <c r="AT258" i="21" s="1"/>
  <c r="AQ258" i="21"/>
  <c r="AR258" i="21" s="1"/>
  <c r="AO258" i="21"/>
  <c r="AP258" i="21" s="1"/>
  <c r="AM258" i="21"/>
  <c r="AN258" i="21" s="1"/>
  <c r="AK258" i="21"/>
  <c r="AL258" i="21" s="1"/>
  <c r="AG258" i="21"/>
  <c r="AE258" i="21"/>
  <c r="AF258" i="21" s="1"/>
  <c r="AC258" i="21"/>
  <c r="AD258" i="21" s="1"/>
  <c r="AA258" i="21"/>
  <c r="AB258" i="21" s="1"/>
  <c r="W258" i="21"/>
  <c r="X258" i="21" s="1"/>
  <c r="U258" i="21"/>
  <c r="S258" i="21"/>
  <c r="T258" i="21" s="1"/>
  <c r="Q258" i="21"/>
  <c r="R258" i="21" s="1"/>
  <c r="P258" i="21"/>
  <c r="O258" i="21"/>
  <c r="N258" i="21"/>
  <c r="M258" i="21"/>
  <c r="L258" i="21"/>
  <c r="K258" i="21"/>
  <c r="J258" i="21"/>
  <c r="I258" i="21"/>
  <c r="H258" i="21"/>
  <c r="G258" i="21"/>
  <c r="F258" i="21"/>
  <c r="E258" i="21"/>
  <c r="D258" i="21"/>
  <c r="C258" i="21"/>
  <c r="B258" i="21"/>
  <c r="A258" i="21"/>
  <c r="BG257" i="21"/>
  <c r="BE257" i="21"/>
  <c r="BF257" i="21" s="1"/>
  <c r="AW257" i="21"/>
  <c r="AX257" i="21" s="1"/>
  <c r="AU257" i="21"/>
  <c r="AV257" i="21" s="1"/>
  <c r="AS257" i="21"/>
  <c r="AT257" i="21" s="1"/>
  <c r="AQ257" i="21"/>
  <c r="AR257" i="21" s="1"/>
  <c r="AO257" i="21"/>
  <c r="AP257" i="21" s="1"/>
  <c r="AM257" i="21"/>
  <c r="AK257" i="21"/>
  <c r="AL257" i="21" s="1"/>
  <c r="AG257" i="21"/>
  <c r="AH257" i="21" s="1"/>
  <c r="AE257" i="21"/>
  <c r="AF257" i="21" s="1"/>
  <c r="AC257" i="21"/>
  <c r="AD257" i="21" s="1"/>
  <c r="AA257" i="21"/>
  <c r="W257" i="21"/>
  <c r="X257" i="21" s="1"/>
  <c r="U257" i="21"/>
  <c r="V257" i="21" s="1"/>
  <c r="S257" i="21"/>
  <c r="Q257" i="21"/>
  <c r="R257" i="21" s="1"/>
  <c r="P257" i="21"/>
  <c r="O257" i="21"/>
  <c r="N257" i="21"/>
  <c r="M257" i="21"/>
  <c r="L257" i="21"/>
  <c r="K257" i="21"/>
  <c r="J257" i="21"/>
  <c r="I257" i="21"/>
  <c r="H257" i="21"/>
  <c r="G257" i="21"/>
  <c r="F257" i="21"/>
  <c r="E257" i="21"/>
  <c r="D257" i="21"/>
  <c r="C257" i="21"/>
  <c r="B257" i="21"/>
  <c r="A257" i="21"/>
  <c r="BG256" i="21"/>
  <c r="BH256" i="21" s="1"/>
  <c r="BE256" i="21"/>
  <c r="BF256" i="21" s="1"/>
  <c r="AW256" i="21"/>
  <c r="AX256" i="21" s="1"/>
  <c r="AU256" i="21"/>
  <c r="AV256" i="21" s="1"/>
  <c r="AS256" i="21"/>
  <c r="AT256" i="21" s="1"/>
  <c r="AQ256" i="21"/>
  <c r="AO256" i="21"/>
  <c r="AP256" i="21" s="1"/>
  <c r="AM256" i="21"/>
  <c r="AN256" i="21" s="1"/>
  <c r="AK256" i="21"/>
  <c r="AL256" i="21" s="1"/>
  <c r="AG256" i="21"/>
  <c r="AH256" i="21" s="1"/>
  <c r="AE256" i="21"/>
  <c r="AC256" i="21"/>
  <c r="AD256" i="21" s="1"/>
  <c r="AA256" i="21"/>
  <c r="AB256" i="21" s="1"/>
  <c r="W256" i="21"/>
  <c r="U256" i="21"/>
  <c r="V256" i="21" s="1"/>
  <c r="S256" i="21"/>
  <c r="T256" i="21" s="1"/>
  <c r="Q256" i="21"/>
  <c r="R256" i="21" s="1"/>
  <c r="P256" i="21"/>
  <c r="O256" i="21"/>
  <c r="N256" i="21"/>
  <c r="M256" i="21"/>
  <c r="L256" i="21"/>
  <c r="K256" i="21"/>
  <c r="J256" i="21"/>
  <c r="I256" i="21"/>
  <c r="H256" i="21"/>
  <c r="G256" i="21"/>
  <c r="F256" i="21"/>
  <c r="E256" i="21"/>
  <c r="D256" i="21"/>
  <c r="C256" i="21"/>
  <c r="B256" i="21"/>
  <c r="A256" i="21"/>
  <c r="BG255" i="21"/>
  <c r="BH255" i="21" s="1"/>
  <c r="BE255" i="21"/>
  <c r="BF255" i="21" s="1"/>
  <c r="AW255" i="21"/>
  <c r="AX255" i="21" s="1"/>
  <c r="AU255" i="21"/>
  <c r="AS255" i="21"/>
  <c r="AT255" i="21" s="1"/>
  <c r="AQ255" i="21"/>
  <c r="AR255" i="21" s="1"/>
  <c r="AO255" i="21"/>
  <c r="AP255" i="21" s="1"/>
  <c r="AM255" i="21"/>
  <c r="AN255" i="21" s="1"/>
  <c r="AK255" i="21"/>
  <c r="AG255" i="21"/>
  <c r="AH255" i="21" s="1"/>
  <c r="AE255" i="21"/>
  <c r="AF255" i="21" s="1"/>
  <c r="AC255" i="21"/>
  <c r="AA255" i="21"/>
  <c r="AB255" i="21" s="1"/>
  <c r="W255" i="21"/>
  <c r="X255" i="21" s="1"/>
  <c r="U255" i="21"/>
  <c r="V255" i="21" s="1"/>
  <c r="S255" i="21"/>
  <c r="T255" i="21" s="1"/>
  <c r="Q255" i="21"/>
  <c r="R255" i="21" s="1"/>
  <c r="P255" i="21"/>
  <c r="O255" i="21"/>
  <c r="N255" i="21"/>
  <c r="M255" i="21"/>
  <c r="L255" i="21"/>
  <c r="K255" i="21"/>
  <c r="J255" i="21"/>
  <c r="I255" i="21"/>
  <c r="H255" i="21"/>
  <c r="G255" i="21"/>
  <c r="F255" i="21"/>
  <c r="E255" i="21"/>
  <c r="D255" i="21"/>
  <c r="C255" i="21"/>
  <c r="B255" i="21"/>
  <c r="A255" i="21"/>
  <c r="BG254" i="21"/>
  <c r="BH254" i="21" s="1"/>
  <c r="BE254" i="21"/>
  <c r="BF254" i="21" s="1"/>
  <c r="AW254" i="21"/>
  <c r="AX254" i="21" s="1"/>
  <c r="AU254" i="21"/>
  <c r="AV254" i="21" s="1"/>
  <c r="AS254" i="21"/>
  <c r="AT254" i="21" s="1"/>
  <c r="AQ254" i="21"/>
  <c r="AR254" i="21" s="1"/>
  <c r="AO254" i="21"/>
  <c r="AM254" i="21"/>
  <c r="AN254" i="21" s="1"/>
  <c r="AK254" i="21"/>
  <c r="AL254" i="21" s="1"/>
  <c r="AG254" i="21"/>
  <c r="AE254" i="21"/>
  <c r="AF254" i="21" s="1"/>
  <c r="AC254" i="21"/>
  <c r="AD254" i="21" s="1"/>
  <c r="AA254" i="21"/>
  <c r="AB254" i="21" s="1"/>
  <c r="W254" i="21"/>
  <c r="X254" i="21" s="1"/>
  <c r="U254" i="21"/>
  <c r="V254" i="21" s="1"/>
  <c r="S254" i="21"/>
  <c r="T254" i="21" s="1"/>
  <c r="Q254" i="21"/>
  <c r="R254" i="21" s="1"/>
  <c r="P254" i="21"/>
  <c r="O254" i="21"/>
  <c r="N254" i="21"/>
  <c r="M254" i="21"/>
  <c r="L254" i="21"/>
  <c r="K254" i="21"/>
  <c r="J254" i="21"/>
  <c r="I254" i="21"/>
  <c r="H254" i="21"/>
  <c r="G254" i="21"/>
  <c r="F254" i="21"/>
  <c r="E254" i="21"/>
  <c r="D254" i="21"/>
  <c r="C254" i="21"/>
  <c r="B254" i="21"/>
  <c r="A254" i="21"/>
  <c r="BG253" i="21"/>
  <c r="BE253" i="21"/>
  <c r="BF253" i="21" s="1"/>
  <c r="AW253" i="21"/>
  <c r="AX253" i="21" s="1"/>
  <c r="AU253" i="21"/>
  <c r="AV253" i="21" s="1"/>
  <c r="AS253" i="21"/>
  <c r="AQ253" i="21"/>
  <c r="AR253" i="21" s="1"/>
  <c r="AO253" i="21"/>
  <c r="AP253" i="21" s="1"/>
  <c r="AM253" i="21"/>
  <c r="AK253" i="21"/>
  <c r="AL253" i="21" s="1"/>
  <c r="AG253" i="21"/>
  <c r="AH253" i="21" s="1"/>
  <c r="AE253" i="21"/>
  <c r="AF253" i="21" s="1"/>
  <c r="AC253" i="21"/>
  <c r="AD253" i="21" s="1"/>
  <c r="AA253" i="21"/>
  <c r="AB253" i="21" s="1"/>
  <c r="W253" i="21"/>
  <c r="X253" i="21" s="1"/>
  <c r="U253" i="21"/>
  <c r="V253" i="21" s="1"/>
  <c r="S253" i="21"/>
  <c r="Q253" i="21"/>
  <c r="R253" i="21" s="1"/>
  <c r="P253" i="21"/>
  <c r="O253" i="21"/>
  <c r="N253" i="21"/>
  <c r="M253" i="21"/>
  <c r="L253" i="21"/>
  <c r="K253" i="21"/>
  <c r="J253" i="21"/>
  <c r="I253" i="21"/>
  <c r="H253" i="21"/>
  <c r="G253" i="21"/>
  <c r="F253" i="21"/>
  <c r="E253" i="21"/>
  <c r="D253" i="21"/>
  <c r="C253" i="21"/>
  <c r="B253" i="21"/>
  <c r="A253" i="21"/>
  <c r="BG252" i="21"/>
  <c r="BH252" i="21" s="1"/>
  <c r="BE252" i="21"/>
  <c r="BF252" i="21" s="1"/>
  <c r="AW252" i="21"/>
  <c r="AU252" i="21"/>
  <c r="AV252" i="21" s="1"/>
  <c r="AS252" i="21"/>
  <c r="AT252" i="21" s="1"/>
  <c r="AQ252" i="21"/>
  <c r="AO252" i="21"/>
  <c r="AP252" i="21" s="1"/>
  <c r="AM252" i="21"/>
  <c r="AN252" i="21" s="1"/>
  <c r="AK252" i="21"/>
  <c r="AL252" i="21" s="1"/>
  <c r="AG252" i="21"/>
  <c r="AH252" i="21" s="1"/>
  <c r="AE252" i="21"/>
  <c r="AF252" i="21" s="1"/>
  <c r="AC252" i="21"/>
  <c r="AD252" i="21" s="1"/>
  <c r="AA252" i="21"/>
  <c r="AB252" i="21" s="1"/>
  <c r="W252" i="21"/>
  <c r="U252" i="21"/>
  <c r="V252" i="21" s="1"/>
  <c r="S252" i="21"/>
  <c r="T252" i="21" s="1"/>
  <c r="Q252" i="21"/>
  <c r="R252" i="21" s="1"/>
  <c r="P252" i="21"/>
  <c r="O252" i="21"/>
  <c r="N252" i="21"/>
  <c r="M252" i="21"/>
  <c r="L252" i="21"/>
  <c r="K252" i="21"/>
  <c r="J252" i="21"/>
  <c r="I252" i="21"/>
  <c r="H252" i="21"/>
  <c r="G252" i="21"/>
  <c r="F252" i="21"/>
  <c r="E252" i="21"/>
  <c r="D252" i="21"/>
  <c r="C252" i="21"/>
  <c r="B252" i="21"/>
  <c r="A252" i="21"/>
  <c r="BG251" i="21"/>
  <c r="BH251" i="21" s="1"/>
  <c r="BE251" i="21"/>
  <c r="AW251" i="21"/>
  <c r="AX251" i="21" s="1"/>
  <c r="AU251" i="21"/>
  <c r="AS251" i="21"/>
  <c r="AT251" i="21" s="1"/>
  <c r="AQ251" i="21"/>
  <c r="AR251" i="21" s="1"/>
  <c r="AO251" i="21"/>
  <c r="AP251" i="21" s="1"/>
  <c r="AM251" i="21"/>
  <c r="AN251" i="21" s="1"/>
  <c r="AK251" i="21"/>
  <c r="AL251" i="21" s="1"/>
  <c r="AG251" i="21"/>
  <c r="AH251" i="21" s="1"/>
  <c r="AE251" i="21"/>
  <c r="AF251" i="21" s="1"/>
  <c r="AC251" i="21"/>
  <c r="AA251" i="21"/>
  <c r="AB251" i="21" s="1"/>
  <c r="W251" i="21"/>
  <c r="X251" i="21" s="1"/>
  <c r="U251" i="21"/>
  <c r="V251" i="21" s="1"/>
  <c r="S251" i="21"/>
  <c r="T251" i="21" s="1"/>
  <c r="Q251" i="21"/>
  <c r="P251" i="21"/>
  <c r="O251" i="21"/>
  <c r="N251" i="21"/>
  <c r="M251" i="21"/>
  <c r="L251" i="21"/>
  <c r="K251" i="21"/>
  <c r="J251" i="21"/>
  <c r="I251" i="21"/>
  <c r="H251" i="21"/>
  <c r="G251" i="21"/>
  <c r="F251" i="21"/>
  <c r="E251" i="21"/>
  <c r="D251" i="21"/>
  <c r="C251" i="21"/>
  <c r="B251" i="21"/>
  <c r="A251" i="21"/>
  <c r="BG250" i="21"/>
  <c r="BH250" i="21" s="1"/>
  <c r="BE250" i="21"/>
  <c r="BF250" i="21" s="1"/>
  <c r="AW250" i="21"/>
  <c r="AX250" i="21" s="1"/>
  <c r="AU250" i="21"/>
  <c r="AV250" i="21" s="1"/>
  <c r="AS250" i="21"/>
  <c r="AT250" i="21" s="1"/>
  <c r="AQ250" i="21"/>
  <c r="AR250" i="21" s="1"/>
  <c r="AO250" i="21"/>
  <c r="AP250" i="21" s="1"/>
  <c r="AM250" i="21"/>
  <c r="AN250" i="21" s="1"/>
  <c r="AK250" i="21"/>
  <c r="AL250" i="21" s="1"/>
  <c r="AG250" i="21"/>
  <c r="AE250" i="21"/>
  <c r="AF250" i="21" s="1"/>
  <c r="AC250" i="21"/>
  <c r="AD250" i="21" s="1"/>
  <c r="AA250" i="21"/>
  <c r="AB250" i="21" s="1"/>
  <c r="W250" i="21"/>
  <c r="X250" i="21" s="1"/>
  <c r="U250" i="21"/>
  <c r="S250" i="21"/>
  <c r="T250" i="21" s="1"/>
  <c r="Q250" i="21"/>
  <c r="R250" i="21" s="1"/>
  <c r="P250" i="21"/>
  <c r="O250" i="21"/>
  <c r="N250" i="21"/>
  <c r="M250" i="21"/>
  <c r="L250" i="21"/>
  <c r="K250" i="21"/>
  <c r="J250" i="21"/>
  <c r="I250" i="21"/>
  <c r="H250" i="21"/>
  <c r="G250" i="21"/>
  <c r="F250" i="21"/>
  <c r="E250" i="21"/>
  <c r="D250" i="21"/>
  <c r="C250" i="21"/>
  <c r="B250" i="21"/>
  <c r="A250" i="21"/>
  <c r="BG249" i="21"/>
  <c r="BE249" i="21"/>
  <c r="BF249" i="21" s="1"/>
  <c r="AW249" i="21"/>
  <c r="AX249" i="21" s="1"/>
  <c r="AU249" i="21"/>
  <c r="AV249" i="21" s="1"/>
  <c r="AS249" i="21"/>
  <c r="AT249" i="21" s="1"/>
  <c r="AQ249" i="21"/>
  <c r="AR249" i="21" s="1"/>
  <c r="AO249" i="21"/>
  <c r="AP249" i="21" s="1"/>
  <c r="AM249" i="21"/>
  <c r="AK249" i="21"/>
  <c r="AL249" i="21" s="1"/>
  <c r="AG249" i="21"/>
  <c r="AH249" i="21" s="1"/>
  <c r="AE249" i="21"/>
  <c r="AF249" i="21" s="1"/>
  <c r="AC249" i="21"/>
  <c r="AD249" i="21" s="1"/>
  <c r="AA249" i="21"/>
  <c r="W249" i="21"/>
  <c r="X249" i="21" s="1"/>
  <c r="U249" i="21"/>
  <c r="V249" i="21" s="1"/>
  <c r="S249" i="21"/>
  <c r="Q249" i="21"/>
  <c r="R249" i="21" s="1"/>
  <c r="P249" i="21"/>
  <c r="O249" i="21"/>
  <c r="N249" i="21"/>
  <c r="M249" i="21"/>
  <c r="L249" i="21"/>
  <c r="K249" i="21"/>
  <c r="J249" i="21"/>
  <c r="I249" i="21"/>
  <c r="H249" i="21"/>
  <c r="G249" i="21"/>
  <c r="F249" i="21"/>
  <c r="E249" i="21"/>
  <c r="D249" i="21"/>
  <c r="C249" i="21"/>
  <c r="B249" i="21"/>
  <c r="A249" i="21"/>
  <c r="BG248" i="21"/>
  <c r="BH248" i="21" s="1"/>
  <c r="BE248" i="21"/>
  <c r="BF248" i="21" s="1"/>
  <c r="AW248" i="21"/>
  <c r="AX248" i="21" s="1"/>
  <c r="AU248" i="21"/>
  <c r="AV248" i="21" s="1"/>
  <c r="AS248" i="21"/>
  <c r="AT248" i="21" s="1"/>
  <c r="AQ248" i="21"/>
  <c r="AO248" i="21"/>
  <c r="AP248" i="21" s="1"/>
  <c r="AM248" i="21"/>
  <c r="AN248" i="21" s="1"/>
  <c r="AK248" i="21"/>
  <c r="AL248" i="21" s="1"/>
  <c r="AG248" i="21"/>
  <c r="AH248" i="21" s="1"/>
  <c r="AE248" i="21"/>
  <c r="AC248" i="21"/>
  <c r="AD248" i="21" s="1"/>
  <c r="AA248" i="21"/>
  <c r="AB248" i="21" s="1"/>
  <c r="W248" i="21"/>
  <c r="U248" i="21"/>
  <c r="V248" i="21" s="1"/>
  <c r="S248" i="21"/>
  <c r="T248" i="21" s="1"/>
  <c r="Q248" i="21"/>
  <c r="R248" i="21" s="1"/>
  <c r="P248" i="21"/>
  <c r="O248" i="21"/>
  <c r="N248" i="21"/>
  <c r="M248" i="21"/>
  <c r="L248" i="21"/>
  <c r="K248" i="21"/>
  <c r="J248" i="21"/>
  <c r="I248" i="21"/>
  <c r="H248" i="21"/>
  <c r="G248" i="21"/>
  <c r="F248" i="21"/>
  <c r="E248" i="21"/>
  <c r="D248" i="21"/>
  <c r="C248" i="21"/>
  <c r="B248" i="21"/>
  <c r="A248" i="21"/>
  <c r="BG247" i="21"/>
  <c r="BH247" i="21" s="1"/>
  <c r="BE247" i="21"/>
  <c r="BF247" i="21" s="1"/>
  <c r="AW247" i="21"/>
  <c r="AX247" i="21" s="1"/>
  <c r="AU247" i="21"/>
  <c r="AS247" i="21"/>
  <c r="AT247" i="21" s="1"/>
  <c r="AQ247" i="21"/>
  <c r="AR247" i="21" s="1"/>
  <c r="AO247" i="21"/>
  <c r="AP247" i="21" s="1"/>
  <c r="AM247" i="21"/>
  <c r="AN247" i="21" s="1"/>
  <c r="AK247" i="21"/>
  <c r="AG247" i="21"/>
  <c r="AH247" i="21" s="1"/>
  <c r="AE247" i="21"/>
  <c r="AF247" i="21" s="1"/>
  <c r="AC247" i="21"/>
  <c r="AA247" i="21"/>
  <c r="AB247" i="21" s="1"/>
  <c r="W247" i="21"/>
  <c r="X247" i="21" s="1"/>
  <c r="U247" i="21"/>
  <c r="V247" i="21" s="1"/>
  <c r="S247" i="21"/>
  <c r="T247" i="21" s="1"/>
  <c r="Q247" i="21"/>
  <c r="P247" i="21"/>
  <c r="O247" i="21"/>
  <c r="N247" i="21"/>
  <c r="M247" i="21"/>
  <c r="L247" i="21"/>
  <c r="K247" i="21"/>
  <c r="J247" i="21"/>
  <c r="I247" i="21"/>
  <c r="H247" i="21"/>
  <c r="G247" i="21"/>
  <c r="F247" i="21"/>
  <c r="E247" i="21"/>
  <c r="D247" i="21"/>
  <c r="C247" i="21"/>
  <c r="B247" i="21"/>
  <c r="A247" i="21"/>
  <c r="BG246" i="21"/>
  <c r="BH246" i="21" s="1"/>
  <c r="BE246" i="21"/>
  <c r="BF246" i="21" s="1"/>
  <c r="AW246" i="21"/>
  <c r="AX246" i="21" s="1"/>
  <c r="AU246" i="21"/>
  <c r="AV246" i="21" s="1"/>
  <c r="AS246" i="21"/>
  <c r="AT246" i="21" s="1"/>
  <c r="AQ246" i="21"/>
  <c r="AR246" i="21" s="1"/>
  <c r="AO246" i="21"/>
  <c r="AM246" i="21"/>
  <c r="AN246" i="21" s="1"/>
  <c r="AK246" i="21"/>
  <c r="AL246" i="21" s="1"/>
  <c r="AG246" i="21"/>
  <c r="AE246" i="21"/>
  <c r="AF246" i="21" s="1"/>
  <c r="AC246" i="21"/>
  <c r="AD246" i="21" s="1"/>
  <c r="AA246" i="21"/>
  <c r="AB246" i="21" s="1"/>
  <c r="W246" i="21"/>
  <c r="X246" i="21" s="1"/>
  <c r="U246" i="21"/>
  <c r="V246" i="21" s="1"/>
  <c r="S246" i="21"/>
  <c r="T246" i="21" s="1"/>
  <c r="Q246" i="21"/>
  <c r="R246" i="21" s="1"/>
  <c r="P246" i="21"/>
  <c r="O246" i="21"/>
  <c r="N246" i="21"/>
  <c r="M246" i="21"/>
  <c r="L246" i="21"/>
  <c r="K246" i="21"/>
  <c r="J246" i="21"/>
  <c r="I246" i="21"/>
  <c r="H246" i="21"/>
  <c r="G246" i="21"/>
  <c r="F246" i="21"/>
  <c r="E246" i="21"/>
  <c r="D246" i="21"/>
  <c r="C246" i="21"/>
  <c r="B246" i="21"/>
  <c r="A246" i="21"/>
  <c r="BG245" i="21"/>
  <c r="BE245" i="21"/>
  <c r="BF245" i="21" s="1"/>
  <c r="AW245" i="21"/>
  <c r="AX245" i="21" s="1"/>
  <c r="AU245" i="21"/>
  <c r="AV245" i="21" s="1"/>
  <c r="AS245" i="21"/>
  <c r="AQ245" i="21"/>
  <c r="AR245" i="21" s="1"/>
  <c r="AO245" i="21"/>
  <c r="AP245" i="21" s="1"/>
  <c r="AM245" i="21"/>
  <c r="AK245" i="21"/>
  <c r="AL245" i="21" s="1"/>
  <c r="AG245" i="21"/>
  <c r="AH245" i="21" s="1"/>
  <c r="AE245" i="21"/>
  <c r="AF245" i="21" s="1"/>
  <c r="AC245" i="21"/>
  <c r="AD245" i="21" s="1"/>
  <c r="AA245" i="21"/>
  <c r="AB245" i="21" s="1"/>
  <c r="W245" i="21"/>
  <c r="X245" i="21" s="1"/>
  <c r="U245" i="21"/>
  <c r="V245" i="21" s="1"/>
  <c r="S245" i="21"/>
  <c r="Q245" i="21"/>
  <c r="R245" i="21" s="1"/>
  <c r="P245" i="21"/>
  <c r="O245" i="21"/>
  <c r="N245" i="21"/>
  <c r="M245" i="21"/>
  <c r="L245" i="21"/>
  <c r="K245" i="21"/>
  <c r="J245" i="21"/>
  <c r="I245" i="21"/>
  <c r="H245" i="21"/>
  <c r="G245" i="21"/>
  <c r="F245" i="21"/>
  <c r="E245" i="21"/>
  <c r="D245" i="21"/>
  <c r="C245" i="21"/>
  <c r="B245" i="21"/>
  <c r="A245" i="21"/>
  <c r="BG244" i="21"/>
  <c r="BH244" i="21" s="1"/>
  <c r="BE244" i="21"/>
  <c r="BF244" i="21" s="1"/>
  <c r="AW244" i="21"/>
  <c r="AU244" i="21"/>
  <c r="AV244" i="21" s="1"/>
  <c r="AS244" i="21"/>
  <c r="AT244" i="21" s="1"/>
  <c r="AQ244" i="21"/>
  <c r="AO244" i="21"/>
  <c r="AP244" i="21" s="1"/>
  <c r="AM244" i="21"/>
  <c r="AN244" i="21" s="1"/>
  <c r="AK244" i="21"/>
  <c r="AL244" i="21" s="1"/>
  <c r="AG244" i="21"/>
  <c r="AH244" i="21" s="1"/>
  <c r="AE244" i="21"/>
  <c r="AF244" i="21" s="1"/>
  <c r="AC244" i="21"/>
  <c r="AD244" i="21" s="1"/>
  <c r="AA244" i="21"/>
  <c r="AB244" i="21" s="1"/>
  <c r="W244" i="21"/>
  <c r="U244" i="21"/>
  <c r="V244" i="21" s="1"/>
  <c r="S244" i="21"/>
  <c r="T244" i="21" s="1"/>
  <c r="Q244" i="21"/>
  <c r="R244" i="21" s="1"/>
  <c r="P244" i="21"/>
  <c r="O244" i="21"/>
  <c r="N244" i="21"/>
  <c r="M244" i="21"/>
  <c r="L244" i="21"/>
  <c r="K244" i="21"/>
  <c r="J244" i="21"/>
  <c r="I244" i="21"/>
  <c r="H244" i="21"/>
  <c r="G244" i="21"/>
  <c r="F244" i="21"/>
  <c r="E244" i="21"/>
  <c r="D244" i="21"/>
  <c r="C244" i="21"/>
  <c r="B244" i="21"/>
  <c r="A244" i="21"/>
  <c r="BG243" i="21"/>
  <c r="BH243" i="21" s="1"/>
  <c r="BE243" i="21"/>
  <c r="BF243" i="21" s="1"/>
  <c r="AW243" i="21"/>
  <c r="AX243" i="21" s="1"/>
  <c r="AU243" i="21"/>
  <c r="AV243" i="21" s="1"/>
  <c r="AS243" i="21"/>
  <c r="AT243" i="21" s="1"/>
  <c r="AQ243" i="21"/>
  <c r="AR243" i="21" s="1"/>
  <c r="AO243" i="21"/>
  <c r="AP243" i="21" s="1"/>
  <c r="AM243" i="21"/>
  <c r="AN243" i="21" s="1"/>
  <c r="BB243" i="21" s="1"/>
  <c r="AK243" i="21"/>
  <c r="AL243" i="21" s="1"/>
  <c r="AG243" i="21"/>
  <c r="AH243" i="21" s="1"/>
  <c r="AE243" i="21"/>
  <c r="AC243" i="21"/>
  <c r="AA243" i="21"/>
  <c r="AB243" i="21" s="1"/>
  <c r="W243" i="21"/>
  <c r="U243" i="21"/>
  <c r="V243" i="21" s="1"/>
  <c r="S243" i="21"/>
  <c r="T243" i="21" s="1"/>
  <c r="Q243" i="21"/>
  <c r="R243" i="21" s="1"/>
  <c r="P243" i="21"/>
  <c r="O243" i="21"/>
  <c r="N243" i="21"/>
  <c r="M243" i="21"/>
  <c r="L243" i="21"/>
  <c r="K243" i="21"/>
  <c r="J243" i="21"/>
  <c r="I243" i="21"/>
  <c r="H243" i="21"/>
  <c r="G243" i="21"/>
  <c r="F243" i="21"/>
  <c r="E243" i="21"/>
  <c r="D243" i="21"/>
  <c r="C243" i="21"/>
  <c r="B243" i="21"/>
  <c r="A243" i="21"/>
  <c r="BG242" i="21"/>
  <c r="BH242" i="21" s="1"/>
  <c r="BE242" i="21"/>
  <c r="BF242" i="21" s="1"/>
  <c r="AW242" i="21"/>
  <c r="AX242" i="21" s="1"/>
  <c r="AU242" i="21"/>
  <c r="AV242" i="21" s="1"/>
  <c r="AS242" i="21"/>
  <c r="AT242" i="21" s="1"/>
  <c r="AQ242" i="21"/>
  <c r="AR242" i="21" s="1"/>
  <c r="AO242" i="21"/>
  <c r="AP242" i="21" s="1"/>
  <c r="AM242" i="21"/>
  <c r="AN242" i="21" s="1"/>
  <c r="AK242" i="21"/>
  <c r="AL242" i="21" s="1"/>
  <c r="AG242" i="21"/>
  <c r="AE242" i="21"/>
  <c r="AF242" i="21" s="1"/>
  <c r="AC242" i="21"/>
  <c r="AA242" i="21"/>
  <c r="AB242" i="21" s="1"/>
  <c r="W242" i="21"/>
  <c r="X242" i="21" s="1"/>
  <c r="U242" i="21"/>
  <c r="V242" i="21" s="1"/>
  <c r="S242" i="21"/>
  <c r="T242" i="21" s="1"/>
  <c r="Q242" i="21"/>
  <c r="R242" i="21" s="1"/>
  <c r="P242" i="21"/>
  <c r="O242" i="21"/>
  <c r="N242" i="21"/>
  <c r="M242" i="21"/>
  <c r="L242" i="21"/>
  <c r="K242" i="21"/>
  <c r="J242" i="21"/>
  <c r="I242" i="21"/>
  <c r="H242" i="21"/>
  <c r="G242" i="21"/>
  <c r="F242" i="21"/>
  <c r="E242" i="21"/>
  <c r="D242" i="21"/>
  <c r="C242" i="21"/>
  <c r="B242" i="21"/>
  <c r="A242" i="21"/>
  <c r="BG241" i="21"/>
  <c r="BH241" i="21" s="1"/>
  <c r="BE241" i="21"/>
  <c r="BF241" i="21" s="1"/>
  <c r="AW241" i="21"/>
  <c r="AX241" i="21" s="1"/>
  <c r="AU241" i="21"/>
  <c r="AV241" i="21" s="1"/>
  <c r="AS241" i="21"/>
  <c r="AT241" i="21" s="1"/>
  <c r="AQ241" i="21"/>
  <c r="AR241" i="21" s="1"/>
  <c r="AO241" i="21"/>
  <c r="AP241" i="21" s="1"/>
  <c r="AM241" i="21"/>
  <c r="AK241" i="21"/>
  <c r="AL241" i="21" s="1"/>
  <c r="AG241" i="21"/>
  <c r="AE241" i="21"/>
  <c r="AF241" i="21" s="1"/>
  <c r="AC241" i="21"/>
  <c r="AD241" i="21" s="1"/>
  <c r="AA241" i="21"/>
  <c r="AB241" i="21" s="1"/>
  <c r="W241" i="21"/>
  <c r="X241" i="21" s="1"/>
  <c r="U241" i="21"/>
  <c r="S241" i="21"/>
  <c r="T241" i="21" s="1"/>
  <c r="Q241" i="21"/>
  <c r="R241" i="21" s="1"/>
  <c r="P241" i="21"/>
  <c r="O241" i="21"/>
  <c r="N241" i="21"/>
  <c r="M241" i="21"/>
  <c r="L241" i="21"/>
  <c r="K241" i="21"/>
  <c r="J241" i="21"/>
  <c r="I241" i="21"/>
  <c r="H241" i="21"/>
  <c r="G241" i="21"/>
  <c r="F241" i="21"/>
  <c r="E241" i="21"/>
  <c r="D241" i="21"/>
  <c r="C241" i="21"/>
  <c r="B241" i="21"/>
  <c r="A241" i="21"/>
  <c r="BG240" i="21"/>
  <c r="BE240" i="21"/>
  <c r="BF240" i="21" s="1"/>
  <c r="AW240" i="21"/>
  <c r="AU240" i="21"/>
  <c r="AV240" i="21" s="1"/>
  <c r="AS240" i="21"/>
  <c r="AQ240" i="21"/>
  <c r="AR240" i="21" s="1"/>
  <c r="AO240" i="21"/>
  <c r="AP240" i="21" s="1"/>
  <c r="AM240" i="21"/>
  <c r="AK240" i="21"/>
  <c r="AL240" i="21" s="1"/>
  <c r="AG240" i="21"/>
  <c r="AH240" i="21" s="1"/>
  <c r="AE240" i="21"/>
  <c r="AF240" i="21" s="1"/>
  <c r="AC240" i="21"/>
  <c r="AD240" i="21" s="1"/>
  <c r="AA240" i="21"/>
  <c r="W240" i="21"/>
  <c r="X240" i="21" s="1"/>
  <c r="U240" i="21"/>
  <c r="V240" i="21" s="1"/>
  <c r="S240" i="21"/>
  <c r="Q240" i="21"/>
  <c r="R240" i="21" s="1"/>
  <c r="P240" i="21"/>
  <c r="O240" i="21"/>
  <c r="N240" i="21"/>
  <c r="M240" i="21"/>
  <c r="L240" i="21"/>
  <c r="K240" i="21"/>
  <c r="J240" i="21"/>
  <c r="I240" i="21"/>
  <c r="H240" i="21"/>
  <c r="G240" i="21"/>
  <c r="F240" i="21"/>
  <c r="E240" i="21"/>
  <c r="D240" i="21"/>
  <c r="C240" i="21"/>
  <c r="B240" i="21"/>
  <c r="A240" i="21"/>
  <c r="BG239" i="21"/>
  <c r="BH239" i="21" s="1"/>
  <c r="BE239" i="21"/>
  <c r="BF239" i="21" s="1"/>
  <c r="AW239" i="21"/>
  <c r="AX239" i="21" s="1"/>
  <c r="AU239" i="21"/>
  <c r="AV239" i="21" s="1"/>
  <c r="AS239" i="21"/>
  <c r="AT239" i="21" s="1"/>
  <c r="AQ239" i="21"/>
  <c r="AO239" i="21"/>
  <c r="AP239" i="21" s="1"/>
  <c r="AM239" i="21"/>
  <c r="AN239" i="21" s="1"/>
  <c r="AK239" i="21"/>
  <c r="AL239" i="21" s="1"/>
  <c r="AG239" i="21"/>
  <c r="AH239" i="21" s="1"/>
  <c r="AE239" i="21"/>
  <c r="AC239" i="21"/>
  <c r="AD239" i="21" s="1"/>
  <c r="AA239" i="21"/>
  <c r="AB239" i="21" s="1"/>
  <c r="W239" i="21"/>
  <c r="U239" i="21"/>
  <c r="V239" i="21" s="1"/>
  <c r="S239" i="21"/>
  <c r="T239" i="21" s="1"/>
  <c r="Q239" i="21"/>
  <c r="R239" i="21" s="1"/>
  <c r="P239" i="21"/>
  <c r="O239" i="21"/>
  <c r="N239" i="21"/>
  <c r="M239" i="21"/>
  <c r="L239" i="21"/>
  <c r="K239" i="21"/>
  <c r="J239" i="21"/>
  <c r="I239" i="21"/>
  <c r="H239" i="21"/>
  <c r="G239" i="21"/>
  <c r="F239" i="21"/>
  <c r="E239" i="21"/>
  <c r="D239" i="21"/>
  <c r="C239" i="21"/>
  <c r="B239" i="21"/>
  <c r="A239" i="21"/>
  <c r="BG238" i="21"/>
  <c r="BH238" i="21" s="1"/>
  <c r="BE238" i="21"/>
  <c r="AW238" i="21"/>
  <c r="AX238" i="21" s="1"/>
  <c r="AU238" i="21"/>
  <c r="AS238" i="21"/>
  <c r="AT238" i="21" s="1"/>
  <c r="AQ238" i="21"/>
  <c r="AR238" i="21" s="1"/>
  <c r="AO238" i="21"/>
  <c r="AP238" i="21" s="1"/>
  <c r="AM238" i="21"/>
  <c r="AN238" i="21" s="1"/>
  <c r="AK238" i="21"/>
  <c r="AG238" i="21"/>
  <c r="AH238" i="21" s="1"/>
  <c r="AE238" i="21"/>
  <c r="AF238" i="21" s="1"/>
  <c r="AC238" i="21"/>
  <c r="AA238" i="21"/>
  <c r="AB238" i="21" s="1"/>
  <c r="W238" i="21"/>
  <c r="X238" i="21" s="1"/>
  <c r="U238" i="21"/>
  <c r="V238" i="21" s="1"/>
  <c r="S238" i="21"/>
  <c r="T238" i="21" s="1"/>
  <c r="Q238" i="21"/>
  <c r="P238" i="21"/>
  <c r="O238" i="21"/>
  <c r="N238" i="21"/>
  <c r="M238" i="21"/>
  <c r="L238" i="21"/>
  <c r="K238" i="21"/>
  <c r="J238" i="21"/>
  <c r="I238" i="21"/>
  <c r="H238" i="21"/>
  <c r="G238" i="21"/>
  <c r="F238" i="21"/>
  <c r="E238" i="21"/>
  <c r="D238" i="21"/>
  <c r="C238" i="21"/>
  <c r="B238" i="21"/>
  <c r="A238" i="21"/>
  <c r="BG237" i="21"/>
  <c r="BH237" i="21" s="1"/>
  <c r="BE237" i="21"/>
  <c r="BF237" i="21" s="1"/>
  <c r="AW237" i="21"/>
  <c r="AX237" i="21" s="1"/>
  <c r="AU237" i="21"/>
  <c r="AV237" i="21" s="1"/>
  <c r="AS237" i="21"/>
  <c r="AT237" i="21" s="1"/>
  <c r="AQ237" i="21"/>
  <c r="AR237" i="21" s="1"/>
  <c r="AO237" i="21"/>
  <c r="AM237" i="21"/>
  <c r="AN237" i="21" s="1"/>
  <c r="AK237" i="21"/>
  <c r="AL237" i="21" s="1"/>
  <c r="AG237" i="21"/>
  <c r="AE237" i="21"/>
  <c r="AF237" i="21" s="1"/>
  <c r="AC237" i="21"/>
  <c r="AD237" i="21" s="1"/>
  <c r="AA237" i="21"/>
  <c r="AB237" i="21" s="1"/>
  <c r="W237" i="21"/>
  <c r="X237" i="21" s="1"/>
  <c r="U237" i="21"/>
  <c r="S237" i="21"/>
  <c r="T237" i="21" s="1"/>
  <c r="Q237" i="21"/>
  <c r="R237" i="21" s="1"/>
  <c r="P237" i="21"/>
  <c r="O237" i="21"/>
  <c r="N237" i="21"/>
  <c r="M237" i="21"/>
  <c r="L237" i="21"/>
  <c r="K237" i="21"/>
  <c r="J237" i="21"/>
  <c r="I237" i="21"/>
  <c r="H237" i="21"/>
  <c r="G237" i="21"/>
  <c r="F237" i="21"/>
  <c r="E237" i="21"/>
  <c r="D237" i="21"/>
  <c r="C237" i="21"/>
  <c r="B237" i="21"/>
  <c r="A237" i="21"/>
  <c r="BG236" i="21"/>
  <c r="BE236" i="21"/>
  <c r="BF236" i="21" s="1"/>
  <c r="AW236" i="21"/>
  <c r="AX236" i="21" s="1"/>
  <c r="AU236" i="21"/>
  <c r="AV236" i="21" s="1"/>
  <c r="AS236" i="21"/>
  <c r="AQ236" i="21"/>
  <c r="AR236" i="21" s="1"/>
  <c r="AO236" i="21"/>
  <c r="AP236" i="21" s="1"/>
  <c r="AM236" i="21"/>
  <c r="AK236" i="21"/>
  <c r="AL236" i="21" s="1"/>
  <c r="AG236" i="21"/>
  <c r="AH236" i="21" s="1"/>
  <c r="AE236" i="21"/>
  <c r="AF236" i="21" s="1"/>
  <c r="AC236" i="21"/>
  <c r="AD236" i="21" s="1"/>
  <c r="AA236" i="21"/>
  <c r="W236" i="21"/>
  <c r="X236" i="21" s="1"/>
  <c r="U236" i="21"/>
  <c r="V236" i="21" s="1"/>
  <c r="S236" i="21"/>
  <c r="Q236" i="21"/>
  <c r="R236" i="21" s="1"/>
  <c r="P236" i="21"/>
  <c r="O236" i="21"/>
  <c r="N236" i="21"/>
  <c r="M236" i="21"/>
  <c r="L236" i="21"/>
  <c r="K236" i="21"/>
  <c r="J236" i="21"/>
  <c r="I236" i="21"/>
  <c r="H236" i="21"/>
  <c r="G236" i="21"/>
  <c r="F236" i="21"/>
  <c r="E236" i="21"/>
  <c r="D236" i="21"/>
  <c r="C236" i="21"/>
  <c r="B236" i="21"/>
  <c r="A236" i="21"/>
  <c r="BG235" i="21"/>
  <c r="BH235" i="21" s="1"/>
  <c r="BE235" i="21"/>
  <c r="BF235" i="21" s="1"/>
  <c r="AW235" i="21"/>
  <c r="AX235" i="21" s="1"/>
  <c r="AU235" i="21"/>
  <c r="AV235" i="21" s="1"/>
  <c r="AS235" i="21"/>
  <c r="AT235" i="21" s="1"/>
  <c r="AQ235" i="21"/>
  <c r="AO235" i="21"/>
  <c r="AP235" i="21" s="1"/>
  <c r="AM235" i="21"/>
  <c r="AN235" i="21" s="1"/>
  <c r="AK235" i="21"/>
  <c r="AL235" i="21" s="1"/>
  <c r="AG235" i="21"/>
  <c r="AH235" i="21" s="1"/>
  <c r="AE235" i="21"/>
  <c r="AC235" i="21"/>
  <c r="AD235" i="21" s="1"/>
  <c r="AA235" i="21"/>
  <c r="AB235" i="21" s="1"/>
  <c r="W235" i="21"/>
  <c r="U235" i="21"/>
  <c r="V235" i="21" s="1"/>
  <c r="S235" i="21"/>
  <c r="T235" i="21" s="1"/>
  <c r="Q235" i="21"/>
  <c r="R235" i="21" s="1"/>
  <c r="P235" i="21"/>
  <c r="O235" i="21"/>
  <c r="N235" i="21"/>
  <c r="M235" i="21"/>
  <c r="L235" i="21"/>
  <c r="K235" i="21"/>
  <c r="J235" i="21"/>
  <c r="I235" i="21"/>
  <c r="H235" i="21"/>
  <c r="G235" i="21"/>
  <c r="F235" i="21"/>
  <c r="E235" i="21"/>
  <c r="D235" i="21"/>
  <c r="C235" i="21"/>
  <c r="B235" i="21"/>
  <c r="A235" i="21"/>
  <c r="BG234" i="21"/>
  <c r="BH234" i="21" s="1"/>
  <c r="BE234" i="21"/>
  <c r="BF234" i="21" s="1"/>
  <c r="AW234" i="21"/>
  <c r="AX234" i="21" s="1"/>
  <c r="AU234" i="21"/>
  <c r="AS234" i="21"/>
  <c r="AT234" i="21" s="1"/>
  <c r="AQ234" i="21"/>
  <c r="AR234" i="21" s="1"/>
  <c r="AO234" i="21"/>
  <c r="AP234" i="21" s="1"/>
  <c r="AM234" i="21"/>
  <c r="AN234" i="21" s="1"/>
  <c r="AK234" i="21"/>
  <c r="AG234" i="21"/>
  <c r="AH234" i="21" s="1"/>
  <c r="AE234" i="21"/>
  <c r="AF234" i="21" s="1"/>
  <c r="AC234" i="21"/>
  <c r="AA234" i="21"/>
  <c r="AB234" i="21" s="1"/>
  <c r="W234" i="21"/>
  <c r="X234" i="21" s="1"/>
  <c r="U234" i="21"/>
  <c r="V234" i="21" s="1"/>
  <c r="S234" i="21"/>
  <c r="T234" i="21" s="1"/>
  <c r="Q234" i="21"/>
  <c r="P234" i="21"/>
  <c r="O234" i="21"/>
  <c r="N234" i="21"/>
  <c r="M234" i="21"/>
  <c r="L234" i="21"/>
  <c r="K234" i="21"/>
  <c r="J234" i="21"/>
  <c r="I234" i="21"/>
  <c r="H234" i="21"/>
  <c r="G234" i="21"/>
  <c r="F234" i="21"/>
  <c r="E234" i="21"/>
  <c r="D234" i="21"/>
  <c r="C234" i="21"/>
  <c r="B234" i="21"/>
  <c r="A234" i="21"/>
  <c r="BG233" i="21"/>
  <c r="BH233" i="21" s="1"/>
  <c r="BE233" i="21"/>
  <c r="BF233" i="21" s="1"/>
  <c r="AW233" i="21"/>
  <c r="AX233" i="21" s="1"/>
  <c r="AU233" i="21"/>
  <c r="AV233" i="21" s="1"/>
  <c r="AS233" i="21"/>
  <c r="AT233" i="21" s="1"/>
  <c r="AQ233" i="21"/>
  <c r="AR233" i="21" s="1"/>
  <c r="BB233" i="21" s="1"/>
  <c r="AO233" i="21"/>
  <c r="AM233" i="21"/>
  <c r="AN233" i="21" s="1"/>
  <c r="AK233" i="21"/>
  <c r="AL233" i="21" s="1"/>
  <c r="AG233" i="21"/>
  <c r="AE233" i="21"/>
  <c r="AF233" i="21" s="1"/>
  <c r="AC233" i="21"/>
  <c r="AD233" i="21" s="1"/>
  <c r="AA233" i="21"/>
  <c r="AB233" i="21" s="1"/>
  <c r="W233" i="21"/>
  <c r="X233" i="21" s="1"/>
  <c r="U233" i="21"/>
  <c r="S233" i="21"/>
  <c r="T233" i="21" s="1"/>
  <c r="Q233" i="21"/>
  <c r="R233" i="21" s="1"/>
  <c r="P233" i="21"/>
  <c r="O233" i="21"/>
  <c r="N233" i="21"/>
  <c r="M233" i="21"/>
  <c r="L233" i="21"/>
  <c r="K233" i="21"/>
  <c r="J233" i="21"/>
  <c r="I233" i="21"/>
  <c r="H233" i="21"/>
  <c r="G233" i="21"/>
  <c r="F233" i="21"/>
  <c r="E233" i="21"/>
  <c r="D233" i="21"/>
  <c r="C233" i="21"/>
  <c r="B233" i="21"/>
  <c r="A233" i="21"/>
  <c r="BG232" i="21"/>
  <c r="BE232" i="21"/>
  <c r="BF232" i="21" s="1"/>
  <c r="AW232" i="21"/>
  <c r="AX232" i="21" s="1"/>
  <c r="AU232" i="21"/>
  <c r="AV232" i="21" s="1"/>
  <c r="AS232" i="21"/>
  <c r="AQ232" i="21"/>
  <c r="AR232" i="21" s="1"/>
  <c r="AO232" i="21"/>
  <c r="AP232" i="21" s="1"/>
  <c r="AM232" i="21"/>
  <c r="AK232" i="21"/>
  <c r="AL232" i="21" s="1"/>
  <c r="AG232" i="21"/>
  <c r="AH232" i="21" s="1"/>
  <c r="AE232" i="21"/>
  <c r="AF232" i="21" s="1"/>
  <c r="AC232" i="21"/>
  <c r="AD232" i="21" s="1"/>
  <c r="AA232" i="21"/>
  <c r="AB232" i="21" s="1"/>
  <c r="W232" i="21"/>
  <c r="X232" i="21" s="1"/>
  <c r="U232" i="21"/>
  <c r="V232" i="21" s="1"/>
  <c r="S232" i="21"/>
  <c r="Q232" i="21"/>
  <c r="R232" i="21" s="1"/>
  <c r="P232" i="21"/>
  <c r="O232" i="21"/>
  <c r="N232" i="21"/>
  <c r="M232" i="21"/>
  <c r="L232" i="21"/>
  <c r="K232" i="21"/>
  <c r="J232" i="21"/>
  <c r="I232" i="21"/>
  <c r="H232" i="21"/>
  <c r="G232" i="21"/>
  <c r="F232" i="21"/>
  <c r="E232" i="21"/>
  <c r="D232" i="21"/>
  <c r="C232" i="21"/>
  <c r="B232" i="21"/>
  <c r="A232" i="21"/>
  <c r="BG231" i="21"/>
  <c r="BE231" i="21"/>
  <c r="BF231" i="21" s="1"/>
  <c r="AW231" i="21"/>
  <c r="AU231" i="21"/>
  <c r="AV231" i="21" s="1"/>
  <c r="AS231" i="21"/>
  <c r="AT231" i="21" s="1"/>
  <c r="AQ231" i="21"/>
  <c r="AO231" i="21"/>
  <c r="AP231" i="21" s="1"/>
  <c r="AM231" i="21"/>
  <c r="AN231" i="21" s="1"/>
  <c r="AK231" i="21"/>
  <c r="AL231" i="21" s="1"/>
  <c r="AG231" i="21"/>
  <c r="AH231" i="21" s="1"/>
  <c r="AE231" i="21"/>
  <c r="AF231" i="21" s="1"/>
  <c r="AC231" i="21"/>
  <c r="AD231" i="21" s="1"/>
  <c r="AA231" i="21"/>
  <c r="AB231" i="21" s="1"/>
  <c r="W231" i="21"/>
  <c r="U231" i="21"/>
  <c r="V231" i="21" s="1"/>
  <c r="S231" i="21"/>
  <c r="Q231" i="21"/>
  <c r="R231" i="21" s="1"/>
  <c r="P231" i="21"/>
  <c r="O231" i="21"/>
  <c r="N231" i="21"/>
  <c r="M231" i="21"/>
  <c r="L231" i="21"/>
  <c r="K231" i="21"/>
  <c r="J231" i="21"/>
  <c r="I231" i="21"/>
  <c r="H231" i="21"/>
  <c r="G231" i="21"/>
  <c r="F231" i="21"/>
  <c r="E231" i="21"/>
  <c r="D231" i="21"/>
  <c r="C231" i="21"/>
  <c r="B231" i="21"/>
  <c r="A231" i="21"/>
  <c r="BG230" i="21"/>
  <c r="BH230" i="21" s="1"/>
  <c r="BE230" i="21"/>
  <c r="AW230" i="21"/>
  <c r="AX230" i="21" s="1"/>
  <c r="AU230" i="21"/>
  <c r="AS230" i="21"/>
  <c r="AT230" i="21" s="1"/>
  <c r="AQ230" i="21"/>
  <c r="AR230" i="21" s="1"/>
  <c r="AO230" i="21"/>
  <c r="AM230" i="21"/>
  <c r="AN230" i="21" s="1"/>
  <c r="AK230" i="21"/>
  <c r="AL230" i="21" s="1"/>
  <c r="AG230" i="21"/>
  <c r="AH230" i="21" s="1"/>
  <c r="AE230" i="21"/>
  <c r="AF230" i="21" s="1"/>
  <c r="AC230" i="21"/>
  <c r="AA230" i="21"/>
  <c r="AB230" i="21" s="1"/>
  <c r="W230" i="21"/>
  <c r="X230" i="21" s="1"/>
  <c r="U230" i="21"/>
  <c r="V230" i="21" s="1"/>
  <c r="S230" i="21"/>
  <c r="T230" i="21" s="1"/>
  <c r="Q230" i="21"/>
  <c r="R230" i="21" s="1"/>
  <c r="P230" i="21"/>
  <c r="O230" i="21"/>
  <c r="N230" i="21"/>
  <c r="M230" i="21"/>
  <c r="L230" i="21"/>
  <c r="K230" i="21"/>
  <c r="J230" i="21"/>
  <c r="I230" i="21"/>
  <c r="H230" i="21"/>
  <c r="G230" i="21"/>
  <c r="F230" i="21"/>
  <c r="E230" i="21"/>
  <c r="D230" i="21"/>
  <c r="C230" i="21"/>
  <c r="B230" i="21"/>
  <c r="A230" i="21"/>
  <c r="BG229" i="21"/>
  <c r="BH229" i="21" s="1"/>
  <c r="BE229" i="21"/>
  <c r="BF229" i="21" s="1"/>
  <c r="AW229" i="21"/>
  <c r="AX229" i="21" s="1"/>
  <c r="AU229" i="21"/>
  <c r="AV229" i="21" s="1"/>
  <c r="AS229" i="21"/>
  <c r="AQ229" i="21"/>
  <c r="AR229" i="21" s="1"/>
  <c r="AO229" i="21"/>
  <c r="AM229" i="21"/>
  <c r="AK229" i="21"/>
  <c r="AL229" i="21" s="1"/>
  <c r="AG229" i="21"/>
  <c r="AE229" i="21"/>
  <c r="AF229" i="21" s="1"/>
  <c r="AC229" i="21"/>
  <c r="AA229" i="21"/>
  <c r="AB229" i="21" s="1"/>
  <c r="W229" i="21"/>
  <c r="X229" i="21" s="1"/>
  <c r="U229" i="21"/>
  <c r="S229" i="21"/>
  <c r="T229" i="21" s="1"/>
  <c r="Z229" i="21" s="1"/>
  <c r="Q229" i="21"/>
  <c r="R229" i="21" s="1"/>
  <c r="P229" i="21"/>
  <c r="O229" i="21"/>
  <c r="N229" i="21"/>
  <c r="M229" i="21"/>
  <c r="L229" i="21"/>
  <c r="K229" i="21"/>
  <c r="J229" i="21"/>
  <c r="I229" i="21"/>
  <c r="H229" i="21"/>
  <c r="G229" i="21"/>
  <c r="F229" i="21"/>
  <c r="E229" i="21"/>
  <c r="D229" i="21"/>
  <c r="C229" i="21"/>
  <c r="B229" i="21"/>
  <c r="A229" i="21"/>
  <c r="BG228" i="21"/>
  <c r="BE228" i="21"/>
  <c r="BF228" i="21" s="1"/>
  <c r="AW228" i="21"/>
  <c r="AU228" i="21"/>
  <c r="AV228" i="21" s="1"/>
  <c r="AS228" i="21"/>
  <c r="AQ228" i="21"/>
  <c r="AR228" i="21" s="1"/>
  <c r="AO228" i="21"/>
  <c r="AP228" i="21" s="1"/>
  <c r="AM228" i="21"/>
  <c r="AK228" i="21"/>
  <c r="AL228" i="21" s="1"/>
  <c r="AG228" i="21"/>
  <c r="AH228" i="21" s="1"/>
  <c r="AE228" i="21"/>
  <c r="AF228" i="21" s="1"/>
  <c r="AC228" i="21"/>
  <c r="AD228" i="21" s="1"/>
  <c r="AA228" i="21"/>
  <c r="AB228" i="21" s="1"/>
  <c r="W228" i="21"/>
  <c r="X228" i="21" s="1"/>
  <c r="U228" i="21"/>
  <c r="V228" i="21" s="1"/>
  <c r="S228" i="21"/>
  <c r="T228" i="21" s="1"/>
  <c r="Q228" i="21"/>
  <c r="P228" i="21"/>
  <c r="O228" i="21"/>
  <c r="N228" i="21"/>
  <c r="M228" i="21"/>
  <c r="L228" i="21"/>
  <c r="K228" i="21"/>
  <c r="J228" i="21"/>
  <c r="I228" i="21"/>
  <c r="H228" i="21"/>
  <c r="G228" i="21"/>
  <c r="F228" i="21"/>
  <c r="E228" i="21"/>
  <c r="D228" i="21"/>
  <c r="C228" i="21"/>
  <c r="B228" i="21"/>
  <c r="A228" i="21"/>
  <c r="BG227" i="21"/>
  <c r="BE227" i="21"/>
  <c r="BF227" i="21" s="1"/>
  <c r="AW227" i="21"/>
  <c r="AX227" i="21" s="1"/>
  <c r="AU227" i="21"/>
  <c r="AV227" i="21" s="1"/>
  <c r="AS227" i="21"/>
  <c r="AQ227" i="21"/>
  <c r="AR227" i="21" s="1"/>
  <c r="AO227" i="21"/>
  <c r="AM227" i="21"/>
  <c r="AK227" i="21"/>
  <c r="AL227" i="21" s="1"/>
  <c r="AG227" i="21"/>
  <c r="AE227" i="21"/>
  <c r="AF227" i="21" s="1"/>
  <c r="AC227" i="21"/>
  <c r="AD227" i="21" s="1"/>
  <c r="AA227" i="21"/>
  <c r="AB227" i="21" s="1"/>
  <c r="W227" i="21"/>
  <c r="X227" i="21" s="1"/>
  <c r="U227" i="21"/>
  <c r="S227" i="21"/>
  <c r="Q227" i="21"/>
  <c r="R227" i="21" s="1"/>
  <c r="P227" i="21"/>
  <c r="O227" i="21"/>
  <c r="N227" i="21"/>
  <c r="M227" i="21"/>
  <c r="L227" i="21"/>
  <c r="K227" i="21"/>
  <c r="J227" i="21"/>
  <c r="I227" i="21"/>
  <c r="H227" i="21"/>
  <c r="G227" i="21"/>
  <c r="F227" i="21"/>
  <c r="E227" i="21"/>
  <c r="D227" i="21"/>
  <c r="C227" i="21"/>
  <c r="B227" i="21"/>
  <c r="A227" i="21"/>
  <c r="BG226" i="21"/>
  <c r="BE226" i="21"/>
  <c r="BF226" i="21" s="1"/>
  <c r="AW226" i="21"/>
  <c r="AX226" i="21" s="1"/>
  <c r="AU226" i="21"/>
  <c r="AV226" i="21" s="1"/>
  <c r="AS226" i="21"/>
  <c r="AQ226" i="21"/>
  <c r="AO226" i="21"/>
  <c r="AP226" i="21" s="1"/>
  <c r="AM226" i="21"/>
  <c r="AK226" i="21"/>
  <c r="AL226" i="21" s="1"/>
  <c r="AG226" i="21"/>
  <c r="AH226" i="21" s="1"/>
  <c r="AE226" i="21"/>
  <c r="AF226" i="21" s="1"/>
  <c r="AC226" i="21"/>
  <c r="AD226" i="21" s="1"/>
  <c r="AA226" i="21"/>
  <c r="W226" i="21"/>
  <c r="U226" i="21"/>
  <c r="V226" i="21" s="1"/>
  <c r="S226" i="21"/>
  <c r="Q226" i="21"/>
  <c r="R226" i="21" s="1"/>
  <c r="P226" i="21"/>
  <c r="O226" i="21"/>
  <c r="N226" i="21"/>
  <c r="M226" i="21"/>
  <c r="L226" i="21"/>
  <c r="K226" i="21"/>
  <c r="J226" i="21"/>
  <c r="I226" i="21"/>
  <c r="H226" i="21"/>
  <c r="G226" i="21"/>
  <c r="F226" i="21"/>
  <c r="E226" i="21"/>
  <c r="D226" i="21"/>
  <c r="C226" i="21"/>
  <c r="B226" i="21"/>
  <c r="A226" i="21"/>
  <c r="BG225" i="21"/>
  <c r="BH225" i="21" s="1"/>
  <c r="BE225" i="21"/>
  <c r="BF225" i="21" s="1"/>
  <c r="AW225" i="21"/>
  <c r="AX225" i="21" s="1"/>
  <c r="AU225" i="21"/>
  <c r="AV225" i="21" s="1"/>
  <c r="AS225" i="21"/>
  <c r="AT225" i="21" s="1"/>
  <c r="AQ225" i="21"/>
  <c r="AO225" i="21"/>
  <c r="AP225" i="21" s="1"/>
  <c r="AM225" i="21"/>
  <c r="AN225" i="21" s="1"/>
  <c r="AK225" i="21"/>
  <c r="AL225" i="21" s="1"/>
  <c r="AG225" i="21"/>
  <c r="AH225" i="21" s="1"/>
  <c r="AE225" i="21"/>
  <c r="AC225" i="21"/>
  <c r="AD225" i="21" s="1"/>
  <c r="AJ225" i="21" s="1"/>
  <c r="AA225" i="21"/>
  <c r="AB225" i="21" s="1"/>
  <c r="W225" i="21"/>
  <c r="U225" i="21"/>
  <c r="V225" i="21" s="1"/>
  <c r="S225" i="21"/>
  <c r="T225" i="21" s="1"/>
  <c r="Q225" i="21"/>
  <c r="R225" i="21" s="1"/>
  <c r="P225" i="21"/>
  <c r="O225" i="21"/>
  <c r="N225" i="21"/>
  <c r="M225" i="21"/>
  <c r="L225" i="21"/>
  <c r="K225" i="21"/>
  <c r="J225" i="21"/>
  <c r="I225" i="21"/>
  <c r="H225" i="21"/>
  <c r="G225" i="21"/>
  <c r="F225" i="21"/>
  <c r="E225" i="21"/>
  <c r="D225" i="21"/>
  <c r="C225" i="21"/>
  <c r="B225" i="21"/>
  <c r="A225" i="21"/>
  <c r="BG224" i="21"/>
  <c r="BH224" i="21" s="1"/>
  <c r="BE224" i="21"/>
  <c r="AW224" i="21"/>
  <c r="AX224" i="21" s="1"/>
  <c r="AU224" i="21"/>
  <c r="AS224" i="21"/>
  <c r="AT224" i="21" s="1"/>
  <c r="AQ224" i="21"/>
  <c r="AR224" i="21" s="1"/>
  <c r="AO224" i="21"/>
  <c r="AP224" i="21" s="1"/>
  <c r="AM224" i="21"/>
  <c r="AN224" i="21" s="1"/>
  <c r="AK224" i="21"/>
  <c r="AG224" i="21"/>
  <c r="AH224" i="21" s="1"/>
  <c r="AE224" i="21"/>
  <c r="AF224" i="21" s="1"/>
  <c r="AC224" i="21"/>
  <c r="AA224" i="21"/>
  <c r="AB224" i="21" s="1"/>
  <c r="W224" i="21"/>
  <c r="X224" i="21" s="1"/>
  <c r="U224" i="21"/>
  <c r="V224" i="21" s="1"/>
  <c r="S224" i="21"/>
  <c r="T224" i="21" s="1"/>
  <c r="Q224" i="21"/>
  <c r="R224" i="21" s="1"/>
  <c r="P224" i="21"/>
  <c r="O224" i="21"/>
  <c r="N224" i="21"/>
  <c r="M224" i="21"/>
  <c r="L224" i="21"/>
  <c r="K224" i="21"/>
  <c r="J224" i="21"/>
  <c r="I224" i="21"/>
  <c r="H224" i="21"/>
  <c r="G224" i="21"/>
  <c r="F224" i="21"/>
  <c r="E224" i="21"/>
  <c r="D224" i="21"/>
  <c r="C224" i="21"/>
  <c r="B224" i="21"/>
  <c r="A224" i="21"/>
  <c r="BG223" i="21"/>
  <c r="BH223" i="21" s="1"/>
  <c r="BE223" i="21"/>
  <c r="BF223" i="21" s="1"/>
  <c r="AW223" i="21"/>
  <c r="AX223" i="21" s="1"/>
  <c r="AU223" i="21"/>
  <c r="AV223" i="21" s="1"/>
  <c r="AS223" i="21"/>
  <c r="AT223" i="21" s="1"/>
  <c r="AQ223" i="21"/>
  <c r="AR223" i="21" s="1"/>
  <c r="AO223" i="21"/>
  <c r="AP223" i="21" s="1"/>
  <c r="AM223" i="21"/>
  <c r="AN223" i="21" s="1"/>
  <c r="AK223" i="21"/>
  <c r="AL223" i="21" s="1"/>
  <c r="AG223" i="21"/>
  <c r="AE223" i="21"/>
  <c r="AF223" i="21" s="1"/>
  <c r="AC223" i="21"/>
  <c r="AD223" i="21" s="1"/>
  <c r="AA223" i="21"/>
  <c r="AB223" i="21" s="1"/>
  <c r="W223" i="21"/>
  <c r="X223" i="21" s="1"/>
  <c r="U223" i="21"/>
  <c r="V223" i="21" s="1"/>
  <c r="S223" i="21"/>
  <c r="T223" i="21" s="1"/>
  <c r="Q223" i="21"/>
  <c r="R223" i="21" s="1"/>
  <c r="P223" i="21"/>
  <c r="O223" i="21"/>
  <c r="N223" i="21"/>
  <c r="M223" i="21"/>
  <c r="L223" i="21"/>
  <c r="K223" i="21"/>
  <c r="J223" i="21"/>
  <c r="I223" i="21"/>
  <c r="H223" i="21"/>
  <c r="G223" i="21"/>
  <c r="F223" i="21"/>
  <c r="E223" i="21"/>
  <c r="D223" i="21"/>
  <c r="C223" i="21"/>
  <c r="B223" i="21"/>
  <c r="A223" i="21"/>
  <c r="BG222" i="21"/>
  <c r="BE222" i="21"/>
  <c r="BF222" i="21" s="1"/>
  <c r="AW222" i="21"/>
  <c r="AX222" i="21" s="1"/>
  <c r="AU222" i="21"/>
  <c r="AV222" i="21" s="1"/>
  <c r="AS222" i="21"/>
  <c r="AT222" i="21" s="1"/>
  <c r="AQ222" i="21"/>
  <c r="AR222" i="21" s="1"/>
  <c r="AO222" i="21"/>
  <c r="AP222" i="21" s="1"/>
  <c r="AM222" i="21"/>
  <c r="AK222" i="21"/>
  <c r="AL222" i="21" s="1"/>
  <c r="AG222" i="21"/>
  <c r="AH222" i="21" s="1"/>
  <c r="AE222" i="21"/>
  <c r="AF222" i="21" s="1"/>
  <c r="AC222" i="21"/>
  <c r="AD222" i="21" s="1"/>
  <c r="AA222" i="21"/>
  <c r="AB222" i="21" s="1"/>
  <c r="W222" i="21"/>
  <c r="X222" i="21" s="1"/>
  <c r="U222" i="21"/>
  <c r="V222" i="21" s="1"/>
  <c r="S222" i="21"/>
  <c r="T222" i="21" s="1"/>
  <c r="Q222" i="21"/>
  <c r="R222" i="21" s="1"/>
  <c r="P222" i="21"/>
  <c r="O222" i="21"/>
  <c r="N222" i="21"/>
  <c r="M222" i="21"/>
  <c r="L222" i="21"/>
  <c r="K222" i="21"/>
  <c r="J222" i="21"/>
  <c r="I222" i="21"/>
  <c r="H222" i="21"/>
  <c r="G222" i="21"/>
  <c r="F222" i="21"/>
  <c r="E222" i="21"/>
  <c r="D222" i="21"/>
  <c r="C222" i="21"/>
  <c r="B222" i="21"/>
  <c r="A222" i="21"/>
  <c r="BG221" i="21"/>
  <c r="BH221" i="21" s="1"/>
  <c r="BE221" i="21"/>
  <c r="BF221" i="21" s="1"/>
  <c r="AW221" i="21"/>
  <c r="AX221" i="21" s="1"/>
  <c r="AU221" i="21"/>
  <c r="AV221" i="21" s="1"/>
  <c r="AS221" i="21"/>
  <c r="AT221" i="21" s="1"/>
  <c r="AQ221" i="21"/>
  <c r="AO221" i="21"/>
  <c r="AP221" i="21" s="1"/>
  <c r="AM221" i="21"/>
  <c r="AN221" i="21" s="1"/>
  <c r="AK221" i="21"/>
  <c r="AL221" i="21" s="1"/>
  <c r="AG221" i="21"/>
  <c r="AH221" i="21" s="1"/>
  <c r="AE221" i="21"/>
  <c r="AF221" i="21" s="1"/>
  <c r="AC221" i="21"/>
  <c r="AD221" i="21" s="1"/>
  <c r="AA221" i="21"/>
  <c r="AB221" i="21" s="1"/>
  <c r="W221" i="21"/>
  <c r="U221" i="21"/>
  <c r="V221" i="21" s="1"/>
  <c r="S221" i="21"/>
  <c r="Q221" i="21"/>
  <c r="R221" i="21" s="1"/>
  <c r="P221" i="21"/>
  <c r="O221" i="21"/>
  <c r="N221" i="21"/>
  <c r="M221" i="21"/>
  <c r="L221" i="21"/>
  <c r="K221" i="21"/>
  <c r="J221" i="21"/>
  <c r="I221" i="21"/>
  <c r="H221" i="21"/>
  <c r="G221" i="21"/>
  <c r="F221" i="21"/>
  <c r="E221" i="21"/>
  <c r="D221" i="21"/>
  <c r="C221" i="21"/>
  <c r="B221" i="21"/>
  <c r="A221" i="21"/>
  <c r="BG220" i="21"/>
  <c r="BH220" i="21" s="1"/>
  <c r="BE220" i="21"/>
  <c r="BF220" i="21" s="1"/>
  <c r="AW220" i="21"/>
  <c r="AX220" i="21" s="1"/>
  <c r="AU220" i="21"/>
  <c r="AS220" i="21"/>
  <c r="AT220" i="21" s="1"/>
  <c r="AQ220" i="21"/>
  <c r="AO220" i="21"/>
  <c r="AP220" i="21" s="1"/>
  <c r="AM220" i="21"/>
  <c r="AN220" i="21" s="1"/>
  <c r="AK220" i="21"/>
  <c r="AL220" i="21" s="1"/>
  <c r="AG220" i="21"/>
  <c r="AH220" i="21" s="1"/>
  <c r="AE220" i="21"/>
  <c r="AF220" i="21" s="1"/>
  <c r="AC220" i="21"/>
  <c r="AA220" i="21"/>
  <c r="AB220" i="21" s="1"/>
  <c r="W220" i="21"/>
  <c r="X220" i="21" s="1"/>
  <c r="U220" i="21"/>
  <c r="V220" i="21" s="1"/>
  <c r="S220" i="21"/>
  <c r="T220" i="21" s="1"/>
  <c r="Q220" i="21"/>
  <c r="P220" i="21"/>
  <c r="O220" i="21"/>
  <c r="N220" i="21"/>
  <c r="M220" i="21"/>
  <c r="L220" i="21"/>
  <c r="K220" i="21"/>
  <c r="J220" i="21"/>
  <c r="I220" i="21"/>
  <c r="H220" i="21"/>
  <c r="G220" i="21"/>
  <c r="F220" i="21"/>
  <c r="E220" i="21"/>
  <c r="D220" i="21"/>
  <c r="C220" i="21"/>
  <c r="B220" i="21"/>
  <c r="A220" i="21"/>
  <c r="BG219" i="21"/>
  <c r="BH219" i="21" s="1"/>
  <c r="BE219" i="21"/>
  <c r="BF219" i="21" s="1"/>
  <c r="AW219" i="21"/>
  <c r="AX219" i="21" s="1"/>
  <c r="AU219" i="21"/>
  <c r="AV219" i="21" s="1"/>
  <c r="AS219" i="21"/>
  <c r="AT219" i="21" s="1"/>
  <c r="AQ219" i="21"/>
  <c r="AR219" i="21" s="1"/>
  <c r="AO219" i="21"/>
  <c r="AM219" i="21"/>
  <c r="AN219" i="21" s="1"/>
  <c r="AK219" i="21"/>
  <c r="AL219" i="21" s="1"/>
  <c r="AG219" i="21"/>
  <c r="AE219" i="21"/>
  <c r="AF219" i="21" s="1"/>
  <c r="AC219" i="21"/>
  <c r="AA219" i="21"/>
  <c r="AB219" i="21" s="1"/>
  <c r="W219" i="21"/>
  <c r="X219" i="21" s="1"/>
  <c r="U219" i="21"/>
  <c r="S219" i="21"/>
  <c r="T219" i="21" s="1"/>
  <c r="Q219" i="21"/>
  <c r="R219" i="21" s="1"/>
  <c r="P219" i="21"/>
  <c r="O219" i="21"/>
  <c r="N219" i="21"/>
  <c r="M219" i="21"/>
  <c r="L219" i="21"/>
  <c r="K219" i="21"/>
  <c r="J219" i="21"/>
  <c r="I219" i="21"/>
  <c r="H219" i="21"/>
  <c r="G219" i="21"/>
  <c r="F219" i="21"/>
  <c r="E219" i="21"/>
  <c r="D219" i="21"/>
  <c r="C219" i="21"/>
  <c r="B219" i="21"/>
  <c r="A219" i="21"/>
  <c r="BG218" i="21"/>
  <c r="BE218" i="21"/>
  <c r="BF218" i="21" s="1"/>
  <c r="AW218" i="21"/>
  <c r="AX218" i="21" s="1"/>
  <c r="AU218" i="21"/>
  <c r="AV218" i="21" s="1"/>
  <c r="AS218" i="21"/>
  <c r="AT218" i="21" s="1"/>
  <c r="AQ218" i="21"/>
  <c r="AR218" i="21" s="1"/>
  <c r="AO218" i="21"/>
  <c r="AP218" i="21" s="1"/>
  <c r="AM218" i="21"/>
  <c r="AK218" i="21"/>
  <c r="AL218" i="21" s="1"/>
  <c r="AG218" i="21"/>
  <c r="AH218" i="21" s="1"/>
  <c r="AE218" i="21"/>
  <c r="AF218" i="21" s="1"/>
  <c r="AC218" i="21"/>
  <c r="AD218" i="21" s="1"/>
  <c r="AA218" i="21"/>
  <c r="AB218" i="21" s="1"/>
  <c r="W218" i="21"/>
  <c r="X218" i="21" s="1"/>
  <c r="U218" i="21"/>
  <c r="V218" i="21" s="1"/>
  <c r="S218" i="21"/>
  <c r="Q218" i="21"/>
  <c r="R218" i="21" s="1"/>
  <c r="P218" i="21"/>
  <c r="O218" i="21"/>
  <c r="N218" i="21"/>
  <c r="M218" i="21"/>
  <c r="L218" i="21"/>
  <c r="K218" i="21"/>
  <c r="J218" i="21"/>
  <c r="I218" i="21"/>
  <c r="H218" i="21"/>
  <c r="G218" i="21"/>
  <c r="F218" i="21"/>
  <c r="E218" i="21"/>
  <c r="D218" i="21"/>
  <c r="C218" i="21"/>
  <c r="B218" i="21"/>
  <c r="A218" i="21"/>
  <c r="BG217" i="21"/>
  <c r="BH217" i="21" s="1"/>
  <c r="BE217" i="21"/>
  <c r="BF217" i="21" s="1"/>
  <c r="AW217" i="21"/>
  <c r="AX217" i="21" s="1"/>
  <c r="AU217" i="21"/>
  <c r="AV217" i="21" s="1"/>
  <c r="AS217" i="21"/>
  <c r="AT217" i="21" s="1"/>
  <c r="AQ217" i="21"/>
  <c r="AO217" i="21"/>
  <c r="AP217" i="21" s="1"/>
  <c r="AM217" i="21"/>
  <c r="AK217" i="21"/>
  <c r="AL217" i="21" s="1"/>
  <c r="AG217" i="21"/>
  <c r="AH217" i="21" s="1"/>
  <c r="AE217" i="21"/>
  <c r="AF217" i="21" s="1"/>
  <c r="AC217" i="21"/>
  <c r="AD217" i="21" s="1"/>
  <c r="AA217" i="21"/>
  <c r="AB217" i="21" s="1"/>
  <c r="W217" i="21"/>
  <c r="U217" i="21"/>
  <c r="V217" i="21" s="1"/>
  <c r="S217" i="21"/>
  <c r="Q217" i="21"/>
  <c r="R217" i="21" s="1"/>
  <c r="P217" i="21"/>
  <c r="O217" i="21"/>
  <c r="N217" i="21"/>
  <c r="M217" i="21"/>
  <c r="L217" i="21"/>
  <c r="K217" i="21"/>
  <c r="J217" i="21"/>
  <c r="I217" i="21"/>
  <c r="H217" i="21"/>
  <c r="G217" i="21"/>
  <c r="F217" i="21"/>
  <c r="E217" i="21"/>
  <c r="D217" i="21"/>
  <c r="C217" i="21"/>
  <c r="B217" i="21"/>
  <c r="A217" i="21"/>
  <c r="BG216" i="21"/>
  <c r="BH216" i="21" s="1"/>
  <c r="BE216" i="21"/>
  <c r="BF216" i="21" s="1"/>
  <c r="AW216" i="21"/>
  <c r="AX216" i="21" s="1"/>
  <c r="AU216" i="21"/>
  <c r="AS216" i="21"/>
  <c r="AT216" i="21" s="1"/>
  <c r="AQ216" i="21"/>
  <c r="AR216" i="21" s="1"/>
  <c r="AO216" i="21"/>
  <c r="AP216" i="21" s="1"/>
  <c r="AM216" i="21"/>
  <c r="AN216" i="21" s="1"/>
  <c r="AK216" i="21"/>
  <c r="AG216" i="21"/>
  <c r="AH216" i="21" s="1"/>
  <c r="AE216" i="21"/>
  <c r="AF216" i="21" s="1"/>
  <c r="AC216" i="21"/>
  <c r="AA216" i="21"/>
  <c r="AB216" i="21" s="1"/>
  <c r="W216" i="21"/>
  <c r="X216" i="21" s="1"/>
  <c r="U216" i="21"/>
  <c r="V216" i="21" s="1"/>
  <c r="S216" i="21"/>
  <c r="T216" i="21" s="1"/>
  <c r="Q216" i="21"/>
  <c r="P216" i="21"/>
  <c r="O216" i="21"/>
  <c r="N216" i="21"/>
  <c r="M216" i="21"/>
  <c r="L216" i="21"/>
  <c r="K216" i="21"/>
  <c r="J216" i="21"/>
  <c r="I216" i="21"/>
  <c r="H216" i="21"/>
  <c r="G216" i="21"/>
  <c r="F216" i="21"/>
  <c r="E216" i="21"/>
  <c r="D216" i="21"/>
  <c r="C216" i="21"/>
  <c r="B216" i="21"/>
  <c r="A216" i="21"/>
  <c r="BG215" i="21"/>
  <c r="BH215" i="21" s="1"/>
  <c r="BE215" i="21"/>
  <c r="BF215" i="21" s="1"/>
  <c r="AW215" i="21"/>
  <c r="AX215" i="21" s="1"/>
  <c r="AU215" i="21"/>
  <c r="AS215" i="21"/>
  <c r="AT215" i="21" s="1"/>
  <c r="AQ215" i="21"/>
  <c r="AR215" i="21" s="1"/>
  <c r="AO215" i="21"/>
  <c r="AM215" i="21"/>
  <c r="AN215" i="21" s="1"/>
  <c r="AK215" i="21"/>
  <c r="AL215" i="21" s="1"/>
  <c r="AG215" i="21"/>
  <c r="AE215" i="21"/>
  <c r="AF215" i="21" s="1"/>
  <c r="AC215" i="21"/>
  <c r="AD215" i="21" s="1"/>
  <c r="AA215" i="21"/>
  <c r="AB215" i="21" s="1"/>
  <c r="W215" i="21"/>
  <c r="X215" i="21" s="1"/>
  <c r="U215" i="21"/>
  <c r="V215" i="21" s="1"/>
  <c r="S215" i="21"/>
  <c r="T215" i="21" s="1"/>
  <c r="Q215" i="21"/>
  <c r="R215" i="21" s="1"/>
  <c r="P215" i="21"/>
  <c r="O215" i="21"/>
  <c r="N215" i="21"/>
  <c r="M215" i="21"/>
  <c r="L215" i="21"/>
  <c r="K215" i="21"/>
  <c r="J215" i="21"/>
  <c r="I215" i="21"/>
  <c r="H215" i="21"/>
  <c r="G215" i="21"/>
  <c r="F215" i="21"/>
  <c r="E215" i="21"/>
  <c r="D215" i="21"/>
  <c r="C215" i="21"/>
  <c r="B215" i="21"/>
  <c r="A215" i="21"/>
  <c r="BG214" i="21"/>
  <c r="BE214" i="21"/>
  <c r="BF214" i="21" s="1"/>
  <c r="AW214" i="21"/>
  <c r="AX214" i="21" s="1"/>
  <c r="AU214" i="21"/>
  <c r="AV214" i="21" s="1"/>
  <c r="AS214" i="21"/>
  <c r="AT214" i="21" s="1"/>
  <c r="AQ214" i="21"/>
  <c r="AR214" i="21" s="1"/>
  <c r="AO214" i="21"/>
  <c r="AP214" i="21" s="1"/>
  <c r="AM214" i="21"/>
  <c r="AK214" i="21"/>
  <c r="AL214" i="21" s="1"/>
  <c r="AG214" i="21"/>
  <c r="AH214" i="21" s="1"/>
  <c r="AE214" i="21"/>
  <c r="AF214" i="21" s="1"/>
  <c r="AC214" i="21"/>
  <c r="AD214" i="21" s="1"/>
  <c r="AA214" i="21"/>
  <c r="AB214" i="21" s="1"/>
  <c r="W214" i="21"/>
  <c r="X214" i="21" s="1"/>
  <c r="U214" i="21"/>
  <c r="V214" i="21" s="1"/>
  <c r="S214" i="21"/>
  <c r="Q214" i="21"/>
  <c r="R214" i="21" s="1"/>
  <c r="P214" i="21"/>
  <c r="O214" i="21"/>
  <c r="N214" i="21"/>
  <c r="M214" i="21"/>
  <c r="L214" i="21"/>
  <c r="K214" i="21"/>
  <c r="J214" i="21"/>
  <c r="I214" i="21"/>
  <c r="H214" i="21"/>
  <c r="G214" i="21"/>
  <c r="F214" i="21"/>
  <c r="E214" i="21"/>
  <c r="D214" i="21"/>
  <c r="C214" i="21"/>
  <c r="B214" i="21"/>
  <c r="A214" i="21"/>
  <c r="BG213" i="21"/>
  <c r="BE213" i="21"/>
  <c r="BF213" i="21" s="1"/>
  <c r="AW213" i="21"/>
  <c r="AX213" i="21" s="1"/>
  <c r="AU213" i="21"/>
  <c r="AV213" i="21" s="1"/>
  <c r="AS213" i="21"/>
  <c r="AT213" i="21" s="1"/>
  <c r="AQ213" i="21"/>
  <c r="AO213" i="21"/>
  <c r="AP213" i="21" s="1"/>
  <c r="AM213" i="21"/>
  <c r="AK213" i="21"/>
  <c r="AL213" i="21" s="1"/>
  <c r="AG213" i="21"/>
  <c r="AH213" i="21" s="1"/>
  <c r="AE213" i="21"/>
  <c r="AF213" i="21" s="1"/>
  <c r="AC213" i="21"/>
  <c r="AD213" i="21" s="1"/>
  <c r="AA213" i="21"/>
  <c r="AB213" i="21" s="1"/>
  <c r="W213" i="21"/>
  <c r="U213" i="21"/>
  <c r="V213" i="21" s="1"/>
  <c r="S213" i="21"/>
  <c r="T213" i="21" s="1"/>
  <c r="Q213" i="21"/>
  <c r="R213" i="21" s="1"/>
  <c r="P213" i="21"/>
  <c r="O213" i="21"/>
  <c r="N213" i="21"/>
  <c r="M213" i="21"/>
  <c r="L213" i="21"/>
  <c r="K213" i="21"/>
  <c r="J213" i="21"/>
  <c r="I213" i="21"/>
  <c r="H213" i="21"/>
  <c r="G213" i="21"/>
  <c r="F213" i="21"/>
  <c r="E213" i="21"/>
  <c r="D213" i="21"/>
  <c r="C213" i="21"/>
  <c r="B213" i="21"/>
  <c r="A213" i="21"/>
  <c r="BG212" i="21"/>
  <c r="BH212" i="21" s="1"/>
  <c r="BE212" i="21"/>
  <c r="AW212" i="21"/>
  <c r="AX212" i="21" s="1"/>
  <c r="AU212" i="21"/>
  <c r="AS212" i="21"/>
  <c r="AT212" i="21" s="1"/>
  <c r="AQ212" i="21"/>
  <c r="AR212" i="21" s="1"/>
  <c r="AO212" i="21"/>
  <c r="AP212" i="21" s="1"/>
  <c r="AM212" i="21"/>
  <c r="AN212" i="21" s="1"/>
  <c r="AK212" i="21"/>
  <c r="AG212" i="21"/>
  <c r="AH212" i="21" s="1"/>
  <c r="AE212" i="21"/>
  <c r="AF212" i="21" s="1"/>
  <c r="AC212" i="21"/>
  <c r="AA212" i="21"/>
  <c r="AB212" i="21" s="1"/>
  <c r="W212" i="21"/>
  <c r="U212" i="21"/>
  <c r="V212" i="21" s="1"/>
  <c r="S212" i="21"/>
  <c r="T212" i="21" s="1"/>
  <c r="Q212" i="21"/>
  <c r="P212" i="21"/>
  <c r="O212" i="21"/>
  <c r="N212" i="21"/>
  <c r="M212" i="21"/>
  <c r="L212" i="21"/>
  <c r="K212" i="21"/>
  <c r="J212" i="21"/>
  <c r="I212" i="21"/>
  <c r="H212" i="21"/>
  <c r="G212" i="21"/>
  <c r="F212" i="21"/>
  <c r="E212" i="21"/>
  <c r="D212" i="21"/>
  <c r="C212" i="21"/>
  <c r="B212" i="21"/>
  <c r="A212" i="21"/>
  <c r="BG211" i="21"/>
  <c r="BH211" i="21" s="1"/>
  <c r="BE211" i="21"/>
  <c r="BF211" i="21" s="1"/>
  <c r="AW211" i="21"/>
  <c r="AX211" i="21" s="1"/>
  <c r="AU211" i="21"/>
  <c r="AV211" i="21" s="1"/>
  <c r="AS211" i="21"/>
  <c r="AT211" i="21" s="1"/>
  <c r="AQ211" i="21"/>
  <c r="AR211" i="21" s="1"/>
  <c r="AO211" i="21"/>
  <c r="AP211" i="21" s="1"/>
  <c r="AM211" i="21"/>
  <c r="AN211" i="21" s="1"/>
  <c r="AK211" i="21"/>
  <c r="AL211" i="21" s="1"/>
  <c r="AG211" i="21"/>
  <c r="AE211" i="21"/>
  <c r="AF211" i="21" s="1"/>
  <c r="AC211" i="21"/>
  <c r="AD211" i="21" s="1"/>
  <c r="AA211" i="21"/>
  <c r="AB211" i="21" s="1"/>
  <c r="W211" i="21"/>
  <c r="X211" i="21" s="1"/>
  <c r="U211" i="21"/>
  <c r="V211" i="21" s="1"/>
  <c r="S211" i="21"/>
  <c r="T211" i="21" s="1"/>
  <c r="Q211" i="21"/>
  <c r="R211" i="21" s="1"/>
  <c r="P211" i="21"/>
  <c r="O211" i="21"/>
  <c r="N211" i="21"/>
  <c r="M211" i="21"/>
  <c r="L211" i="21"/>
  <c r="K211" i="21"/>
  <c r="J211" i="21"/>
  <c r="I211" i="21"/>
  <c r="H211" i="21"/>
  <c r="G211" i="21"/>
  <c r="F211" i="21"/>
  <c r="E211" i="21"/>
  <c r="D211" i="21"/>
  <c r="C211" i="21"/>
  <c r="B211" i="21"/>
  <c r="A211" i="21"/>
  <c r="BG210" i="21"/>
  <c r="BE210" i="21"/>
  <c r="BF210" i="21" s="1"/>
  <c r="AW210" i="21"/>
  <c r="AX210" i="21" s="1"/>
  <c r="AU210" i="21"/>
  <c r="AV210" i="21" s="1"/>
  <c r="AS210" i="21"/>
  <c r="AT210" i="21" s="1"/>
  <c r="AQ210" i="21"/>
  <c r="AR210" i="21" s="1"/>
  <c r="AO210" i="21"/>
  <c r="AP210" i="21" s="1"/>
  <c r="AM210" i="21"/>
  <c r="AK210" i="21"/>
  <c r="AL210" i="21" s="1"/>
  <c r="AG210" i="21"/>
  <c r="AE210" i="21"/>
  <c r="AF210" i="21" s="1"/>
  <c r="AC210" i="21"/>
  <c r="AD210" i="21" s="1"/>
  <c r="AA210" i="21"/>
  <c r="AB210" i="21" s="1"/>
  <c r="W210" i="21"/>
  <c r="X210" i="21" s="1"/>
  <c r="U210" i="21"/>
  <c r="V210" i="21" s="1"/>
  <c r="S210" i="21"/>
  <c r="Q210" i="21"/>
  <c r="R210" i="21" s="1"/>
  <c r="P210" i="21"/>
  <c r="O210" i="21"/>
  <c r="N210" i="21"/>
  <c r="M210" i="21"/>
  <c r="L210" i="21"/>
  <c r="K210" i="21"/>
  <c r="J210" i="21"/>
  <c r="I210" i="21"/>
  <c r="H210" i="21"/>
  <c r="G210" i="21"/>
  <c r="F210" i="21"/>
  <c r="E210" i="21"/>
  <c r="D210" i="21"/>
  <c r="C210" i="21"/>
  <c r="B210" i="21"/>
  <c r="A210" i="21"/>
  <c r="BG209" i="21"/>
  <c r="BE209" i="21"/>
  <c r="BF209" i="21" s="1"/>
  <c r="AW209" i="21"/>
  <c r="AX209" i="21" s="1"/>
  <c r="AU209" i="21"/>
  <c r="AV209" i="21" s="1"/>
  <c r="AS209" i="21"/>
  <c r="AT209" i="21" s="1"/>
  <c r="AQ209" i="21"/>
  <c r="AO209" i="21"/>
  <c r="AP209" i="21" s="1"/>
  <c r="AM209" i="21"/>
  <c r="AN209" i="21" s="1"/>
  <c r="AK209" i="21"/>
  <c r="AL209" i="21" s="1"/>
  <c r="AG209" i="21"/>
  <c r="AH209" i="21" s="1"/>
  <c r="AE209" i="21"/>
  <c r="AC209" i="21"/>
  <c r="AD209" i="21" s="1"/>
  <c r="AJ209" i="21" s="1"/>
  <c r="AA209" i="21"/>
  <c r="AB209" i="21" s="1"/>
  <c r="W209" i="21"/>
  <c r="U209" i="21"/>
  <c r="V209" i="21" s="1"/>
  <c r="S209" i="21"/>
  <c r="T209" i="21" s="1"/>
  <c r="Q209" i="21"/>
  <c r="R209" i="21" s="1"/>
  <c r="P209" i="21"/>
  <c r="O209" i="21"/>
  <c r="N209" i="21"/>
  <c r="M209" i="21"/>
  <c r="L209" i="21"/>
  <c r="K209" i="21"/>
  <c r="J209" i="21"/>
  <c r="I209" i="21"/>
  <c r="H209" i="21"/>
  <c r="G209" i="21"/>
  <c r="F209" i="21"/>
  <c r="E209" i="21"/>
  <c r="D209" i="21"/>
  <c r="C209" i="21"/>
  <c r="B209" i="21"/>
  <c r="A209" i="21"/>
  <c r="BG208" i="21"/>
  <c r="BH208" i="21" s="1"/>
  <c r="BE208" i="21"/>
  <c r="AW208" i="21"/>
  <c r="AX208" i="21" s="1"/>
  <c r="AU208" i="21"/>
  <c r="AS208" i="21"/>
  <c r="AT208" i="21" s="1"/>
  <c r="AQ208" i="21"/>
  <c r="AR208" i="21" s="1"/>
  <c r="AO208" i="21"/>
  <c r="AP208" i="21" s="1"/>
  <c r="AM208" i="21"/>
  <c r="AN208" i="21" s="1"/>
  <c r="AK208" i="21"/>
  <c r="AG208" i="21"/>
  <c r="AH208" i="21" s="1"/>
  <c r="AE208" i="21"/>
  <c r="AF208" i="21" s="1"/>
  <c r="AC208" i="21"/>
  <c r="AA208" i="21"/>
  <c r="AB208" i="21" s="1"/>
  <c r="W208" i="21"/>
  <c r="X208" i="21" s="1"/>
  <c r="U208" i="21"/>
  <c r="V208" i="21" s="1"/>
  <c r="S208" i="21"/>
  <c r="T208" i="21" s="1"/>
  <c r="Q208" i="21"/>
  <c r="R208" i="21" s="1"/>
  <c r="P208" i="21"/>
  <c r="O208" i="21"/>
  <c r="N208" i="21"/>
  <c r="M208" i="21"/>
  <c r="L208" i="21"/>
  <c r="K208" i="21"/>
  <c r="J208" i="21"/>
  <c r="I208" i="21"/>
  <c r="H208" i="21"/>
  <c r="G208" i="21"/>
  <c r="F208" i="21"/>
  <c r="E208" i="21"/>
  <c r="D208" i="21"/>
  <c r="C208" i="21"/>
  <c r="B208" i="21"/>
  <c r="A208" i="21"/>
  <c r="BG207" i="21"/>
  <c r="BH207" i="21" s="1"/>
  <c r="BE207" i="21"/>
  <c r="BF207" i="21" s="1"/>
  <c r="AW207" i="21"/>
  <c r="AX207" i="21" s="1"/>
  <c r="AU207" i="21"/>
  <c r="AV207" i="21" s="1"/>
  <c r="AS207" i="21"/>
  <c r="AT207" i="21" s="1"/>
  <c r="AQ207" i="21"/>
  <c r="AR207" i="21" s="1"/>
  <c r="AO207" i="21"/>
  <c r="AP207" i="21" s="1"/>
  <c r="AM207" i="21"/>
  <c r="AN207" i="21" s="1"/>
  <c r="AK207" i="21"/>
  <c r="AL207" i="21" s="1"/>
  <c r="AG207" i="21"/>
  <c r="AE207" i="21"/>
  <c r="AF207" i="21" s="1"/>
  <c r="AC207" i="21"/>
  <c r="AD207" i="21" s="1"/>
  <c r="AA207" i="21"/>
  <c r="AB207" i="21" s="1"/>
  <c r="W207" i="21"/>
  <c r="X207" i="21" s="1"/>
  <c r="U207" i="21"/>
  <c r="V207" i="21" s="1"/>
  <c r="S207" i="21"/>
  <c r="T207" i="21" s="1"/>
  <c r="Q207" i="21"/>
  <c r="R207" i="21" s="1"/>
  <c r="P207" i="21"/>
  <c r="O207" i="21"/>
  <c r="N207" i="21"/>
  <c r="M207" i="21"/>
  <c r="L207" i="21"/>
  <c r="K207" i="21"/>
  <c r="J207" i="21"/>
  <c r="I207" i="21"/>
  <c r="H207" i="21"/>
  <c r="G207" i="21"/>
  <c r="F207" i="21"/>
  <c r="E207" i="21"/>
  <c r="D207" i="21"/>
  <c r="C207" i="21"/>
  <c r="B207" i="21"/>
  <c r="A207" i="21"/>
  <c r="BG206" i="21"/>
  <c r="BE206" i="21"/>
  <c r="BF206" i="21" s="1"/>
  <c r="AW206" i="21"/>
  <c r="AX206" i="21" s="1"/>
  <c r="AU206" i="21"/>
  <c r="AV206" i="21" s="1"/>
  <c r="AS206" i="21"/>
  <c r="AT206" i="21" s="1"/>
  <c r="AQ206" i="21"/>
  <c r="AR206" i="21" s="1"/>
  <c r="AO206" i="21"/>
  <c r="AP206" i="21" s="1"/>
  <c r="AM206" i="21"/>
  <c r="AK206" i="21"/>
  <c r="AL206" i="21" s="1"/>
  <c r="AG206" i="21"/>
  <c r="AE206" i="21"/>
  <c r="AF206" i="21" s="1"/>
  <c r="AC206" i="21"/>
  <c r="AD206" i="21" s="1"/>
  <c r="AA206" i="21"/>
  <c r="AB206" i="21" s="1"/>
  <c r="W206" i="21"/>
  <c r="X206" i="21" s="1"/>
  <c r="U206" i="21"/>
  <c r="V206" i="21" s="1"/>
  <c r="S206" i="21"/>
  <c r="T206" i="21" s="1"/>
  <c r="Q206" i="21"/>
  <c r="R206" i="21" s="1"/>
  <c r="P206" i="21"/>
  <c r="O206" i="21"/>
  <c r="N206" i="21"/>
  <c r="M206" i="21"/>
  <c r="L206" i="21"/>
  <c r="K206" i="21"/>
  <c r="J206" i="21"/>
  <c r="I206" i="21"/>
  <c r="H206" i="21"/>
  <c r="G206" i="21"/>
  <c r="F206" i="21"/>
  <c r="E206" i="21"/>
  <c r="D206" i="21"/>
  <c r="C206" i="21"/>
  <c r="B206" i="21"/>
  <c r="A206" i="21"/>
  <c r="BG205" i="21"/>
  <c r="BH205" i="21" s="1"/>
  <c r="BE205" i="21"/>
  <c r="BF205" i="21" s="1"/>
  <c r="AW205" i="21"/>
  <c r="AU205" i="21"/>
  <c r="AV205" i="21" s="1"/>
  <c r="AS205" i="21"/>
  <c r="AT205" i="21" s="1"/>
  <c r="AQ205" i="21"/>
  <c r="AO205" i="21"/>
  <c r="AP205" i="21" s="1"/>
  <c r="AM205" i="21"/>
  <c r="AN205" i="21" s="1"/>
  <c r="AK205" i="21"/>
  <c r="AL205" i="21" s="1"/>
  <c r="AG205" i="21"/>
  <c r="AH205" i="21" s="1"/>
  <c r="AE205" i="21"/>
  <c r="AF205" i="21" s="1"/>
  <c r="AC205" i="21"/>
  <c r="AD205" i="21" s="1"/>
  <c r="AA205" i="21"/>
  <c r="AB205" i="21" s="1"/>
  <c r="W205" i="21"/>
  <c r="U205" i="21"/>
  <c r="V205" i="21" s="1"/>
  <c r="S205" i="21"/>
  <c r="T205" i="21" s="1"/>
  <c r="Q205" i="21"/>
  <c r="R205" i="21" s="1"/>
  <c r="P205" i="21"/>
  <c r="O205" i="21"/>
  <c r="N205" i="21"/>
  <c r="M205" i="21"/>
  <c r="L205" i="21"/>
  <c r="K205" i="21"/>
  <c r="J205" i="21"/>
  <c r="I205" i="21"/>
  <c r="H205" i="21"/>
  <c r="G205" i="21"/>
  <c r="F205" i="21"/>
  <c r="E205" i="21"/>
  <c r="D205" i="21"/>
  <c r="C205" i="21"/>
  <c r="B205" i="21"/>
  <c r="A205" i="21"/>
  <c r="BG204" i="21"/>
  <c r="BH204" i="21" s="1"/>
  <c r="BE204" i="21"/>
  <c r="AW204" i="21"/>
  <c r="AX204" i="21" s="1"/>
  <c r="AU204" i="21"/>
  <c r="AS204" i="21"/>
  <c r="AT204" i="21" s="1"/>
  <c r="AQ204" i="21"/>
  <c r="AR204" i="21" s="1"/>
  <c r="AO204" i="21"/>
  <c r="AP204" i="21" s="1"/>
  <c r="AM204" i="21"/>
  <c r="AN204" i="21" s="1"/>
  <c r="AK204" i="21"/>
  <c r="AL204" i="21" s="1"/>
  <c r="AG204" i="21"/>
  <c r="AH204" i="21" s="1"/>
  <c r="AE204" i="21"/>
  <c r="AF204" i="21" s="1"/>
  <c r="AC204" i="21"/>
  <c r="AA204" i="21"/>
  <c r="AB204" i="21" s="1"/>
  <c r="W204" i="21"/>
  <c r="X204" i="21" s="1"/>
  <c r="U204" i="21"/>
  <c r="V204" i="21" s="1"/>
  <c r="S204" i="21"/>
  <c r="T204" i="21" s="1"/>
  <c r="Q204" i="21"/>
  <c r="R204" i="21" s="1"/>
  <c r="P204" i="21"/>
  <c r="O204" i="21"/>
  <c r="N204" i="21"/>
  <c r="M204" i="21"/>
  <c r="L204" i="21"/>
  <c r="K204" i="21"/>
  <c r="J204" i="21"/>
  <c r="I204" i="21"/>
  <c r="H204" i="21"/>
  <c r="G204" i="21"/>
  <c r="F204" i="21"/>
  <c r="E204" i="21"/>
  <c r="D204" i="21"/>
  <c r="C204" i="21"/>
  <c r="B204" i="21"/>
  <c r="A204" i="21"/>
  <c r="BG203" i="21"/>
  <c r="BH203" i="21" s="1"/>
  <c r="BE203" i="21"/>
  <c r="BF203" i="21" s="1"/>
  <c r="AW203" i="21"/>
  <c r="AX203" i="21" s="1"/>
  <c r="AU203" i="21"/>
  <c r="AV203" i="21" s="1"/>
  <c r="AS203" i="21"/>
  <c r="AT203" i="21" s="1"/>
  <c r="AQ203" i="21"/>
  <c r="AR203" i="21" s="1"/>
  <c r="AO203" i="21"/>
  <c r="AP203" i="21" s="1"/>
  <c r="AM203" i="21"/>
  <c r="AN203" i="21" s="1"/>
  <c r="BB203" i="21" s="1"/>
  <c r="AK203" i="21"/>
  <c r="AL203" i="21" s="1"/>
  <c r="AG203" i="21"/>
  <c r="AE203" i="21"/>
  <c r="AF203" i="21" s="1"/>
  <c r="AC203" i="21"/>
  <c r="AA203" i="21"/>
  <c r="AB203" i="21" s="1"/>
  <c r="W203" i="21"/>
  <c r="X203" i="21" s="1"/>
  <c r="U203" i="21"/>
  <c r="V203" i="21" s="1"/>
  <c r="S203" i="21"/>
  <c r="T203" i="21" s="1"/>
  <c r="Q203" i="21"/>
  <c r="R203" i="21" s="1"/>
  <c r="P203" i="21"/>
  <c r="O203" i="21"/>
  <c r="N203" i="21"/>
  <c r="M203" i="21"/>
  <c r="L203" i="21"/>
  <c r="K203" i="21"/>
  <c r="J203" i="21"/>
  <c r="I203" i="21"/>
  <c r="H203" i="21"/>
  <c r="G203" i="21"/>
  <c r="F203" i="21"/>
  <c r="E203" i="21"/>
  <c r="D203" i="21"/>
  <c r="C203" i="21"/>
  <c r="B203" i="21"/>
  <c r="A203" i="21"/>
  <c r="BG202" i="21"/>
  <c r="BE202" i="21"/>
  <c r="BF202" i="21" s="1"/>
  <c r="AW202" i="21"/>
  <c r="AX202" i="21" s="1"/>
  <c r="AU202" i="21"/>
  <c r="AV202" i="21" s="1"/>
  <c r="AS202" i="21"/>
  <c r="AT202" i="21" s="1"/>
  <c r="AQ202" i="21"/>
  <c r="AR202" i="21" s="1"/>
  <c r="AO202" i="21"/>
  <c r="AP202" i="21" s="1"/>
  <c r="AM202" i="21"/>
  <c r="AK202" i="21"/>
  <c r="AL202" i="21" s="1"/>
  <c r="AG202" i="21"/>
  <c r="AH202" i="21" s="1"/>
  <c r="AE202" i="21"/>
  <c r="AF202" i="21" s="1"/>
  <c r="AC202" i="21"/>
  <c r="AD202" i="21" s="1"/>
  <c r="AA202" i="21"/>
  <c r="W202" i="21"/>
  <c r="X202" i="21" s="1"/>
  <c r="U202" i="21"/>
  <c r="V202" i="21" s="1"/>
  <c r="S202" i="21"/>
  <c r="Q202" i="21"/>
  <c r="R202" i="21" s="1"/>
  <c r="P202" i="21"/>
  <c r="O202" i="21"/>
  <c r="N202" i="21"/>
  <c r="M202" i="21"/>
  <c r="L202" i="21"/>
  <c r="K202" i="21"/>
  <c r="J202" i="21"/>
  <c r="I202" i="21"/>
  <c r="H202" i="21"/>
  <c r="G202" i="21"/>
  <c r="F202" i="21"/>
  <c r="E202" i="21"/>
  <c r="D202" i="21"/>
  <c r="C202" i="21"/>
  <c r="B202" i="21"/>
  <c r="A202" i="21"/>
  <c r="BG201" i="21"/>
  <c r="BH201" i="21" s="1"/>
  <c r="BE201" i="21"/>
  <c r="BF201" i="21" s="1"/>
  <c r="AW201" i="21"/>
  <c r="AX201" i="21" s="1"/>
  <c r="AU201" i="21"/>
  <c r="AV201" i="21" s="1"/>
  <c r="AS201" i="21"/>
  <c r="AT201" i="21" s="1"/>
  <c r="AQ201" i="21"/>
  <c r="AO201" i="21"/>
  <c r="AP201" i="21" s="1"/>
  <c r="AM201" i="21"/>
  <c r="AN201" i="21" s="1"/>
  <c r="AK201" i="21"/>
  <c r="AL201" i="21" s="1"/>
  <c r="AG201" i="21"/>
  <c r="AH201" i="21" s="1"/>
  <c r="AE201" i="21"/>
  <c r="AC201" i="21"/>
  <c r="AD201" i="21" s="1"/>
  <c r="AA201" i="21"/>
  <c r="AB201" i="21" s="1"/>
  <c r="W201" i="21"/>
  <c r="U201" i="21"/>
  <c r="V201" i="21" s="1"/>
  <c r="S201" i="21"/>
  <c r="T201" i="21" s="1"/>
  <c r="Q201" i="21"/>
  <c r="R201" i="21" s="1"/>
  <c r="P201" i="21"/>
  <c r="O201" i="21"/>
  <c r="N201" i="21"/>
  <c r="M201" i="21"/>
  <c r="L201" i="21"/>
  <c r="K201" i="21"/>
  <c r="J201" i="21"/>
  <c r="I201" i="21"/>
  <c r="H201" i="21"/>
  <c r="G201" i="21"/>
  <c r="F201" i="21"/>
  <c r="E201" i="21"/>
  <c r="D201" i="21"/>
  <c r="C201" i="21"/>
  <c r="B201" i="21"/>
  <c r="A201" i="21"/>
  <c r="BG200" i="21"/>
  <c r="BH200" i="21" s="1"/>
  <c r="BE200" i="21"/>
  <c r="BF200" i="21" s="1"/>
  <c r="AW200" i="21"/>
  <c r="AX200" i="21" s="1"/>
  <c r="AU200" i="21"/>
  <c r="AS200" i="21"/>
  <c r="AT200" i="21" s="1"/>
  <c r="AQ200" i="21"/>
  <c r="AR200" i="21" s="1"/>
  <c r="AO200" i="21"/>
  <c r="AP200" i="21" s="1"/>
  <c r="AM200" i="21"/>
  <c r="AN200" i="21" s="1"/>
  <c r="AK200" i="21"/>
  <c r="AL200" i="21" s="1"/>
  <c r="AG200" i="21"/>
  <c r="AH200" i="21" s="1"/>
  <c r="AE200" i="21"/>
  <c r="AF200" i="21" s="1"/>
  <c r="AC200" i="21"/>
  <c r="AA200" i="21"/>
  <c r="AB200" i="21" s="1"/>
  <c r="W200" i="21"/>
  <c r="X200" i="21" s="1"/>
  <c r="U200" i="21"/>
  <c r="V200" i="21" s="1"/>
  <c r="S200" i="21"/>
  <c r="T200" i="21" s="1"/>
  <c r="Q200" i="21"/>
  <c r="R200" i="21" s="1"/>
  <c r="P200" i="21"/>
  <c r="O200" i="21"/>
  <c r="N200" i="21"/>
  <c r="M200" i="21"/>
  <c r="L200" i="21"/>
  <c r="K200" i="21"/>
  <c r="J200" i="21"/>
  <c r="I200" i="21"/>
  <c r="H200" i="21"/>
  <c r="G200" i="21"/>
  <c r="F200" i="21"/>
  <c r="E200" i="21"/>
  <c r="D200" i="21"/>
  <c r="C200" i="21"/>
  <c r="B200" i="21"/>
  <c r="A200" i="21"/>
  <c r="BG199" i="21"/>
  <c r="BH199" i="21" s="1"/>
  <c r="BE199" i="21"/>
  <c r="BF199" i="21" s="1"/>
  <c r="AW199" i="21"/>
  <c r="AX199" i="21" s="1"/>
  <c r="AU199" i="21"/>
  <c r="AS199" i="21"/>
  <c r="AT199" i="21" s="1"/>
  <c r="AQ199" i="21"/>
  <c r="AR199" i="21" s="1"/>
  <c r="AO199" i="21"/>
  <c r="AP199" i="21" s="1"/>
  <c r="AM199" i="21"/>
  <c r="AN199" i="21" s="1"/>
  <c r="AK199" i="21"/>
  <c r="AL199" i="21" s="1"/>
  <c r="AG199" i="21"/>
  <c r="AE199" i="21"/>
  <c r="AF199" i="21" s="1"/>
  <c r="AC199" i="21"/>
  <c r="AA199" i="21"/>
  <c r="AB199" i="21" s="1"/>
  <c r="W199" i="21"/>
  <c r="X199" i="21" s="1"/>
  <c r="U199" i="21"/>
  <c r="V199" i="21" s="1"/>
  <c r="S199" i="21"/>
  <c r="T199" i="21" s="1"/>
  <c r="Q199" i="21"/>
  <c r="R199" i="21" s="1"/>
  <c r="P199" i="21"/>
  <c r="O199" i="21"/>
  <c r="N199" i="21"/>
  <c r="M199" i="21"/>
  <c r="L199" i="21"/>
  <c r="K199" i="21"/>
  <c r="J199" i="21"/>
  <c r="I199" i="21"/>
  <c r="H199" i="21"/>
  <c r="G199" i="21"/>
  <c r="F199" i="21"/>
  <c r="E199" i="21"/>
  <c r="D199" i="21"/>
  <c r="C199" i="21"/>
  <c r="B199" i="21"/>
  <c r="A199" i="21"/>
  <c r="BG198" i="21"/>
  <c r="BH198" i="21" s="1"/>
  <c r="BE198" i="21"/>
  <c r="BF198" i="21" s="1"/>
  <c r="AW198" i="21"/>
  <c r="AX198" i="21" s="1"/>
  <c r="AU198" i="21"/>
  <c r="AV198" i="21" s="1"/>
  <c r="AS198" i="21"/>
  <c r="AQ198" i="21"/>
  <c r="AR198" i="21" s="1"/>
  <c r="AO198" i="21"/>
  <c r="AP198" i="21" s="1"/>
  <c r="AM198" i="21"/>
  <c r="AK198" i="21"/>
  <c r="AL198" i="21" s="1"/>
  <c r="AG198" i="21"/>
  <c r="AH198" i="21" s="1"/>
  <c r="AE198" i="21"/>
  <c r="AF198" i="21" s="1"/>
  <c r="AC198" i="21"/>
  <c r="AD198" i="21" s="1"/>
  <c r="AA198" i="21"/>
  <c r="AB198" i="21" s="1"/>
  <c r="W198" i="21"/>
  <c r="X198" i="21" s="1"/>
  <c r="U198" i="21"/>
  <c r="V198" i="21" s="1"/>
  <c r="S198" i="21"/>
  <c r="Q198" i="21"/>
  <c r="R198" i="21" s="1"/>
  <c r="P198" i="21"/>
  <c r="O198" i="21"/>
  <c r="N198" i="21"/>
  <c r="M198" i="21"/>
  <c r="L198" i="21"/>
  <c r="K198" i="21"/>
  <c r="J198" i="21"/>
  <c r="I198" i="21"/>
  <c r="H198" i="21"/>
  <c r="G198" i="21"/>
  <c r="F198" i="21"/>
  <c r="E198" i="21"/>
  <c r="D198" i="21"/>
  <c r="C198" i="21"/>
  <c r="B198" i="21"/>
  <c r="A198" i="21"/>
  <c r="BG197" i="21"/>
  <c r="BH197" i="21" s="1"/>
  <c r="BE197" i="21"/>
  <c r="BF197" i="21" s="1"/>
  <c r="AW197" i="21"/>
  <c r="AU197" i="21"/>
  <c r="AV197" i="21" s="1"/>
  <c r="AS197" i="21"/>
  <c r="AT197" i="21" s="1"/>
  <c r="AQ197" i="21"/>
  <c r="AO197" i="21"/>
  <c r="AP197" i="21" s="1"/>
  <c r="AM197" i="21"/>
  <c r="AN197" i="21" s="1"/>
  <c r="AK197" i="21"/>
  <c r="AL197" i="21" s="1"/>
  <c r="AG197" i="21"/>
  <c r="AH197" i="21" s="1"/>
  <c r="AE197" i="21"/>
  <c r="AF197" i="21" s="1"/>
  <c r="AC197" i="21"/>
  <c r="AD197" i="21" s="1"/>
  <c r="AA197" i="21"/>
  <c r="AB197" i="21" s="1"/>
  <c r="W197" i="21"/>
  <c r="U197" i="21"/>
  <c r="V197" i="21" s="1"/>
  <c r="S197" i="21"/>
  <c r="T197" i="21" s="1"/>
  <c r="Q197" i="21"/>
  <c r="R197" i="21" s="1"/>
  <c r="P197" i="21"/>
  <c r="O197" i="21"/>
  <c r="N197" i="21"/>
  <c r="M197" i="21"/>
  <c r="L197" i="21"/>
  <c r="K197" i="21"/>
  <c r="J197" i="21"/>
  <c r="I197" i="21"/>
  <c r="H197" i="21"/>
  <c r="G197" i="21"/>
  <c r="F197" i="21"/>
  <c r="E197" i="21"/>
  <c r="D197" i="21"/>
  <c r="C197" i="21"/>
  <c r="B197" i="21"/>
  <c r="A197" i="21"/>
  <c r="BG196" i="21"/>
  <c r="BH196" i="21" s="1"/>
  <c r="BE196" i="21"/>
  <c r="BF196" i="21" s="1"/>
  <c r="AW196" i="21"/>
  <c r="AX196" i="21" s="1"/>
  <c r="AU196" i="21"/>
  <c r="AS196" i="21"/>
  <c r="AT196" i="21" s="1"/>
  <c r="AQ196" i="21"/>
  <c r="AR196" i="21" s="1"/>
  <c r="AO196" i="21"/>
  <c r="AP196" i="21" s="1"/>
  <c r="AM196" i="21"/>
  <c r="AN196" i="21" s="1"/>
  <c r="AK196" i="21"/>
  <c r="AL196" i="21" s="1"/>
  <c r="AG196" i="21"/>
  <c r="AH196" i="21" s="1"/>
  <c r="AE196" i="21"/>
  <c r="AF196" i="21" s="1"/>
  <c r="AC196" i="21"/>
  <c r="AA196" i="21"/>
  <c r="AB196" i="21" s="1"/>
  <c r="W196" i="21"/>
  <c r="U196" i="21"/>
  <c r="V196" i="21" s="1"/>
  <c r="S196" i="21"/>
  <c r="T196" i="21" s="1"/>
  <c r="Q196" i="21"/>
  <c r="R196" i="21" s="1"/>
  <c r="P196" i="21"/>
  <c r="O196" i="21"/>
  <c r="N196" i="21"/>
  <c r="M196" i="21"/>
  <c r="L196" i="21"/>
  <c r="K196" i="21"/>
  <c r="J196" i="21"/>
  <c r="I196" i="21"/>
  <c r="H196" i="21"/>
  <c r="G196" i="21"/>
  <c r="F196" i="21"/>
  <c r="E196" i="21"/>
  <c r="D196" i="21"/>
  <c r="C196" i="21"/>
  <c r="B196" i="21"/>
  <c r="A196" i="21"/>
  <c r="BG195" i="21"/>
  <c r="BH195" i="21" s="1"/>
  <c r="BE195" i="21"/>
  <c r="BF195" i="21" s="1"/>
  <c r="AW195" i="21"/>
  <c r="AX195" i="21" s="1"/>
  <c r="AU195" i="21"/>
  <c r="AS195" i="21"/>
  <c r="AT195" i="21" s="1"/>
  <c r="AQ195" i="21"/>
  <c r="AR195" i="21" s="1"/>
  <c r="AO195" i="21"/>
  <c r="AP195" i="21" s="1"/>
  <c r="AM195" i="21"/>
  <c r="AN195" i="21" s="1"/>
  <c r="AK195" i="21"/>
  <c r="AL195" i="21" s="1"/>
  <c r="AG195" i="21"/>
  <c r="AE195" i="21"/>
  <c r="AF195" i="21" s="1"/>
  <c r="AC195" i="21"/>
  <c r="AA195" i="21"/>
  <c r="AB195" i="21" s="1"/>
  <c r="W195" i="21"/>
  <c r="X195" i="21" s="1"/>
  <c r="U195" i="21"/>
  <c r="S195" i="21"/>
  <c r="T195" i="21" s="1"/>
  <c r="Q195" i="21"/>
  <c r="R195" i="21" s="1"/>
  <c r="P195" i="21"/>
  <c r="O195" i="21"/>
  <c r="N195" i="21"/>
  <c r="M195" i="21"/>
  <c r="L195" i="21"/>
  <c r="K195" i="21"/>
  <c r="J195" i="21"/>
  <c r="I195" i="21"/>
  <c r="H195" i="21"/>
  <c r="G195" i="21"/>
  <c r="F195" i="21"/>
  <c r="E195" i="21"/>
  <c r="D195" i="21"/>
  <c r="C195" i="21"/>
  <c r="B195" i="21"/>
  <c r="A195" i="21"/>
  <c r="BG194" i="21"/>
  <c r="BE194" i="21"/>
  <c r="BF194" i="21" s="1"/>
  <c r="AW194" i="21"/>
  <c r="AX194" i="21" s="1"/>
  <c r="AU194" i="21"/>
  <c r="AV194" i="21" s="1"/>
  <c r="AS194" i="21"/>
  <c r="AQ194" i="21"/>
  <c r="AR194" i="21" s="1"/>
  <c r="AO194" i="21"/>
  <c r="AP194" i="21" s="1"/>
  <c r="AM194" i="21"/>
  <c r="AK194" i="21"/>
  <c r="AL194" i="21" s="1"/>
  <c r="AG194" i="21"/>
  <c r="AH194" i="21" s="1"/>
  <c r="AE194" i="21"/>
  <c r="AF194" i="21" s="1"/>
  <c r="AC194" i="21"/>
  <c r="AD194" i="21" s="1"/>
  <c r="AA194" i="21"/>
  <c r="W194" i="21"/>
  <c r="X194" i="21" s="1"/>
  <c r="U194" i="21"/>
  <c r="V194" i="21" s="1"/>
  <c r="S194" i="21"/>
  <c r="Q194" i="21"/>
  <c r="R194" i="21" s="1"/>
  <c r="P194" i="21"/>
  <c r="O194" i="21"/>
  <c r="N194" i="21"/>
  <c r="M194" i="21"/>
  <c r="L194" i="21"/>
  <c r="K194" i="21"/>
  <c r="J194" i="21"/>
  <c r="I194" i="21"/>
  <c r="H194" i="21"/>
  <c r="G194" i="21"/>
  <c r="F194" i="21"/>
  <c r="E194" i="21"/>
  <c r="D194" i="21"/>
  <c r="C194" i="21"/>
  <c r="B194" i="21"/>
  <c r="A194" i="21"/>
  <c r="BG193" i="21"/>
  <c r="BH193" i="21" s="1"/>
  <c r="BE193" i="21"/>
  <c r="BF193" i="21" s="1"/>
  <c r="AW193" i="21"/>
  <c r="AX193" i="21" s="1"/>
  <c r="AU193" i="21"/>
  <c r="AV193" i="21" s="1"/>
  <c r="AS193" i="21"/>
  <c r="AT193" i="21" s="1"/>
  <c r="AQ193" i="21"/>
  <c r="AR193" i="21" s="1"/>
  <c r="AO193" i="21"/>
  <c r="AP193" i="21" s="1"/>
  <c r="AM193" i="21"/>
  <c r="AN193" i="21" s="1"/>
  <c r="AK193" i="21"/>
  <c r="AL193" i="21" s="1"/>
  <c r="AG193" i="21"/>
  <c r="AH193" i="21" s="1"/>
  <c r="AE193" i="21"/>
  <c r="AF193" i="21" s="1"/>
  <c r="AC193" i="21"/>
  <c r="AD193" i="21" s="1"/>
  <c r="AA193" i="21"/>
  <c r="AB193" i="21" s="1"/>
  <c r="W193" i="21"/>
  <c r="U193" i="21"/>
  <c r="V193" i="21" s="1"/>
  <c r="S193" i="21"/>
  <c r="T193" i="21" s="1"/>
  <c r="Q193" i="21"/>
  <c r="R193" i="21" s="1"/>
  <c r="P193" i="21"/>
  <c r="O193" i="21"/>
  <c r="N193" i="21"/>
  <c r="M193" i="21"/>
  <c r="L193" i="21"/>
  <c r="K193" i="21"/>
  <c r="J193" i="21"/>
  <c r="I193" i="21"/>
  <c r="H193" i="21"/>
  <c r="G193" i="21"/>
  <c r="F193" i="21"/>
  <c r="E193" i="21"/>
  <c r="D193" i="21"/>
  <c r="C193" i="21"/>
  <c r="B193" i="21"/>
  <c r="A193" i="21"/>
  <c r="BG192" i="21"/>
  <c r="BH192" i="21" s="1"/>
  <c r="BE192" i="21"/>
  <c r="BF192" i="21" s="1"/>
  <c r="AW192" i="21"/>
  <c r="AX192" i="21" s="1"/>
  <c r="AU192" i="21"/>
  <c r="AS192" i="21"/>
  <c r="AT192" i="21" s="1"/>
  <c r="AQ192" i="21"/>
  <c r="AO192" i="21"/>
  <c r="AP192" i="21" s="1"/>
  <c r="AM192" i="21"/>
  <c r="AN192" i="21" s="1"/>
  <c r="AK192" i="21"/>
  <c r="AL192" i="21" s="1"/>
  <c r="AG192" i="21"/>
  <c r="AH192" i="21" s="1"/>
  <c r="AE192" i="21"/>
  <c r="AF192" i="21" s="1"/>
  <c r="AC192" i="21"/>
  <c r="AA192" i="21"/>
  <c r="AB192" i="21" s="1"/>
  <c r="W192" i="21"/>
  <c r="X192" i="21" s="1"/>
  <c r="U192" i="21"/>
  <c r="V192" i="21" s="1"/>
  <c r="S192" i="21"/>
  <c r="T192" i="21" s="1"/>
  <c r="Q192" i="21"/>
  <c r="R192" i="21" s="1"/>
  <c r="P192" i="21"/>
  <c r="O192" i="21"/>
  <c r="N192" i="21"/>
  <c r="M192" i="21"/>
  <c r="L192" i="21"/>
  <c r="K192" i="21"/>
  <c r="J192" i="21"/>
  <c r="I192" i="21"/>
  <c r="H192" i="21"/>
  <c r="G192" i="21"/>
  <c r="F192" i="21"/>
  <c r="E192" i="21"/>
  <c r="D192" i="21"/>
  <c r="C192" i="21"/>
  <c r="B192" i="21"/>
  <c r="A192" i="21"/>
  <c r="BG191" i="21"/>
  <c r="BH191" i="21" s="1"/>
  <c r="BE191" i="21"/>
  <c r="BF191" i="21" s="1"/>
  <c r="AW191" i="21"/>
  <c r="AX191" i="21" s="1"/>
  <c r="AU191" i="21"/>
  <c r="AS191" i="21"/>
  <c r="AT191" i="21" s="1"/>
  <c r="AQ191" i="21"/>
  <c r="AR191" i="21" s="1"/>
  <c r="AO191" i="21"/>
  <c r="AM191" i="21"/>
  <c r="AN191" i="21" s="1"/>
  <c r="AK191" i="21"/>
  <c r="AL191" i="21" s="1"/>
  <c r="AG191" i="21"/>
  <c r="AE191" i="21"/>
  <c r="AF191" i="21" s="1"/>
  <c r="AC191" i="21"/>
  <c r="AD191" i="21" s="1"/>
  <c r="AA191" i="21"/>
  <c r="AB191" i="21" s="1"/>
  <c r="W191" i="21"/>
  <c r="X191" i="21" s="1"/>
  <c r="U191" i="21"/>
  <c r="V191" i="21" s="1"/>
  <c r="S191" i="21"/>
  <c r="T191" i="21" s="1"/>
  <c r="Q191" i="21"/>
  <c r="R191" i="21" s="1"/>
  <c r="P191" i="21"/>
  <c r="O191" i="21"/>
  <c r="N191" i="21"/>
  <c r="M191" i="21"/>
  <c r="L191" i="21"/>
  <c r="K191" i="21"/>
  <c r="J191" i="21"/>
  <c r="I191" i="21"/>
  <c r="H191" i="21"/>
  <c r="G191" i="21"/>
  <c r="F191" i="21"/>
  <c r="E191" i="21"/>
  <c r="D191" i="21"/>
  <c r="C191" i="21"/>
  <c r="B191" i="21"/>
  <c r="A191" i="21"/>
  <c r="BG190" i="21"/>
  <c r="BE190" i="21"/>
  <c r="BF190" i="21" s="1"/>
  <c r="AW190" i="21"/>
  <c r="AX190" i="21" s="1"/>
  <c r="AU190" i="21"/>
  <c r="AV190" i="21" s="1"/>
  <c r="AS190" i="21"/>
  <c r="AQ190" i="21"/>
  <c r="AR190" i="21" s="1"/>
  <c r="AO190" i="21"/>
  <c r="AP190" i="21" s="1"/>
  <c r="AM190" i="21"/>
  <c r="AK190" i="21"/>
  <c r="AL190" i="21" s="1"/>
  <c r="AG190" i="21"/>
  <c r="AH190" i="21" s="1"/>
  <c r="AE190" i="21"/>
  <c r="AF190" i="21" s="1"/>
  <c r="AC190" i="21"/>
  <c r="AD190" i="21" s="1"/>
  <c r="AA190" i="21"/>
  <c r="AB190" i="21" s="1"/>
  <c r="W190" i="21"/>
  <c r="X190" i="21" s="1"/>
  <c r="U190" i="21"/>
  <c r="V190" i="21" s="1"/>
  <c r="S190" i="21"/>
  <c r="T190" i="21" s="1"/>
  <c r="Q190" i="21"/>
  <c r="R190" i="21" s="1"/>
  <c r="P190" i="21"/>
  <c r="O190" i="21"/>
  <c r="N190" i="21"/>
  <c r="M190" i="21"/>
  <c r="L190" i="21"/>
  <c r="K190" i="21"/>
  <c r="J190" i="21"/>
  <c r="I190" i="21"/>
  <c r="H190" i="21"/>
  <c r="G190" i="21"/>
  <c r="F190" i="21"/>
  <c r="E190" i="21"/>
  <c r="D190" i="21"/>
  <c r="C190" i="21"/>
  <c r="B190" i="21"/>
  <c r="A190" i="21"/>
  <c r="BG189" i="21"/>
  <c r="BH189" i="21" s="1"/>
  <c r="BE189" i="21"/>
  <c r="BF189" i="21" s="1"/>
  <c r="AW189" i="21"/>
  <c r="AX189" i="21" s="1"/>
  <c r="AU189" i="21"/>
  <c r="AV189" i="21" s="1"/>
  <c r="AS189" i="21"/>
  <c r="AT189" i="21" s="1"/>
  <c r="AQ189" i="21"/>
  <c r="AO189" i="21"/>
  <c r="AP189" i="21" s="1"/>
  <c r="AM189" i="21"/>
  <c r="AN189" i="21" s="1"/>
  <c r="AK189" i="21"/>
  <c r="AL189" i="21" s="1"/>
  <c r="AG189" i="21"/>
  <c r="AH189" i="21" s="1"/>
  <c r="AE189" i="21"/>
  <c r="AF189" i="21" s="1"/>
  <c r="AC189" i="21"/>
  <c r="AD189" i="21" s="1"/>
  <c r="AA189" i="21"/>
  <c r="AB189" i="21" s="1"/>
  <c r="W189" i="21"/>
  <c r="U189" i="21"/>
  <c r="V189" i="21" s="1"/>
  <c r="S189" i="21"/>
  <c r="T189" i="21" s="1"/>
  <c r="Q189" i="21"/>
  <c r="R189" i="21" s="1"/>
  <c r="P189" i="21"/>
  <c r="O189" i="21"/>
  <c r="N189" i="21"/>
  <c r="M189" i="21"/>
  <c r="L189" i="21"/>
  <c r="K189" i="21"/>
  <c r="J189" i="21"/>
  <c r="I189" i="21"/>
  <c r="H189" i="21"/>
  <c r="G189" i="21"/>
  <c r="F189" i="21"/>
  <c r="E189" i="21"/>
  <c r="D189" i="21"/>
  <c r="C189" i="21"/>
  <c r="B189" i="21"/>
  <c r="A189" i="21"/>
  <c r="BG188" i="21"/>
  <c r="BH188" i="21" s="1"/>
  <c r="BE188" i="21"/>
  <c r="BF188" i="21" s="1"/>
  <c r="AW188" i="21"/>
  <c r="AX188" i="21" s="1"/>
  <c r="AU188" i="21"/>
  <c r="AS188" i="21"/>
  <c r="AT188" i="21" s="1"/>
  <c r="AQ188" i="21"/>
  <c r="AR188" i="21" s="1"/>
  <c r="AO188" i="21"/>
  <c r="AP188" i="21" s="1"/>
  <c r="AM188" i="21"/>
  <c r="AN188" i="21" s="1"/>
  <c r="AK188" i="21"/>
  <c r="AL188" i="21" s="1"/>
  <c r="AG188" i="21"/>
  <c r="AH188" i="21" s="1"/>
  <c r="AE188" i="21"/>
  <c r="AF188" i="21" s="1"/>
  <c r="AC188" i="21"/>
  <c r="AD188" i="21" s="1"/>
  <c r="AA188" i="21"/>
  <c r="AB188" i="21" s="1"/>
  <c r="W188" i="21"/>
  <c r="U188" i="21"/>
  <c r="V188" i="21" s="1"/>
  <c r="S188" i="21"/>
  <c r="T188" i="21" s="1"/>
  <c r="Q188" i="21"/>
  <c r="P188" i="21"/>
  <c r="O188" i="21"/>
  <c r="N188" i="21"/>
  <c r="M188" i="21"/>
  <c r="L188" i="21"/>
  <c r="K188" i="21"/>
  <c r="J188" i="21"/>
  <c r="I188" i="21"/>
  <c r="H188" i="21"/>
  <c r="G188" i="21"/>
  <c r="F188" i="21"/>
  <c r="E188" i="21"/>
  <c r="D188" i="21"/>
  <c r="C188" i="21"/>
  <c r="B188" i="21"/>
  <c r="A188" i="21"/>
  <c r="BG187" i="21"/>
  <c r="BH187" i="21" s="1"/>
  <c r="BE187" i="21"/>
  <c r="BF187" i="21" s="1"/>
  <c r="AW187" i="21"/>
  <c r="AX187" i="21" s="1"/>
  <c r="AU187" i="21"/>
  <c r="AV187" i="21" s="1"/>
  <c r="AS187" i="21"/>
  <c r="AT187" i="21" s="1"/>
  <c r="AQ187" i="21"/>
  <c r="AO187" i="21"/>
  <c r="AP187" i="21" s="1"/>
  <c r="AM187" i="21"/>
  <c r="AN187" i="21" s="1"/>
  <c r="AK187" i="21"/>
  <c r="AL187" i="21" s="1"/>
  <c r="AG187" i="21"/>
  <c r="AH187" i="21" s="1"/>
  <c r="AE187" i="21"/>
  <c r="AF187" i="21" s="1"/>
  <c r="AC187" i="21"/>
  <c r="AD187" i="21" s="1"/>
  <c r="AA187" i="21"/>
  <c r="AB187" i="21" s="1"/>
  <c r="W187" i="21"/>
  <c r="X187" i="21" s="1"/>
  <c r="U187" i="21"/>
  <c r="S187" i="21"/>
  <c r="T187" i="21" s="1"/>
  <c r="Q187" i="21"/>
  <c r="R187" i="21" s="1"/>
  <c r="P187" i="21"/>
  <c r="O187" i="21"/>
  <c r="N187" i="21"/>
  <c r="M187" i="21"/>
  <c r="L187" i="21"/>
  <c r="K187" i="21"/>
  <c r="J187" i="21"/>
  <c r="I187" i="21"/>
  <c r="H187" i="21"/>
  <c r="G187" i="21"/>
  <c r="F187" i="21"/>
  <c r="E187" i="21"/>
  <c r="D187" i="21"/>
  <c r="C187" i="21"/>
  <c r="B187" i="21"/>
  <c r="A187" i="21"/>
  <c r="BG186" i="21"/>
  <c r="BH186" i="21" s="1"/>
  <c r="BE186" i="21"/>
  <c r="BF186" i="21" s="1"/>
  <c r="AW186" i="21"/>
  <c r="AX186" i="21" s="1"/>
  <c r="AU186" i="21"/>
  <c r="AS186" i="21"/>
  <c r="AT186" i="21" s="1"/>
  <c r="AQ186" i="21"/>
  <c r="AR186" i="21" s="1"/>
  <c r="AO186" i="21"/>
  <c r="AP186" i="21" s="1"/>
  <c r="AM186" i="21"/>
  <c r="AN186" i="21" s="1"/>
  <c r="AK186" i="21"/>
  <c r="AL186" i="21" s="1"/>
  <c r="AG186" i="21"/>
  <c r="AH186" i="21" s="1"/>
  <c r="AE186" i="21"/>
  <c r="AF186" i="21" s="1"/>
  <c r="AC186" i="21"/>
  <c r="AD186" i="21" s="1"/>
  <c r="AA186" i="21"/>
  <c r="W186" i="21"/>
  <c r="X186" i="21" s="1"/>
  <c r="U186" i="21"/>
  <c r="V186" i="21" s="1"/>
  <c r="S186" i="21"/>
  <c r="Q186" i="21"/>
  <c r="R186" i="21" s="1"/>
  <c r="P186" i="21"/>
  <c r="O186" i="21"/>
  <c r="N186" i="21"/>
  <c r="M186" i="21"/>
  <c r="L186" i="21"/>
  <c r="K186" i="21"/>
  <c r="J186" i="21"/>
  <c r="I186" i="21"/>
  <c r="H186" i="21"/>
  <c r="G186" i="21"/>
  <c r="F186" i="21"/>
  <c r="E186" i="21"/>
  <c r="D186" i="21"/>
  <c r="C186" i="21"/>
  <c r="B186" i="21"/>
  <c r="A186" i="21"/>
  <c r="BG185" i="21"/>
  <c r="BH185" i="21" s="1"/>
  <c r="BE185" i="21"/>
  <c r="BF185" i="21" s="1"/>
  <c r="AW185" i="21"/>
  <c r="AX185" i="21" s="1"/>
  <c r="AU185" i="21"/>
  <c r="AV185" i="21" s="1"/>
  <c r="AS185" i="21"/>
  <c r="AT185" i="21" s="1"/>
  <c r="AQ185" i="21"/>
  <c r="AR185" i="21" s="1"/>
  <c r="AO185" i="21"/>
  <c r="AP185" i="21" s="1"/>
  <c r="AM185" i="21"/>
  <c r="AN185" i="21" s="1"/>
  <c r="AK185" i="21"/>
  <c r="AL185" i="21" s="1"/>
  <c r="AG185" i="21"/>
  <c r="AH185" i="21" s="1"/>
  <c r="AE185" i="21"/>
  <c r="AC185" i="21"/>
  <c r="AD185" i="21" s="1"/>
  <c r="AJ185" i="21" s="1"/>
  <c r="AA185" i="21"/>
  <c r="AB185" i="21" s="1"/>
  <c r="W185" i="21"/>
  <c r="U185" i="21"/>
  <c r="V185" i="21" s="1"/>
  <c r="S185" i="21"/>
  <c r="T185" i="21" s="1"/>
  <c r="Q185" i="21"/>
  <c r="R185" i="21" s="1"/>
  <c r="P185" i="21"/>
  <c r="O185" i="21"/>
  <c r="N185" i="21"/>
  <c r="M185" i="21"/>
  <c r="L185" i="21"/>
  <c r="K185" i="21"/>
  <c r="J185" i="21"/>
  <c r="I185" i="21"/>
  <c r="H185" i="21"/>
  <c r="G185" i="21"/>
  <c r="F185" i="21"/>
  <c r="E185" i="21"/>
  <c r="D185" i="21"/>
  <c r="C185" i="21"/>
  <c r="B185" i="21"/>
  <c r="A185" i="21"/>
  <c r="BG184" i="21"/>
  <c r="BE184" i="21"/>
  <c r="BF184" i="21" s="1"/>
  <c r="AW184" i="21"/>
  <c r="AU184" i="21"/>
  <c r="AV184" i="21" s="1"/>
  <c r="AS184" i="21"/>
  <c r="AT184" i="21" s="1"/>
  <c r="AQ184" i="21"/>
  <c r="AO184" i="21"/>
  <c r="AP184" i="21" s="1"/>
  <c r="AM184" i="21"/>
  <c r="AN184" i="21" s="1"/>
  <c r="AK184" i="21"/>
  <c r="AL184" i="21" s="1"/>
  <c r="AG184" i="21"/>
  <c r="AH184" i="21" s="1"/>
  <c r="AE184" i="21"/>
  <c r="AF184" i="21" s="1"/>
  <c r="AC184" i="21"/>
  <c r="AD184" i="21" s="1"/>
  <c r="AA184" i="21"/>
  <c r="AB184" i="21" s="1"/>
  <c r="W184" i="21"/>
  <c r="X184" i="21" s="1"/>
  <c r="U184" i="21"/>
  <c r="V184" i="21" s="1"/>
  <c r="S184" i="21"/>
  <c r="T184" i="21" s="1"/>
  <c r="Q184" i="21"/>
  <c r="R184" i="21" s="1"/>
  <c r="P184" i="21"/>
  <c r="O184" i="21"/>
  <c r="N184" i="21"/>
  <c r="M184" i="21"/>
  <c r="L184" i="21"/>
  <c r="K184" i="21"/>
  <c r="J184" i="21"/>
  <c r="I184" i="21"/>
  <c r="H184" i="21"/>
  <c r="G184" i="21"/>
  <c r="F184" i="21"/>
  <c r="E184" i="21"/>
  <c r="D184" i="21"/>
  <c r="C184" i="21"/>
  <c r="B184" i="21"/>
  <c r="A184" i="21"/>
  <c r="BG183" i="21"/>
  <c r="BH183" i="21" s="1"/>
  <c r="BE183" i="21"/>
  <c r="BF183" i="21" s="1"/>
  <c r="AW183" i="21"/>
  <c r="AX183" i="21" s="1"/>
  <c r="AU183" i="21"/>
  <c r="AS183" i="21"/>
  <c r="AT183" i="21" s="1"/>
  <c r="AQ183" i="21"/>
  <c r="AR183" i="21" s="1"/>
  <c r="AO183" i="21"/>
  <c r="AP183" i="21" s="1"/>
  <c r="AM183" i="21"/>
  <c r="AN183" i="21" s="1"/>
  <c r="AK183" i="21"/>
  <c r="AL183" i="21" s="1"/>
  <c r="AG183" i="21"/>
  <c r="AH183" i="21" s="1"/>
  <c r="AE183" i="21"/>
  <c r="AF183" i="21" s="1"/>
  <c r="AC183" i="21"/>
  <c r="AD183" i="21" s="1"/>
  <c r="AA183" i="21"/>
  <c r="AB183" i="21" s="1"/>
  <c r="W183" i="21"/>
  <c r="X183" i="21" s="1"/>
  <c r="U183" i="21"/>
  <c r="V183" i="21" s="1"/>
  <c r="S183" i="21"/>
  <c r="T183" i="21" s="1"/>
  <c r="Q183" i="21"/>
  <c r="R183" i="21" s="1"/>
  <c r="P183" i="21"/>
  <c r="O183" i="21"/>
  <c r="N183" i="21"/>
  <c r="M183" i="21"/>
  <c r="L183" i="21"/>
  <c r="K183" i="21"/>
  <c r="J183" i="21"/>
  <c r="I183" i="21"/>
  <c r="H183" i="21"/>
  <c r="G183" i="21"/>
  <c r="F183" i="21"/>
  <c r="E183" i="21"/>
  <c r="D183" i="21"/>
  <c r="C183" i="21"/>
  <c r="B183" i="21"/>
  <c r="A183" i="21"/>
  <c r="BG182" i="21"/>
  <c r="BH182" i="21" s="1"/>
  <c r="BE182" i="21"/>
  <c r="BF182" i="21" s="1"/>
  <c r="AW182" i="21"/>
  <c r="AX182" i="21" s="1"/>
  <c r="AU182" i="21"/>
  <c r="AV182" i="21" s="1"/>
  <c r="AS182" i="21"/>
  <c r="AT182" i="21" s="1"/>
  <c r="AQ182" i="21"/>
  <c r="AR182" i="21" s="1"/>
  <c r="AO182" i="21"/>
  <c r="AP182" i="21" s="1"/>
  <c r="AM182" i="21"/>
  <c r="AN182" i="21" s="1"/>
  <c r="AK182" i="21"/>
  <c r="AL182" i="21" s="1"/>
  <c r="AG182" i="21"/>
  <c r="AH182" i="21" s="1"/>
  <c r="AE182" i="21"/>
  <c r="AF182" i="21" s="1"/>
  <c r="AC182" i="21"/>
  <c r="AD182" i="21" s="1"/>
  <c r="AA182" i="21"/>
  <c r="AB182" i="21" s="1"/>
  <c r="W182" i="21"/>
  <c r="X182" i="21" s="1"/>
  <c r="U182" i="21"/>
  <c r="V182" i="21" s="1"/>
  <c r="S182" i="21"/>
  <c r="T182" i="21" s="1"/>
  <c r="Q182" i="21"/>
  <c r="R182" i="21" s="1"/>
  <c r="P182" i="21"/>
  <c r="O182" i="21"/>
  <c r="N182" i="21"/>
  <c r="M182" i="21"/>
  <c r="L182" i="21"/>
  <c r="K182" i="21"/>
  <c r="J182" i="21"/>
  <c r="I182" i="21"/>
  <c r="H182" i="21"/>
  <c r="G182" i="21"/>
  <c r="F182" i="21"/>
  <c r="E182" i="21"/>
  <c r="D182" i="21"/>
  <c r="C182" i="21"/>
  <c r="B182" i="21"/>
  <c r="A182" i="21"/>
  <c r="BG181" i="21"/>
  <c r="BE181" i="21"/>
  <c r="BF181" i="21" s="1"/>
  <c r="AW181" i="21"/>
  <c r="AX181" i="21" s="1"/>
  <c r="AU181" i="21"/>
  <c r="AV181" i="21" s="1"/>
  <c r="AS181" i="21"/>
  <c r="AT181" i="21" s="1"/>
  <c r="AQ181" i="21"/>
  <c r="AR181" i="21" s="1"/>
  <c r="AO181" i="21"/>
  <c r="AP181" i="21" s="1"/>
  <c r="AM181" i="21"/>
  <c r="AK181" i="21"/>
  <c r="AL181" i="21" s="1"/>
  <c r="AG181" i="21"/>
  <c r="AH181" i="21" s="1"/>
  <c r="AE181" i="21"/>
  <c r="AF181" i="21" s="1"/>
  <c r="AC181" i="21"/>
  <c r="AD181" i="21" s="1"/>
  <c r="AA181" i="21"/>
  <c r="AB181" i="21" s="1"/>
  <c r="W181" i="21"/>
  <c r="U181" i="21"/>
  <c r="V181" i="21" s="1"/>
  <c r="S181" i="21"/>
  <c r="Q181" i="21"/>
  <c r="R181" i="21" s="1"/>
  <c r="P181" i="21"/>
  <c r="O181" i="21"/>
  <c r="N181" i="21"/>
  <c r="M181" i="21"/>
  <c r="L181" i="21"/>
  <c r="K181" i="21"/>
  <c r="J181" i="21"/>
  <c r="I181" i="21"/>
  <c r="H181" i="21"/>
  <c r="G181" i="21"/>
  <c r="F181" i="21"/>
  <c r="E181" i="21"/>
  <c r="D181" i="21"/>
  <c r="C181" i="21"/>
  <c r="B181" i="21"/>
  <c r="A181" i="21"/>
  <c r="BG180" i="21"/>
  <c r="BH180" i="21" s="1"/>
  <c r="BE180" i="21"/>
  <c r="BF180" i="21" s="1"/>
  <c r="AW180" i="21"/>
  <c r="AX180" i="21" s="1"/>
  <c r="AU180" i="21"/>
  <c r="AV180" i="21" s="1"/>
  <c r="AS180" i="21"/>
  <c r="AT180" i="21" s="1"/>
  <c r="AQ180" i="21"/>
  <c r="AO180" i="21"/>
  <c r="AP180" i="21" s="1"/>
  <c r="AM180" i="21"/>
  <c r="AN180" i="21" s="1"/>
  <c r="AK180" i="21"/>
  <c r="AL180" i="21" s="1"/>
  <c r="AG180" i="21"/>
  <c r="AH180" i="21" s="1"/>
  <c r="AE180" i="21"/>
  <c r="AF180" i="21" s="1"/>
  <c r="AC180" i="21"/>
  <c r="AD180" i="21" s="1"/>
  <c r="AA180" i="21"/>
  <c r="AB180" i="21" s="1"/>
  <c r="W180" i="21"/>
  <c r="U180" i="21"/>
  <c r="V180" i="21" s="1"/>
  <c r="S180" i="21"/>
  <c r="T180" i="21" s="1"/>
  <c r="Q180" i="21"/>
  <c r="R180" i="21" s="1"/>
  <c r="P180" i="21"/>
  <c r="O180" i="21"/>
  <c r="N180" i="21"/>
  <c r="M180" i="21"/>
  <c r="L180" i="21"/>
  <c r="K180" i="21"/>
  <c r="J180" i="21"/>
  <c r="I180" i="21"/>
  <c r="H180" i="21"/>
  <c r="G180" i="21"/>
  <c r="F180" i="21"/>
  <c r="E180" i="21"/>
  <c r="D180" i="21"/>
  <c r="C180" i="21"/>
  <c r="B180" i="21"/>
  <c r="A180" i="21"/>
  <c r="BG179" i="21"/>
  <c r="BH179" i="21" s="1"/>
  <c r="BE179" i="21"/>
  <c r="BF179" i="21" s="1"/>
  <c r="AW179" i="21"/>
  <c r="AX179" i="21" s="1"/>
  <c r="AU179" i="21"/>
  <c r="AS179" i="21"/>
  <c r="AT179" i="21" s="1"/>
  <c r="AQ179" i="21"/>
  <c r="AR179" i="21" s="1"/>
  <c r="AO179" i="21"/>
  <c r="AP179" i="21" s="1"/>
  <c r="AM179" i="21"/>
  <c r="AN179" i="21" s="1"/>
  <c r="AK179" i="21"/>
  <c r="AG179" i="21"/>
  <c r="AH179" i="21" s="1"/>
  <c r="AE179" i="21"/>
  <c r="AF179" i="21" s="1"/>
  <c r="AC179" i="21"/>
  <c r="AA179" i="21"/>
  <c r="AB179" i="21" s="1"/>
  <c r="W179" i="21"/>
  <c r="X179" i="21" s="1"/>
  <c r="U179" i="21"/>
  <c r="V179" i="21" s="1"/>
  <c r="S179" i="21"/>
  <c r="T179" i="21" s="1"/>
  <c r="Q179" i="21"/>
  <c r="R179" i="21" s="1"/>
  <c r="P179" i="21"/>
  <c r="O179" i="21"/>
  <c r="N179" i="21"/>
  <c r="M179" i="21"/>
  <c r="L179" i="21"/>
  <c r="K179" i="21"/>
  <c r="J179" i="21"/>
  <c r="I179" i="21"/>
  <c r="H179" i="21"/>
  <c r="G179" i="21"/>
  <c r="F179" i="21"/>
  <c r="E179" i="21"/>
  <c r="D179" i="21"/>
  <c r="C179" i="21"/>
  <c r="B179" i="21"/>
  <c r="A179" i="21"/>
  <c r="BG178" i="21"/>
  <c r="BH178" i="21" s="1"/>
  <c r="BE178" i="21"/>
  <c r="BF178" i="21" s="1"/>
  <c r="AW178" i="21"/>
  <c r="AX178" i="21" s="1"/>
  <c r="AU178" i="21"/>
  <c r="AS178" i="21"/>
  <c r="AT178" i="21" s="1"/>
  <c r="AQ178" i="21"/>
  <c r="AR178" i="21" s="1"/>
  <c r="AO178" i="21"/>
  <c r="AM178" i="21"/>
  <c r="AN178" i="21" s="1"/>
  <c r="AK178" i="21"/>
  <c r="AL178" i="21" s="1"/>
  <c r="AG178" i="21"/>
  <c r="AE178" i="21"/>
  <c r="AF178" i="21" s="1"/>
  <c r="AC178" i="21"/>
  <c r="AD178" i="21" s="1"/>
  <c r="AA178" i="21"/>
  <c r="AB178" i="21" s="1"/>
  <c r="W178" i="21"/>
  <c r="X178" i="21" s="1"/>
  <c r="U178" i="21"/>
  <c r="V178" i="21" s="1"/>
  <c r="S178" i="21"/>
  <c r="T178" i="21" s="1"/>
  <c r="Q178" i="21"/>
  <c r="R178" i="21" s="1"/>
  <c r="P178" i="21"/>
  <c r="O178" i="21"/>
  <c r="N178" i="21"/>
  <c r="M178" i="21"/>
  <c r="L178" i="21"/>
  <c r="K178" i="21"/>
  <c r="J178" i="21"/>
  <c r="I178" i="21"/>
  <c r="H178" i="21"/>
  <c r="G178" i="21"/>
  <c r="F178" i="21"/>
  <c r="E178" i="21"/>
  <c r="D178" i="21"/>
  <c r="C178" i="21"/>
  <c r="B178" i="21"/>
  <c r="A178" i="21"/>
  <c r="BG177" i="21"/>
  <c r="BE177" i="21"/>
  <c r="BF177" i="21" s="1"/>
  <c r="AW177" i="21"/>
  <c r="AX177" i="21" s="1"/>
  <c r="AU177" i="21"/>
  <c r="AV177" i="21" s="1"/>
  <c r="AS177" i="21"/>
  <c r="AT177" i="21" s="1"/>
  <c r="AQ177" i="21"/>
  <c r="AR177" i="21" s="1"/>
  <c r="AO177" i="21"/>
  <c r="AP177" i="21" s="1"/>
  <c r="AM177" i="21"/>
  <c r="AK177" i="21"/>
  <c r="AL177" i="21" s="1"/>
  <c r="AG177" i="21"/>
  <c r="AH177" i="21" s="1"/>
  <c r="AE177" i="21"/>
  <c r="AF177" i="21" s="1"/>
  <c r="AC177" i="21"/>
  <c r="AD177" i="21" s="1"/>
  <c r="AJ177" i="21" s="1"/>
  <c r="AA177" i="21"/>
  <c r="AB177" i="21" s="1"/>
  <c r="W177" i="21"/>
  <c r="X177" i="21" s="1"/>
  <c r="U177" i="21"/>
  <c r="V177" i="21" s="1"/>
  <c r="S177" i="21"/>
  <c r="Q177" i="21"/>
  <c r="R177" i="21" s="1"/>
  <c r="P177" i="21"/>
  <c r="O177" i="21"/>
  <c r="N177" i="21"/>
  <c r="M177" i="21"/>
  <c r="L177" i="21"/>
  <c r="K177" i="21"/>
  <c r="J177" i="21"/>
  <c r="I177" i="21"/>
  <c r="H177" i="21"/>
  <c r="G177" i="21"/>
  <c r="F177" i="21"/>
  <c r="E177" i="21"/>
  <c r="D177" i="21"/>
  <c r="C177" i="21"/>
  <c r="B177" i="21"/>
  <c r="A177" i="21"/>
  <c r="BG176" i="21"/>
  <c r="BH176" i="21" s="1"/>
  <c r="BE176" i="21"/>
  <c r="BF176" i="21" s="1"/>
  <c r="AW176" i="21"/>
  <c r="AX176" i="21" s="1"/>
  <c r="AU176" i="21"/>
  <c r="AV176" i="21" s="1"/>
  <c r="AS176" i="21"/>
  <c r="AT176" i="21" s="1"/>
  <c r="AQ176" i="21"/>
  <c r="AR176" i="21" s="1"/>
  <c r="AO176" i="21"/>
  <c r="AP176" i="21" s="1"/>
  <c r="AM176" i="21"/>
  <c r="AN176" i="21" s="1"/>
  <c r="AK176" i="21"/>
  <c r="AL176" i="21" s="1"/>
  <c r="AG176" i="21"/>
  <c r="AH176" i="21" s="1"/>
  <c r="AE176" i="21"/>
  <c r="AC176" i="21"/>
  <c r="AA176" i="21"/>
  <c r="AB176" i="21" s="1"/>
  <c r="W176" i="21"/>
  <c r="X176" i="21" s="1"/>
  <c r="U176" i="21"/>
  <c r="V176" i="21" s="1"/>
  <c r="S176" i="21"/>
  <c r="Q176" i="21"/>
  <c r="R176" i="21" s="1"/>
  <c r="P176" i="21"/>
  <c r="O176" i="21"/>
  <c r="N176" i="21"/>
  <c r="M176" i="21"/>
  <c r="L176" i="21"/>
  <c r="K176" i="21"/>
  <c r="J176" i="21"/>
  <c r="I176" i="21"/>
  <c r="H176" i="21"/>
  <c r="G176" i="21"/>
  <c r="F176" i="21"/>
  <c r="E176" i="21"/>
  <c r="D176" i="21"/>
  <c r="C176" i="21"/>
  <c r="B176" i="21"/>
  <c r="A176" i="21"/>
  <c r="BG175" i="21"/>
  <c r="BH175" i="21" s="1"/>
  <c r="BE175" i="21"/>
  <c r="AW175" i="21"/>
  <c r="AX175" i="21" s="1"/>
  <c r="AU175" i="21"/>
  <c r="AS175" i="21"/>
  <c r="AT175" i="21" s="1"/>
  <c r="AQ175" i="21"/>
  <c r="AR175" i="21" s="1"/>
  <c r="AO175" i="21"/>
  <c r="AM175" i="21"/>
  <c r="AN175" i="21" s="1"/>
  <c r="AK175" i="21"/>
  <c r="AG175" i="21"/>
  <c r="AH175" i="21" s="1"/>
  <c r="AE175" i="21"/>
  <c r="AF175" i="21" s="1"/>
  <c r="AC175" i="21"/>
  <c r="AA175" i="21"/>
  <c r="AB175" i="21" s="1"/>
  <c r="W175" i="21"/>
  <c r="X175" i="21" s="1"/>
  <c r="U175" i="21"/>
  <c r="V175" i="21" s="1"/>
  <c r="S175" i="21"/>
  <c r="T175" i="21" s="1"/>
  <c r="Q175" i="21"/>
  <c r="R175" i="21" s="1"/>
  <c r="P175" i="21"/>
  <c r="O175" i="21"/>
  <c r="N175" i="21"/>
  <c r="M175" i="21"/>
  <c r="L175" i="21"/>
  <c r="K175" i="21"/>
  <c r="J175" i="21"/>
  <c r="I175" i="21"/>
  <c r="H175" i="21"/>
  <c r="G175" i="21"/>
  <c r="F175" i="21"/>
  <c r="E175" i="21"/>
  <c r="D175" i="21"/>
  <c r="C175" i="21"/>
  <c r="B175" i="21"/>
  <c r="A175" i="21"/>
  <c r="BG174" i="21"/>
  <c r="BH174" i="21" s="1"/>
  <c r="BE174" i="21"/>
  <c r="BF174" i="21" s="1"/>
  <c r="AW174" i="21"/>
  <c r="AX174" i="21" s="1"/>
  <c r="AU174" i="21"/>
  <c r="AV174" i="21" s="1"/>
  <c r="AS174" i="21"/>
  <c r="AQ174" i="21"/>
  <c r="AR174" i="21" s="1"/>
  <c r="AO174" i="21"/>
  <c r="AM174" i="21"/>
  <c r="AK174" i="21"/>
  <c r="AL174" i="21" s="1"/>
  <c r="AG174" i="21"/>
  <c r="AH174" i="21" s="1"/>
  <c r="AE174" i="21"/>
  <c r="AF174" i="21" s="1"/>
  <c r="AC174" i="21"/>
  <c r="AA174" i="21"/>
  <c r="AB174" i="21" s="1"/>
  <c r="W174" i="21"/>
  <c r="X174" i="21" s="1"/>
  <c r="U174" i="21"/>
  <c r="V174" i="21" s="1"/>
  <c r="S174" i="21"/>
  <c r="T174" i="21" s="1"/>
  <c r="Q174" i="21"/>
  <c r="R174" i="21" s="1"/>
  <c r="P174" i="21"/>
  <c r="O174" i="21"/>
  <c r="N174" i="21"/>
  <c r="M174" i="21"/>
  <c r="L174" i="21"/>
  <c r="K174" i="21"/>
  <c r="J174" i="21"/>
  <c r="I174" i="21"/>
  <c r="H174" i="21"/>
  <c r="G174" i="21"/>
  <c r="F174" i="21"/>
  <c r="E174" i="21"/>
  <c r="D174" i="21"/>
  <c r="C174" i="21"/>
  <c r="B174" i="21"/>
  <c r="A174" i="21"/>
  <c r="BG173" i="21"/>
  <c r="BE173" i="21"/>
  <c r="BF173" i="21" s="1"/>
  <c r="AW173" i="21"/>
  <c r="AX173" i="21" s="1"/>
  <c r="AU173" i="21"/>
  <c r="AV173" i="21" s="1"/>
  <c r="AS173" i="21"/>
  <c r="AQ173" i="21"/>
  <c r="AR173" i="21" s="1"/>
  <c r="AO173" i="21"/>
  <c r="AP173" i="21" s="1"/>
  <c r="AM173" i="21"/>
  <c r="AK173" i="21"/>
  <c r="AL173" i="21" s="1"/>
  <c r="AG173" i="21"/>
  <c r="AH173" i="21" s="1"/>
  <c r="AE173" i="21"/>
  <c r="AF173" i="21" s="1"/>
  <c r="AC173" i="21"/>
  <c r="AD173" i="21" s="1"/>
  <c r="AA173" i="21"/>
  <c r="AB173" i="21" s="1"/>
  <c r="W173" i="21"/>
  <c r="X173" i="21" s="1"/>
  <c r="U173" i="21"/>
  <c r="V173" i="21" s="1"/>
  <c r="S173" i="21"/>
  <c r="T173" i="21" s="1"/>
  <c r="Q173" i="21"/>
  <c r="R173" i="21" s="1"/>
  <c r="P173" i="21"/>
  <c r="O173" i="21"/>
  <c r="N173" i="21"/>
  <c r="M173" i="21"/>
  <c r="L173" i="21"/>
  <c r="K173" i="21"/>
  <c r="J173" i="21"/>
  <c r="I173" i="21"/>
  <c r="H173" i="21"/>
  <c r="G173" i="21"/>
  <c r="F173" i="21"/>
  <c r="E173" i="21"/>
  <c r="D173" i="21"/>
  <c r="C173" i="21"/>
  <c r="B173" i="21"/>
  <c r="A173" i="21"/>
  <c r="BG172" i="21"/>
  <c r="BH172" i="21" s="1"/>
  <c r="BE172" i="21"/>
  <c r="BF172" i="21" s="1"/>
  <c r="AW172" i="21"/>
  <c r="AU172" i="21"/>
  <c r="AS172" i="21"/>
  <c r="AT172" i="21" s="1"/>
  <c r="AQ172" i="21"/>
  <c r="AR172" i="21" s="1"/>
  <c r="AO172" i="21"/>
  <c r="AP172" i="21" s="1"/>
  <c r="AM172" i="21"/>
  <c r="AK172" i="21"/>
  <c r="AL172" i="21" s="1"/>
  <c r="AG172" i="21"/>
  <c r="AH172" i="21" s="1"/>
  <c r="AE172" i="21"/>
  <c r="AC172" i="21"/>
  <c r="AD172" i="21" s="1"/>
  <c r="AA172" i="21"/>
  <c r="AB172" i="21" s="1"/>
  <c r="W172" i="21"/>
  <c r="U172" i="21"/>
  <c r="V172" i="21" s="1"/>
  <c r="S172" i="21"/>
  <c r="T172" i="21" s="1"/>
  <c r="Q172" i="21"/>
  <c r="P172" i="21"/>
  <c r="O172" i="21"/>
  <c r="N172" i="21"/>
  <c r="M172" i="21"/>
  <c r="L172" i="21"/>
  <c r="K172" i="21"/>
  <c r="J172" i="21"/>
  <c r="I172" i="21"/>
  <c r="H172" i="21"/>
  <c r="G172" i="21"/>
  <c r="F172" i="21"/>
  <c r="E172" i="21"/>
  <c r="D172" i="21"/>
  <c r="C172" i="21"/>
  <c r="B172" i="21"/>
  <c r="A172" i="21"/>
  <c r="BG171" i="21"/>
  <c r="BH171" i="21" s="1"/>
  <c r="BE171" i="21"/>
  <c r="AW171" i="21"/>
  <c r="AX171" i="21" s="1"/>
  <c r="AU171" i="21"/>
  <c r="AS171" i="21"/>
  <c r="AT171" i="21" s="1"/>
  <c r="AQ171" i="21"/>
  <c r="AR171" i="21" s="1"/>
  <c r="AO171" i="21"/>
  <c r="AP171" i="21" s="1"/>
  <c r="AM171" i="21"/>
  <c r="AN171" i="21" s="1"/>
  <c r="AK171" i="21"/>
  <c r="AL171" i="21" s="1"/>
  <c r="AG171" i="21"/>
  <c r="AH171" i="21" s="1"/>
  <c r="AE171" i="21"/>
  <c r="AF171" i="21" s="1"/>
  <c r="AC171" i="21"/>
  <c r="AD171" i="21" s="1"/>
  <c r="AA171" i="21"/>
  <c r="AB171" i="21" s="1"/>
  <c r="W171" i="21"/>
  <c r="X171" i="21" s="1"/>
  <c r="U171" i="21"/>
  <c r="S171" i="21"/>
  <c r="T171" i="21" s="1"/>
  <c r="Q171" i="21"/>
  <c r="P171" i="21"/>
  <c r="O171" i="21"/>
  <c r="N171" i="21"/>
  <c r="M171" i="21"/>
  <c r="L171" i="21"/>
  <c r="K171" i="21"/>
  <c r="J171" i="21"/>
  <c r="I171" i="21"/>
  <c r="H171" i="21"/>
  <c r="G171" i="21"/>
  <c r="F171" i="21"/>
  <c r="E171" i="21"/>
  <c r="D171" i="21"/>
  <c r="C171" i="21"/>
  <c r="B171" i="21"/>
  <c r="A171" i="21"/>
  <c r="BG170" i="21"/>
  <c r="BE170" i="21"/>
  <c r="BF170" i="21" s="1"/>
  <c r="AW170" i="21"/>
  <c r="AX170" i="21" s="1"/>
  <c r="AU170" i="21"/>
  <c r="AS170" i="21"/>
  <c r="AT170" i="21" s="1"/>
  <c r="AQ170" i="21"/>
  <c r="AR170" i="21" s="1"/>
  <c r="AO170" i="21"/>
  <c r="AP170" i="21" s="1"/>
  <c r="AM170" i="21"/>
  <c r="AN170" i="21" s="1"/>
  <c r="AK170" i="21"/>
  <c r="AL170" i="21" s="1"/>
  <c r="AG170" i="21"/>
  <c r="AE170" i="21"/>
  <c r="AF170" i="21" s="1"/>
  <c r="AC170" i="21"/>
  <c r="AD170" i="21" s="1"/>
  <c r="AA170" i="21"/>
  <c r="AB170" i="21" s="1"/>
  <c r="W170" i="21"/>
  <c r="X170" i="21" s="1"/>
  <c r="U170" i="21"/>
  <c r="S170" i="21"/>
  <c r="T170" i="21" s="1"/>
  <c r="Q170" i="21"/>
  <c r="R170" i="21" s="1"/>
  <c r="P170" i="21"/>
  <c r="O170" i="21"/>
  <c r="N170" i="21"/>
  <c r="M170" i="21"/>
  <c r="L170" i="21"/>
  <c r="K170" i="21"/>
  <c r="J170" i="21"/>
  <c r="I170" i="21"/>
  <c r="H170" i="21"/>
  <c r="G170" i="21"/>
  <c r="F170" i="21"/>
  <c r="E170" i="21"/>
  <c r="D170" i="21"/>
  <c r="C170" i="21"/>
  <c r="B170" i="21"/>
  <c r="A170" i="21"/>
  <c r="BG169" i="21"/>
  <c r="BE169" i="21"/>
  <c r="BF169" i="21" s="1"/>
  <c r="AW169" i="21"/>
  <c r="AX169" i="21" s="1"/>
  <c r="AU169" i="21"/>
  <c r="AV169" i="21" s="1"/>
  <c r="AS169" i="21"/>
  <c r="AT169" i="21" s="1"/>
  <c r="AQ169" i="21"/>
  <c r="AR169" i="21" s="1"/>
  <c r="BB169" i="21" s="1"/>
  <c r="AO169" i="21"/>
  <c r="AP169" i="21" s="1"/>
  <c r="AM169" i="21"/>
  <c r="AN169" i="21" s="1"/>
  <c r="AK169" i="21"/>
  <c r="AL169" i="21" s="1"/>
  <c r="AG169" i="21"/>
  <c r="AH169" i="21" s="1"/>
  <c r="AE169" i="21"/>
  <c r="AF169" i="21" s="1"/>
  <c r="AC169" i="21"/>
  <c r="AD169" i="21" s="1"/>
  <c r="AA169" i="21"/>
  <c r="W169" i="21"/>
  <c r="U169" i="21"/>
  <c r="V169" i="21" s="1"/>
  <c r="S169" i="21"/>
  <c r="T169" i="21" s="1"/>
  <c r="Q169" i="21"/>
  <c r="R169" i="21" s="1"/>
  <c r="P169" i="21"/>
  <c r="O169" i="21"/>
  <c r="N169" i="21"/>
  <c r="M169" i="21"/>
  <c r="L169" i="21"/>
  <c r="K169" i="21"/>
  <c r="J169" i="21"/>
  <c r="I169" i="21"/>
  <c r="H169" i="21"/>
  <c r="G169" i="21"/>
  <c r="F169" i="21"/>
  <c r="E169" i="21"/>
  <c r="D169" i="21"/>
  <c r="C169" i="21"/>
  <c r="B169" i="21"/>
  <c r="A169" i="21"/>
  <c r="BG168" i="21"/>
  <c r="BE168" i="21"/>
  <c r="BF168" i="21" s="1"/>
  <c r="AW168" i="21"/>
  <c r="AU168" i="21"/>
  <c r="AV168" i="21" s="1"/>
  <c r="AS168" i="21"/>
  <c r="AT168" i="21" s="1"/>
  <c r="AQ168" i="21"/>
  <c r="AO168" i="21"/>
  <c r="AP168" i="21" s="1"/>
  <c r="AM168" i="21"/>
  <c r="AN168" i="21" s="1"/>
  <c r="AK168" i="21"/>
  <c r="AG168" i="21"/>
  <c r="AH168" i="21" s="1"/>
  <c r="AE168" i="21"/>
  <c r="AC168" i="21"/>
  <c r="AD168" i="21" s="1"/>
  <c r="AA168" i="21"/>
  <c r="AB168" i="21" s="1"/>
  <c r="W168" i="21"/>
  <c r="U168" i="21"/>
  <c r="V168" i="21" s="1"/>
  <c r="S168" i="21"/>
  <c r="T168" i="21" s="1"/>
  <c r="Q168" i="21"/>
  <c r="R168" i="21" s="1"/>
  <c r="P168" i="21"/>
  <c r="O168" i="21"/>
  <c r="N168" i="21"/>
  <c r="M168" i="21"/>
  <c r="L168" i="21"/>
  <c r="K168" i="21"/>
  <c r="J168" i="21"/>
  <c r="I168" i="21"/>
  <c r="H168" i="21"/>
  <c r="G168" i="21"/>
  <c r="F168" i="21"/>
  <c r="E168" i="21"/>
  <c r="D168" i="21"/>
  <c r="C168" i="21"/>
  <c r="B168" i="21"/>
  <c r="A168" i="21"/>
  <c r="BG167" i="21"/>
  <c r="BH167" i="21" s="1"/>
  <c r="BE167" i="21"/>
  <c r="BF167" i="21" s="1"/>
  <c r="AW167" i="21"/>
  <c r="AX167" i="21" s="1"/>
  <c r="AU167" i="21"/>
  <c r="AV167" i="21" s="1"/>
  <c r="AS167" i="21"/>
  <c r="AT167" i="21" s="1"/>
  <c r="AQ167" i="21"/>
  <c r="AR167" i="21" s="1"/>
  <c r="AO167" i="21"/>
  <c r="AM167" i="21"/>
  <c r="AN167" i="21" s="1"/>
  <c r="AK167" i="21"/>
  <c r="AG167" i="21"/>
  <c r="AE167" i="21"/>
  <c r="AF167" i="21" s="1"/>
  <c r="AC167" i="21"/>
  <c r="AD167" i="21" s="1"/>
  <c r="AA167" i="21"/>
  <c r="AB167" i="21" s="1"/>
  <c r="W167" i="21"/>
  <c r="U167" i="21"/>
  <c r="V167" i="21" s="1"/>
  <c r="S167" i="21"/>
  <c r="T167" i="21" s="1"/>
  <c r="Q167" i="21"/>
  <c r="R167" i="21" s="1"/>
  <c r="P167" i="21"/>
  <c r="O167" i="21"/>
  <c r="N167" i="21"/>
  <c r="M167" i="21"/>
  <c r="L167" i="21"/>
  <c r="K167" i="21"/>
  <c r="J167" i="21"/>
  <c r="I167" i="21"/>
  <c r="H167" i="21"/>
  <c r="G167" i="21"/>
  <c r="F167" i="21"/>
  <c r="E167" i="21"/>
  <c r="D167" i="21"/>
  <c r="C167" i="21"/>
  <c r="B167" i="21"/>
  <c r="A167" i="21"/>
  <c r="BG166" i="21"/>
  <c r="BH166" i="21" s="1"/>
  <c r="BE166" i="21"/>
  <c r="BF166" i="21" s="1"/>
  <c r="AW166" i="21"/>
  <c r="AX166" i="21" s="1"/>
  <c r="AU166" i="21"/>
  <c r="AV166" i="21" s="1"/>
  <c r="AS166" i="21"/>
  <c r="AT166" i="21" s="1"/>
  <c r="AQ166" i="21"/>
  <c r="AR166" i="21" s="1"/>
  <c r="AO166" i="21"/>
  <c r="AM166" i="21"/>
  <c r="AN166" i="21" s="1"/>
  <c r="AK166" i="21"/>
  <c r="AL166" i="21" s="1"/>
  <c r="AG166" i="21"/>
  <c r="AE166" i="21"/>
  <c r="AF166" i="21" s="1"/>
  <c r="AC166" i="21"/>
  <c r="AD166" i="21" s="1"/>
  <c r="AA166" i="21"/>
  <c r="AB166" i="21" s="1"/>
  <c r="W166" i="21"/>
  <c r="X166" i="21" s="1"/>
  <c r="U166" i="21"/>
  <c r="V166" i="21" s="1"/>
  <c r="S166" i="21"/>
  <c r="T166" i="21" s="1"/>
  <c r="Q166" i="21"/>
  <c r="R166" i="21" s="1"/>
  <c r="P166" i="21"/>
  <c r="O166" i="21"/>
  <c r="N166" i="21"/>
  <c r="M166" i="21"/>
  <c r="L166" i="21"/>
  <c r="K166" i="21"/>
  <c r="J166" i="21"/>
  <c r="I166" i="21"/>
  <c r="H166" i="21"/>
  <c r="G166" i="21"/>
  <c r="F166" i="21"/>
  <c r="E166" i="21"/>
  <c r="D166" i="21"/>
  <c r="C166" i="21"/>
  <c r="B166" i="21"/>
  <c r="A166" i="21"/>
  <c r="BG165" i="21"/>
  <c r="BH165" i="21" s="1"/>
  <c r="BE165" i="21"/>
  <c r="BF165" i="21" s="1"/>
  <c r="AW165" i="21"/>
  <c r="AX165" i="21" s="1"/>
  <c r="AU165" i="21"/>
  <c r="AV165" i="21" s="1"/>
  <c r="AS165" i="21"/>
  <c r="AQ165" i="21"/>
  <c r="AO165" i="21"/>
  <c r="AP165" i="21" s="1"/>
  <c r="AM165" i="21"/>
  <c r="AN165" i="21" s="1"/>
  <c r="AK165" i="21"/>
  <c r="AL165" i="21" s="1"/>
  <c r="AG165" i="21"/>
  <c r="AE165" i="21"/>
  <c r="AF165" i="21" s="1"/>
  <c r="AC165" i="21"/>
  <c r="AD165" i="21" s="1"/>
  <c r="AA165" i="21"/>
  <c r="W165" i="21"/>
  <c r="X165" i="21" s="1"/>
  <c r="U165" i="21"/>
  <c r="V165" i="21" s="1"/>
  <c r="S165" i="21"/>
  <c r="Q165" i="21"/>
  <c r="R165" i="21" s="1"/>
  <c r="P165" i="21"/>
  <c r="O165" i="21"/>
  <c r="N165" i="21"/>
  <c r="M165" i="21"/>
  <c r="L165" i="21"/>
  <c r="K165" i="21"/>
  <c r="J165" i="21"/>
  <c r="I165" i="21"/>
  <c r="H165" i="21"/>
  <c r="G165" i="21"/>
  <c r="F165" i="21"/>
  <c r="E165" i="21"/>
  <c r="D165" i="21"/>
  <c r="C165" i="21"/>
  <c r="B165" i="21"/>
  <c r="A165" i="21"/>
  <c r="BG164" i="21"/>
  <c r="BH164" i="21" s="1"/>
  <c r="BE164" i="21"/>
  <c r="AW164" i="21"/>
  <c r="AU164" i="21"/>
  <c r="AV164" i="21" s="1"/>
  <c r="AS164" i="21"/>
  <c r="AT164" i="21" s="1"/>
  <c r="AQ164" i="21"/>
  <c r="AO164" i="21"/>
  <c r="AP164" i="21" s="1"/>
  <c r="AM164" i="21"/>
  <c r="AN164" i="21" s="1"/>
  <c r="AK164" i="21"/>
  <c r="AL164" i="21" s="1"/>
  <c r="AG164" i="21"/>
  <c r="AH164" i="21" s="1"/>
  <c r="AE164" i="21"/>
  <c r="AF164" i="21" s="1"/>
  <c r="AC164" i="21"/>
  <c r="AD164" i="21" s="1"/>
  <c r="AA164" i="21"/>
  <c r="AB164" i="21" s="1"/>
  <c r="W164" i="21"/>
  <c r="X164" i="21" s="1"/>
  <c r="U164" i="21"/>
  <c r="V164" i="21" s="1"/>
  <c r="S164" i="21"/>
  <c r="T164" i="21" s="1"/>
  <c r="Q164" i="21"/>
  <c r="P164" i="21"/>
  <c r="O164" i="21"/>
  <c r="N164" i="21"/>
  <c r="M164" i="21"/>
  <c r="L164" i="21"/>
  <c r="K164" i="21"/>
  <c r="J164" i="21"/>
  <c r="I164" i="21"/>
  <c r="H164" i="21"/>
  <c r="G164" i="21"/>
  <c r="F164" i="21"/>
  <c r="E164" i="21"/>
  <c r="D164" i="21"/>
  <c r="C164" i="21"/>
  <c r="B164" i="21"/>
  <c r="A164" i="21"/>
  <c r="BG163" i="21"/>
  <c r="BH163" i="21" s="1"/>
  <c r="BE163" i="21"/>
  <c r="AW163" i="21"/>
  <c r="AX163" i="21" s="1"/>
  <c r="AU163" i="21"/>
  <c r="AV163" i="21" s="1"/>
  <c r="AS163" i="21"/>
  <c r="AT163" i="21" s="1"/>
  <c r="AQ163" i="21"/>
  <c r="AO163" i="21"/>
  <c r="AP163" i="21" s="1"/>
  <c r="AM163" i="21"/>
  <c r="AN163" i="21" s="1"/>
  <c r="AK163" i="21"/>
  <c r="AL163" i="21" s="1"/>
  <c r="AG163" i="21"/>
  <c r="AH163" i="21" s="1"/>
  <c r="AE163" i="21"/>
  <c r="AF163" i="21" s="1"/>
  <c r="AC163" i="21"/>
  <c r="AA163" i="21"/>
  <c r="AB163" i="21" s="1"/>
  <c r="W163" i="21"/>
  <c r="X163" i="21" s="1"/>
  <c r="U163" i="21"/>
  <c r="V163" i="21" s="1"/>
  <c r="S163" i="21"/>
  <c r="T163" i="21" s="1"/>
  <c r="Z163" i="21" s="1"/>
  <c r="Q163" i="21"/>
  <c r="P163" i="21"/>
  <c r="O163" i="21"/>
  <c r="N163" i="21"/>
  <c r="M163" i="21"/>
  <c r="L163" i="21"/>
  <c r="K163" i="21"/>
  <c r="J163" i="21"/>
  <c r="I163" i="21"/>
  <c r="H163" i="21"/>
  <c r="G163" i="21"/>
  <c r="F163" i="21"/>
  <c r="E163" i="21"/>
  <c r="D163" i="21"/>
  <c r="C163" i="21"/>
  <c r="B163" i="21"/>
  <c r="A163" i="21"/>
  <c r="BG162" i="21"/>
  <c r="BH162" i="21" s="1"/>
  <c r="BE162" i="21"/>
  <c r="BF162" i="21" s="1"/>
  <c r="AW162" i="21"/>
  <c r="AX162" i="21" s="1"/>
  <c r="AU162" i="21"/>
  <c r="AV162" i="21" s="1"/>
  <c r="AS162" i="21"/>
  <c r="AT162" i="21" s="1"/>
  <c r="AQ162" i="21"/>
  <c r="AR162" i="21" s="1"/>
  <c r="AO162" i="21"/>
  <c r="AP162" i="21" s="1"/>
  <c r="AM162" i="21"/>
  <c r="AN162" i="21" s="1"/>
  <c r="AK162" i="21"/>
  <c r="AL162" i="21" s="1"/>
  <c r="AG162" i="21"/>
  <c r="AH162" i="21" s="1"/>
  <c r="AE162" i="21"/>
  <c r="AF162" i="21" s="1"/>
  <c r="AC162" i="21"/>
  <c r="AD162" i="21" s="1"/>
  <c r="AA162" i="21"/>
  <c r="AB162" i="21" s="1"/>
  <c r="W162" i="21"/>
  <c r="X162" i="21" s="1"/>
  <c r="U162" i="21"/>
  <c r="V162" i="21" s="1"/>
  <c r="S162" i="21"/>
  <c r="Q162" i="21"/>
  <c r="R162" i="21" s="1"/>
  <c r="P162" i="21"/>
  <c r="O162" i="21"/>
  <c r="N162" i="21"/>
  <c r="M162" i="21"/>
  <c r="L162" i="21"/>
  <c r="K162" i="21"/>
  <c r="J162" i="21"/>
  <c r="I162" i="21"/>
  <c r="H162" i="21"/>
  <c r="G162" i="21"/>
  <c r="F162" i="21"/>
  <c r="E162" i="21"/>
  <c r="D162" i="21"/>
  <c r="C162" i="21"/>
  <c r="B162" i="21"/>
  <c r="A162" i="21"/>
  <c r="BG161" i="21"/>
  <c r="BE161" i="21"/>
  <c r="BF161" i="21" s="1"/>
  <c r="AW161" i="21"/>
  <c r="AX161" i="21" s="1"/>
  <c r="AU161" i="21"/>
  <c r="AV161" i="21" s="1"/>
  <c r="AS161" i="21"/>
  <c r="AT161" i="21" s="1"/>
  <c r="AQ161" i="21"/>
  <c r="AO161" i="21"/>
  <c r="AP161" i="21" s="1"/>
  <c r="AM161" i="21"/>
  <c r="AN161" i="21" s="1"/>
  <c r="AK161" i="21"/>
  <c r="AL161" i="21" s="1"/>
  <c r="AG161" i="21"/>
  <c r="AH161" i="21" s="1"/>
  <c r="AE161" i="21"/>
  <c r="AC161" i="21"/>
  <c r="AD161" i="21" s="1"/>
  <c r="AA161" i="21"/>
  <c r="W161" i="21"/>
  <c r="U161" i="21"/>
  <c r="V161" i="21" s="1"/>
  <c r="S161" i="21"/>
  <c r="Q161" i="21"/>
  <c r="R161" i="21" s="1"/>
  <c r="P161" i="21"/>
  <c r="O161" i="21"/>
  <c r="N161" i="21"/>
  <c r="M161" i="21"/>
  <c r="L161" i="21"/>
  <c r="K161" i="21"/>
  <c r="J161" i="21"/>
  <c r="I161" i="21"/>
  <c r="H161" i="21"/>
  <c r="G161" i="21"/>
  <c r="F161" i="21"/>
  <c r="E161" i="21"/>
  <c r="D161" i="21"/>
  <c r="C161" i="21"/>
  <c r="B161" i="21"/>
  <c r="A161" i="21"/>
  <c r="BG160" i="21"/>
  <c r="BH160" i="21" s="1"/>
  <c r="BE160" i="21"/>
  <c r="AW160" i="21"/>
  <c r="AX160" i="21" s="1"/>
  <c r="AU160" i="21"/>
  <c r="AS160" i="21"/>
  <c r="AT160" i="21" s="1"/>
  <c r="AQ160" i="21"/>
  <c r="AR160" i="21" s="1"/>
  <c r="AO160" i="21"/>
  <c r="AP160" i="21" s="1"/>
  <c r="AM160" i="21"/>
  <c r="AK160" i="21"/>
  <c r="AL160" i="21" s="1"/>
  <c r="AG160" i="21"/>
  <c r="AH160" i="21" s="1"/>
  <c r="AE160" i="21"/>
  <c r="AC160" i="21"/>
  <c r="AA160" i="21"/>
  <c r="AB160" i="21" s="1"/>
  <c r="W160" i="21"/>
  <c r="U160" i="21"/>
  <c r="V160" i="21" s="1"/>
  <c r="S160" i="21"/>
  <c r="Q160" i="21"/>
  <c r="R160" i="21" s="1"/>
  <c r="P160" i="21"/>
  <c r="O160" i="21"/>
  <c r="N160" i="21"/>
  <c r="M160" i="21"/>
  <c r="L160" i="21"/>
  <c r="K160" i="21"/>
  <c r="J160" i="21"/>
  <c r="I160" i="21"/>
  <c r="H160" i="21"/>
  <c r="G160" i="21"/>
  <c r="F160" i="21"/>
  <c r="E160" i="21"/>
  <c r="D160" i="21"/>
  <c r="C160" i="21"/>
  <c r="B160" i="21"/>
  <c r="A160" i="21"/>
  <c r="BG159" i="21"/>
  <c r="BH159" i="21" s="1"/>
  <c r="BE159" i="21"/>
  <c r="BF159" i="21" s="1"/>
  <c r="AW159" i="21"/>
  <c r="AU159" i="21"/>
  <c r="AV159" i="21" s="1"/>
  <c r="AS159" i="21"/>
  <c r="AT159" i="21" s="1"/>
  <c r="AQ159" i="21"/>
  <c r="AO159" i="21"/>
  <c r="AP159" i="21" s="1"/>
  <c r="AM159" i="21"/>
  <c r="AN159" i="21" s="1"/>
  <c r="AK159" i="21"/>
  <c r="AG159" i="21"/>
  <c r="AH159" i="21" s="1"/>
  <c r="AE159" i="21"/>
  <c r="AC159" i="21"/>
  <c r="AA159" i="21"/>
  <c r="AB159" i="21" s="1"/>
  <c r="W159" i="21"/>
  <c r="U159" i="21"/>
  <c r="V159" i="21" s="1"/>
  <c r="S159" i="21"/>
  <c r="T159" i="21" s="1"/>
  <c r="Q159" i="21"/>
  <c r="R159" i="21" s="1"/>
  <c r="P159" i="21"/>
  <c r="O159" i="21"/>
  <c r="N159" i="21"/>
  <c r="M159" i="21"/>
  <c r="L159" i="21"/>
  <c r="K159" i="21"/>
  <c r="J159" i="21"/>
  <c r="I159" i="21"/>
  <c r="H159" i="21"/>
  <c r="G159" i="21"/>
  <c r="F159" i="21"/>
  <c r="E159" i="21"/>
  <c r="D159" i="21"/>
  <c r="C159" i="21"/>
  <c r="B159" i="21"/>
  <c r="A159" i="21"/>
  <c r="BG158" i="21"/>
  <c r="BH158" i="21" s="1"/>
  <c r="BE158" i="21"/>
  <c r="AW158" i="21"/>
  <c r="AX158" i="21" s="1"/>
  <c r="AU158" i="21"/>
  <c r="AS158" i="21"/>
  <c r="AT158" i="21" s="1"/>
  <c r="AQ158" i="21"/>
  <c r="AR158" i="21" s="1"/>
  <c r="AO158" i="21"/>
  <c r="AM158" i="21"/>
  <c r="AN158" i="21" s="1"/>
  <c r="AK158" i="21"/>
  <c r="AG158" i="21"/>
  <c r="AE158" i="21"/>
  <c r="AF158" i="21" s="1"/>
  <c r="AC158" i="21"/>
  <c r="AA158" i="21"/>
  <c r="AB158" i="21" s="1"/>
  <c r="W158" i="21"/>
  <c r="X158" i="21" s="1"/>
  <c r="U158" i="21"/>
  <c r="V158" i="21" s="1"/>
  <c r="S158" i="21"/>
  <c r="T158" i="21" s="1"/>
  <c r="Q158" i="21"/>
  <c r="P158" i="21"/>
  <c r="O158" i="21"/>
  <c r="N158" i="21"/>
  <c r="M158" i="21"/>
  <c r="L158" i="21"/>
  <c r="K158" i="21"/>
  <c r="J158" i="21"/>
  <c r="I158" i="21"/>
  <c r="H158" i="21"/>
  <c r="G158" i="21"/>
  <c r="F158" i="21"/>
  <c r="E158" i="21"/>
  <c r="D158" i="21"/>
  <c r="C158" i="21"/>
  <c r="B158" i="21"/>
  <c r="A158" i="21"/>
  <c r="BG157" i="21"/>
  <c r="BH157" i="21" s="1"/>
  <c r="BE157" i="21"/>
  <c r="BF157" i="21" s="1"/>
  <c r="AW157" i="21"/>
  <c r="AX157" i="21" s="1"/>
  <c r="AU157" i="21"/>
  <c r="AV157" i="21" s="1"/>
  <c r="AS157" i="21"/>
  <c r="AQ157" i="21"/>
  <c r="AR157" i="21" s="1"/>
  <c r="AO157" i="21"/>
  <c r="AP157" i="21" s="1"/>
  <c r="AM157" i="21"/>
  <c r="AK157" i="21"/>
  <c r="AL157" i="21" s="1"/>
  <c r="AG157" i="21"/>
  <c r="AE157" i="21"/>
  <c r="AF157" i="21" s="1"/>
  <c r="AC157" i="21"/>
  <c r="AD157" i="21" s="1"/>
  <c r="AA157" i="21"/>
  <c r="AB157" i="21" s="1"/>
  <c r="W157" i="21"/>
  <c r="X157" i="21" s="1"/>
  <c r="U157" i="21"/>
  <c r="S157" i="21"/>
  <c r="T157" i="21" s="1"/>
  <c r="Q157" i="21"/>
  <c r="R157" i="21" s="1"/>
  <c r="P157" i="21"/>
  <c r="O157" i="21"/>
  <c r="N157" i="21"/>
  <c r="M157" i="21"/>
  <c r="L157" i="21"/>
  <c r="K157" i="21"/>
  <c r="J157" i="21"/>
  <c r="I157" i="21"/>
  <c r="H157" i="21"/>
  <c r="G157" i="21"/>
  <c r="F157" i="21"/>
  <c r="E157" i="21"/>
  <c r="D157" i="21"/>
  <c r="C157" i="21"/>
  <c r="B157" i="21"/>
  <c r="A157" i="21"/>
  <c r="BG156" i="21"/>
  <c r="BE156" i="21"/>
  <c r="BF156" i="21" s="1"/>
  <c r="AW156" i="21"/>
  <c r="AU156" i="21"/>
  <c r="AV156" i="21" s="1"/>
  <c r="AS156" i="21"/>
  <c r="AT156" i="21" s="1"/>
  <c r="AQ156" i="21"/>
  <c r="AO156" i="21"/>
  <c r="AP156" i="21" s="1"/>
  <c r="AM156" i="21"/>
  <c r="AK156" i="21"/>
  <c r="AL156" i="21" s="1"/>
  <c r="AG156" i="21"/>
  <c r="AH156" i="21" s="1"/>
  <c r="AE156" i="21"/>
  <c r="AF156" i="21" s="1"/>
  <c r="AC156" i="21"/>
  <c r="AD156" i="21" s="1"/>
  <c r="AA156" i="21"/>
  <c r="W156" i="21"/>
  <c r="X156" i="21" s="1"/>
  <c r="U156" i="21"/>
  <c r="V156" i="21" s="1"/>
  <c r="S156" i="21"/>
  <c r="Q156" i="21"/>
  <c r="R156" i="21" s="1"/>
  <c r="Y156" i="21" s="1"/>
  <c r="P156" i="21"/>
  <c r="O156" i="21"/>
  <c r="N156" i="21"/>
  <c r="M156" i="21"/>
  <c r="L156" i="21"/>
  <c r="K156" i="21"/>
  <c r="J156" i="21"/>
  <c r="I156" i="21"/>
  <c r="H156" i="21"/>
  <c r="G156" i="21"/>
  <c r="F156" i="21"/>
  <c r="E156" i="21"/>
  <c r="D156" i="21"/>
  <c r="C156" i="21"/>
  <c r="B156" i="21"/>
  <c r="A156" i="21"/>
  <c r="BG155" i="21"/>
  <c r="BH155" i="21" s="1"/>
  <c r="BE155" i="21"/>
  <c r="AW155" i="21"/>
  <c r="AX155" i="21" s="1"/>
  <c r="AU155" i="21"/>
  <c r="AS155" i="21"/>
  <c r="AT155" i="21" s="1"/>
  <c r="AQ155" i="21"/>
  <c r="AO155" i="21"/>
  <c r="AP155" i="21" s="1"/>
  <c r="AM155" i="21"/>
  <c r="AN155" i="21" s="1"/>
  <c r="AK155" i="21"/>
  <c r="AL155" i="21" s="1"/>
  <c r="AG155" i="21"/>
  <c r="AH155" i="21" s="1"/>
  <c r="AE155" i="21"/>
  <c r="AC155" i="21"/>
  <c r="AD155" i="21" s="1"/>
  <c r="AA155" i="21"/>
  <c r="AB155" i="21" s="1"/>
  <c r="W155" i="21"/>
  <c r="U155" i="21"/>
  <c r="V155" i="21" s="1"/>
  <c r="S155" i="21"/>
  <c r="T155" i="21" s="1"/>
  <c r="Q155" i="21"/>
  <c r="P155" i="21"/>
  <c r="O155" i="21"/>
  <c r="N155" i="21"/>
  <c r="M155" i="21"/>
  <c r="L155" i="21"/>
  <c r="K155" i="21"/>
  <c r="J155" i="21"/>
  <c r="I155" i="21"/>
  <c r="H155" i="21"/>
  <c r="G155" i="21"/>
  <c r="F155" i="21"/>
  <c r="E155" i="21"/>
  <c r="D155" i="21"/>
  <c r="C155" i="21"/>
  <c r="B155" i="21"/>
  <c r="A155" i="21"/>
  <c r="BG154" i="21"/>
  <c r="BH154" i="21" s="1"/>
  <c r="BE154" i="21"/>
  <c r="BF154" i="21" s="1"/>
  <c r="AW154" i="21"/>
  <c r="AX154" i="21" s="1"/>
  <c r="AU154" i="21"/>
  <c r="AS154" i="21"/>
  <c r="AT154" i="21" s="1"/>
  <c r="AQ154" i="21"/>
  <c r="AR154" i="21" s="1"/>
  <c r="AO154" i="21"/>
  <c r="AP154" i="21" s="1"/>
  <c r="AM154" i="21"/>
  <c r="AN154" i="21" s="1"/>
  <c r="AK154" i="21"/>
  <c r="AG154" i="21"/>
  <c r="AH154" i="21" s="1"/>
  <c r="AE154" i="21"/>
  <c r="AF154" i="21" s="1"/>
  <c r="AC154" i="21"/>
  <c r="AA154" i="21"/>
  <c r="AB154" i="21" s="1"/>
  <c r="W154" i="21"/>
  <c r="X154" i="21" s="1"/>
  <c r="U154" i="21"/>
  <c r="S154" i="21"/>
  <c r="T154" i="21" s="1"/>
  <c r="Q154" i="21"/>
  <c r="R154" i="21" s="1"/>
  <c r="P154" i="21"/>
  <c r="O154" i="21"/>
  <c r="N154" i="21"/>
  <c r="M154" i="21"/>
  <c r="L154" i="21"/>
  <c r="K154" i="21"/>
  <c r="J154" i="21"/>
  <c r="I154" i="21"/>
  <c r="H154" i="21"/>
  <c r="G154" i="21"/>
  <c r="F154" i="21"/>
  <c r="E154" i="21"/>
  <c r="D154" i="21"/>
  <c r="C154" i="21"/>
  <c r="B154" i="21"/>
  <c r="A154" i="21"/>
  <c r="BG153" i="21"/>
  <c r="BE153" i="21"/>
  <c r="BF153" i="21" s="1"/>
  <c r="AW153" i="21"/>
  <c r="AX153" i="21" s="1"/>
  <c r="AU153" i="21"/>
  <c r="AV153" i="21" s="1"/>
  <c r="AS153" i="21"/>
  <c r="AT153" i="21" s="1"/>
  <c r="AQ153" i="21"/>
  <c r="AR153" i="21" s="1"/>
  <c r="BB153" i="21" s="1"/>
  <c r="AO153" i="21"/>
  <c r="AM153" i="21"/>
  <c r="AN153" i="21" s="1"/>
  <c r="AK153" i="21"/>
  <c r="AL153" i="21" s="1"/>
  <c r="AG153" i="21"/>
  <c r="AE153" i="21"/>
  <c r="AF153" i="21" s="1"/>
  <c r="AC153" i="21"/>
  <c r="AD153" i="21" s="1"/>
  <c r="AA153" i="21"/>
  <c r="W153" i="21"/>
  <c r="X153" i="21" s="1"/>
  <c r="U153" i="21"/>
  <c r="V153" i="21" s="1"/>
  <c r="S153" i="21"/>
  <c r="Q153" i="21"/>
  <c r="R153" i="21" s="1"/>
  <c r="P153" i="21"/>
  <c r="O153" i="21"/>
  <c r="N153" i="21"/>
  <c r="M153" i="21"/>
  <c r="L153" i="21"/>
  <c r="K153" i="21"/>
  <c r="J153" i="21"/>
  <c r="I153" i="21"/>
  <c r="H153" i="21"/>
  <c r="G153" i="21"/>
  <c r="F153" i="21"/>
  <c r="E153" i="21"/>
  <c r="D153" i="21"/>
  <c r="C153" i="21"/>
  <c r="B153" i="21"/>
  <c r="A153" i="21"/>
  <c r="BG152" i="21"/>
  <c r="BE152" i="21"/>
  <c r="BF152" i="21" s="1"/>
  <c r="AW152" i="21"/>
  <c r="AX152" i="21" s="1"/>
  <c r="AU152" i="21"/>
  <c r="AV152" i="21" s="1"/>
  <c r="AS152" i="21"/>
  <c r="AQ152" i="21"/>
  <c r="AR152" i="21" s="1"/>
  <c r="AO152" i="21"/>
  <c r="AP152" i="21" s="1"/>
  <c r="AM152" i="21"/>
  <c r="AK152" i="21"/>
  <c r="AL152" i="21" s="1"/>
  <c r="AG152" i="21"/>
  <c r="AH152" i="21" s="1"/>
  <c r="AE152" i="21"/>
  <c r="AC152" i="21"/>
  <c r="AD152" i="21" s="1"/>
  <c r="AA152" i="21"/>
  <c r="AB152" i="21" s="1"/>
  <c r="W152" i="21"/>
  <c r="U152" i="21"/>
  <c r="V152" i="21" s="1"/>
  <c r="S152" i="21"/>
  <c r="Q152" i="21"/>
  <c r="R152" i="21" s="1"/>
  <c r="P152" i="21"/>
  <c r="O152" i="21"/>
  <c r="N152" i="21"/>
  <c r="M152" i="21"/>
  <c r="L152" i="21"/>
  <c r="K152" i="21"/>
  <c r="J152" i="21"/>
  <c r="I152" i="21"/>
  <c r="H152" i="21"/>
  <c r="G152" i="21"/>
  <c r="F152" i="21"/>
  <c r="E152" i="21"/>
  <c r="D152" i="21"/>
  <c r="C152" i="21"/>
  <c r="B152" i="21"/>
  <c r="A152" i="21"/>
  <c r="BG151" i="21"/>
  <c r="BH151" i="21" s="1"/>
  <c r="BE151" i="21"/>
  <c r="BF151" i="21" s="1"/>
  <c r="AW151" i="21"/>
  <c r="AU151" i="21"/>
  <c r="AV151" i="21" s="1"/>
  <c r="AS151" i="21"/>
  <c r="AT151" i="21" s="1"/>
  <c r="AQ151" i="21"/>
  <c r="AO151" i="21"/>
  <c r="AP151" i="21" s="1"/>
  <c r="AM151" i="21"/>
  <c r="AN151" i="21" s="1"/>
  <c r="AK151" i="21"/>
  <c r="AL151" i="21" s="1"/>
  <c r="AG151" i="21"/>
  <c r="AH151" i="21" s="1"/>
  <c r="AE151" i="21"/>
  <c r="AC151" i="21"/>
  <c r="AD151" i="21" s="1"/>
  <c r="AJ151" i="21" s="1"/>
  <c r="AA151" i="21"/>
  <c r="AB151" i="21" s="1"/>
  <c r="W151" i="21"/>
  <c r="U151" i="21"/>
  <c r="V151" i="21" s="1"/>
  <c r="S151" i="21"/>
  <c r="T151" i="21" s="1"/>
  <c r="Q151" i="21"/>
  <c r="R151" i="21" s="1"/>
  <c r="P151" i="21"/>
  <c r="O151" i="21"/>
  <c r="N151" i="21"/>
  <c r="M151" i="21"/>
  <c r="L151" i="21"/>
  <c r="K151" i="21"/>
  <c r="J151" i="21"/>
  <c r="I151" i="21"/>
  <c r="H151" i="21"/>
  <c r="G151" i="21"/>
  <c r="F151" i="21"/>
  <c r="E151" i="21"/>
  <c r="D151" i="21"/>
  <c r="C151" i="21"/>
  <c r="B151" i="21"/>
  <c r="A151" i="21"/>
  <c r="BG150" i="21"/>
  <c r="BH150" i="21" s="1"/>
  <c r="BE150" i="21"/>
  <c r="AW150" i="21"/>
  <c r="AX150" i="21" s="1"/>
  <c r="AU150" i="21"/>
  <c r="AS150" i="21"/>
  <c r="AT150" i="21" s="1"/>
  <c r="AQ150" i="21"/>
  <c r="AR150" i="21" s="1"/>
  <c r="AO150" i="21"/>
  <c r="AP150" i="21" s="1"/>
  <c r="AM150" i="21"/>
  <c r="AN150" i="21" s="1"/>
  <c r="AK150" i="21"/>
  <c r="AL150" i="21" s="1"/>
  <c r="AG150" i="21"/>
  <c r="AH150" i="21" s="1"/>
  <c r="AE150" i="21"/>
  <c r="AF150" i="21" s="1"/>
  <c r="AC150" i="21"/>
  <c r="AA150" i="21"/>
  <c r="AB150" i="21" s="1"/>
  <c r="W150" i="21"/>
  <c r="X150" i="21" s="1"/>
  <c r="U150" i="21"/>
  <c r="V150" i="21" s="1"/>
  <c r="S150" i="21"/>
  <c r="T150" i="21" s="1"/>
  <c r="Q150" i="21"/>
  <c r="P150" i="21"/>
  <c r="O150" i="21"/>
  <c r="N150" i="21"/>
  <c r="M150" i="21"/>
  <c r="L150" i="21"/>
  <c r="K150" i="21"/>
  <c r="J150" i="21"/>
  <c r="I150" i="21"/>
  <c r="H150" i="21"/>
  <c r="G150" i="21"/>
  <c r="F150" i="21"/>
  <c r="E150" i="21"/>
  <c r="D150" i="21"/>
  <c r="C150" i="21"/>
  <c r="B150" i="21"/>
  <c r="A150" i="21"/>
  <c r="BG149" i="21"/>
  <c r="BH149" i="21" s="1"/>
  <c r="BE149" i="21"/>
  <c r="BF149" i="21" s="1"/>
  <c r="AW149" i="21"/>
  <c r="AX149" i="21" s="1"/>
  <c r="AU149" i="21"/>
  <c r="AV149" i="21" s="1"/>
  <c r="AS149" i="21"/>
  <c r="AT149" i="21" s="1"/>
  <c r="AQ149" i="21"/>
  <c r="AR149" i="21" s="1"/>
  <c r="AO149" i="21"/>
  <c r="AP149" i="21" s="1"/>
  <c r="AM149" i="21"/>
  <c r="AN149" i="21" s="1"/>
  <c r="AK149" i="21"/>
  <c r="AL149" i="21" s="1"/>
  <c r="AG149" i="21"/>
  <c r="AE149" i="21"/>
  <c r="AF149" i="21" s="1"/>
  <c r="AC149" i="21"/>
  <c r="AD149" i="21" s="1"/>
  <c r="AA149" i="21"/>
  <c r="AB149" i="21" s="1"/>
  <c r="W149" i="21"/>
  <c r="X149" i="21" s="1"/>
  <c r="U149" i="21"/>
  <c r="S149" i="21"/>
  <c r="T149" i="21" s="1"/>
  <c r="Q149" i="21"/>
  <c r="R149" i="21" s="1"/>
  <c r="P149" i="21"/>
  <c r="O149" i="21"/>
  <c r="N149" i="21"/>
  <c r="M149" i="21"/>
  <c r="L149" i="21"/>
  <c r="K149" i="21"/>
  <c r="J149" i="21"/>
  <c r="I149" i="21"/>
  <c r="H149" i="21"/>
  <c r="G149" i="21"/>
  <c r="F149" i="21"/>
  <c r="E149" i="21"/>
  <c r="D149" i="21"/>
  <c r="C149" i="21"/>
  <c r="B149" i="21"/>
  <c r="A149" i="21"/>
  <c r="BG148" i="21"/>
  <c r="BE148" i="21"/>
  <c r="BF148" i="21" s="1"/>
  <c r="AW148" i="21"/>
  <c r="AX148" i="21" s="1"/>
  <c r="AU148" i="21"/>
  <c r="AV148" i="21" s="1"/>
  <c r="AS148" i="21"/>
  <c r="AT148" i="21" s="1"/>
  <c r="AQ148" i="21"/>
  <c r="AR148" i="21" s="1"/>
  <c r="AO148" i="21"/>
  <c r="AP148" i="21" s="1"/>
  <c r="AM148" i="21"/>
  <c r="AK148" i="21"/>
  <c r="AL148" i="21" s="1"/>
  <c r="AG148" i="21"/>
  <c r="AH148" i="21" s="1"/>
  <c r="AE148" i="21"/>
  <c r="AF148" i="21" s="1"/>
  <c r="AC148" i="21"/>
  <c r="AD148" i="21" s="1"/>
  <c r="AA148" i="21"/>
  <c r="W148" i="21"/>
  <c r="X148" i="21" s="1"/>
  <c r="U148" i="21"/>
  <c r="V148" i="21" s="1"/>
  <c r="S148" i="21"/>
  <c r="Q148" i="21"/>
  <c r="R148" i="21" s="1"/>
  <c r="P148" i="21"/>
  <c r="O148" i="21"/>
  <c r="N148" i="21"/>
  <c r="M148" i="21"/>
  <c r="L148" i="21"/>
  <c r="K148" i="21"/>
  <c r="J148" i="21"/>
  <c r="I148" i="21"/>
  <c r="H148" i="21"/>
  <c r="G148" i="21"/>
  <c r="F148" i="21"/>
  <c r="E148" i="21"/>
  <c r="D148" i="21"/>
  <c r="C148" i="21"/>
  <c r="B148" i="21"/>
  <c r="A148" i="21"/>
  <c r="BG147" i="21"/>
  <c r="BH147" i="21" s="1"/>
  <c r="BE147" i="21"/>
  <c r="BF147" i="21" s="1"/>
  <c r="AW147" i="21"/>
  <c r="AX147" i="21" s="1"/>
  <c r="AU147" i="21"/>
  <c r="AV147" i="21" s="1"/>
  <c r="AS147" i="21"/>
  <c r="AT147" i="21" s="1"/>
  <c r="AQ147" i="21"/>
  <c r="AO147" i="21"/>
  <c r="AP147" i="21" s="1"/>
  <c r="AM147" i="21"/>
  <c r="AN147" i="21" s="1"/>
  <c r="AK147" i="21"/>
  <c r="AL147" i="21" s="1"/>
  <c r="AG147" i="21"/>
  <c r="AH147" i="21" s="1"/>
  <c r="AE147" i="21"/>
  <c r="AC147" i="21"/>
  <c r="AD147" i="21" s="1"/>
  <c r="AA147" i="21"/>
  <c r="AB147" i="21" s="1"/>
  <c r="W147" i="21"/>
  <c r="U147" i="21"/>
  <c r="V147" i="21" s="1"/>
  <c r="S147" i="21"/>
  <c r="T147" i="21" s="1"/>
  <c r="Q147" i="21"/>
  <c r="R147" i="21" s="1"/>
  <c r="P147" i="21"/>
  <c r="O147" i="21"/>
  <c r="N147" i="21"/>
  <c r="M147" i="21"/>
  <c r="L147" i="21"/>
  <c r="K147" i="21"/>
  <c r="J147" i="21"/>
  <c r="I147" i="21"/>
  <c r="H147" i="21"/>
  <c r="G147" i="21"/>
  <c r="F147" i="21"/>
  <c r="E147" i="21"/>
  <c r="D147" i="21"/>
  <c r="C147" i="21"/>
  <c r="B147" i="21"/>
  <c r="A147" i="21"/>
  <c r="BG146" i="21"/>
  <c r="BH146" i="21" s="1"/>
  <c r="BE146" i="21"/>
  <c r="BF146" i="21" s="1"/>
  <c r="AW146" i="21"/>
  <c r="AX146" i="21" s="1"/>
  <c r="AU146" i="21"/>
  <c r="AS146" i="21"/>
  <c r="AT146" i="21" s="1"/>
  <c r="AQ146" i="21"/>
  <c r="AR146" i="21" s="1"/>
  <c r="AO146" i="21"/>
  <c r="AP146" i="21" s="1"/>
  <c r="AM146" i="21"/>
  <c r="AN146" i="21" s="1"/>
  <c r="AK146" i="21"/>
  <c r="AG146" i="21"/>
  <c r="AH146" i="21" s="1"/>
  <c r="AE146" i="21"/>
  <c r="AF146" i="21" s="1"/>
  <c r="AC146" i="21"/>
  <c r="AA146" i="21"/>
  <c r="AB146" i="21" s="1"/>
  <c r="W146" i="21"/>
  <c r="X146" i="21" s="1"/>
  <c r="U146" i="21"/>
  <c r="V146" i="21" s="1"/>
  <c r="S146" i="21"/>
  <c r="T146" i="21" s="1"/>
  <c r="Q146" i="21"/>
  <c r="R146" i="21" s="1"/>
  <c r="P146" i="21"/>
  <c r="O146" i="21"/>
  <c r="N146" i="21"/>
  <c r="M146" i="21"/>
  <c r="L146" i="21"/>
  <c r="K146" i="21"/>
  <c r="J146" i="21"/>
  <c r="I146" i="21"/>
  <c r="H146" i="21"/>
  <c r="G146" i="21"/>
  <c r="F146" i="21"/>
  <c r="E146" i="21"/>
  <c r="D146" i="21"/>
  <c r="C146" i="21"/>
  <c r="B146" i="21"/>
  <c r="A146" i="21"/>
  <c r="BG145" i="21"/>
  <c r="BH145" i="21" s="1"/>
  <c r="BE145" i="21"/>
  <c r="BF145" i="21" s="1"/>
  <c r="AW145" i="21"/>
  <c r="AX145" i="21" s="1"/>
  <c r="AU145" i="21"/>
  <c r="AV145" i="21" s="1"/>
  <c r="AS145" i="21"/>
  <c r="AT145" i="21" s="1"/>
  <c r="AQ145" i="21"/>
  <c r="AR145" i="21" s="1"/>
  <c r="AO145" i="21"/>
  <c r="AM145" i="21"/>
  <c r="AN145" i="21" s="1"/>
  <c r="AK145" i="21"/>
  <c r="AL145" i="21" s="1"/>
  <c r="AG145" i="21"/>
  <c r="AE145" i="21"/>
  <c r="AF145" i="21" s="1"/>
  <c r="AC145" i="21"/>
  <c r="AD145" i="21" s="1"/>
  <c r="AA145" i="21"/>
  <c r="AB145" i="21" s="1"/>
  <c r="W145" i="21"/>
  <c r="X145" i="21" s="1"/>
  <c r="U145" i="21"/>
  <c r="S145" i="21"/>
  <c r="T145" i="21" s="1"/>
  <c r="Q145" i="21"/>
  <c r="R145" i="21" s="1"/>
  <c r="P145" i="21"/>
  <c r="O145" i="21"/>
  <c r="N145" i="21"/>
  <c r="M145" i="21"/>
  <c r="L145" i="21"/>
  <c r="K145" i="21"/>
  <c r="J145" i="21"/>
  <c r="I145" i="21"/>
  <c r="H145" i="21"/>
  <c r="G145" i="21"/>
  <c r="F145" i="21"/>
  <c r="E145" i="21"/>
  <c r="D145" i="21"/>
  <c r="C145" i="21"/>
  <c r="B145" i="21"/>
  <c r="A145" i="21"/>
  <c r="BG144" i="21"/>
  <c r="BE144" i="21"/>
  <c r="BF144" i="21" s="1"/>
  <c r="AW144" i="21"/>
  <c r="AX144" i="21" s="1"/>
  <c r="AU144" i="21"/>
  <c r="AV144" i="21" s="1"/>
  <c r="AS144" i="21"/>
  <c r="AQ144" i="21"/>
  <c r="AR144" i="21" s="1"/>
  <c r="AO144" i="21"/>
  <c r="AP144" i="21" s="1"/>
  <c r="AM144" i="21"/>
  <c r="AK144" i="21"/>
  <c r="AL144" i="21" s="1"/>
  <c r="AG144" i="21"/>
  <c r="AH144" i="21" s="1"/>
  <c r="AE144" i="21"/>
  <c r="AF144" i="21" s="1"/>
  <c r="AC144" i="21"/>
  <c r="AD144" i="21" s="1"/>
  <c r="AA144" i="21"/>
  <c r="W144" i="21"/>
  <c r="X144" i="21" s="1"/>
  <c r="U144" i="21"/>
  <c r="V144" i="21" s="1"/>
  <c r="S144" i="21"/>
  <c r="Q144" i="21"/>
  <c r="R144" i="21" s="1"/>
  <c r="P144" i="21"/>
  <c r="O144" i="21"/>
  <c r="N144" i="21"/>
  <c r="M144" i="21"/>
  <c r="L144" i="21"/>
  <c r="K144" i="21"/>
  <c r="J144" i="21"/>
  <c r="I144" i="21"/>
  <c r="H144" i="21"/>
  <c r="G144" i="21"/>
  <c r="F144" i="21"/>
  <c r="E144" i="21"/>
  <c r="D144" i="21"/>
  <c r="C144" i="21"/>
  <c r="B144" i="21"/>
  <c r="A144" i="21"/>
  <c r="BG143" i="21"/>
  <c r="BH143" i="21" s="1"/>
  <c r="BE143" i="21"/>
  <c r="BF143" i="21" s="1"/>
  <c r="AW143" i="21"/>
  <c r="AU143" i="21"/>
  <c r="AV143" i="21" s="1"/>
  <c r="AS143" i="21"/>
  <c r="AT143" i="21" s="1"/>
  <c r="AQ143" i="21"/>
  <c r="AO143" i="21"/>
  <c r="AP143" i="21" s="1"/>
  <c r="AM143" i="21"/>
  <c r="AN143" i="21" s="1"/>
  <c r="AK143" i="21"/>
  <c r="AL143" i="21" s="1"/>
  <c r="AG143" i="21"/>
  <c r="AH143" i="21" s="1"/>
  <c r="AE143" i="21"/>
  <c r="AC143" i="21"/>
  <c r="AD143" i="21" s="1"/>
  <c r="AA143" i="21"/>
  <c r="AB143" i="21" s="1"/>
  <c r="W143" i="21"/>
  <c r="U143" i="21"/>
  <c r="V143" i="21" s="1"/>
  <c r="S143" i="21"/>
  <c r="T143" i="21" s="1"/>
  <c r="Q143" i="21"/>
  <c r="R143" i="21" s="1"/>
  <c r="P143" i="21"/>
  <c r="O143" i="21"/>
  <c r="N143" i="21"/>
  <c r="M143" i="21"/>
  <c r="L143" i="21"/>
  <c r="K143" i="21"/>
  <c r="J143" i="21"/>
  <c r="I143" i="21"/>
  <c r="H143" i="21"/>
  <c r="G143" i="21"/>
  <c r="F143" i="21"/>
  <c r="E143" i="21"/>
  <c r="D143" i="21"/>
  <c r="C143" i="21"/>
  <c r="B143" i="21"/>
  <c r="A143" i="21"/>
  <c r="BG142" i="21"/>
  <c r="BH142" i="21" s="1"/>
  <c r="BE142" i="21"/>
  <c r="AW142" i="21"/>
  <c r="AX142" i="21" s="1"/>
  <c r="AU142" i="21"/>
  <c r="AS142" i="21"/>
  <c r="AT142" i="21" s="1"/>
  <c r="AQ142" i="21"/>
  <c r="AR142" i="21" s="1"/>
  <c r="AO142" i="21"/>
  <c r="AP142" i="21" s="1"/>
  <c r="AM142" i="21"/>
  <c r="AN142" i="21" s="1"/>
  <c r="AK142" i="21"/>
  <c r="AG142" i="21"/>
  <c r="AH142" i="21" s="1"/>
  <c r="AE142" i="21"/>
  <c r="AF142" i="21" s="1"/>
  <c r="AC142" i="21"/>
  <c r="AA142" i="21"/>
  <c r="AB142" i="21" s="1"/>
  <c r="W142" i="21"/>
  <c r="X142" i="21" s="1"/>
  <c r="U142" i="21"/>
  <c r="V142" i="21" s="1"/>
  <c r="S142" i="21"/>
  <c r="T142" i="21" s="1"/>
  <c r="Q142" i="21"/>
  <c r="P142" i="21"/>
  <c r="O142" i="21"/>
  <c r="N142" i="21"/>
  <c r="M142" i="21"/>
  <c r="L142" i="21"/>
  <c r="K142" i="21"/>
  <c r="J142" i="21"/>
  <c r="I142" i="21"/>
  <c r="H142" i="21"/>
  <c r="G142" i="21"/>
  <c r="F142" i="21"/>
  <c r="E142" i="21"/>
  <c r="D142" i="21"/>
  <c r="C142" i="21"/>
  <c r="B142" i="21"/>
  <c r="A142" i="21"/>
  <c r="BG141" i="21"/>
  <c r="BH141" i="21" s="1"/>
  <c r="BE141" i="21"/>
  <c r="BF141" i="21" s="1"/>
  <c r="AW141" i="21"/>
  <c r="AX141" i="21" s="1"/>
  <c r="AU141" i="21"/>
  <c r="AV141" i="21" s="1"/>
  <c r="AS141" i="21"/>
  <c r="AT141" i="21" s="1"/>
  <c r="AQ141" i="21"/>
  <c r="AR141" i="21" s="1"/>
  <c r="AO141" i="21"/>
  <c r="AM141" i="21"/>
  <c r="AN141" i="21" s="1"/>
  <c r="AK141" i="21"/>
  <c r="AL141" i="21" s="1"/>
  <c r="AG141" i="21"/>
  <c r="AE141" i="21"/>
  <c r="AF141" i="21" s="1"/>
  <c r="AC141" i="21"/>
  <c r="AD141" i="21" s="1"/>
  <c r="AA141" i="21"/>
  <c r="AB141" i="21" s="1"/>
  <c r="W141" i="21"/>
  <c r="X141" i="21" s="1"/>
  <c r="U141" i="21"/>
  <c r="S141" i="21"/>
  <c r="T141" i="21" s="1"/>
  <c r="Q141" i="21"/>
  <c r="R141" i="21" s="1"/>
  <c r="P141" i="21"/>
  <c r="O141" i="21"/>
  <c r="N141" i="21"/>
  <c r="M141" i="21"/>
  <c r="L141" i="21"/>
  <c r="K141" i="21"/>
  <c r="J141" i="21"/>
  <c r="I141" i="21"/>
  <c r="H141" i="21"/>
  <c r="G141" i="21"/>
  <c r="F141" i="21"/>
  <c r="E141" i="21"/>
  <c r="D141" i="21"/>
  <c r="C141" i="21"/>
  <c r="B141" i="21"/>
  <c r="A141" i="21"/>
  <c r="BG140" i="21"/>
  <c r="BE140" i="21"/>
  <c r="BF140" i="21" s="1"/>
  <c r="AW140" i="21"/>
  <c r="AX140" i="21" s="1"/>
  <c r="AU140" i="21"/>
  <c r="AV140" i="21" s="1"/>
  <c r="AS140" i="21"/>
  <c r="AQ140" i="21"/>
  <c r="AR140" i="21" s="1"/>
  <c r="AO140" i="21"/>
  <c r="AP140" i="21" s="1"/>
  <c r="AM140" i="21"/>
  <c r="AK140" i="21"/>
  <c r="AL140" i="21" s="1"/>
  <c r="AG140" i="21"/>
  <c r="AH140" i="21" s="1"/>
  <c r="AE140" i="21"/>
  <c r="AF140" i="21" s="1"/>
  <c r="AC140" i="21"/>
  <c r="AD140" i="21" s="1"/>
  <c r="AA140" i="21"/>
  <c r="AB140" i="21" s="1"/>
  <c r="W140" i="21"/>
  <c r="X140" i="21" s="1"/>
  <c r="U140" i="21"/>
  <c r="V140" i="21" s="1"/>
  <c r="S140" i="21"/>
  <c r="Q140" i="21"/>
  <c r="R140" i="21" s="1"/>
  <c r="Y140" i="21" s="1"/>
  <c r="P140" i="21"/>
  <c r="O140" i="21"/>
  <c r="N140" i="21"/>
  <c r="M140" i="21"/>
  <c r="L140" i="21"/>
  <c r="K140" i="21"/>
  <c r="J140" i="21"/>
  <c r="I140" i="21"/>
  <c r="H140" i="21"/>
  <c r="G140" i="21"/>
  <c r="F140" i="21"/>
  <c r="E140" i="21"/>
  <c r="D140" i="21"/>
  <c r="C140" i="21"/>
  <c r="B140" i="21"/>
  <c r="A140" i="21"/>
  <c r="BG139" i="21"/>
  <c r="BH139" i="21" s="1"/>
  <c r="BE139" i="21"/>
  <c r="BF139" i="21" s="1"/>
  <c r="AW139" i="21"/>
  <c r="AU139" i="21"/>
  <c r="AV139" i="21" s="1"/>
  <c r="AS139" i="21"/>
  <c r="AT139" i="21" s="1"/>
  <c r="AQ139" i="21"/>
  <c r="AO139" i="21"/>
  <c r="AP139" i="21" s="1"/>
  <c r="AM139" i="21"/>
  <c r="AN139" i="21" s="1"/>
  <c r="AK139" i="21"/>
  <c r="AL139" i="21" s="1"/>
  <c r="AG139" i="21"/>
  <c r="AH139" i="21" s="1"/>
  <c r="AE139" i="21"/>
  <c r="AF139" i="21" s="1"/>
  <c r="AC139" i="21"/>
  <c r="AD139" i="21" s="1"/>
  <c r="AA139" i="21"/>
  <c r="AB139" i="21" s="1"/>
  <c r="W139" i="21"/>
  <c r="U139" i="21"/>
  <c r="V139" i="21" s="1"/>
  <c r="S139" i="21"/>
  <c r="T139" i="21" s="1"/>
  <c r="Q139" i="21"/>
  <c r="R139" i="21" s="1"/>
  <c r="P139" i="21"/>
  <c r="O139" i="21"/>
  <c r="N139" i="21"/>
  <c r="M139" i="21"/>
  <c r="L139" i="21"/>
  <c r="K139" i="21"/>
  <c r="J139" i="21"/>
  <c r="I139" i="21"/>
  <c r="H139" i="21"/>
  <c r="G139" i="21"/>
  <c r="F139" i="21"/>
  <c r="E139" i="21"/>
  <c r="D139" i="21"/>
  <c r="C139" i="21"/>
  <c r="B139" i="21"/>
  <c r="A139" i="21"/>
  <c r="BG138" i="21"/>
  <c r="BH138" i="21" s="1"/>
  <c r="BE138" i="21"/>
  <c r="AW138" i="21"/>
  <c r="AX138" i="21" s="1"/>
  <c r="AU138" i="21"/>
  <c r="AS138" i="21"/>
  <c r="AT138" i="21" s="1"/>
  <c r="AQ138" i="21"/>
  <c r="AR138" i="21" s="1"/>
  <c r="AO138" i="21"/>
  <c r="AP138" i="21" s="1"/>
  <c r="AM138" i="21"/>
  <c r="AN138" i="21" s="1"/>
  <c r="AK138" i="21"/>
  <c r="AL138" i="21" s="1"/>
  <c r="AG138" i="21"/>
  <c r="AH138" i="21" s="1"/>
  <c r="AE138" i="21"/>
  <c r="AF138" i="21" s="1"/>
  <c r="AC138" i="21"/>
  <c r="AA138" i="21"/>
  <c r="AB138" i="21" s="1"/>
  <c r="W138" i="21"/>
  <c r="X138" i="21" s="1"/>
  <c r="U138" i="21"/>
  <c r="V138" i="21" s="1"/>
  <c r="S138" i="21"/>
  <c r="T138" i="21" s="1"/>
  <c r="Q138" i="21"/>
  <c r="P138" i="21"/>
  <c r="O138" i="21"/>
  <c r="N138" i="21"/>
  <c r="M138" i="21"/>
  <c r="L138" i="21"/>
  <c r="K138" i="21"/>
  <c r="J138" i="21"/>
  <c r="I138" i="21"/>
  <c r="H138" i="21"/>
  <c r="G138" i="21"/>
  <c r="F138" i="21"/>
  <c r="E138" i="21"/>
  <c r="D138" i="21"/>
  <c r="C138" i="21"/>
  <c r="B138" i="21"/>
  <c r="A138" i="21"/>
  <c r="BG137" i="21"/>
  <c r="BH137" i="21" s="1"/>
  <c r="BE137" i="21"/>
  <c r="BF137" i="21" s="1"/>
  <c r="AW137" i="21"/>
  <c r="AX137" i="21" s="1"/>
  <c r="AU137" i="21"/>
  <c r="AV137" i="21" s="1"/>
  <c r="AS137" i="21"/>
  <c r="AT137" i="21" s="1"/>
  <c r="AQ137" i="21"/>
  <c r="AR137" i="21" s="1"/>
  <c r="AO137" i="21"/>
  <c r="AP137" i="21" s="1"/>
  <c r="AM137" i="21"/>
  <c r="AN137" i="21" s="1"/>
  <c r="AK137" i="21"/>
  <c r="AL137" i="21" s="1"/>
  <c r="AG137" i="21"/>
  <c r="AE137" i="21"/>
  <c r="AF137" i="21" s="1"/>
  <c r="AC137" i="21"/>
  <c r="AD137" i="21" s="1"/>
  <c r="AA137" i="21"/>
  <c r="AB137" i="21" s="1"/>
  <c r="W137" i="21"/>
  <c r="X137" i="21" s="1"/>
  <c r="U137" i="21"/>
  <c r="S137" i="21"/>
  <c r="T137" i="21" s="1"/>
  <c r="Q137" i="21"/>
  <c r="R137" i="21" s="1"/>
  <c r="P137" i="21"/>
  <c r="O137" i="21"/>
  <c r="N137" i="21"/>
  <c r="M137" i="21"/>
  <c r="L137" i="21"/>
  <c r="K137" i="21"/>
  <c r="J137" i="21"/>
  <c r="I137" i="21"/>
  <c r="H137" i="21"/>
  <c r="G137" i="21"/>
  <c r="F137" i="21"/>
  <c r="E137" i="21"/>
  <c r="D137" i="21"/>
  <c r="C137" i="21"/>
  <c r="B137" i="21"/>
  <c r="A137" i="21"/>
  <c r="BG136" i="21"/>
  <c r="BE136" i="21"/>
  <c r="BF136" i="21" s="1"/>
  <c r="AW136" i="21"/>
  <c r="AX136" i="21" s="1"/>
  <c r="AU136" i="21"/>
  <c r="AV136" i="21" s="1"/>
  <c r="AS136" i="21"/>
  <c r="AT136" i="21" s="1"/>
  <c r="AQ136" i="21"/>
  <c r="AR136" i="21" s="1"/>
  <c r="AO136" i="21"/>
  <c r="AP136" i="21" s="1"/>
  <c r="AM136" i="21"/>
  <c r="AK136" i="21"/>
  <c r="AL136" i="21" s="1"/>
  <c r="AG136" i="21"/>
  <c r="AH136" i="21" s="1"/>
  <c r="AE136" i="21"/>
  <c r="AF136" i="21" s="1"/>
  <c r="AC136" i="21"/>
  <c r="AD136" i="21" s="1"/>
  <c r="AA136" i="21"/>
  <c r="W136" i="21"/>
  <c r="X136" i="21" s="1"/>
  <c r="U136" i="21"/>
  <c r="V136" i="21" s="1"/>
  <c r="S136" i="21"/>
  <c r="Q136" i="21"/>
  <c r="R136" i="21" s="1"/>
  <c r="P136" i="21"/>
  <c r="O136" i="21"/>
  <c r="N136" i="21"/>
  <c r="M136" i="21"/>
  <c r="L136" i="21"/>
  <c r="K136" i="21"/>
  <c r="J136" i="21"/>
  <c r="I136" i="21"/>
  <c r="H136" i="21"/>
  <c r="G136" i="21"/>
  <c r="F136" i="21"/>
  <c r="E136" i="21"/>
  <c r="D136" i="21"/>
  <c r="C136" i="21"/>
  <c r="B136" i="21"/>
  <c r="A136" i="21"/>
  <c r="BG135" i="21"/>
  <c r="BH135" i="21" s="1"/>
  <c r="BE135" i="21"/>
  <c r="BF135" i="21" s="1"/>
  <c r="AW135" i="21"/>
  <c r="AX135" i="21" s="1"/>
  <c r="AU135" i="21"/>
  <c r="AV135" i="21" s="1"/>
  <c r="AS135" i="21"/>
  <c r="AT135" i="21" s="1"/>
  <c r="AQ135" i="21"/>
  <c r="AO135" i="21"/>
  <c r="AP135" i="21" s="1"/>
  <c r="AM135" i="21"/>
  <c r="AN135" i="21" s="1"/>
  <c r="AK135" i="21"/>
  <c r="AL135" i="21" s="1"/>
  <c r="AG135" i="21"/>
  <c r="AH135" i="21" s="1"/>
  <c r="AE135" i="21"/>
  <c r="AC135" i="21"/>
  <c r="AD135" i="21" s="1"/>
  <c r="AA135" i="21"/>
  <c r="AB135" i="21" s="1"/>
  <c r="W135" i="21"/>
  <c r="U135" i="21"/>
  <c r="V135" i="21" s="1"/>
  <c r="S135" i="21"/>
  <c r="T135" i="21" s="1"/>
  <c r="Q135" i="21"/>
  <c r="R135" i="21" s="1"/>
  <c r="P135" i="21"/>
  <c r="O135" i="21"/>
  <c r="N135" i="21"/>
  <c r="M135" i="21"/>
  <c r="L135" i="21"/>
  <c r="K135" i="21"/>
  <c r="J135" i="21"/>
  <c r="I135" i="21"/>
  <c r="H135" i="21"/>
  <c r="G135" i="21"/>
  <c r="F135" i="21"/>
  <c r="E135" i="21"/>
  <c r="D135" i="21"/>
  <c r="C135" i="21"/>
  <c r="B135" i="21"/>
  <c r="A135" i="21"/>
  <c r="BG134" i="21"/>
  <c r="BH134" i="21" s="1"/>
  <c r="BE134" i="21"/>
  <c r="BF134" i="21" s="1"/>
  <c r="AW134" i="21"/>
  <c r="AX134" i="21" s="1"/>
  <c r="AU134" i="21"/>
  <c r="AS134" i="21"/>
  <c r="AT134" i="21" s="1"/>
  <c r="AQ134" i="21"/>
  <c r="AR134" i="21" s="1"/>
  <c r="AO134" i="21"/>
  <c r="AP134" i="21" s="1"/>
  <c r="AM134" i="21"/>
  <c r="AN134" i="21" s="1"/>
  <c r="AK134" i="21"/>
  <c r="AG134" i="21"/>
  <c r="AH134" i="21" s="1"/>
  <c r="AE134" i="21"/>
  <c r="AF134" i="21" s="1"/>
  <c r="AC134" i="21"/>
  <c r="AA134" i="21"/>
  <c r="AB134" i="21" s="1"/>
  <c r="W134" i="21"/>
  <c r="X134" i="21" s="1"/>
  <c r="U134" i="21"/>
  <c r="V134" i="21" s="1"/>
  <c r="S134" i="21"/>
  <c r="T134" i="21" s="1"/>
  <c r="Q134" i="21"/>
  <c r="R134" i="21" s="1"/>
  <c r="P134" i="21"/>
  <c r="O134" i="21"/>
  <c r="N134" i="21"/>
  <c r="M134" i="21"/>
  <c r="L134" i="21"/>
  <c r="K134" i="21"/>
  <c r="J134" i="21"/>
  <c r="I134" i="21"/>
  <c r="H134" i="21"/>
  <c r="G134" i="21"/>
  <c r="F134" i="21"/>
  <c r="E134" i="21"/>
  <c r="D134" i="21"/>
  <c r="C134" i="21"/>
  <c r="B134" i="21"/>
  <c r="A134" i="21"/>
  <c r="BG133" i="21"/>
  <c r="BH133" i="21" s="1"/>
  <c r="BE133" i="21"/>
  <c r="BF133" i="21" s="1"/>
  <c r="AW133" i="21"/>
  <c r="AX133" i="21" s="1"/>
  <c r="AU133" i="21"/>
  <c r="AV133" i="21" s="1"/>
  <c r="AS133" i="21"/>
  <c r="AT133" i="21" s="1"/>
  <c r="AQ133" i="21"/>
  <c r="AR133" i="21" s="1"/>
  <c r="AO133" i="21"/>
  <c r="AM133" i="21"/>
  <c r="AN133" i="21" s="1"/>
  <c r="AK133" i="21"/>
  <c r="AL133" i="21" s="1"/>
  <c r="AG133" i="21"/>
  <c r="AE133" i="21"/>
  <c r="AF133" i="21" s="1"/>
  <c r="AC133" i="21"/>
  <c r="AD133" i="21" s="1"/>
  <c r="AA133" i="21"/>
  <c r="AB133" i="21" s="1"/>
  <c r="W133" i="21"/>
  <c r="X133" i="21" s="1"/>
  <c r="U133" i="21"/>
  <c r="V133" i="21" s="1"/>
  <c r="S133" i="21"/>
  <c r="T133" i="21" s="1"/>
  <c r="Q133" i="21"/>
  <c r="R133" i="21" s="1"/>
  <c r="P133" i="21"/>
  <c r="O133" i="21"/>
  <c r="N133" i="21"/>
  <c r="M133" i="21"/>
  <c r="L133" i="21"/>
  <c r="K133" i="21"/>
  <c r="J133" i="21"/>
  <c r="I133" i="21"/>
  <c r="H133" i="21"/>
  <c r="G133" i="21"/>
  <c r="F133" i="21"/>
  <c r="E133" i="21"/>
  <c r="D133" i="21"/>
  <c r="C133" i="21"/>
  <c r="B133" i="21"/>
  <c r="A133" i="21"/>
  <c r="BG132" i="21"/>
  <c r="BE132" i="21"/>
  <c r="BF132" i="21" s="1"/>
  <c r="AW132" i="21"/>
  <c r="AX132" i="21" s="1"/>
  <c r="AU132" i="21"/>
  <c r="AV132" i="21" s="1"/>
  <c r="AS132" i="21"/>
  <c r="AQ132" i="21"/>
  <c r="AR132" i="21" s="1"/>
  <c r="AO132" i="21"/>
  <c r="AP132" i="21" s="1"/>
  <c r="AM132" i="21"/>
  <c r="AK132" i="21"/>
  <c r="AL132" i="21" s="1"/>
  <c r="AG132" i="21"/>
  <c r="AH132" i="21" s="1"/>
  <c r="AE132" i="21"/>
  <c r="AF132" i="21" s="1"/>
  <c r="AC132" i="21"/>
  <c r="AD132" i="21" s="1"/>
  <c r="AA132" i="21"/>
  <c r="AB132" i="21" s="1"/>
  <c r="W132" i="21"/>
  <c r="X132" i="21" s="1"/>
  <c r="U132" i="21"/>
  <c r="V132" i="21" s="1"/>
  <c r="S132" i="21"/>
  <c r="Q132" i="21"/>
  <c r="R132" i="21" s="1"/>
  <c r="Y132" i="21" s="1"/>
  <c r="P132" i="21"/>
  <c r="O132" i="21"/>
  <c r="N132" i="21"/>
  <c r="M132" i="21"/>
  <c r="L132" i="21"/>
  <c r="K132" i="21"/>
  <c r="J132" i="21"/>
  <c r="I132" i="21"/>
  <c r="H132" i="21"/>
  <c r="G132" i="21"/>
  <c r="F132" i="21"/>
  <c r="E132" i="21"/>
  <c r="D132" i="21"/>
  <c r="C132" i="21"/>
  <c r="B132" i="21"/>
  <c r="A132" i="21"/>
  <c r="BG131" i="21"/>
  <c r="BH131" i="21" s="1"/>
  <c r="BE131" i="21"/>
  <c r="BF131" i="21" s="1"/>
  <c r="AW131" i="21"/>
  <c r="AU131" i="21"/>
  <c r="AV131" i="21" s="1"/>
  <c r="AS131" i="21"/>
  <c r="AT131" i="21" s="1"/>
  <c r="AQ131" i="21"/>
  <c r="AO131" i="21"/>
  <c r="AP131" i="21" s="1"/>
  <c r="AM131" i="21"/>
  <c r="AN131" i="21" s="1"/>
  <c r="AK131" i="21"/>
  <c r="AL131" i="21" s="1"/>
  <c r="AG131" i="21"/>
  <c r="AH131" i="21" s="1"/>
  <c r="AE131" i="21"/>
  <c r="AF131" i="21" s="1"/>
  <c r="AC131" i="21"/>
  <c r="AD131" i="21" s="1"/>
  <c r="AA131" i="21"/>
  <c r="AB131" i="21" s="1"/>
  <c r="W131" i="21"/>
  <c r="U131" i="21"/>
  <c r="V131" i="21" s="1"/>
  <c r="S131" i="21"/>
  <c r="T131" i="21" s="1"/>
  <c r="Q131" i="21"/>
  <c r="R131" i="21" s="1"/>
  <c r="P131" i="21"/>
  <c r="O131" i="21"/>
  <c r="N131" i="21"/>
  <c r="M131" i="21"/>
  <c r="L131" i="21"/>
  <c r="K131" i="21"/>
  <c r="J131" i="21"/>
  <c r="I131" i="21"/>
  <c r="H131" i="21"/>
  <c r="G131" i="21"/>
  <c r="F131" i="21"/>
  <c r="E131" i="21"/>
  <c r="D131" i="21"/>
  <c r="C131" i="21"/>
  <c r="B131" i="21"/>
  <c r="A131" i="21"/>
  <c r="BG130" i="21"/>
  <c r="BH130" i="21" s="1"/>
  <c r="BE130" i="21"/>
  <c r="AW130" i="21"/>
  <c r="AX130" i="21" s="1"/>
  <c r="AU130" i="21"/>
  <c r="AS130" i="21"/>
  <c r="AT130" i="21" s="1"/>
  <c r="AQ130" i="21"/>
  <c r="AR130" i="21" s="1"/>
  <c r="AO130" i="21"/>
  <c r="AP130" i="21" s="1"/>
  <c r="AM130" i="21"/>
  <c r="AN130" i="21" s="1"/>
  <c r="AK130" i="21"/>
  <c r="AL130" i="21" s="1"/>
  <c r="AG130" i="21"/>
  <c r="AH130" i="21" s="1"/>
  <c r="AE130" i="21"/>
  <c r="AF130" i="21" s="1"/>
  <c r="AC130" i="21"/>
  <c r="AA130" i="21"/>
  <c r="AB130" i="21" s="1"/>
  <c r="W130" i="21"/>
  <c r="X130" i="21" s="1"/>
  <c r="U130" i="21"/>
  <c r="V130" i="21" s="1"/>
  <c r="S130" i="21"/>
  <c r="T130" i="21" s="1"/>
  <c r="Q130" i="21"/>
  <c r="P130" i="21"/>
  <c r="O130" i="21"/>
  <c r="N130" i="21"/>
  <c r="M130" i="21"/>
  <c r="L130" i="21"/>
  <c r="K130" i="21"/>
  <c r="J130" i="21"/>
  <c r="I130" i="21"/>
  <c r="H130" i="21"/>
  <c r="G130" i="21"/>
  <c r="F130" i="21"/>
  <c r="E130" i="21"/>
  <c r="D130" i="21"/>
  <c r="C130" i="21"/>
  <c r="B130" i="21"/>
  <c r="A130" i="21"/>
  <c r="BG129" i="21"/>
  <c r="BH129" i="21" s="1"/>
  <c r="BE129" i="21"/>
  <c r="BF129" i="21" s="1"/>
  <c r="AW129" i="21"/>
  <c r="AX129" i="21" s="1"/>
  <c r="AU129" i="21"/>
  <c r="AV129" i="21" s="1"/>
  <c r="AS129" i="21"/>
  <c r="AT129" i="21" s="1"/>
  <c r="AQ129" i="21"/>
  <c r="AR129" i="21" s="1"/>
  <c r="AO129" i="21"/>
  <c r="AP129" i="21" s="1"/>
  <c r="AM129" i="21"/>
  <c r="AN129" i="21" s="1"/>
  <c r="AK129" i="21"/>
  <c r="AL129" i="21" s="1"/>
  <c r="AG129" i="21"/>
  <c r="AE129" i="21"/>
  <c r="AF129" i="21" s="1"/>
  <c r="AC129" i="21"/>
  <c r="AD129" i="21" s="1"/>
  <c r="AA129" i="21"/>
  <c r="AB129" i="21" s="1"/>
  <c r="W129" i="21"/>
  <c r="X129" i="21" s="1"/>
  <c r="U129" i="21"/>
  <c r="S129" i="21"/>
  <c r="T129" i="21" s="1"/>
  <c r="Q129" i="21"/>
  <c r="R129" i="21" s="1"/>
  <c r="P129" i="21"/>
  <c r="O129" i="21"/>
  <c r="N129" i="21"/>
  <c r="M129" i="21"/>
  <c r="L129" i="21"/>
  <c r="K129" i="21"/>
  <c r="J129" i="21"/>
  <c r="I129" i="21"/>
  <c r="H129" i="21"/>
  <c r="G129" i="21"/>
  <c r="F129" i="21"/>
  <c r="E129" i="21"/>
  <c r="D129" i="21"/>
  <c r="C129" i="21"/>
  <c r="B129" i="21"/>
  <c r="A129" i="21"/>
  <c r="BG128" i="21"/>
  <c r="BE128" i="21"/>
  <c r="BF128" i="21" s="1"/>
  <c r="AW128" i="21"/>
  <c r="AU128" i="21"/>
  <c r="AV128" i="21" s="1"/>
  <c r="AS128" i="21"/>
  <c r="AQ128" i="21"/>
  <c r="AR128" i="21" s="1"/>
  <c r="AO128" i="21"/>
  <c r="AP128" i="21" s="1"/>
  <c r="AM128" i="21"/>
  <c r="AK128" i="21"/>
  <c r="AL128" i="21" s="1"/>
  <c r="AG128" i="21"/>
  <c r="AH128" i="21" s="1"/>
  <c r="AE128" i="21"/>
  <c r="AF128" i="21" s="1"/>
  <c r="AC128" i="21"/>
  <c r="AD128" i="21" s="1"/>
  <c r="AA128" i="21"/>
  <c r="W128" i="21"/>
  <c r="X128" i="21" s="1"/>
  <c r="U128" i="21"/>
  <c r="V128" i="21" s="1"/>
  <c r="S128" i="21"/>
  <c r="Q128" i="21"/>
  <c r="R128" i="21" s="1"/>
  <c r="P128" i="21"/>
  <c r="O128" i="21"/>
  <c r="N128" i="21"/>
  <c r="M128" i="21"/>
  <c r="L128" i="21"/>
  <c r="K128" i="21"/>
  <c r="J128" i="21"/>
  <c r="I128" i="21"/>
  <c r="H128" i="21"/>
  <c r="G128" i="21"/>
  <c r="F128" i="21"/>
  <c r="E128" i="21"/>
  <c r="D128" i="21"/>
  <c r="C128" i="21"/>
  <c r="B128" i="21"/>
  <c r="A128" i="21"/>
  <c r="BG127" i="21"/>
  <c r="BH127" i="21" s="1"/>
  <c r="BE127" i="21"/>
  <c r="BF127" i="21" s="1"/>
  <c r="AW127" i="21"/>
  <c r="AU127" i="21"/>
  <c r="AV127" i="21" s="1"/>
  <c r="AS127" i="21"/>
  <c r="AT127" i="21" s="1"/>
  <c r="AQ127" i="21"/>
  <c r="AO127" i="21"/>
  <c r="AP127" i="21" s="1"/>
  <c r="AM127" i="21"/>
  <c r="AN127" i="21" s="1"/>
  <c r="AK127" i="21"/>
  <c r="AL127" i="21" s="1"/>
  <c r="AG127" i="21"/>
  <c r="AH127" i="21" s="1"/>
  <c r="AE127" i="21"/>
  <c r="AC127" i="21"/>
  <c r="AD127" i="21" s="1"/>
  <c r="AA127" i="21"/>
  <c r="AB127" i="21" s="1"/>
  <c r="W127" i="21"/>
  <c r="U127" i="21"/>
  <c r="V127" i="21" s="1"/>
  <c r="S127" i="21"/>
  <c r="T127" i="21" s="1"/>
  <c r="Q127" i="21"/>
  <c r="R127" i="21" s="1"/>
  <c r="P127" i="21"/>
  <c r="O127" i="21"/>
  <c r="N127" i="21"/>
  <c r="M127" i="21"/>
  <c r="L127" i="21"/>
  <c r="K127" i="21"/>
  <c r="J127" i="21"/>
  <c r="I127" i="21"/>
  <c r="H127" i="21"/>
  <c r="G127" i="21"/>
  <c r="F127" i="21"/>
  <c r="E127" i="21"/>
  <c r="D127" i="21"/>
  <c r="C127" i="21"/>
  <c r="B127" i="21"/>
  <c r="A127" i="21"/>
  <c r="BG126" i="21"/>
  <c r="BH126" i="21" s="1"/>
  <c r="BE126" i="21"/>
  <c r="AW126" i="21"/>
  <c r="AX126" i="21" s="1"/>
  <c r="AU126" i="21"/>
  <c r="AS126" i="21"/>
  <c r="AT126" i="21" s="1"/>
  <c r="AQ126" i="21"/>
  <c r="AR126" i="21" s="1"/>
  <c r="AO126" i="21"/>
  <c r="AP126" i="21" s="1"/>
  <c r="AM126" i="21"/>
  <c r="AN126" i="21" s="1"/>
  <c r="AK126" i="21"/>
  <c r="AG126" i="21"/>
  <c r="AH126" i="21" s="1"/>
  <c r="AE126" i="21"/>
  <c r="AF126" i="21" s="1"/>
  <c r="AC126" i="21"/>
  <c r="AA126" i="21"/>
  <c r="AB126" i="21" s="1"/>
  <c r="W126" i="21"/>
  <c r="X126" i="21" s="1"/>
  <c r="U126" i="21"/>
  <c r="V126" i="21" s="1"/>
  <c r="S126" i="21"/>
  <c r="T126" i="21" s="1"/>
  <c r="Q126" i="21"/>
  <c r="P126" i="21"/>
  <c r="O126" i="21"/>
  <c r="N126" i="21"/>
  <c r="M126" i="21"/>
  <c r="L126" i="21"/>
  <c r="K126" i="21"/>
  <c r="J126" i="21"/>
  <c r="I126" i="21"/>
  <c r="H126" i="21"/>
  <c r="G126" i="21"/>
  <c r="F126" i="21"/>
  <c r="E126" i="21"/>
  <c r="D126" i="21"/>
  <c r="C126" i="21"/>
  <c r="B126" i="21"/>
  <c r="A126" i="21"/>
  <c r="BG125" i="21"/>
  <c r="BH125" i="21" s="1"/>
  <c r="BE125" i="21"/>
  <c r="BF125" i="21" s="1"/>
  <c r="AW125" i="21"/>
  <c r="AX125" i="21" s="1"/>
  <c r="AU125" i="21"/>
  <c r="AV125" i="21" s="1"/>
  <c r="AS125" i="21"/>
  <c r="AT125" i="21" s="1"/>
  <c r="AQ125" i="21"/>
  <c r="AR125" i="21" s="1"/>
  <c r="AO125" i="21"/>
  <c r="AM125" i="21"/>
  <c r="AN125" i="21" s="1"/>
  <c r="AK125" i="21"/>
  <c r="AL125" i="21" s="1"/>
  <c r="AG125" i="21"/>
  <c r="AE125" i="21"/>
  <c r="AF125" i="21" s="1"/>
  <c r="AC125" i="21"/>
  <c r="AD125" i="21" s="1"/>
  <c r="AA125" i="21"/>
  <c r="AB125" i="21" s="1"/>
  <c r="W125" i="21"/>
  <c r="X125" i="21" s="1"/>
  <c r="U125" i="21"/>
  <c r="S125" i="21"/>
  <c r="T125" i="21" s="1"/>
  <c r="Q125" i="21"/>
  <c r="R125" i="21" s="1"/>
  <c r="P125" i="21"/>
  <c r="O125" i="21"/>
  <c r="N125" i="21"/>
  <c r="M125" i="21"/>
  <c r="L125" i="21"/>
  <c r="K125" i="21"/>
  <c r="J125" i="21"/>
  <c r="I125" i="21"/>
  <c r="H125" i="21"/>
  <c r="G125" i="21"/>
  <c r="F125" i="21"/>
  <c r="E125" i="21"/>
  <c r="D125" i="21"/>
  <c r="C125" i="21"/>
  <c r="B125" i="21"/>
  <c r="A125" i="21"/>
  <c r="BG124" i="21"/>
  <c r="BE124" i="21"/>
  <c r="BF124" i="21" s="1"/>
  <c r="AW124" i="21"/>
  <c r="AX124" i="21" s="1"/>
  <c r="AU124" i="21"/>
  <c r="AV124" i="21" s="1"/>
  <c r="AS124" i="21"/>
  <c r="AQ124" i="21"/>
  <c r="AR124" i="21" s="1"/>
  <c r="AO124" i="21"/>
  <c r="AP124" i="21" s="1"/>
  <c r="AM124" i="21"/>
  <c r="AK124" i="21"/>
  <c r="AL124" i="21" s="1"/>
  <c r="AG124" i="21"/>
  <c r="AH124" i="21" s="1"/>
  <c r="AE124" i="21"/>
  <c r="AF124" i="21" s="1"/>
  <c r="AC124" i="21"/>
  <c r="AD124" i="21" s="1"/>
  <c r="AA124" i="21"/>
  <c r="W124" i="21"/>
  <c r="X124" i="21" s="1"/>
  <c r="U124" i="21"/>
  <c r="V124" i="21" s="1"/>
  <c r="S124" i="21"/>
  <c r="Q124" i="21"/>
  <c r="R124" i="21" s="1"/>
  <c r="Y124" i="21" s="1"/>
  <c r="P124" i="21"/>
  <c r="O124" i="21"/>
  <c r="N124" i="21"/>
  <c r="M124" i="21"/>
  <c r="L124" i="21"/>
  <c r="K124" i="21"/>
  <c r="J124" i="21"/>
  <c r="I124" i="21"/>
  <c r="H124" i="21"/>
  <c r="G124" i="21"/>
  <c r="F124" i="21"/>
  <c r="E124" i="21"/>
  <c r="D124" i="21"/>
  <c r="C124" i="21"/>
  <c r="B124" i="21"/>
  <c r="A124" i="21"/>
  <c r="BG123" i="21"/>
  <c r="BH123" i="21" s="1"/>
  <c r="BE123" i="21"/>
  <c r="BF123" i="21" s="1"/>
  <c r="AW123" i="21"/>
  <c r="AU123" i="21"/>
  <c r="AV123" i="21" s="1"/>
  <c r="AS123" i="21"/>
  <c r="AT123" i="21" s="1"/>
  <c r="AQ123" i="21"/>
  <c r="AO123" i="21"/>
  <c r="AP123" i="21" s="1"/>
  <c r="AM123" i="21"/>
  <c r="AN123" i="21" s="1"/>
  <c r="AK123" i="21"/>
  <c r="AL123" i="21" s="1"/>
  <c r="AG123" i="21"/>
  <c r="AH123" i="21" s="1"/>
  <c r="AE123" i="21"/>
  <c r="AC123" i="21"/>
  <c r="AD123" i="21" s="1"/>
  <c r="AA123" i="21"/>
  <c r="AB123" i="21" s="1"/>
  <c r="W123" i="21"/>
  <c r="X123" i="21" s="1"/>
  <c r="U123" i="21"/>
  <c r="V123" i="21" s="1"/>
  <c r="S123" i="21"/>
  <c r="T123" i="21" s="1"/>
  <c r="Z123" i="21" s="1"/>
  <c r="Q123" i="21"/>
  <c r="R123" i="21" s="1"/>
  <c r="P123" i="21"/>
  <c r="O123" i="21"/>
  <c r="N123" i="21"/>
  <c r="M123" i="21"/>
  <c r="L123" i="21"/>
  <c r="K123" i="21"/>
  <c r="J123" i="21"/>
  <c r="I123" i="21"/>
  <c r="H123" i="21"/>
  <c r="G123" i="21"/>
  <c r="F123" i="21"/>
  <c r="E123" i="21"/>
  <c r="D123" i="21"/>
  <c r="C123" i="21"/>
  <c r="B123" i="21"/>
  <c r="A123" i="21"/>
  <c r="BG122" i="21"/>
  <c r="BH122" i="21" s="1"/>
  <c r="BE122" i="21"/>
  <c r="BF122" i="21" s="1"/>
  <c r="AW122" i="21"/>
  <c r="AX122" i="21" s="1"/>
  <c r="AU122" i="21"/>
  <c r="AV122" i="21" s="1"/>
  <c r="AS122" i="21"/>
  <c r="AT122" i="21" s="1"/>
  <c r="AQ122" i="21"/>
  <c r="AR122" i="21" s="1"/>
  <c r="AO122" i="21"/>
  <c r="AP122" i="21" s="1"/>
  <c r="AM122" i="21"/>
  <c r="AN122" i="21" s="1"/>
  <c r="AK122" i="21"/>
  <c r="AL122" i="21" s="1"/>
  <c r="AG122" i="21"/>
  <c r="AE122" i="21"/>
  <c r="AF122" i="21" s="1"/>
  <c r="AC122" i="21"/>
  <c r="AA122" i="21"/>
  <c r="AB122" i="21" s="1"/>
  <c r="W122" i="21"/>
  <c r="X122" i="21" s="1"/>
  <c r="U122" i="21"/>
  <c r="S122" i="21"/>
  <c r="T122" i="21" s="1"/>
  <c r="Q122" i="21"/>
  <c r="R122" i="21" s="1"/>
  <c r="P122" i="21"/>
  <c r="O122" i="21"/>
  <c r="N122" i="21"/>
  <c r="M122" i="21"/>
  <c r="L122" i="21"/>
  <c r="K122" i="21"/>
  <c r="J122" i="21"/>
  <c r="I122" i="21"/>
  <c r="H122" i="21"/>
  <c r="G122" i="21"/>
  <c r="F122" i="21"/>
  <c r="E122" i="21"/>
  <c r="D122" i="21"/>
  <c r="C122" i="21"/>
  <c r="B122" i="21"/>
  <c r="A122" i="21"/>
  <c r="BG121" i="21"/>
  <c r="BE121" i="21"/>
  <c r="BF121" i="21" s="1"/>
  <c r="AW121" i="21"/>
  <c r="AX121" i="21" s="1"/>
  <c r="AU121" i="21"/>
  <c r="AV121" i="21" s="1"/>
  <c r="AS121" i="21"/>
  <c r="AT121" i="21" s="1"/>
  <c r="AQ121" i="21"/>
  <c r="AR121" i="21" s="1"/>
  <c r="AO121" i="21"/>
  <c r="AP121" i="21" s="1"/>
  <c r="AM121" i="21"/>
  <c r="AK121" i="21"/>
  <c r="AL121" i="21" s="1"/>
  <c r="AG121" i="21"/>
  <c r="AH121" i="21" s="1"/>
  <c r="AE121" i="21"/>
  <c r="AF121" i="21" s="1"/>
  <c r="AC121" i="21"/>
  <c r="AD121" i="21" s="1"/>
  <c r="AA121" i="21"/>
  <c r="W121" i="21"/>
  <c r="X121" i="21" s="1"/>
  <c r="U121" i="21"/>
  <c r="S121" i="21"/>
  <c r="Q121" i="21"/>
  <c r="R121" i="21" s="1"/>
  <c r="P121" i="21"/>
  <c r="O121" i="21"/>
  <c r="N121" i="21"/>
  <c r="M121" i="21"/>
  <c r="L121" i="21"/>
  <c r="K121" i="21"/>
  <c r="J121" i="21"/>
  <c r="I121" i="21"/>
  <c r="H121" i="21"/>
  <c r="G121" i="21"/>
  <c r="F121" i="21"/>
  <c r="E121" i="21"/>
  <c r="D121" i="21"/>
  <c r="C121" i="21"/>
  <c r="B121" i="21"/>
  <c r="A121" i="21"/>
  <c r="BG120" i="21"/>
  <c r="BH120" i="21" s="1"/>
  <c r="BE120" i="21"/>
  <c r="BF120" i="21" s="1"/>
  <c r="AW120" i="21"/>
  <c r="AX120" i="21" s="1"/>
  <c r="AU120" i="21"/>
  <c r="AV120" i="21" s="1"/>
  <c r="AS120" i="21"/>
  <c r="AQ120" i="21"/>
  <c r="AO120" i="21"/>
  <c r="AP120" i="21" s="1"/>
  <c r="AM120" i="21"/>
  <c r="AK120" i="21"/>
  <c r="AL120" i="21" s="1"/>
  <c r="AG120" i="21"/>
  <c r="AH120" i="21" s="1"/>
  <c r="AE120" i="21"/>
  <c r="AF120" i="21" s="1"/>
  <c r="AC120" i="21"/>
  <c r="AD120" i="21" s="1"/>
  <c r="AA120" i="21"/>
  <c r="AB120" i="21" s="1"/>
  <c r="AI120" i="21" s="1"/>
  <c r="W120" i="21"/>
  <c r="U120" i="21"/>
  <c r="V120" i="21" s="1"/>
  <c r="S120" i="21"/>
  <c r="Q120" i="21"/>
  <c r="R120" i="21" s="1"/>
  <c r="P120" i="21"/>
  <c r="O120" i="21"/>
  <c r="N120" i="21"/>
  <c r="M120" i="21"/>
  <c r="L120" i="21"/>
  <c r="K120" i="21"/>
  <c r="J120" i="21"/>
  <c r="I120" i="21"/>
  <c r="H120" i="21"/>
  <c r="G120" i="21"/>
  <c r="F120" i="21"/>
  <c r="E120" i="21"/>
  <c r="D120" i="21"/>
  <c r="C120" i="21"/>
  <c r="B120" i="21"/>
  <c r="A120" i="21"/>
  <c r="BG119" i="21"/>
  <c r="BH119" i="21" s="1"/>
  <c r="BE119" i="21"/>
  <c r="AW119" i="21"/>
  <c r="AX119" i="21" s="1"/>
  <c r="AU119" i="21"/>
  <c r="AS119" i="21"/>
  <c r="AT119" i="21" s="1"/>
  <c r="AQ119" i="21"/>
  <c r="AR119" i="21" s="1"/>
  <c r="AO119" i="21"/>
  <c r="AP119" i="21" s="1"/>
  <c r="AM119" i="21"/>
  <c r="AN119" i="21" s="1"/>
  <c r="AK119" i="21"/>
  <c r="AG119" i="21"/>
  <c r="AH119" i="21" s="1"/>
  <c r="AE119" i="21"/>
  <c r="AF119" i="21" s="1"/>
  <c r="AC119" i="21"/>
  <c r="AA119" i="21"/>
  <c r="AB119" i="21" s="1"/>
  <c r="W119" i="21"/>
  <c r="X119" i="21" s="1"/>
  <c r="U119" i="21"/>
  <c r="V119" i="21" s="1"/>
  <c r="S119" i="21"/>
  <c r="T119" i="21" s="1"/>
  <c r="Q119" i="21"/>
  <c r="R119" i="21" s="1"/>
  <c r="P119" i="21"/>
  <c r="O119" i="21"/>
  <c r="N119" i="21"/>
  <c r="M119" i="21"/>
  <c r="L119" i="21"/>
  <c r="K119" i="21"/>
  <c r="J119" i="21"/>
  <c r="I119" i="21"/>
  <c r="H119" i="21"/>
  <c r="G119" i="21"/>
  <c r="F119" i="21"/>
  <c r="E119" i="21"/>
  <c r="D119" i="21"/>
  <c r="C119" i="21"/>
  <c r="B119" i="21"/>
  <c r="A119" i="21"/>
  <c r="BG118" i="21"/>
  <c r="BH118" i="21" s="1"/>
  <c r="BE118" i="21"/>
  <c r="BF118" i="21" s="1"/>
  <c r="AW118" i="21"/>
  <c r="AX118" i="21" s="1"/>
  <c r="AU118" i="21"/>
  <c r="AS118" i="21"/>
  <c r="AT118" i="21" s="1"/>
  <c r="AQ118" i="21"/>
  <c r="AR118" i="21" s="1"/>
  <c r="AO118" i="21"/>
  <c r="AM118" i="21"/>
  <c r="AN118" i="21" s="1"/>
  <c r="AK118" i="21"/>
  <c r="AL118" i="21" s="1"/>
  <c r="AG118" i="21"/>
  <c r="AE118" i="21"/>
  <c r="AF118" i="21" s="1"/>
  <c r="AC118" i="21"/>
  <c r="AA118" i="21"/>
  <c r="AB118" i="21" s="1"/>
  <c r="W118" i="21"/>
  <c r="X118" i="21" s="1"/>
  <c r="U118" i="21"/>
  <c r="V118" i="21" s="1"/>
  <c r="S118" i="21"/>
  <c r="T118" i="21" s="1"/>
  <c r="Q118" i="21"/>
  <c r="R118" i="21" s="1"/>
  <c r="P118" i="21"/>
  <c r="O118" i="21"/>
  <c r="N118" i="21"/>
  <c r="M118" i="21"/>
  <c r="L118" i="21"/>
  <c r="K118" i="21"/>
  <c r="J118" i="21"/>
  <c r="I118" i="21"/>
  <c r="H118" i="21"/>
  <c r="G118" i="21"/>
  <c r="F118" i="21"/>
  <c r="E118" i="21"/>
  <c r="D118" i="21"/>
  <c r="C118" i="21"/>
  <c r="B118" i="21"/>
  <c r="A118" i="21"/>
  <c r="BG117" i="21"/>
  <c r="BE117" i="21"/>
  <c r="BF117" i="21" s="1"/>
  <c r="AW117" i="21"/>
  <c r="AX117" i="21" s="1"/>
  <c r="AU117" i="21"/>
  <c r="AV117" i="21" s="1"/>
  <c r="AS117" i="21"/>
  <c r="AQ117" i="21"/>
  <c r="AR117" i="21" s="1"/>
  <c r="AO117" i="21"/>
  <c r="AM117" i="21"/>
  <c r="AK117" i="21"/>
  <c r="AL117" i="21" s="1"/>
  <c r="AG117" i="21"/>
  <c r="AH117" i="21" s="1"/>
  <c r="AE117" i="21"/>
  <c r="AF117" i="21" s="1"/>
  <c r="AC117" i="21"/>
  <c r="AD117" i="21" s="1"/>
  <c r="AA117" i="21"/>
  <c r="W117" i="21"/>
  <c r="X117" i="21" s="1"/>
  <c r="U117" i="21"/>
  <c r="S117" i="21"/>
  <c r="Q117" i="21"/>
  <c r="R117" i="21" s="1"/>
  <c r="P117" i="21"/>
  <c r="O117" i="21"/>
  <c r="N117" i="21"/>
  <c r="M117" i="21"/>
  <c r="L117" i="21"/>
  <c r="K117" i="21"/>
  <c r="J117" i="21"/>
  <c r="I117" i="21"/>
  <c r="H117" i="21"/>
  <c r="G117" i="21"/>
  <c r="F117" i="21"/>
  <c r="E117" i="21"/>
  <c r="D117" i="21"/>
  <c r="C117" i="21"/>
  <c r="B117" i="21"/>
  <c r="A117" i="21"/>
  <c r="BG116" i="21"/>
  <c r="BE116" i="21"/>
  <c r="BF116" i="21" s="1"/>
  <c r="AW116" i="21"/>
  <c r="AX116" i="21" s="1"/>
  <c r="AU116" i="21"/>
  <c r="AV116" i="21" s="1"/>
  <c r="AS116" i="21"/>
  <c r="AT116" i="21" s="1"/>
  <c r="AQ116" i="21"/>
  <c r="AO116" i="21"/>
  <c r="AP116" i="21" s="1"/>
  <c r="AM116" i="21"/>
  <c r="AK116" i="21"/>
  <c r="AL116" i="21" s="1"/>
  <c r="AG116" i="21"/>
  <c r="AH116" i="21" s="1"/>
  <c r="AE116" i="21"/>
  <c r="AC116" i="21"/>
  <c r="AD116" i="21" s="1"/>
  <c r="AA116" i="21"/>
  <c r="AB116" i="21" s="1"/>
  <c r="W116" i="21"/>
  <c r="U116" i="21"/>
  <c r="V116" i="21" s="1"/>
  <c r="S116" i="21"/>
  <c r="T116" i="21" s="1"/>
  <c r="Q116" i="21"/>
  <c r="R116" i="21" s="1"/>
  <c r="Y116" i="21" s="1"/>
  <c r="P116" i="21"/>
  <c r="O116" i="21"/>
  <c r="N116" i="21"/>
  <c r="M116" i="21"/>
  <c r="L116" i="21"/>
  <c r="K116" i="21"/>
  <c r="J116" i="21"/>
  <c r="I116" i="21"/>
  <c r="H116" i="21"/>
  <c r="G116" i="21"/>
  <c r="F116" i="21"/>
  <c r="E116" i="21"/>
  <c r="D116" i="21"/>
  <c r="C116" i="21"/>
  <c r="B116" i="21"/>
  <c r="A116" i="21"/>
  <c r="BG115" i="21"/>
  <c r="BH115" i="21" s="1"/>
  <c r="BE115" i="21"/>
  <c r="AW115" i="21"/>
  <c r="AX115" i="21" s="1"/>
  <c r="AU115" i="21"/>
  <c r="AS115" i="21"/>
  <c r="AT115" i="21" s="1"/>
  <c r="AQ115" i="21"/>
  <c r="AR115" i="21" s="1"/>
  <c r="AO115" i="21"/>
  <c r="AP115" i="21" s="1"/>
  <c r="AM115" i="21"/>
  <c r="AN115" i="21" s="1"/>
  <c r="AK115" i="21"/>
  <c r="AL115" i="21" s="1"/>
  <c r="AG115" i="21"/>
  <c r="AH115" i="21" s="1"/>
  <c r="AE115" i="21"/>
  <c r="AF115" i="21" s="1"/>
  <c r="AC115" i="21"/>
  <c r="AA115" i="21"/>
  <c r="AB115" i="21" s="1"/>
  <c r="W115" i="21"/>
  <c r="U115" i="21"/>
  <c r="V115" i="21" s="1"/>
  <c r="S115" i="21"/>
  <c r="T115" i="21" s="1"/>
  <c r="Q115" i="21"/>
  <c r="P115" i="21"/>
  <c r="O115" i="21"/>
  <c r="N115" i="21"/>
  <c r="M115" i="21"/>
  <c r="L115" i="21"/>
  <c r="K115" i="21"/>
  <c r="J115" i="21"/>
  <c r="I115" i="21"/>
  <c r="H115" i="21"/>
  <c r="G115" i="21"/>
  <c r="F115" i="21"/>
  <c r="E115" i="21"/>
  <c r="D115" i="21"/>
  <c r="C115" i="21"/>
  <c r="B115" i="21"/>
  <c r="A115" i="21"/>
  <c r="BG114" i="21"/>
  <c r="BH114" i="21" s="1"/>
  <c r="BE114" i="21"/>
  <c r="BF114" i="21" s="1"/>
  <c r="AW114" i="21"/>
  <c r="AX114" i="21" s="1"/>
  <c r="AU114" i="21"/>
  <c r="AS114" i="21"/>
  <c r="AT114" i="21" s="1"/>
  <c r="AQ114" i="21"/>
  <c r="AR114" i="21" s="1"/>
  <c r="AO114" i="21"/>
  <c r="AP114" i="21" s="1"/>
  <c r="AM114" i="21"/>
  <c r="AN114" i="21" s="1"/>
  <c r="AK114" i="21"/>
  <c r="AL114" i="21" s="1"/>
  <c r="AG114" i="21"/>
  <c r="AE114" i="21"/>
  <c r="AF114" i="21" s="1"/>
  <c r="AC114" i="21"/>
  <c r="AD114" i="21" s="1"/>
  <c r="AA114" i="21"/>
  <c r="AB114" i="21" s="1"/>
  <c r="W114" i="21"/>
  <c r="X114" i="21" s="1"/>
  <c r="U114" i="21"/>
  <c r="S114" i="21"/>
  <c r="T114" i="21" s="1"/>
  <c r="Q114" i="21"/>
  <c r="P114" i="21"/>
  <c r="O114" i="21"/>
  <c r="N114" i="21"/>
  <c r="M114" i="21"/>
  <c r="L114" i="21"/>
  <c r="K114" i="21"/>
  <c r="J114" i="21"/>
  <c r="I114" i="21"/>
  <c r="H114" i="21"/>
  <c r="G114" i="21"/>
  <c r="F114" i="21"/>
  <c r="E114" i="21"/>
  <c r="D114" i="21"/>
  <c r="C114" i="21"/>
  <c r="B114" i="21"/>
  <c r="A114" i="21"/>
  <c r="BG113" i="21"/>
  <c r="BE113" i="21"/>
  <c r="BF113" i="21" s="1"/>
  <c r="AW113" i="21"/>
  <c r="AX113" i="21" s="1"/>
  <c r="AU113" i="21"/>
  <c r="AV113" i="21" s="1"/>
  <c r="AS113" i="21"/>
  <c r="AQ113" i="21"/>
  <c r="AR113" i="21" s="1"/>
  <c r="AO113" i="21"/>
  <c r="AM113" i="21"/>
  <c r="AN113" i="21" s="1"/>
  <c r="AK113" i="21"/>
  <c r="AL113" i="21" s="1"/>
  <c r="AG113" i="21"/>
  <c r="AE113" i="21"/>
  <c r="AF113" i="21" s="1"/>
  <c r="AC113" i="21"/>
  <c r="AA113" i="21"/>
  <c r="AB113" i="21" s="1"/>
  <c r="W113" i="21"/>
  <c r="X113" i="21" s="1"/>
  <c r="U113" i="21"/>
  <c r="S113" i="21"/>
  <c r="T113" i="21" s="1"/>
  <c r="Q113" i="21"/>
  <c r="P113" i="21"/>
  <c r="O113" i="21"/>
  <c r="N113" i="21"/>
  <c r="M113" i="21"/>
  <c r="L113" i="21"/>
  <c r="K113" i="21"/>
  <c r="J113" i="21"/>
  <c r="I113" i="21"/>
  <c r="H113" i="21"/>
  <c r="G113" i="21"/>
  <c r="F113" i="21"/>
  <c r="E113" i="21"/>
  <c r="D113" i="21"/>
  <c r="C113" i="21"/>
  <c r="B113" i="21"/>
  <c r="A113" i="21"/>
  <c r="BG112" i="21"/>
  <c r="BE112" i="21"/>
  <c r="BF112" i="21" s="1"/>
  <c r="AW112" i="21"/>
  <c r="AX112" i="21" s="1"/>
  <c r="AU112" i="21"/>
  <c r="AV112" i="21" s="1"/>
  <c r="AS112" i="21"/>
  <c r="AQ112" i="21"/>
  <c r="AR112" i="21" s="1"/>
  <c r="AO112" i="21"/>
  <c r="AM112" i="21"/>
  <c r="AK112" i="21"/>
  <c r="AL112" i="21" s="1"/>
  <c r="AG112" i="21"/>
  <c r="AE112" i="21"/>
  <c r="AF112" i="21" s="1"/>
  <c r="AC112" i="21"/>
  <c r="AD112" i="21" s="1"/>
  <c r="AA112" i="21"/>
  <c r="W112" i="21"/>
  <c r="X112" i="21" s="1"/>
  <c r="U112" i="21"/>
  <c r="V112" i="21" s="1"/>
  <c r="S112" i="21"/>
  <c r="Q112" i="21"/>
  <c r="R112" i="21" s="1"/>
  <c r="P112" i="21"/>
  <c r="O112" i="21"/>
  <c r="N112" i="21"/>
  <c r="M112" i="21"/>
  <c r="L112" i="21"/>
  <c r="K112" i="21"/>
  <c r="J112" i="21"/>
  <c r="I112" i="21"/>
  <c r="H112" i="21"/>
  <c r="G112" i="21"/>
  <c r="F112" i="21"/>
  <c r="E112" i="21"/>
  <c r="D112" i="21"/>
  <c r="C112" i="21"/>
  <c r="B112" i="21"/>
  <c r="A112" i="21"/>
  <c r="BG111" i="21"/>
  <c r="BE111" i="21"/>
  <c r="BF111" i="21" s="1"/>
  <c r="AW111" i="21"/>
  <c r="AU111" i="21"/>
  <c r="AV111" i="21" s="1"/>
  <c r="AS111" i="21"/>
  <c r="AQ111" i="21"/>
  <c r="AO111" i="21"/>
  <c r="AP111" i="21" s="1"/>
  <c r="AM111" i="21"/>
  <c r="AK111" i="21"/>
  <c r="AL111" i="21" s="1"/>
  <c r="AG111" i="21"/>
  <c r="AH111" i="21" s="1"/>
  <c r="AE111" i="21"/>
  <c r="AC111" i="21"/>
  <c r="AD111" i="21" s="1"/>
  <c r="AA111" i="21"/>
  <c r="AB111" i="21" s="1"/>
  <c r="W111" i="21"/>
  <c r="U111" i="21"/>
  <c r="V111" i="21" s="1"/>
  <c r="S111" i="21"/>
  <c r="Q111" i="21"/>
  <c r="R111" i="21" s="1"/>
  <c r="P111" i="21"/>
  <c r="O111" i="21"/>
  <c r="N111" i="21"/>
  <c r="M111" i="21"/>
  <c r="L111" i="21"/>
  <c r="K111" i="21"/>
  <c r="J111" i="21"/>
  <c r="I111" i="21"/>
  <c r="H111" i="21"/>
  <c r="G111" i="21"/>
  <c r="F111" i="21"/>
  <c r="E111" i="21"/>
  <c r="D111" i="21"/>
  <c r="C111" i="21"/>
  <c r="B111" i="21"/>
  <c r="A111" i="21"/>
  <c r="BG110" i="21"/>
  <c r="BH110" i="21" s="1"/>
  <c r="BE110" i="21"/>
  <c r="AW110" i="21"/>
  <c r="AU110" i="21"/>
  <c r="AS110" i="21"/>
  <c r="AT110" i="21" s="1"/>
  <c r="AQ110" i="21"/>
  <c r="AO110" i="21"/>
  <c r="AP110" i="21" s="1"/>
  <c r="AM110" i="21"/>
  <c r="AN110" i="21" s="1"/>
  <c r="AK110" i="21"/>
  <c r="AG110" i="21"/>
  <c r="AH110" i="21" s="1"/>
  <c r="AE110" i="21"/>
  <c r="AF110" i="21" s="1"/>
  <c r="AC110" i="21"/>
  <c r="AA110" i="21"/>
  <c r="AB110" i="21" s="1"/>
  <c r="W110" i="21"/>
  <c r="U110" i="21"/>
  <c r="V110" i="21" s="1"/>
  <c r="S110" i="21"/>
  <c r="T110" i="21" s="1"/>
  <c r="Q110" i="21"/>
  <c r="P110" i="21"/>
  <c r="O110" i="21"/>
  <c r="N110" i="21"/>
  <c r="M110" i="21"/>
  <c r="L110" i="21"/>
  <c r="K110" i="21"/>
  <c r="J110" i="21"/>
  <c r="I110" i="21"/>
  <c r="H110" i="21"/>
  <c r="G110" i="21"/>
  <c r="F110" i="21"/>
  <c r="E110" i="21"/>
  <c r="D110" i="21"/>
  <c r="C110" i="21"/>
  <c r="B110" i="21"/>
  <c r="A110" i="21"/>
  <c r="BG109" i="21"/>
  <c r="BH109" i="21" s="1"/>
  <c r="BE109" i="21"/>
  <c r="AW109" i="21"/>
  <c r="AX109" i="21" s="1"/>
  <c r="AU109" i="21"/>
  <c r="AS109" i="21"/>
  <c r="AT109" i="21" s="1"/>
  <c r="AQ109" i="21"/>
  <c r="AR109" i="21" s="1"/>
  <c r="AO109" i="21"/>
  <c r="AM109" i="21"/>
  <c r="AN109" i="21" s="1"/>
  <c r="AK109" i="21"/>
  <c r="AL109" i="21" s="1"/>
  <c r="AG109" i="21"/>
  <c r="AE109" i="21"/>
  <c r="AF109" i="21" s="1"/>
  <c r="AC109" i="21"/>
  <c r="AA109" i="21"/>
  <c r="AB109" i="21" s="1"/>
  <c r="W109" i="21"/>
  <c r="X109" i="21" s="1"/>
  <c r="U109" i="21"/>
  <c r="S109" i="21"/>
  <c r="T109" i="21" s="1"/>
  <c r="Q109" i="21"/>
  <c r="P109" i="21"/>
  <c r="O109" i="21"/>
  <c r="N109" i="21"/>
  <c r="M109" i="21"/>
  <c r="L109" i="21"/>
  <c r="K109" i="21"/>
  <c r="J109" i="21"/>
  <c r="I109" i="21"/>
  <c r="H109" i="21"/>
  <c r="G109" i="21"/>
  <c r="F109" i="21"/>
  <c r="E109" i="21"/>
  <c r="D109" i="21"/>
  <c r="C109" i="21"/>
  <c r="B109" i="21"/>
  <c r="A109" i="21"/>
  <c r="BG108" i="21"/>
  <c r="BE108" i="21"/>
  <c r="BF108" i="21" s="1"/>
  <c r="AW108" i="21"/>
  <c r="AX108" i="21" s="1"/>
  <c r="AU108" i="21"/>
  <c r="AV108" i="21" s="1"/>
  <c r="AS108" i="21"/>
  <c r="AQ108" i="21"/>
  <c r="AR108" i="21" s="1"/>
  <c r="AO108" i="21"/>
  <c r="AP108" i="21" s="1"/>
  <c r="AM108" i="21"/>
  <c r="AK108" i="21"/>
  <c r="AL108" i="21" s="1"/>
  <c r="AG108" i="21"/>
  <c r="AE108" i="21"/>
  <c r="AF108" i="21" s="1"/>
  <c r="AC108" i="21"/>
  <c r="AD108" i="21" s="1"/>
  <c r="AA108" i="21"/>
  <c r="W108" i="21"/>
  <c r="X108" i="21" s="1"/>
  <c r="U108" i="21"/>
  <c r="S108" i="21"/>
  <c r="Q108" i="21"/>
  <c r="R108" i="21" s="1"/>
  <c r="P108" i="21"/>
  <c r="O108" i="21"/>
  <c r="N108" i="21"/>
  <c r="M108" i="21"/>
  <c r="L108" i="21"/>
  <c r="K108" i="21"/>
  <c r="J108" i="21"/>
  <c r="I108" i="21"/>
  <c r="H108" i="21"/>
  <c r="G108" i="21"/>
  <c r="F108" i="21"/>
  <c r="E108" i="21"/>
  <c r="D108" i="21"/>
  <c r="C108" i="21"/>
  <c r="B108" i="21"/>
  <c r="A108" i="21"/>
  <c r="BG107" i="21"/>
  <c r="BE107" i="21"/>
  <c r="BF107" i="21" s="1"/>
  <c r="AW107" i="21"/>
  <c r="AU107" i="21"/>
  <c r="AV107" i="21" s="1"/>
  <c r="AS107" i="21"/>
  <c r="AT107" i="21" s="1"/>
  <c r="AQ107" i="21"/>
  <c r="AO107" i="21"/>
  <c r="AP107" i="21" s="1"/>
  <c r="AM107" i="21"/>
  <c r="AK107" i="21"/>
  <c r="AL107" i="21" s="1"/>
  <c r="AG107" i="21"/>
  <c r="AH107" i="21" s="1"/>
  <c r="AE107" i="21"/>
  <c r="AC107" i="21"/>
  <c r="AD107" i="21" s="1"/>
  <c r="AA107" i="21"/>
  <c r="W107" i="21"/>
  <c r="U107" i="21"/>
  <c r="V107" i="21" s="1"/>
  <c r="S107" i="21"/>
  <c r="Q107" i="21"/>
  <c r="R107" i="21" s="1"/>
  <c r="P107" i="21"/>
  <c r="O107" i="21"/>
  <c r="N107" i="21"/>
  <c r="M107" i="21"/>
  <c r="L107" i="21"/>
  <c r="K107" i="21"/>
  <c r="J107" i="21"/>
  <c r="I107" i="21"/>
  <c r="H107" i="21"/>
  <c r="G107" i="21"/>
  <c r="F107" i="21"/>
  <c r="E107" i="21"/>
  <c r="D107" i="21"/>
  <c r="C107" i="21"/>
  <c r="B107" i="21"/>
  <c r="A107" i="21"/>
  <c r="BG106" i="21"/>
  <c r="BH106" i="21" s="1"/>
  <c r="BE106" i="21"/>
  <c r="AW106" i="21"/>
  <c r="AX106" i="21" s="1"/>
  <c r="AU106" i="21"/>
  <c r="AS106" i="21"/>
  <c r="AT106" i="21" s="1"/>
  <c r="AQ106" i="21"/>
  <c r="AO106" i="21"/>
  <c r="AP106" i="21" s="1"/>
  <c r="AM106" i="21"/>
  <c r="AN106" i="21" s="1"/>
  <c r="AK106" i="21"/>
  <c r="AG106" i="21"/>
  <c r="AH106" i="21" s="1"/>
  <c r="AE106" i="21"/>
  <c r="AC106" i="21"/>
  <c r="AA106" i="21"/>
  <c r="AB106" i="21" s="1"/>
  <c r="W106" i="21"/>
  <c r="U106" i="21"/>
  <c r="V106" i="21" s="1"/>
  <c r="S106" i="21"/>
  <c r="T106" i="21" s="1"/>
  <c r="Q106" i="21"/>
  <c r="P106" i="21"/>
  <c r="O106" i="21"/>
  <c r="N106" i="21"/>
  <c r="M106" i="21"/>
  <c r="L106" i="21"/>
  <c r="K106" i="21"/>
  <c r="J106" i="21"/>
  <c r="I106" i="21"/>
  <c r="H106" i="21"/>
  <c r="G106" i="21"/>
  <c r="F106" i="21"/>
  <c r="E106" i="21"/>
  <c r="D106" i="21"/>
  <c r="C106" i="21"/>
  <c r="B106" i="21"/>
  <c r="A106" i="21"/>
  <c r="BG105" i="21"/>
  <c r="BH105" i="21" s="1"/>
  <c r="BE105" i="21"/>
  <c r="BF105" i="21" s="1"/>
  <c r="AW105" i="21"/>
  <c r="AX105" i="21" s="1"/>
  <c r="AU105" i="21"/>
  <c r="AS105" i="21"/>
  <c r="AT105" i="21" s="1"/>
  <c r="AQ105" i="21"/>
  <c r="AR105" i="21" s="1"/>
  <c r="AO105" i="21"/>
  <c r="AM105" i="21"/>
  <c r="AN105" i="21" s="1"/>
  <c r="AK105" i="21"/>
  <c r="AG105" i="21"/>
  <c r="AE105" i="21"/>
  <c r="AF105" i="21" s="1"/>
  <c r="AC105" i="21"/>
  <c r="AA105" i="21"/>
  <c r="AB105" i="21" s="1"/>
  <c r="W105" i="21"/>
  <c r="X105" i="21" s="1"/>
  <c r="U105" i="21"/>
  <c r="S105" i="21"/>
  <c r="T105" i="21" s="1"/>
  <c r="Q105" i="21"/>
  <c r="R105" i="21" s="1"/>
  <c r="P105" i="21"/>
  <c r="O105" i="21"/>
  <c r="N105" i="21"/>
  <c r="M105" i="21"/>
  <c r="L105" i="21"/>
  <c r="K105" i="21"/>
  <c r="J105" i="21"/>
  <c r="I105" i="21"/>
  <c r="H105" i="21"/>
  <c r="G105" i="21"/>
  <c r="F105" i="21"/>
  <c r="E105" i="21"/>
  <c r="D105" i="21"/>
  <c r="C105" i="21"/>
  <c r="B105" i="21"/>
  <c r="A105" i="21"/>
  <c r="BG104" i="21"/>
  <c r="BE104" i="21"/>
  <c r="BF104" i="21" s="1"/>
  <c r="AW104" i="21"/>
  <c r="AU104" i="21"/>
  <c r="AV104" i="21" s="1"/>
  <c r="AS104" i="21"/>
  <c r="AQ104" i="21"/>
  <c r="AR104" i="21" s="1"/>
  <c r="AO104" i="21"/>
  <c r="AM104" i="21"/>
  <c r="AK104" i="21"/>
  <c r="AL104" i="21" s="1"/>
  <c r="AG104" i="21"/>
  <c r="AE104" i="21"/>
  <c r="AF104" i="21" s="1"/>
  <c r="AC104" i="21"/>
  <c r="AD104" i="21" s="1"/>
  <c r="AA104" i="21"/>
  <c r="W104" i="21"/>
  <c r="X104" i="21" s="1"/>
  <c r="U104" i="21"/>
  <c r="V104" i="21" s="1"/>
  <c r="S104" i="21"/>
  <c r="Q104" i="21"/>
  <c r="R104" i="21" s="1"/>
  <c r="P104" i="21"/>
  <c r="O104" i="21"/>
  <c r="N104" i="21"/>
  <c r="M104" i="21"/>
  <c r="L104" i="21"/>
  <c r="K104" i="21"/>
  <c r="J104" i="21"/>
  <c r="I104" i="21"/>
  <c r="H104" i="21"/>
  <c r="G104" i="21"/>
  <c r="F104" i="21"/>
  <c r="E104" i="21"/>
  <c r="D104" i="21"/>
  <c r="C104" i="21"/>
  <c r="B104" i="21"/>
  <c r="A104" i="21"/>
  <c r="BG103" i="21"/>
  <c r="BE103" i="21"/>
  <c r="BF103" i="21" s="1"/>
  <c r="AW103" i="21"/>
  <c r="AU103" i="21"/>
  <c r="AV103" i="21" s="1"/>
  <c r="AS103" i="21"/>
  <c r="AQ103" i="21"/>
  <c r="AO103" i="21"/>
  <c r="AP103" i="21" s="1"/>
  <c r="AM103" i="21"/>
  <c r="AK103" i="21"/>
  <c r="AL103" i="21" s="1"/>
  <c r="AG103" i="21"/>
  <c r="AH103" i="21" s="1"/>
  <c r="AE103" i="21"/>
  <c r="AC103" i="21"/>
  <c r="AD103" i="21" s="1"/>
  <c r="AJ103" i="21" s="1"/>
  <c r="AA103" i="21"/>
  <c r="AB103" i="21" s="1"/>
  <c r="W103" i="21"/>
  <c r="U103" i="21"/>
  <c r="V103" i="21" s="1"/>
  <c r="S103" i="21"/>
  <c r="Q103" i="21"/>
  <c r="R103" i="21" s="1"/>
  <c r="P103" i="21"/>
  <c r="O103" i="21"/>
  <c r="N103" i="21"/>
  <c r="M103" i="21"/>
  <c r="L103" i="21"/>
  <c r="K103" i="21"/>
  <c r="J103" i="21"/>
  <c r="I103" i="21"/>
  <c r="H103" i="21"/>
  <c r="G103" i="21"/>
  <c r="F103" i="21"/>
  <c r="E103" i="21"/>
  <c r="D103" i="21"/>
  <c r="C103" i="21"/>
  <c r="B103" i="21"/>
  <c r="A103" i="21"/>
  <c r="BG102" i="21"/>
  <c r="BH102" i="21" s="1"/>
  <c r="BE102" i="21"/>
  <c r="AW102" i="21"/>
  <c r="AU102" i="21"/>
  <c r="AS102" i="21"/>
  <c r="AT102" i="21" s="1"/>
  <c r="AQ102" i="21"/>
  <c r="AO102" i="21"/>
  <c r="AP102" i="21" s="1"/>
  <c r="AM102" i="21"/>
  <c r="AN102" i="21" s="1"/>
  <c r="AK102" i="21"/>
  <c r="AG102" i="21"/>
  <c r="AH102" i="21" s="1"/>
  <c r="AE102" i="21"/>
  <c r="AF102" i="21" s="1"/>
  <c r="AC102" i="21"/>
  <c r="AA102" i="21"/>
  <c r="AB102" i="21" s="1"/>
  <c r="W102" i="21"/>
  <c r="U102" i="21"/>
  <c r="V102" i="21" s="1"/>
  <c r="S102" i="21"/>
  <c r="T102" i="21" s="1"/>
  <c r="Q102" i="21"/>
  <c r="P102" i="21"/>
  <c r="O102" i="21"/>
  <c r="N102" i="21"/>
  <c r="M102" i="21"/>
  <c r="L102" i="21"/>
  <c r="K102" i="21"/>
  <c r="J102" i="21"/>
  <c r="I102" i="21"/>
  <c r="H102" i="21"/>
  <c r="G102" i="21"/>
  <c r="F102" i="21"/>
  <c r="E102" i="21"/>
  <c r="D102" i="21"/>
  <c r="C102" i="21"/>
  <c r="B102" i="21"/>
  <c r="A102" i="21"/>
  <c r="BG101" i="21"/>
  <c r="BH101" i="21" s="1"/>
  <c r="BE101" i="21"/>
  <c r="AW101" i="21"/>
  <c r="AX101" i="21" s="1"/>
  <c r="AU101" i="21"/>
  <c r="AS101" i="21"/>
  <c r="AT101" i="21" s="1"/>
  <c r="AQ101" i="21"/>
  <c r="AR101" i="21" s="1"/>
  <c r="AO101" i="21"/>
  <c r="AM101" i="21"/>
  <c r="AN101" i="21" s="1"/>
  <c r="AK101" i="21"/>
  <c r="AL101" i="21" s="1"/>
  <c r="AG101" i="21"/>
  <c r="AE101" i="21"/>
  <c r="AF101" i="21" s="1"/>
  <c r="AC101" i="21"/>
  <c r="AA101" i="21"/>
  <c r="AB101" i="21" s="1"/>
  <c r="W101" i="21"/>
  <c r="X101" i="21" s="1"/>
  <c r="U101" i="21"/>
  <c r="S101" i="21"/>
  <c r="T101" i="21" s="1"/>
  <c r="Q101" i="21"/>
  <c r="P101" i="21"/>
  <c r="O101" i="21"/>
  <c r="N101" i="21"/>
  <c r="M101" i="21"/>
  <c r="L101" i="21"/>
  <c r="K101" i="21"/>
  <c r="J101" i="21"/>
  <c r="I101" i="21"/>
  <c r="H101" i="21"/>
  <c r="G101" i="21"/>
  <c r="F101" i="21"/>
  <c r="E101" i="21"/>
  <c r="D101" i="21"/>
  <c r="C101" i="21"/>
  <c r="B101" i="21"/>
  <c r="A101" i="21"/>
  <c r="BG100" i="21"/>
  <c r="BE100" i="21"/>
  <c r="BF100" i="21" s="1"/>
  <c r="AW100" i="21"/>
  <c r="AX100" i="21" s="1"/>
  <c r="AU100" i="21"/>
  <c r="AV100" i="21" s="1"/>
  <c r="AS100" i="21"/>
  <c r="AQ100" i="21"/>
  <c r="AR100" i="21" s="1"/>
  <c r="AO100" i="21"/>
  <c r="AP100" i="21" s="1"/>
  <c r="AM100" i="21"/>
  <c r="AK100" i="21"/>
  <c r="AL100" i="21" s="1"/>
  <c r="AG100" i="21"/>
  <c r="AE100" i="21"/>
  <c r="AF100" i="21" s="1"/>
  <c r="AC100" i="21"/>
  <c r="AD100" i="21" s="1"/>
  <c r="AA100" i="21"/>
  <c r="W100" i="21"/>
  <c r="X100" i="21" s="1"/>
  <c r="U100" i="21"/>
  <c r="S100" i="21"/>
  <c r="Q100" i="21"/>
  <c r="R100" i="21" s="1"/>
  <c r="P100" i="21"/>
  <c r="O100" i="21"/>
  <c r="N100" i="21"/>
  <c r="M100" i="21"/>
  <c r="L100" i="21"/>
  <c r="K100" i="21"/>
  <c r="J100" i="21"/>
  <c r="I100" i="21"/>
  <c r="H100" i="21"/>
  <c r="G100" i="21"/>
  <c r="F100" i="21"/>
  <c r="E100" i="21"/>
  <c r="D100" i="21"/>
  <c r="C100" i="21"/>
  <c r="B100" i="21"/>
  <c r="A100" i="21"/>
  <c r="BG99" i="21"/>
  <c r="BE99" i="21"/>
  <c r="BF99" i="21" s="1"/>
  <c r="AW99" i="21"/>
  <c r="AU99" i="21"/>
  <c r="AV99" i="21" s="1"/>
  <c r="AS99" i="21"/>
  <c r="AT99" i="21" s="1"/>
  <c r="AQ99" i="21"/>
  <c r="AO99" i="21"/>
  <c r="AP99" i="21" s="1"/>
  <c r="AM99" i="21"/>
  <c r="AK99" i="21"/>
  <c r="AL99" i="21" s="1"/>
  <c r="AG99" i="21"/>
  <c r="AH99" i="21" s="1"/>
  <c r="AE99" i="21"/>
  <c r="AC99" i="21"/>
  <c r="AD99" i="21" s="1"/>
  <c r="AA99" i="21"/>
  <c r="W99" i="21"/>
  <c r="U99" i="21"/>
  <c r="V99" i="21" s="1"/>
  <c r="S99" i="21"/>
  <c r="Q99" i="21"/>
  <c r="R99" i="21" s="1"/>
  <c r="P99" i="21"/>
  <c r="O99" i="21"/>
  <c r="N99" i="21"/>
  <c r="M99" i="21"/>
  <c r="L99" i="21"/>
  <c r="K99" i="21"/>
  <c r="J99" i="21"/>
  <c r="I99" i="21"/>
  <c r="H99" i="21"/>
  <c r="G99" i="21"/>
  <c r="F99" i="21"/>
  <c r="E99" i="21"/>
  <c r="D99" i="21"/>
  <c r="C99" i="21"/>
  <c r="B99" i="21"/>
  <c r="A99" i="21"/>
  <c r="BG98" i="21"/>
  <c r="BH98" i="21" s="1"/>
  <c r="BE98" i="21"/>
  <c r="AW98" i="21"/>
  <c r="AU98" i="21"/>
  <c r="AS98" i="21"/>
  <c r="AT98" i="21" s="1"/>
  <c r="AQ98" i="21"/>
  <c r="AO98" i="21"/>
  <c r="AP98" i="21" s="1"/>
  <c r="AM98" i="21"/>
  <c r="AN98" i="21" s="1"/>
  <c r="AK98" i="21"/>
  <c r="AG98" i="21"/>
  <c r="AH98" i="21" s="1"/>
  <c r="AE98" i="21"/>
  <c r="AC98" i="21"/>
  <c r="AA98" i="21"/>
  <c r="AB98" i="21" s="1"/>
  <c r="W98" i="21"/>
  <c r="U98" i="21"/>
  <c r="V98" i="21" s="1"/>
  <c r="S98" i="21"/>
  <c r="T98" i="21" s="1"/>
  <c r="Q98" i="21"/>
  <c r="P98" i="21"/>
  <c r="O98" i="21"/>
  <c r="N98" i="21"/>
  <c r="M98" i="21"/>
  <c r="L98" i="21"/>
  <c r="K98" i="21"/>
  <c r="J98" i="21"/>
  <c r="I98" i="21"/>
  <c r="H98" i="21"/>
  <c r="G98" i="21"/>
  <c r="F98" i="21"/>
  <c r="E98" i="21"/>
  <c r="D98" i="21"/>
  <c r="C98" i="21"/>
  <c r="B98" i="21"/>
  <c r="A98" i="21"/>
  <c r="BG97" i="21"/>
  <c r="BH97" i="21" s="1"/>
  <c r="BE97" i="21"/>
  <c r="BF97" i="21" s="1"/>
  <c r="AW97" i="21"/>
  <c r="AX97" i="21" s="1"/>
  <c r="AU97" i="21"/>
  <c r="AS97" i="21"/>
  <c r="AT97" i="21" s="1"/>
  <c r="AQ97" i="21"/>
  <c r="AR97" i="21" s="1"/>
  <c r="AO97" i="21"/>
  <c r="AM97" i="21"/>
  <c r="AN97" i="21" s="1"/>
  <c r="AK97" i="21"/>
  <c r="AG97" i="21"/>
  <c r="AE97" i="21"/>
  <c r="AF97" i="21" s="1"/>
  <c r="AC97" i="21"/>
  <c r="AA97" i="21"/>
  <c r="AB97" i="21" s="1"/>
  <c r="W97" i="21"/>
  <c r="X97" i="21" s="1"/>
  <c r="U97" i="21"/>
  <c r="S97" i="21"/>
  <c r="T97" i="21" s="1"/>
  <c r="Q97" i="21"/>
  <c r="R97" i="21" s="1"/>
  <c r="P97" i="21"/>
  <c r="O97" i="21"/>
  <c r="N97" i="21"/>
  <c r="M97" i="21"/>
  <c r="L97" i="21"/>
  <c r="K97" i="21"/>
  <c r="J97" i="21"/>
  <c r="I97" i="21"/>
  <c r="H97" i="21"/>
  <c r="G97" i="21"/>
  <c r="F97" i="21"/>
  <c r="E97" i="21"/>
  <c r="D97" i="21"/>
  <c r="C97" i="21"/>
  <c r="B97" i="21"/>
  <c r="A97" i="21"/>
  <c r="BG96" i="21"/>
  <c r="BE96" i="21"/>
  <c r="BF96" i="21" s="1"/>
  <c r="AW96" i="21"/>
  <c r="AX96" i="21" s="1"/>
  <c r="AU96" i="21"/>
  <c r="AV96" i="21" s="1"/>
  <c r="AS96" i="21"/>
  <c r="AT96" i="21" s="1"/>
  <c r="AQ96" i="21"/>
  <c r="AR96" i="21" s="1"/>
  <c r="AO96" i="21"/>
  <c r="AM96" i="21"/>
  <c r="AK96" i="21"/>
  <c r="AL96" i="21" s="1"/>
  <c r="AG96" i="21"/>
  <c r="AE96" i="21"/>
  <c r="AF96" i="21" s="1"/>
  <c r="AC96" i="21"/>
  <c r="AD96" i="21" s="1"/>
  <c r="AA96" i="21"/>
  <c r="W96" i="21"/>
  <c r="X96" i="21" s="1"/>
  <c r="U96" i="21"/>
  <c r="V96" i="21" s="1"/>
  <c r="S96" i="21"/>
  <c r="Q96" i="21"/>
  <c r="R96" i="21" s="1"/>
  <c r="P96" i="21"/>
  <c r="O96" i="21"/>
  <c r="N96" i="21"/>
  <c r="M96" i="21"/>
  <c r="L96" i="21"/>
  <c r="K96" i="21"/>
  <c r="J96" i="21"/>
  <c r="I96" i="21"/>
  <c r="H96" i="21"/>
  <c r="G96" i="21"/>
  <c r="F96" i="21"/>
  <c r="E96" i="21"/>
  <c r="D96" i="21"/>
  <c r="C96" i="21"/>
  <c r="B96" i="21"/>
  <c r="A96" i="21"/>
  <c r="BG95" i="21"/>
  <c r="BE95" i="21"/>
  <c r="BF95" i="21" s="1"/>
  <c r="AW95" i="21"/>
  <c r="AX95" i="21" s="1"/>
  <c r="AU95" i="21"/>
  <c r="AV95" i="21" s="1"/>
  <c r="AS95" i="21"/>
  <c r="AQ95" i="21"/>
  <c r="AO95" i="21"/>
  <c r="AP95" i="21" s="1"/>
  <c r="AM95" i="21"/>
  <c r="AK95" i="21"/>
  <c r="AL95" i="21" s="1"/>
  <c r="AG95" i="21"/>
  <c r="AH95" i="21" s="1"/>
  <c r="AE95" i="21"/>
  <c r="AF95" i="21" s="1"/>
  <c r="AC95" i="21"/>
  <c r="AD95" i="21" s="1"/>
  <c r="AA95" i="21"/>
  <c r="AB95" i="21" s="1"/>
  <c r="W95" i="21"/>
  <c r="X95" i="21" s="1"/>
  <c r="U95" i="21"/>
  <c r="V95" i="21" s="1"/>
  <c r="S95" i="21"/>
  <c r="Q95" i="21"/>
  <c r="R95" i="21" s="1"/>
  <c r="P95" i="21"/>
  <c r="O95" i="21"/>
  <c r="N95" i="21"/>
  <c r="M95" i="21"/>
  <c r="L95" i="21"/>
  <c r="K95" i="21"/>
  <c r="J95" i="21"/>
  <c r="I95" i="21"/>
  <c r="H95" i="21"/>
  <c r="G95" i="21"/>
  <c r="F95" i="21"/>
  <c r="E95" i="21"/>
  <c r="D95" i="21"/>
  <c r="C95" i="21"/>
  <c r="B95" i="21"/>
  <c r="A95" i="21"/>
  <c r="BG94" i="21"/>
  <c r="BH94" i="21" s="1"/>
  <c r="BE94" i="21"/>
  <c r="BF94" i="21" s="1"/>
  <c r="AW94" i="21"/>
  <c r="AU94" i="21"/>
  <c r="AV94" i="21" s="1"/>
  <c r="AS94" i="21"/>
  <c r="AT94" i="21" s="1"/>
  <c r="AQ94" i="21"/>
  <c r="AO94" i="21"/>
  <c r="AP94" i="21" s="1"/>
  <c r="AM94" i="21"/>
  <c r="AN94" i="21" s="1"/>
  <c r="AK94" i="21"/>
  <c r="AL94" i="21" s="1"/>
  <c r="AG94" i="21"/>
  <c r="AH94" i="21" s="1"/>
  <c r="AE94" i="21"/>
  <c r="AF94" i="21" s="1"/>
  <c r="AC94" i="21"/>
  <c r="AD94" i="21" s="1"/>
  <c r="AA94" i="21"/>
  <c r="AB94" i="21" s="1"/>
  <c r="W94" i="21"/>
  <c r="U94" i="21"/>
  <c r="V94" i="21" s="1"/>
  <c r="S94" i="21"/>
  <c r="T94" i="21" s="1"/>
  <c r="Q94" i="21"/>
  <c r="R94" i="21" s="1"/>
  <c r="P94" i="21"/>
  <c r="O94" i="21"/>
  <c r="N94" i="21"/>
  <c r="M94" i="21"/>
  <c r="L94" i="21"/>
  <c r="K94" i="21"/>
  <c r="J94" i="21"/>
  <c r="I94" i="21"/>
  <c r="H94" i="21"/>
  <c r="G94" i="21"/>
  <c r="F94" i="21"/>
  <c r="E94" i="21"/>
  <c r="D94" i="21"/>
  <c r="C94" i="21"/>
  <c r="B94" i="21"/>
  <c r="A94" i="21"/>
  <c r="BG93" i="21"/>
  <c r="BH93" i="21" s="1"/>
  <c r="BE93" i="21"/>
  <c r="AW93" i="21"/>
  <c r="AX93" i="21" s="1"/>
  <c r="AU93" i="21"/>
  <c r="AS93" i="21"/>
  <c r="AT93" i="21" s="1"/>
  <c r="AQ93" i="21"/>
  <c r="AR93" i="21" s="1"/>
  <c r="AO93" i="21"/>
  <c r="AP93" i="21" s="1"/>
  <c r="AM93" i="21"/>
  <c r="AN93" i="21" s="1"/>
  <c r="AK93" i="21"/>
  <c r="AL93" i="21" s="1"/>
  <c r="AG93" i="21"/>
  <c r="AH93" i="21" s="1"/>
  <c r="AE93" i="21"/>
  <c r="AF93" i="21" s="1"/>
  <c r="AC93" i="21"/>
  <c r="AA93" i="21"/>
  <c r="AB93" i="21" s="1"/>
  <c r="W93" i="21"/>
  <c r="X93" i="21" s="1"/>
  <c r="U93" i="21"/>
  <c r="V93" i="21" s="1"/>
  <c r="S93" i="21"/>
  <c r="T93" i="21" s="1"/>
  <c r="Q93" i="21"/>
  <c r="P93" i="21"/>
  <c r="O93" i="21"/>
  <c r="N93" i="21"/>
  <c r="M93" i="21"/>
  <c r="L93" i="21"/>
  <c r="K93" i="21"/>
  <c r="J93" i="21"/>
  <c r="I93" i="21"/>
  <c r="H93" i="21"/>
  <c r="G93" i="21"/>
  <c r="F93" i="21"/>
  <c r="E93" i="21"/>
  <c r="D93" i="21"/>
  <c r="C93" i="21"/>
  <c r="B93" i="21"/>
  <c r="A93" i="21"/>
  <c r="BG92" i="21"/>
  <c r="BH92" i="21" s="1"/>
  <c r="BE92" i="21"/>
  <c r="BF92" i="21" s="1"/>
  <c r="AW92" i="21"/>
  <c r="AX92" i="21" s="1"/>
  <c r="AU92" i="21"/>
  <c r="AV92" i="21" s="1"/>
  <c r="AS92" i="21"/>
  <c r="AT92" i="21" s="1"/>
  <c r="AQ92" i="21"/>
  <c r="AR92" i="21" s="1"/>
  <c r="AO92" i="21"/>
  <c r="AP92" i="21" s="1"/>
  <c r="AM92" i="21"/>
  <c r="AN92" i="21" s="1"/>
  <c r="AK92" i="21"/>
  <c r="AL92" i="21" s="1"/>
  <c r="AG92" i="21"/>
  <c r="AE92" i="21"/>
  <c r="AF92" i="21" s="1"/>
  <c r="AC92" i="21"/>
  <c r="AD92" i="21" s="1"/>
  <c r="AA92" i="21"/>
  <c r="AB92" i="21" s="1"/>
  <c r="W92" i="21"/>
  <c r="X92" i="21" s="1"/>
  <c r="U92" i="21"/>
  <c r="S92" i="21"/>
  <c r="T92" i="21" s="1"/>
  <c r="Q92" i="21"/>
  <c r="R92" i="21" s="1"/>
  <c r="P92" i="21"/>
  <c r="O92" i="21"/>
  <c r="N92" i="21"/>
  <c r="M92" i="21"/>
  <c r="L92" i="21"/>
  <c r="K92" i="21"/>
  <c r="J92" i="21"/>
  <c r="I92" i="21"/>
  <c r="H92" i="21"/>
  <c r="G92" i="21"/>
  <c r="F92" i="21"/>
  <c r="E92" i="21"/>
  <c r="D92" i="21"/>
  <c r="C92" i="21"/>
  <c r="B92" i="21"/>
  <c r="A92" i="21"/>
  <c r="BG91" i="21"/>
  <c r="BE91" i="21"/>
  <c r="BF91" i="21" s="1"/>
  <c r="AW91" i="21"/>
  <c r="AX91" i="21" s="1"/>
  <c r="AU91" i="21"/>
  <c r="AV91" i="21" s="1"/>
  <c r="AS91" i="21"/>
  <c r="AT91" i="21" s="1"/>
  <c r="AQ91" i="21"/>
  <c r="AR91" i="21" s="1"/>
  <c r="AO91" i="21"/>
  <c r="AP91" i="21" s="1"/>
  <c r="AM91" i="21"/>
  <c r="AK91" i="21"/>
  <c r="AL91" i="21" s="1"/>
  <c r="AG91" i="21"/>
  <c r="AH91" i="21" s="1"/>
  <c r="AE91" i="21"/>
  <c r="AF91" i="21" s="1"/>
  <c r="AC91" i="21"/>
  <c r="AD91" i="21" s="1"/>
  <c r="AA91" i="21"/>
  <c r="W91" i="21"/>
  <c r="X91" i="21" s="1"/>
  <c r="U91" i="21"/>
  <c r="V91" i="21" s="1"/>
  <c r="S91" i="21"/>
  <c r="Q91" i="21"/>
  <c r="R91" i="21" s="1"/>
  <c r="P91" i="21"/>
  <c r="O91" i="21"/>
  <c r="N91" i="21"/>
  <c r="M91" i="21"/>
  <c r="L91" i="21"/>
  <c r="K91" i="21"/>
  <c r="J91" i="21"/>
  <c r="I91" i="21"/>
  <c r="H91" i="21"/>
  <c r="G91" i="21"/>
  <c r="F91" i="21"/>
  <c r="E91" i="21"/>
  <c r="D91" i="21"/>
  <c r="C91" i="21"/>
  <c r="B91" i="21"/>
  <c r="A91" i="21"/>
  <c r="BG90" i="21"/>
  <c r="BH90" i="21" s="1"/>
  <c r="BE90" i="21"/>
  <c r="BF90" i="21" s="1"/>
  <c r="AW90" i="21"/>
  <c r="AX90" i="21" s="1"/>
  <c r="AU90" i="21"/>
  <c r="AV90" i="21" s="1"/>
  <c r="AS90" i="21"/>
  <c r="AT90" i="21" s="1"/>
  <c r="AQ90" i="21"/>
  <c r="AO90" i="21"/>
  <c r="AP90" i="21" s="1"/>
  <c r="AM90" i="21"/>
  <c r="AN90" i="21" s="1"/>
  <c r="AK90" i="21"/>
  <c r="AL90" i="21" s="1"/>
  <c r="AG90" i="21"/>
  <c r="AH90" i="21" s="1"/>
  <c r="AE90" i="21"/>
  <c r="AC90" i="21"/>
  <c r="AD90" i="21" s="1"/>
  <c r="AA90" i="21"/>
  <c r="AB90" i="21" s="1"/>
  <c r="W90" i="21"/>
  <c r="U90" i="21"/>
  <c r="V90" i="21" s="1"/>
  <c r="S90" i="21"/>
  <c r="T90" i="21" s="1"/>
  <c r="Q90" i="21"/>
  <c r="R90" i="21" s="1"/>
  <c r="P90" i="21"/>
  <c r="O90" i="21"/>
  <c r="N90" i="21"/>
  <c r="M90" i="21"/>
  <c r="L90" i="21"/>
  <c r="K90" i="21"/>
  <c r="J90" i="21"/>
  <c r="I90" i="21"/>
  <c r="H90" i="21"/>
  <c r="G90" i="21"/>
  <c r="F90" i="21"/>
  <c r="E90" i="21"/>
  <c r="D90" i="21"/>
  <c r="C90" i="21"/>
  <c r="B90" i="21"/>
  <c r="A90" i="21"/>
  <c r="BG89" i="21"/>
  <c r="BH89" i="21" s="1"/>
  <c r="BE89" i="21"/>
  <c r="BF89" i="21" s="1"/>
  <c r="AW89" i="21"/>
  <c r="AX89" i="21" s="1"/>
  <c r="AU89" i="21"/>
  <c r="AS89" i="21"/>
  <c r="AT89" i="21" s="1"/>
  <c r="AQ89" i="21"/>
  <c r="AR89" i="21" s="1"/>
  <c r="AO89" i="21"/>
  <c r="AP89" i="21" s="1"/>
  <c r="AM89" i="21"/>
  <c r="AN89" i="21" s="1"/>
  <c r="AK89" i="21"/>
  <c r="AG89" i="21"/>
  <c r="AH89" i="21" s="1"/>
  <c r="AE89" i="21"/>
  <c r="AF89" i="21" s="1"/>
  <c r="AC89" i="21"/>
  <c r="AA89" i="21"/>
  <c r="AB89" i="21" s="1"/>
  <c r="W89" i="21"/>
  <c r="X89" i="21" s="1"/>
  <c r="U89" i="21"/>
  <c r="V89" i="21" s="1"/>
  <c r="S89" i="21"/>
  <c r="T89" i="21" s="1"/>
  <c r="Q89" i="21"/>
  <c r="R89" i="21" s="1"/>
  <c r="P89" i="21"/>
  <c r="O89" i="21"/>
  <c r="N89" i="21"/>
  <c r="M89" i="21"/>
  <c r="L89" i="21"/>
  <c r="K89" i="21"/>
  <c r="J89" i="21"/>
  <c r="I89" i="21"/>
  <c r="H89" i="21"/>
  <c r="G89" i="21"/>
  <c r="F89" i="21"/>
  <c r="E89" i="21"/>
  <c r="D89" i="21"/>
  <c r="C89" i="21"/>
  <c r="B89" i="21"/>
  <c r="A89" i="21"/>
  <c r="BG88" i="21"/>
  <c r="BH88" i="21" s="1"/>
  <c r="BE88" i="21"/>
  <c r="BF88" i="21" s="1"/>
  <c r="AW88" i="21"/>
  <c r="AU88" i="21"/>
  <c r="AV88" i="21" s="1"/>
  <c r="AS88" i="21"/>
  <c r="AT88" i="21" s="1"/>
  <c r="AQ88" i="21"/>
  <c r="AR88" i="21" s="1"/>
  <c r="AO88" i="21"/>
  <c r="AM88" i="21"/>
  <c r="AN88" i="21" s="1"/>
  <c r="AK88" i="21"/>
  <c r="AL88" i="21" s="1"/>
  <c r="AG88" i="21"/>
  <c r="AE88" i="21"/>
  <c r="AF88" i="21" s="1"/>
  <c r="AC88" i="21"/>
  <c r="AD88" i="21" s="1"/>
  <c r="AA88" i="21"/>
  <c r="AB88" i="21" s="1"/>
  <c r="W88" i="21"/>
  <c r="X88" i="21" s="1"/>
  <c r="U88" i="21"/>
  <c r="V88" i="21" s="1"/>
  <c r="S88" i="21"/>
  <c r="T88" i="21" s="1"/>
  <c r="Q88" i="21"/>
  <c r="R88" i="21" s="1"/>
  <c r="P88" i="21"/>
  <c r="O88" i="21"/>
  <c r="N88" i="21"/>
  <c r="M88" i="21"/>
  <c r="L88" i="21"/>
  <c r="K88" i="21"/>
  <c r="J88" i="21"/>
  <c r="I88" i="21"/>
  <c r="H88" i="21"/>
  <c r="G88" i="21"/>
  <c r="F88" i="21"/>
  <c r="E88" i="21"/>
  <c r="D88" i="21"/>
  <c r="C88" i="21"/>
  <c r="B88" i="21"/>
  <c r="A88" i="21"/>
  <c r="BG87" i="21"/>
  <c r="BE87" i="21"/>
  <c r="BF87" i="21" s="1"/>
  <c r="AW87" i="21"/>
  <c r="AX87" i="21" s="1"/>
  <c r="AU87" i="21"/>
  <c r="AV87" i="21" s="1"/>
  <c r="AS87" i="21"/>
  <c r="AQ87" i="21"/>
  <c r="AR87" i="21" s="1"/>
  <c r="AO87" i="21"/>
  <c r="AP87" i="21" s="1"/>
  <c r="AM87" i="21"/>
  <c r="AK87" i="21"/>
  <c r="AL87" i="21" s="1"/>
  <c r="AG87" i="21"/>
  <c r="AH87" i="21" s="1"/>
  <c r="AE87" i="21"/>
  <c r="AF87" i="21" s="1"/>
  <c r="AC87" i="21"/>
  <c r="AD87" i="21" s="1"/>
  <c r="AA87" i="21"/>
  <c r="AB87" i="21" s="1"/>
  <c r="W87" i="21"/>
  <c r="X87" i="21" s="1"/>
  <c r="U87" i="21"/>
  <c r="V87" i="21" s="1"/>
  <c r="S87" i="21"/>
  <c r="Q87" i="21"/>
  <c r="R87" i="21" s="1"/>
  <c r="P87" i="21"/>
  <c r="O87" i="21"/>
  <c r="N87" i="21"/>
  <c r="M87" i="21"/>
  <c r="L87" i="21"/>
  <c r="K87" i="21"/>
  <c r="J87" i="21"/>
  <c r="I87" i="21"/>
  <c r="H87" i="21"/>
  <c r="G87" i="21"/>
  <c r="F87" i="21"/>
  <c r="E87" i="21"/>
  <c r="D87" i="21"/>
  <c r="C87" i="21"/>
  <c r="B87" i="21"/>
  <c r="A87" i="21"/>
  <c r="BG86" i="21"/>
  <c r="BH86" i="21" s="1"/>
  <c r="BE86" i="21"/>
  <c r="BF86" i="21" s="1"/>
  <c r="AW86" i="21"/>
  <c r="AU86" i="21"/>
  <c r="AV86" i="21" s="1"/>
  <c r="AS86" i="21"/>
  <c r="AT86" i="21" s="1"/>
  <c r="AQ86" i="21"/>
  <c r="AO86" i="21"/>
  <c r="AP86" i="21" s="1"/>
  <c r="AM86" i="21"/>
  <c r="AN86" i="21" s="1"/>
  <c r="AK86" i="21"/>
  <c r="AL86" i="21" s="1"/>
  <c r="AG86" i="21"/>
  <c r="AH86" i="21" s="1"/>
  <c r="AE86" i="21"/>
  <c r="AF86" i="21" s="1"/>
  <c r="AC86" i="21"/>
  <c r="AD86" i="21" s="1"/>
  <c r="AA86" i="21"/>
  <c r="AB86" i="21" s="1"/>
  <c r="W86" i="21"/>
  <c r="U86" i="21"/>
  <c r="V86" i="21" s="1"/>
  <c r="S86" i="21"/>
  <c r="T86" i="21" s="1"/>
  <c r="Q86" i="21"/>
  <c r="R86" i="21" s="1"/>
  <c r="P86" i="21"/>
  <c r="O86" i="21"/>
  <c r="N86" i="21"/>
  <c r="M86" i="21"/>
  <c r="L86" i="21"/>
  <c r="K86" i="21"/>
  <c r="J86" i="21"/>
  <c r="I86" i="21"/>
  <c r="H86" i="21"/>
  <c r="G86" i="21"/>
  <c r="F86" i="21"/>
  <c r="E86" i="21"/>
  <c r="D86" i="21"/>
  <c r="C86" i="21"/>
  <c r="B86" i="21"/>
  <c r="A86" i="21"/>
  <c r="BG85" i="21"/>
  <c r="BH85" i="21" s="1"/>
  <c r="BE85" i="21"/>
  <c r="AW85" i="21"/>
  <c r="AX85" i="21" s="1"/>
  <c r="AU85" i="21"/>
  <c r="AS85" i="21"/>
  <c r="AT85" i="21" s="1"/>
  <c r="AQ85" i="21"/>
  <c r="AR85" i="21" s="1"/>
  <c r="AO85" i="21"/>
  <c r="AP85" i="21" s="1"/>
  <c r="AM85" i="21"/>
  <c r="AN85" i="21" s="1"/>
  <c r="AK85" i="21"/>
  <c r="AL85" i="21" s="1"/>
  <c r="AG85" i="21"/>
  <c r="AH85" i="21" s="1"/>
  <c r="AE85" i="21"/>
  <c r="AF85" i="21" s="1"/>
  <c r="AC85" i="21"/>
  <c r="AA85" i="21"/>
  <c r="AB85" i="21" s="1"/>
  <c r="W85" i="21"/>
  <c r="X85" i="21" s="1"/>
  <c r="U85" i="21"/>
  <c r="V85" i="21" s="1"/>
  <c r="S85" i="21"/>
  <c r="T85" i="21" s="1"/>
  <c r="Q85" i="21"/>
  <c r="P85" i="21"/>
  <c r="O85" i="21"/>
  <c r="N85" i="21"/>
  <c r="M85" i="21"/>
  <c r="L85" i="21"/>
  <c r="K85" i="21"/>
  <c r="J85" i="21"/>
  <c r="I85" i="21"/>
  <c r="H85" i="21"/>
  <c r="G85" i="21"/>
  <c r="F85" i="21"/>
  <c r="E85" i="21"/>
  <c r="D85" i="21"/>
  <c r="C85" i="21"/>
  <c r="B85" i="21"/>
  <c r="A85" i="21"/>
  <c r="BG84" i="21"/>
  <c r="BH84" i="21" s="1"/>
  <c r="BE84" i="21"/>
  <c r="BF84" i="21" s="1"/>
  <c r="AW84" i="21"/>
  <c r="AX84" i="21" s="1"/>
  <c r="AU84" i="21"/>
  <c r="AV84" i="21" s="1"/>
  <c r="AS84" i="21"/>
  <c r="AT84" i="21" s="1"/>
  <c r="AQ84" i="21"/>
  <c r="AR84" i="21" s="1"/>
  <c r="AO84" i="21"/>
  <c r="AP84" i="21" s="1"/>
  <c r="AM84" i="21"/>
  <c r="AN84" i="21" s="1"/>
  <c r="AK84" i="21"/>
  <c r="AL84" i="21" s="1"/>
  <c r="AG84" i="21"/>
  <c r="AE84" i="21"/>
  <c r="AF84" i="21" s="1"/>
  <c r="AC84" i="21"/>
  <c r="AD84" i="21" s="1"/>
  <c r="AA84" i="21"/>
  <c r="AB84" i="21" s="1"/>
  <c r="W84" i="21"/>
  <c r="X84" i="21" s="1"/>
  <c r="U84" i="21"/>
  <c r="S84" i="21"/>
  <c r="T84" i="21" s="1"/>
  <c r="Q84" i="21"/>
  <c r="R84" i="21" s="1"/>
  <c r="P84" i="21"/>
  <c r="O84" i="21"/>
  <c r="N84" i="21"/>
  <c r="M84" i="21"/>
  <c r="L84" i="21"/>
  <c r="K84" i="21"/>
  <c r="J84" i="21"/>
  <c r="I84" i="21"/>
  <c r="H84" i="21"/>
  <c r="G84" i="21"/>
  <c r="F84" i="21"/>
  <c r="E84" i="21"/>
  <c r="D84" i="21"/>
  <c r="C84" i="21"/>
  <c r="B84" i="21"/>
  <c r="A84" i="21"/>
  <c r="BG83" i="21"/>
  <c r="BE83" i="21"/>
  <c r="BF83" i="21" s="1"/>
  <c r="AW83" i="21"/>
  <c r="AX83" i="21" s="1"/>
  <c r="AU83" i="21"/>
  <c r="AV83" i="21" s="1"/>
  <c r="AS83" i="21"/>
  <c r="AT83" i="21" s="1"/>
  <c r="AQ83" i="21"/>
  <c r="AR83" i="21" s="1"/>
  <c r="AO83" i="21"/>
  <c r="AP83" i="21" s="1"/>
  <c r="AM83" i="21"/>
  <c r="AK83" i="21"/>
  <c r="AL83" i="21" s="1"/>
  <c r="AG83" i="21"/>
  <c r="AH83" i="21" s="1"/>
  <c r="AE83" i="21"/>
  <c r="AF83" i="21" s="1"/>
  <c r="AC83" i="21"/>
  <c r="AD83" i="21" s="1"/>
  <c r="AA83" i="21"/>
  <c r="W83" i="21"/>
  <c r="X83" i="21" s="1"/>
  <c r="U83" i="21"/>
  <c r="V83" i="21" s="1"/>
  <c r="S83" i="21"/>
  <c r="Q83" i="21"/>
  <c r="R83" i="21" s="1"/>
  <c r="P83" i="21"/>
  <c r="O83" i="21"/>
  <c r="N83" i="21"/>
  <c r="M83" i="21"/>
  <c r="L83" i="21"/>
  <c r="K83" i="21"/>
  <c r="J83" i="21"/>
  <c r="I83" i="21"/>
  <c r="H83" i="21"/>
  <c r="G83" i="21"/>
  <c r="F83" i="21"/>
  <c r="E83" i="21"/>
  <c r="D83" i="21"/>
  <c r="C83" i="21"/>
  <c r="B83" i="21"/>
  <c r="A83" i="21"/>
  <c r="BG82" i="21"/>
  <c r="BH82" i="21" s="1"/>
  <c r="BE82" i="21"/>
  <c r="BF82" i="21" s="1"/>
  <c r="AW82" i="21"/>
  <c r="AX82" i="21" s="1"/>
  <c r="AU82" i="21"/>
  <c r="AV82" i="21" s="1"/>
  <c r="AS82" i="21"/>
  <c r="AT82" i="21" s="1"/>
  <c r="AQ82" i="21"/>
  <c r="AO82" i="21"/>
  <c r="AP82" i="21" s="1"/>
  <c r="AM82" i="21"/>
  <c r="AN82" i="21" s="1"/>
  <c r="AK82" i="21"/>
  <c r="AL82" i="21" s="1"/>
  <c r="AG82" i="21"/>
  <c r="AH82" i="21" s="1"/>
  <c r="AE82" i="21"/>
  <c r="AC82" i="21"/>
  <c r="AD82" i="21" s="1"/>
  <c r="AA82" i="21"/>
  <c r="AB82" i="21" s="1"/>
  <c r="W82" i="21"/>
  <c r="U82" i="21"/>
  <c r="V82" i="21" s="1"/>
  <c r="S82" i="21"/>
  <c r="T82" i="21" s="1"/>
  <c r="Q82" i="21"/>
  <c r="R82" i="21" s="1"/>
  <c r="P82" i="21"/>
  <c r="O82" i="21"/>
  <c r="N82" i="21"/>
  <c r="M82" i="21"/>
  <c r="L82" i="21"/>
  <c r="K82" i="21"/>
  <c r="J82" i="21"/>
  <c r="I82" i="21"/>
  <c r="H82" i="21"/>
  <c r="G82" i="21"/>
  <c r="F82" i="21"/>
  <c r="E82" i="21"/>
  <c r="D82" i="21"/>
  <c r="C82" i="21"/>
  <c r="B82" i="21"/>
  <c r="A82" i="21"/>
  <c r="BG81" i="21"/>
  <c r="BH81" i="21" s="1"/>
  <c r="BE81" i="21"/>
  <c r="BF81" i="21" s="1"/>
  <c r="AW81" i="21"/>
  <c r="AX81" i="21" s="1"/>
  <c r="AU81" i="21"/>
  <c r="AS81" i="21"/>
  <c r="AT81" i="21" s="1"/>
  <c r="AQ81" i="21"/>
  <c r="AO81" i="21"/>
  <c r="AP81" i="21" s="1"/>
  <c r="AM81" i="21"/>
  <c r="AN81" i="21" s="1"/>
  <c r="AK81" i="21"/>
  <c r="AG81" i="21"/>
  <c r="AH81" i="21" s="1"/>
  <c r="AE81" i="21"/>
  <c r="AF81" i="21" s="1"/>
  <c r="AC81" i="21"/>
  <c r="AA81" i="21"/>
  <c r="AB81" i="21" s="1"/>
  <c r="W81" i="21"/>
  <c r="X81" i="21" s="1"/>
  <c r="U81" i="21"/>
  <c r="V81" i="21" s="1"/>
  <c r="S81" i="21"/>
  <c r="T81" i="21" s="1"/>
  <c r="Q81" i="21"/>
  <c r="R81" i="21" s="1"/>
  <c r="P81" i="21"/>
  <c r="O81" i="21"/>
  <c r="N81" i="21"/>
  <c r="M81" i="21"/>
  <c r="L81" i="21"/>
  <c r="K81" i="21"/>
  <c r="J81" i="21"/>
  <c r="I81" i="21"/>
  <c r="H81" i="21"/>
  <c r="G81" i="21"/>
  <c r="F81" i="21"/>
  <c r="E81" i="21"/>
  <c r="D81" i="21"/>
  <c r="C81" i="21"/>
  <c r="B81" i="21"/>
  <c r="A81" i="21"/>
  <c r="BG80" i="21"/>
  <c r="BH80" i="21" s="1"/>
  <c r="BE80" i="21"/>
  <c r="BF80" i="21" s="1"/>
  <c r="AW80" i="21"/>
  <c r="AU80" i="21"/>
  <c r="AV80" i="21" s="1"/>
  <c r="AS80" i="21"/>
  <c r="AT80" i="21" s="1"/>
  <c r="AQ80" i="21"/>
  <c r="AR80" i="21" s="1"/>
  <c r="AO80" i="21"/>
  <c r="AM80" i="21"/>
  <c r="AN80" i="21" s="1"/>
  <c r="AK80" i="21"/>
  <c r="AL80" i="21" s="1"/>
  <c r="AG80" i="21"/>
  <c r="AE80" i="21"/>
  <c r="AF80" i="21" s="1"/>
  <c r="AC80" i="21"/>
  <c r="AD80" i="21" s="1"/>
  <c r="AA80" i="21"/>
  <c r="AB80" i="21" s="1"/>
  <c r="AI80" i="21" s="1"/>
  <c r="W80" i="21"/>
  <c r="X80" i="21" s="1"/>
  <c r="U80" i="21"/>
  <c r="V80" i="21" s="1"/>
  <c r="S80" i="21"/>
  <c r="T80" i="21" s="1"/>
  <c r="Q80" i="21"/>
  <c r="R80" i="21" s="1"/>
  <c r="P80" i="21"/>
  <c r="O80" i="21"/>
  <c r="N80" i="21"/>
  <c r="M80" i="21"/>
  <c r="L80" i="21"/>
  <c r="K80" i="21"/>
  <c r="J80" i="21"/>
  <c r="I80" i="21"/>
  <c r="H80" i="21"/>
  <c r="G80" i="21"/>
  <c r="F80" i="21"/>
  <c r="E80" i="21"/>
  <c r="D80" i="21"/>
  <c r="C80" i="21"/>
  <c r="B80" i="21"/>
  <c r="A80" i="21"/>
  <c r="BG79" i="21"/>
  <c r="BE79" i="21"/>
  <c r="BF79" i="21" s="1"/>
  <c r="AW79" i="21"/>
  <c r="AX79" i="21" s="1"/>
  <c r="AU79" i="21"/>
  <c r="AV79" i="21" s="1"/>
  <c r="AS79" i="21"/>
  <c r="AQ79" i="21"/>
  <c r="AR79" i="21" s="1"/>
  <c r="AO79" i="21"/>
  <c r="AP79" i="21" s="1"/>
  <c r="AM79" i="21"/>
  <c r="AK79" i="21"/>
  <c r="AL79" i="21" s="1"/>
  <c r="AG79" i="21"/>
  <c r="AH79" i="21" s="1"/>
  <c r="AE79" i="21"/>
  <c r="AF79" i="21" s="1"/>
  <c r="AC79" i="21"/>
  <c r="AD79" i="21" s="1"/>
  <c r="AJ79" i="21" s="1"/>
  <c r="AA79" i="21"/>
  <c r="AB79" i="21" s="1"/>
  <c r="W79" i="21"/>
  <c r="X79" i="21" s="1"/>
  <c r="U79" i="21"/>
  <c r="V79" i="21" s="1"/>
  <c r="S79" i="21"/>
  <c r="Q79" i="21"/>
  <c r="R79" i="21" s="1"/>
  <c r="P79" i="21"/>
  <c r="O79" i="21"/>
  <c r="N79" i="21"/>
  <c r="M79" i="21"/>
  <c r="L79" i="21"/>
  <c r="K79" i="21"/>
  <c r="J79" i="21"/>
  <c r="I79" i="21"/>
  <c r="H79" i="21"/>
  <c r="G79" i="21"/>
  <c r="F79" i="21"/>
  <c r="E79" i="21"/>
  <c r="D79" i="21"/>
  <c r="C79" i="21"/>
  <c r="B79" i="21"/>
  <c r="A79" i="21"/>
  <c r="BG78" i="21"/>
  <c r="BH78" i="21" s="1"/>
  <c r="BE78" i="21"/>
  <c r="BF78" i="21" s="1"/>
  <c r="AW78" i="21"/>
  <c r="AU78" i="21"/>
  <c r="AV78" i="21" s="1"/>
  <c r="AS78" i="21"/>
  <c r="AT78" i="21" s="1"/>
  <c r="AQ78" i="21"/>
  <c r="AO78" i="21"/>
  <c r="AP78" i="21" s="1"/>
  <c r="AM78" i="21"/>
  <c r="AN78" i="21" s="1"/>
  <c r="AK78" i="21"/>
  <c r="AL78" i="21" s="1"/>
  <c r="AG78" i="21"/>
  <c r="AH78" i="21" s="1"/>
  <c r="AE78" i="21"/>
  <c r="AF78" i="21" s="1"/>
  <c r="AC78" i="21"/>
  <c r="AD78" i="21" s="1"/>
  <c r="AA78" i="21"/>
  <c r="W78" i="21"/>
  <c r="U78" i="21"/>
  <c r="V78" i="21" s="1"/>
  <c r="S78" i="21"/>
  <c r="Q78" i="21"/>
  <c r="R78" i="21" s="1"/>
  <c r="P78" i="21"/>
  <c r="O78" i="21"/>
  <c r="N78" i="21"/>
  <c r="M78" i="21"/>
  <c r="L78" i="21"/>
  <c r="K78" i="21"/>
  <c r="J78" i="21"/>
  <c r="I78" i="21"/>
  <c r="H78" i="21"/>
  <c r="G78" i="21"/>
  <c r="F78" i="21"/>
  <c r="E78" i="21"/>
  <c r="D78" i="21"/>
  <c r="C78" i="21"/>
  <c r="B78" i="21"/>
  <c r="A78" i="21"/>
  <c r="BG77" i="21"/>
  <c r="BH77" i="21" s="1"/>
  <c r="BE77" i="21"/>
  <c r="AW77" i="21"/>
  <c r="AX77" i="21" s="1"/>
  <c r="AU77" i="21"/>
  <c r="AS77" i="21"/>
  <c r="AT77" i="21" s="1"/>
  <c r="AQ77" i="21"/>
  <c r="AR77" i="21" s="1"/>
  <c r="AO77" i="21"/>
  <c r="AP77" i="21" s="1"/>
  <c r="AM77" i="21"/>
  <c r="AN77" i="21" s="1"/>
  <c r="AK77" i="21"/>
  <c r="AL77" i="21" s="1"/>
  <c r="AG77" i="21"/>
  <c r="AH77" i="21" s="1"/>
  <c r="AE77" i="21"/>
  <c r="AF77" i="21" s="1"/>
  <c r="AC77" i="21"/>
  <c r="AA77" i="21"/>
  <c r="AB77" i="21" s="1"/>
  <c r="W77" i="21"/>
  <c r="X77" i="21" s="1"/>
  <c r="U77" i="21"/>
  <c r="V77" i="21" s="1"/>
  <c r="S77" i="21"/>
  <c r="T77" i="21" s="1"/>
  <c r="Q77" i="21"/>
  <c r="P77" i="21"/>
  <c r="O77" i="21"/>
  <c r="N77" i="21"/>
  <c r="M77" i="21"/>
  <c r="L77" i="21"/>
  <c r="K77" i="21"/>
  <c r="J77" i="21"/>
  <c r="I77" i="21"/>
  <c r="H77" i="21"/>
  <c r="G77" i="21"/>
  <c r="F77" i="21"/>
  <c r="E77" i="21"/>
  <c r="D77" i="21"/>
  <c r="C77" i="21"/>
  <c r="B77" i="21"/>
  <c r="A77" i="21"/>
  <c r="BG76" i="21"/>
  <c r="BH76" i="21" s="1"/>
  <c r="BE76" i="21"/>
  <c r="BF76" i="21" s="1"/>
  <c r="AW76" i="21"/>
  <c r="AX76" i="21" s="1"/>
  <c r="AU76" i="21"/>
  <c r="AV76" i="21" s="1"/>
  <c r="AS76" i="21"/>
  <c r="AT76" i="21" s="1"/>
  <c r="AQ76" i="21"/>
  <c r="AR76" i="21" s="1"/>
  <c r="AO76" i="21"/>
  <c r="AP76" i="21" s="1"/>
  <c r="AM76" i="21"/>
  <c r="AN76" i="21" s="1"/>
  <c r="AK76" i="21"/>
  <c r="AL76" i="21" s="1"/>
  <c r="AG76" i="21"/>
  <c r="AE76" i="21"/>
  <c r="AF76" i="21" s="1"/>
  <c r="AC76" i="21"/>
  <c r="AD76" i="21" s="1"/>
  <c r="AA76" i="21"/>
  <c r="AB76" i="21" s="1"/>
  <c r="W76" i="21"/>
  <c r="X76" i="21" s="1"/>
  <c r="U76" i="21"/>
  <c r="S76" i="21"/>
  <c r="T76" i="21" s="1"/>
  <c r="Q76" i="21"/>
  <c r="R76" i="21" s="1"/>
  <c r="P76" i="21"/>
  <c r="O76" i="21"/>
  <c r="N76" i="21"/>
  <c r="M76" i="21"/>
  <c r="L76" i="21"/>
  <c r="K76" i="21"/>
  <c r="J76" i="21"/>
  <c r="I76" i="21"/>
  <c r="H76" i="21"/>
  <c r="G76" i="21"/>
  <c r="F76" i="21"/>
  <c r="E76" i="21"/>
  <c r="D76" i="21"/>
  <c r="C76" i="21"/>
  <c r="B76" i="21"/>
  <c r="A76" i="21"/>
  <c r="BG75" i="21"/>
  <c r="BE75" i="21"/>
  <c r="BF75" i="21" s="1"/>
  <c r="AW75" i="21"/>
  <c r="AX75" i="21" s="1"/>
  <c r="AU75" i="21"/>
  <c r="AV75" i="21" s="1"/>
  <c r="AS75" i="21"/>
  <c r="AT75" i="21" s="1"/>
  <c r="AQ75" i="21"/>
  <c r="AR75" i="21" s="1"/>
  <c r="AO75" i="21"/>
  <c r="AP75" i="21" s="1"/>
  <c r="AM75" i="21"/>
  <c r="AK75" i="21"/>
  <c r="AL75" i="21" s="1"/>
  <c r="AG75" i="21"/>
  <c r="AH75" i="21" s="1"/>
  <c r="AE75" i="21"/>
  <c r="AF75" i="21" s="1"/>
  <c r="AC75" i="21"/>
  <c r="AD75" i="21" s="1"/>
  <c r="AA75" i="21"/>
  <c r="W75" i="21"/>
  <c r="X75" i="21" s="1"/>
  <c r="U75" i="21"/>
  <c r="V75" i="21" s="1"/>
  <c r="S75" i="21"/>
  <c r="Q75" i="21"/>
  <c r="R75" i="21" s="1"/>
  <c r="P75" i="21"/>
  <c r="O75" i="21"/>
  <c r="N75" i="21"/>
  <c r="M75" i="21"/>
  <c r="L75" i="21"/>
  <c r="K75" i="21"/>
  <c r="J75" i="21"/>
  <c r="I75" i="21"/>
  <c r="H75" i="21"/>
  <c r="G75" i="21"/>
  <c r="F75" i="21"/>
  <c r="E75" i="21"/>
  <c r="D75" i="21"/>
  <c r="C75" i="21"/>
  <c r="B75" i="21"/>
  <c r="A75" i="21"/>
  <c r="BG74" i="21"/>
  <c r="BH74" i="21" s="1"/>
  <c r="BE74" i="21"/>
  <c r="BF74" i="21" s="1"/>
  <c r="AW74" i="21"/>
  <c r="AX74" i="21" s="1"/>
  <c r="AU74" i="21"/>
  <c r="AV74" i="21" s="1"/>
  <c r="AS74" i="21"/>
  <c r="AT74" i="21" s="1"/>
  <c r="AQ74" i="21"/>
  <c r="AO74" i="21"/>
  <c r="AP74" i="21" s="1"/>
  <c r="AM74" i="21"/>
  <c r="AK74" i="21"/>
  <c r="AL74" i="21" s="1"/>
  <c r="AG74" i="21"/>
  <c r="AH74" i="21" s="1"/>
  <c r="AE74" i="21"/>
  <c r="AC74" i="21"/>
  <c r="AD74" i="21" s="1"/>
  <c r="AA74" i="21"/>
  <c r="AB74" i="21" s="1"/>
  <c r="W74" i="21"/>
  <c r="U74" i="21"/>
  <c r="V74" i="21" s="1"/>
  <c r="S74" i="21"/>
  <c r="T74" i="21" s="1"/>
  <c r="Q74" i="21"/>
  <c r="R74" i="21" s="1"/>
  <c r="P74" i="21"/>
  <c r="O74" i="21"/>
  <c r="N74" i="21"/>
  <c r="M74" i="21"/>
  <c r="L74" i="21"/>
  <c r="K74" i="21"/>
  <c r="J74" i="21"/>
  <c r="I74" i="21"/>
  <c r="H74" i="21"/>
  <c r="G74" i="21"/>
  <c r="F74" i="21"/>
  <c r="E74" i="21"/>
  <c r="D74" i="21"/>
  <c r="C74" i="21"/>
  <c r="B74" i="21"/>
  <c r="A74" i="21"/>
  <c r="BG73" i="21"/>
  <c r="BH73" i="21" s="1"/>
  <c r="BE73" i="21"/>
  <c r="BF73" i="21" s="1"/>
  <c r="AW73" i="21"/>
  <c r="AX73" i="21" s="1"/>
  <c r="AU73" i="21"/>
  <c r="AS73" i="21"/>
  <c r="AT73" i="21" s="1"/>
  <c r="AQ73" i="21"/>
  <c r="AR73" i="21" s="1"/>
  <c r="AO73" i="21"/>
  <c r="AP73" i="21" s="1"/>
  <c r="AM73" i="21"/>
  <c r="AN73" i="21" s="1"/>
  <c r="AK73" i="21"/>
  <c r="AG73" i="21"/>
  <c r="AH73" i="21" s="1"/>
  <c r="AE73" i="21"/>
  <c r="AF73" i="21" s="1"/>
  <c r="AC73" i="21"/>
  <c r="AA73" i="21"/>
  <c r="AB73" i="21" s="1"/>
  <c r="W73" i="21"/>
  <c r="X73" i="21" s="1"/>
  <c r="U73" i="21"/>
  <c r="V73" i="21" s="1"/>
  <c r="S73" i="21"/>
  <c r="T73" i="21" s="1"/>
  <c r="Q73" i="21"/>
  <c r="R73" i="21" s="1"/>
  <c r="P73" i="21"/>
  <c r="O73" i="21"/>
  <c r="N73" i="21"/>
  <c r="M73" i="21"/>
  <c r="L73" i="21"/>
  <c r="K73" i="21"/>
  <c r="J73" i="21"/>
  <c r="I73" i="21"/>
  <c r="H73" i="21"/>
  <c r="G73" i="21"/>
  <c r="F73" i="21"/>
  <c r="E73" i="21"/>
  <c r="D73" i="21"/>
  <c r="C73" i="21"/>
  <c r="B73" i="21"/>
  <c r="A73" i="21"/>
  <c r="BG72" i="21"/>
  <c r="BH72" i="21" s="1"/>
  <c r="BE72" i="21"/>
  <c r="BF72" i="21" s="1"/>
  <c r="AW72" i="21"/>
  <c r="AX72" i="21" s="1"/>
  <c r="AU72" i="21"/>
  <c r="AV72" i="21" s="1"/>
  <c r="AS72" i="21"/>
  <c r="AT72" i="21" s="1"/>
  <c r="AQ72" i="21"/>
  <c r="AR72" i="21" s="1"/>
  <c r="AO72" i="21"/>
  <c r="AM72" i="21"/>
  <c r="AN72" i="21" s="1"/>
  <c r="AK72" i="21"/>
  <c r="AL72" i="21" s="1"/>
  <c r="AG72" i="21"/>
  <c r="AE72" i="21"/>
  <c r="AF72" i="21" s="1"/>
  <c r="AC72" i="21"/>
  <c r="AD72" i="21" s="1"/>
  <c r="AA72" i="21"/>
  <c r="AB72" i="21" s="1"/>
  <c r="AI72" i="21" s="1"/>
  <c r="W72" i="21"/>
  <c r="X72" i="21" s="1"/>
  <c r="U72" i="21"/>
  <c r="S72" i="21"/>
  <c r="T72" i="21" s="1"/>
  <c r="Q72" i="21"/>
  <c r="R72" i="21" s="1"/>
  <c r="P72" i="21"/>
  <c r="O72" i="21"/>
  <c r="N72" i="21"/>
  <c r="M72" i="21"/>
  <c r="L72" i="21"/>
  <c r="K72" i="21"/>
  <c r="J72" i="21"/>
  <c r="I72" i="21"/>
  <c r="H72" i="21"/>
  <c r="G72" i="21"/>
  <c r="F72" i="21"/>
  <c r="E72" i="21"/>
  <c r="D72" i="21"/>
  <c r="C72" i="21"/>
  <c r="B72" i="21"/>
  <c r="A72" i="21"/>
  <c r="BG71" i="21"/>
  <c r="BE71" i="21"/>
  <c r="BF71" i="21" s="1"/>
  <c r="AW71" i="21"/>
  <c r="AX71" i="21" s="1"/>
  <c r="AU71" i="21"/>
  <c r="AV71" i="21" s="1"/>
  <c r="AS71" i="21"/>
  <c r="AQ71" i="21"/>
  <c r="AR71" i="21" s="1"/>
  <c r="AO71" i="21"/>
  <c r="AP71" i="21" s="1"/>
  <c r="AM71" i="21"/>
  <c r="AK71" i="21"/>
  <c r="AL71" i="21" s="1"/>
  <c r="AG71" i="21"/>
  <c r="AH71" i="21" s="1"/>
  <c r="AE71" i="21"/>
  <c r="AF71" i="21" s="1"/>
  <c r="AC71" i="21"/>
  <c r="AD71" i="21" s="1"/>
  <c r="AJ71" i="21" s="1"/>
  <c r="AA71" i="21"/>
  <c r="AB71" i="21" s="1"/>
  <c r="W71" i="21"/>
  <c r="X71" i="21" s="1"/>
  <c r="U71" i="21"/>
  <c r="V71" i="21" s="1"/>
  <c r="S71" i="21"/>
  <c r="Q71" i="21"/>
  <c r="R71" i="21" s="1"/>
  <c r="P71" i="21"/>
  <c r="O71" i="21"/>
  <c r="N71" i="21"/>
  <c r="M71" i="21"/>
  <c r="L71" i="21"/>
  <c r="K71" i="21"/>
  <c r="J71" i="21"/>
  <c r="I71" i="21"/>
  <c r="H71" i="21"/>
  <c r="G71" i="21"/>
  <c r="F71" i="21"/>
  <c r="E71" i="21"/>
  <c r="D71" i="21"/>
  <c r="C71" i="21"/>
  <c r="B71" i="21"/>
  <c r="A71" i="21"/>
  <c r="BG70" i="21"/>
  <c r="BH70" i="21" s="1"/>
  <c r="BE70" i="21"/>
  <c r="BF70" i="21" s="1"/>
  <c r="AW70" i="21"/>
  <c r="AX70" i="21" s="1"/>
  <c r="AU70" i="21"/>
  <c r="AV70" i="21" s="1"/>
  <c r="AS70" i="21"/>
  <c r="AT70" i="21" s="1"/>
  <c r="AQ70" i="21"/>
  <c r="AO70" i="21"/>
  <c r="AP70" i="21" s="1"/>
  <c r="AM70" i="21"/>
  <c r="AK70" i="21"/>
  <c r="AL70" i="21" s="1"/>
  <c r="AG70" i="21"/>
  <c r="AH70" i="21" s="1"/>
  <c r="AE70" i="21"/>
  <c r="AF70" i="21" s="1"/>
  <c r="AC70" i="21"/>
  <c r="AD70" i="21" s="1"/>
  <c r="AA70" i="21"/>
  <c r="AB70" i="21" s="1"/>
  <c r="W70" i="21"/>
  <c r="U70" i="21"/>
  <c r="V70" i="21" s="1"/>
  <c r="S70" i="21"/>
  <c r="T70" i="21" s="1"/>
  <c r="Q70" i="21"/>
  <c r="R70" i="21" s="1"/>
  <c r="P70" i="21"/>
  <c r="O70" i="21"/>
  <c r="N70" i="21"/>
  <c r="M70" i="21"/>
  <c r="L70" i="21"/>
  <c r="K70" i="21"/>
  <c r="J70" i="21"/>
  <c r="I70" i="21"/>
  <c r="H70" i="21"/>
  <c r="G70" i="21"/>
  <c r="F70" i="21"/>
  <c r="E70" i="21"/>
  <c r="D70" i="21"/>
  <c r="C70" i="21"/>
  <c r="B70" i="21"/>
  <c r="A70" i="21"/>
  <c r="BG69" i="21"/>
  <c r="BH69" i="21" s="1"/>
  <c r="BE69" i="21"/>
  <c r="AW69" i="21"/>
  <c r="AX69" i="21" s="1"/>
  <c r="AU69" i="21"/>
  <c r="AS69" i="21"/>
  <c r="AT69" i="21" s="1"/>
  <c r="AQ69" i="21"/>
  <c r="AR69" i="21" s="1"/>
  <c r="AO69" i="21"/>
  <c r="AP69" i="21" s="1"/>
  <c r="AM69" i="21"/>
  <c r="AN69" i="21" s="1"/>
  <c r="AK69" i="21"/>
  <c r="AG69" i="21"/>
  <c r="AH69" i="21" s="1"/>
  <c r="AE69" i="21"/>
  <c r="AF69" i="21" s="1"/>
  <c r="AC69" i="21"/>
  <c r="AA69" i="21"/>
  <c r="AB69" i="21" s="1"/>
  <c r="W69" i="21"/>
  <c r="X69" i="21" s="1"/>
  <c r="U69" i="21"/>
  <c r="V69" i="21" s="1"/>
  <c r="S69" i="21"/>
  <c r="T69" i="21" s="1"/>
  <c r="Q69" i="21"/>
  <c r="R69" i="21" s="1"/>
  <c r="P69" i="21"/>
  <c r="O69" i="21"/>
  <c r="N69" i="21"/>
  <c r="M69" i="21"/>
  <c r="L69" i="21"/>
  <c r="K69" i="21"/>
  <c r="J69" i="21"/>
  <c r="I69" i="21"/>
  <c r="H69" i="21"/>
  <c r="G69" i="21"/>
  <c r="F69" i="21"/>
  <c r="E69" i="21"/>
  <c r="D69" i="21"/>
  <c r="C69" i="21"/>
  <c r="B69" i="21"/>
  <c r="A69" i="21"/>
  <c r="BG68" i="21"/>
  <c r="BH68" i="21" s="1"/>
  <c r="BE68" i="21"/>
  <c r="AW68" i="21"/>
  <c r="AX68" i="21" s="1"/>
  <c r="AU68" i="21"/>
  <c r="AV68" i="21" s="1"/>
  <c r="AS68" i="21"/>
  <c r="AT68" i="21" s="1"/>
  <c r="AQ68" i="21"/>
  <c r="AR68" i="21" s="1"/>
  <c r="AO68" i="21"/>
  <c r="AM68" i="21"/>
  <c r="AN68" i="21" s="1"/>
  <c r="AK68" i="21"/>
  <c r="AL68" i="21" s="1"/>
  <c r="AG68" i="21"/>
  <c r="AE68" i="21"/>
  <c r="AF68" i="21" s="1"/>
  <c r="AC68" i="21"/>
  <c r="AA68" i="21"/>
  <c r="AB68" i="21" s="1"/>
  <c r="W68" i="21"/>
  <c r="X68" i="21" s="1"/>
  <c r="U68" i="21"/>
  <c r="S68" i="21"/>
  <c r="T68" i="21" s="1"/>
  <c r="Q68" i="21"/>
  <c r="R68" i="21" s="1"/>
  <c r="P68" i="21"/>
  <c r="O68" i="21"/>
  <c r="N68" i="21"/>
  <c r="M68" i="21"/>
  <c r="L68" i="21"/>
  <c r="K68" i="21"/>
  <c r="J68" i="21"/>
  <c r="I68" i="21"/>
  <c r="H68" i="21"/>
  <c r="G68" i="21"/>
  <c r="F68" i="21"/>
  <c r="E68" i="21"/>
  <c r="D68" i="21"/>
  <c r="C68" i="21"/>
  <c r="B68" i="21"/>
  <c r="A68" i="21"/>
  <c r="BG67" i="21"/>
  <c r="BE67" i="21"/>
  <c r="BF67" i="21" s="1"/>
  <c r="AW67" i="21"/>
  <c r="AX67" i="21" s="1"/>
  <c r="AU67" i="21"/>
  <c r="AV67" i="21" s="1"/>
  <c r="AS67" i="21"/>
  <c r="AT67" i="21" s="1"/>
  <c r="AQ67" i="21"/>
  <c r="AR67" i="21" s="1"/>
  <c r="AO67" i="21"/>
  <c r="AP67" i="21" s="1"/>
  <c r="AM67" i="21"/>
  <c r="AK67" i="21"/>
  <c r="AL67" i="21" s="1"/>
  <c r="AG67" i="21"/>
  <c r="AH67" i="21" s="1"/>
  <c r="AE67" i="21"/>
  <c r="AF67" i="21" s="1"/>
  <c r="AC67" i="21"/>
  <c r="AD67" i="21" s="1"/>
  <c r="AA67" i="21"/>
  <c r="W67" i="21"/>
  <c r="X67" i="21" s="1"/>
  <c r="U67" i="21"/>
  <c r="V67" i="21" s="1"/>
  <c r="S67" i="21"/>
  <c r="Q67" i="21"/>
  <c r="R67" i="21" s="1"/>
  <c r="P67" i="21"/>
  <c r="O67" i="21"/>
  <c r="N67" i="21"/>
  <c r="M67" i="21"/>
  <c r="L67" i="21"/>
  <c r="K67" i="21"/>
  <c r="J67" i="21"/>
  <c r="I67" i="21"/>
  <c r="H67" i="21"/>
  <c r="G67" i="21"/>
  <c r="F67" i="21"/>
  <c r="E67" i="21"/>
  <c r="D67" i="21"/>
  <c r="C67" i="21"/>
  <c r="B67" i="21"/>
  <c r="A67" i="21"/>
  <c r="BG66" i="21"/>
  <c r="BE66" i="21"/>
  <c r="BF66" i="21" s="1"/>
  <c r="AW66" i="21"/>
  <c r="AX66" i="21" s="1"/>
  <c r="AU66" i="21"/>
  <c r="AV66" i="21" s="1"/>
  <c r="AS66" i="21"/>
  <c r="AT66" i="21" s="1"/>
  <c r="AQ66" i="21"/>
  <c r="AO66" i="21"/>
  <c r="AP66" i="21" s="1"/>
  <c r="AM66" i="21"/>
  <c r="AN66" i="21" s="1"/>
  <c r="AK66" i="21"/>
  <c r="AL66" i="21" s="1"/>
  <c r="AG66" i="21"/>
  <c r="AH66" i="21" s="1"/>
  <c r="AE66" i="21"/>
  <c r="AF66" i="21" s="1"/>
  <c r="AC66" i="21"/>
  <c r="AD66" i="21" s="1"/>
  <c r="AA66" i="21"/>
  <c r="AB66" i="21" s="1"/>
  <c r="W66" i="21"/>
  <c r="U66" i="21"/>
  <c r="V66" i="21" s="1"/>
  <c r="S66" i="21"/>
  <c r="Q66" i="21"/>
  <c r="R66" i="21" s="1"/>
  <c r="P66" i="21"/>
  <c r="O66" i="21"/>
  <c r="N66" i="21"/>
  <c r="M66" i="21"/>
  <c r="L66" i="21"/>
  <c r="K66" i="21"/>
  <c r="J66" i="21"/>
  <c r="I66" i="21"/>
  <c r="H66" i="21"/>
  <c r="G66" i="21"/>
  <c r="F66" i="21"/>
  <c r="E66" i="21"/>
  <c r="D66" i="21"/>
  <c r="C66" i="21"/>
  <c r="B66" i="21"/>
  <c r="A66" i="21"/>
  <c r="BG65" i="21"/>
  <c r="BH65" i="21" s="1"/>
  <c r="BE65" i="21"/>
  <c r="AW65" i="21"/>
  <c r="AX65" i="21" s="1"/>
  <c r="AU65" i="21"/>
  <c r="AS65" i="21"/>
  <c r="AT65" i="21" s="1"/>
  <c r="AQ65" i="21"/>
  <c r="AR65" i="21" s="1"/>
  <c r="AO65" i="21"/>
  <c r="AP65" i="21" s="1"/>
  <c r="AM65" i="21"/>
  <c r="AN65" i="21" s="1"/>
  <c r="AK65" i="21"/>
  <c r="AL65" i="21" s="1"/>
  <c r="AG65" i="21"/>
  <c r="AH65" i="21" s="1"/>
  <c r="AE65" i="21"/>
  <c r="AC65" i="21"/>
  <c r="AA65" i="21"/>
  <c r="AB65" i="21" s="1"/>
  <c r="W65" i="21"/>
  <c r="X65" i="21" s="1"/>
  <c r="U65" i="21"/>
  <c r="V65" i="21" s="1"/>
  <c r="S65" i="21"/>
  <c r="T65" i="21" s="1"/>
  <c r="Q65" i="21"/>
  <c r="P65" i="21"/>
  <c r="O65" i="21"/>
  <c r="N65" i="21"/>
  <c r="M65" i="21"/>
  <c r="L65" i="21"/>
  <c r="K65" i="21"/>
  <c r="J65" i="21"/>
  <c r="I65" i="21"/>
  <c r="H65" i="21"/>
  <c r="G65" i="21"/>
  <c r="F65" i="21"/>
  <c r="E65" i="21"/>
  <c r="D65" i="21"/>
  <c r="C65" i="21"/>
  <c r="B65" i="21"/>
  <c r="A65" i="21"/>
  <c r="BG64" i="21"/>
  <c r="BH64" i="21" s="1"/>
  <c r="BE64" i="21"/>
  <c r="BF64" i="21" s="1"/>
  <c r="AW64" i="21"/>
  <c r="AX64" i="21" s="1"/>
  <c r="AU64" i="21"/>
  <c r="AS64" i="21"/>
  <c r="AT64" i="21" s="1"/>
  <c r="AQ64" i="21"/>
  <c r="AR64" i="21" s="1"/>
  <c r="AO64" i="21"/>
  <c r="AM64" i="21"/>
  <c r="AN64" i="21" s="1"/>
  <c r="AK64" i="21"/>
  <c r="AL64" i="21" s="1"/>
  <c r="AG64" i="21"/>
  <c r="AE64" i="21"/>
  <c r="AF64" i="21" s="1"/>
  <c r="AC64" i="21"/>
  <c r="AA64" i="21"/>
  <c r="AB64" i="21" s="1"/>
  <c r="AI64" i="21" s="1"/>
  <c r="W64" i="21"/>
  <c r="X64" i="21" s="1"/>
  <c r="U64" i="21"/>
  <c r="V64" i="21" s="1"/>
  <c r="S64" i="21"/>
  <c r="T64" i="21" s="1"/>
  <c r="Q64" i="21"/>
  <c r="R64" i="21" s="1"/>
  <c r="P64" i="21"/>
  <c r="O64" i="21"/>
  <c r="N64" i="21"/>
  <c r="M64" i="21"/>
  <c r="L64" i="21"/>
  <c r="K64" i="21"/>
  <c r="J64" i="21"/>
  <c r="I64" i="21"/>
  <c r="H64" i="21"/>
  <c r="G64" i="21"/>
  <c r="F64" i="21"/>
  <c r="E64" i="21"/>
  <c r="D64" i="21"/>
  <c r="C64" i="21"/>
  <c r="B64" i="21"/>
  <c r="A64" i="21"/>
  <c r="BG63" i="21"/>
  <c r="BE63" i="21"/>
  <c r="BF63" i="21" s="1"/>
  <c r="AW63" i="21"/>
  <c r="AX63" i="21" s="1"/>
  <c r="AU63" i="21"/>
  <c r="AV63" i="21" s="1"/>
  <c r="AS63" i="21"/>
  <c r="AQ63" i="21"/>
  <c r="AR63" i="21" s="1"/>
  <c r="AO63" i="21"/>
  <c r="AP63" i="21" s="1"/>
  <c r="AM63" i="21"/>
  <c r="AK63" i="21"/>
  <c r="AL63" i="21" s="1"/>
  <c r="AG63" i="21"/>
  <c r="AH63" i="21" s="1"/>
  <c r="AE63" i="21"/>
  <c r="AF63" i="21" s="1"/>
  <c r="AC63" i="21"/>
  <c r="AD63" i="21" s="1"/>
  <c r="AJ63" i="21" s="1"/>
  <c r="AA63" i="21"/>
  <c r="W63" i="21"/>
  <c r="X63" i="21" s="1"/>
  <c r="U63" i="21"/>
  <c r="V63" i="21" s="1"/>
  <c r="S63" i="21"/>
  <c r="T63" i="21" s="1"/>
  <c r="Q63" i="21"/>
  <c r="R63" i="21" s="1"/>
  <c r="P63" i="21"/>
  <c r="O63" i="21"/>
  <c r="N63" i="21"/>
  <c r="M63" i="21"/>
  <c r="L63" i="21"/>
  <c r="K63" i="21"/>
  <c r="J63" i="21"/>
  <c r="I63" i="21"/>
  <c r="H63" i="21"/>
  <c r="G63" i="21"/>
  <c r="F63" i="21"/>
  <c r="E63" i="21"/>
  <c r="D63" i="21"/>
  <c r="C63" i="21"/>
  <c r="B63" i="21"/>
  <c r="A63" i="21"/>
  <c r="BG62" i="21"/>
  <c r="BH62" i="21" s="1"/>
  <c r="BE62" i="21"/>
  <c r="BF62" i="21" s="1"/>
  <c r="AW62" i="21"/>
  <c r="AX62" i="21" s="1"/>
  <c r="AU62" i="21"/>
  <c r="AV62" i="21" s="1"/>
  <c r="AS62" i="21"/>
  <c r="AT62" i="21" s="1"/>
  <c r="AQ62" i="21"/>
  <c r="AO62" i="21"/>
  <c r="AP62" i="21" s="1"/>
  <c r="AM62" i="21"/>
  <c r="AK62" i="21"/>
  <c r="AL62" i="21" s="1"/>
  <c r="AG62" i="21"/>
  <c r="AH62" i="21" s="1"/>
  <c r="AE62" i="21"/>
  <c r="AC62" i="21"/>
  <c r="AD62" i="21" s="1"/>
  <c r="AA62" i="21"/>
  <c r="AB62" i="21" s="1"/>
  <c r="W62" i="21"/>
  <c r="U62" i="21"/>
  <c r="V62" i="21" s="1"/>
  <c r="S62" i="21"/>
  <c r="T62" i="21" s="1"/>
  <c r="Q62" i="21"/>
  <c r="R62" i="21" s="1"/>
  <c r="P62" i="21"/>
  <c r="O62" i="21"/>
  <c r="N62" i="21"/>
  <c r="M62" i="21"/>
  <c r="L62" i="21"/>
  <c r="K62" i="21"/>
  <c r="J62" i="21"/>
  <c r="I62" i="21"/>
  <c r="H62" i="21"/>
  <c r="G62" i="21"/>
  <c r="F62" i="21"/>
  <c r="E62" i="21"/>
  <c r="D62" i="21"/>
  <c r="C62" i="21"/>
  <c r="B62" i="21"/>
  <c r="A62" i="21"/>
  <c r="BG61" i="21"/>
  <c r="BH61" i="21" s="1"/>
  <c r="BE61" i="21"/>
  <c r="BF61" i="21" s="1"/>
  <c r="AW61" i="21"/>
  <c r="AU61" i="21"/>
  <c r="AS61" i="21"/>
  <c r="AT61" i="21" s="1"/>
  <c r="AQ61" i="21"/>
  <c r="AR61" i="21" s="1"/>
  <c r="AO61" i="21"/>
  <c r="AP61" i="21" s="1"/>
  <c r="AM61" i="21"/>
  <c r="AN61" i="21" s="1"/>
  <c r="AK61" i="21"/>
  <c r="AG61" i="21"/>
  <c r="AH61" i="21" s="1"/>
  <c r="AE61" i="21"/>
  <c r="AF61" i="21" s="1"/>
  <c r="AC61" i="21"/>
  <c r="AA61" i="21"/>
  <c r="AB61" i="21" s="1"/>
  <c r="W61" i="21"/>
  <c r="U61" i="21"/>
  <c r="V61" i="21" s="1"/>
  <c r="S61" i="21"/>
  <c r="T61" i="21" s="1"/>
  <c r="Q61" i="21"/>
  <c r="P61" i="21"/>
  <c r="O61" i="21"/>
  <c r="N61" i="21"/>
  <c r="M61" i="21"/>
  <c r="L61" i="21"/>
  <c r="K61" i="21"/>
  <c r="J61" i="21"/>
  <c r="I61" i="21"/>
  <c r="H61" i="21"/>
  <c r="G61" i="21"/>
  <c r="F61" i="21"/>
  <c r="E61" i="21"/>
  <c r="D61" i="21"/>
  <c r="C61" i="21"/>
  <c r="B61" i="21"/>
  <c r="A61" i="21"/>
  <c r="BG60" i="21"/>
  <c r="BH60" i="21" s="1"/>
  <c r="BE60" i="21"/>
  <c r="BF60" i="21" s="1"/>
  <c r="AW60" i="21"/>
  <c r="AX60" i="21" s="1"/>
  <c r="AU60" i="21"/>
  <c r="AS60" i="21"/>
  <c r="AT60" i="21" s="1"/>
  <c r="AQ60" i="21"/>
  <c r="AR60" i="21" s="1"/>
  <c r="AO60" i="21"/>
  <c r="AP60" i="21" s="1"/>
  <c r="AM60" i="21"/>
  <c r="AN60" i="21" s="1"/>
  <c r="AK60" i="21"/>
  <c r="AL60" i="21" s="1"/>
  <c r="AG60" i="21"/>
  <c r="AE60" i="21"/>
  <c r="AF60" i="21" s="1"/>
  <c r="AC60" i="21"/>
  <c r="AD60" i="21" s="1"/>
  <c r="AA60" i="21"/>
  <c r="AB60" i="21" s="1"/>
  <c r="W60" i="21"/>
  <c r="X60" i="21" s="1"/>
  <c r="U60" i="21"/>
  <c r="S60" i="21"/>
  <c r="T60" i="21" s="1"/>
  <c r="Q60" i="21"/>
  <c r="R60" i="21" s="1"/>
  <c r="P60" i="21"/>
  <c r="O60" i="21"/>
  <c r="N60" i="21"/>
  <c r="M60" i="21"/>
  <c r="L60" i="21"/>
  <c r="K60" i="21"/>
  <c r="J60" i="21"/>
  <c r="I60" i="21"/>
  <c r="H60" i="21"/>
  <c r="G60" i="21"/>
  <c r="F60" i="21"/>
  <c r="E60" i="21"/>
  <c r="D60" i="21"/>
  <c r="C60" i="21"/>
  <c r="B60" i="21"/>
  <c r="A60" i="21"/>
  <c r="BG59" i="21"/>
  <c r="BE59" i="21"/>
  <c r="BF59" i="21" s="1"/>
  <c r="AW59" i="21"/>
  <c r="AX59" i="21" s="1"/>
  <c r="AU59" i="21"/>
  <c r="AV59" i="21" s="1"/>
  <c r="AS59" i="21"/>
  <c r="AQ59" i="21"/>
  <c r="AR59" i="21" s="1"/>
  <c r="AO59" i="21"/>
  <c r="AP59" i="21" s="1"/>
  <c r="AM59" i="21"/>
  <c r="AK59" i="21"/>
  <c r="AL59" i="21" s="1"/>
  <c r="AG59" i="21"/>
  <c r="AH59" i="21" s="1"/>
  <c r="AE59" i="21"/>
  <c r="AF59" i="21" s="1"/>
  <c r="AC59" i="21"/>
  <c r="AD59" i="21" s="1"/>
  <c r="AA59" i="21"/>
  <c r="W59" i="21"/>
  <c r="X59" i="21" s="1"/>
  <c r="U59" i="21"/>
  <c r="V59" i="21" s="1"/>
  <c r="S59" i="21"/>
  <c r="Q59" i="21"/>
  <c r="R59" i="21" s="1"/>
  <c r="P59" i="21"/>
  <c r="O59" i="21"/>
  <c r="N59" i="21"/>
  <c r="M59" i="21"/>
  <c r="L59" i="21"/>
  <c r="K59" i="21"/>
  <c r="J59" i="21"/>
  <c r="I59" i="21"/>
  <c r="H59" i="21"/>
  <c r="G59" i="21"/>
  <c r="F59" i="21"/>
  <c r="E59" i="21"/>
  <c r="D59" i="21"/>
  <c r="C59" i="21"/>
  <c r="B59" i="21"/>
  <c r="A59" i="21"/>
  <c r="BG58" i="21"/>
  <c r="BE58" i="21"/>
  <c r="BF58" i="21" s="1"/>
  <c r="AW58" i="21"/>
  <c r="AX58" i="21" s="1"/>
  <c r="AU58" i="21"/>
  <c r="AV58" i="21" s="1"/>
  <c r="AS58" i="21"/>
  <c r="AT58" i="21" s="1"/>
  <c r="AQ58" i="21"/>
  <c r="AO58" i="21"/>
  <c r="AP58" i="21" s="1"/>
  <c r="AM58" i="21"/>
  <c r="AN58" i="21" s="1"/>
  <c r="AK58" i="21"/>
  <c r="AL58" i="21" s="1"/>
  <c r="AG58" i="21"/>
  <c r="AH58" i="21" s="1"/>
  <c r="AE58" i="21"/>
  <c r="AF58" i="21" s="1"/>
  <c r="AC58" i="21"/>
  <c r="AD58" i="21" s="1"/>
  <c r="AA58" i="21"/>
  <c r="W58" i="21"/>
  <c r="U58" i="21"/>
  <c r="V58" i="21" s="1"/>
  <c r="S58" i="21"/>
  <c r="T58" i="21" s="1"/>
  <c r="Q58" i="21"/>
  <c r="R58" i="21" s="1"/>
  <c r="P58" i="21"/>
  <c r="O58" i="21"/>
  <c r="N58" i="21"/>
  <c r="M58" i="21"/>
  <c r="L58" i="21"/>
  <c r="K58" i="21"/>
  <c r="J58" i="21"/>
  <c r="I58" i="21"/>
  <c r="H58" i="21"/>
  <c r="G58" i="21"/>
  <c r="F58" i="21"/>
  <c r="E58" i="21"/>
  <c r="D58" i="21"/>
  <c r="C58" i="21"/>
  <c r="B58" i="21"/>
  <c r="A58" i="21"/>
  <c r="BG57" i="21"/>
  <c r="BH57" i="21" s="1"/>
  <c r="BE57" i="21"/>
  <c r="AW57" i="21"/>
  <c r="AX57" i="21" s="1"/>
  <c r="AU57" i="21"/>
  <c r="AS57" i="21"/>
  <c r="AT57" i="21" s="1"/>
  <c r="AQ57" i="21"/>
  <c r="AO57" i="21"/>
  <c r="AP57" i="21" s="1"/>
  <c r="AM57" i="21"/>
  <c r="AN57" i="21" s="1"/>
  <c r="AK57" i="21"/>
  <c r="AG57" i="21"/>
  <c r="AH57" i="21" s="1"/>
  <c r="AE57" i="21"/>
  <c r="AF57" i="21" s="1"/>
  <c r="AC57" i="21"/>
  <c r="AA57" i="21"/>
  <c r="AB57" i="21" s="1"/>
  <c r="W57" i="21"/>
  <c r="U57" i="21"/>
  <c r="V57" i="21" s="1"/>
  <c r="S57" i="21"/>
  <c r="T57" i="21" s="1"/>
  <c r="Q57" i="21"/>
  <c r="R57" i="21" s="1"/>
  <c r="P57" i="21"/>
  <c r="O57" i="21"/>
  <c r="N57" i="21"/>
  <c r="M57" i="21"/>
  <c r="L57" i="21"/>
  <c r="K57" i="21"/>
  <c r="J57" i="21"/>
  <c r="I57" i="21"/>
  <c r="H57" i="21"/>
  <c r="G57" i="21"/>
  <c r="F57" i="21"/>
  <c r="E57" i="21"/>
  <c r="D57" i="21"/>
  <c r="C57" i="21"/>
  <c r="B57" i="21"/>
  <c r="A57" i="21"/>
  <c r="BG56" i="21"/>
  <c r="BH56" i="21" s="1"/>
  <c r="BE56" i="21"/>
  <c r="BF56" i="21" s="1"/>
  <c r="AW56" i="21"/>
  <c r="AU56" i="21"/>
  <c r="AV56" i="21" s="1"/>
  <c r="AS56" i="21"/>
  <c r="AT56" i="21" s="1"/>
  <c r="AQ56" i="21"/>
  <c r="AR56" i="21" s="1"/>
  <c r="AO56" i="21"/>
  <c r="AM56" i="21"/>
  <c r="AN56" i="21" s="1"/>
  <c r="AK56" i="21"/>
  <c r="AG56" i="21"/>
  <c r="AH56" i="21" s="1"/>
  <c r="AE56" i="21"/>
  <c r="AF56" i="21" s="1"/>
  <c r="AC56" i="21"/>
  <c r="AD56" i="21" s="1"/>
  <c r="AA56" i="21"/>
  <c r="AB56" i="21" s="1"/>
  <c r="AI56" i="21" s="1"/>
  <c r="W56" i="21"/>
  <c r="U56" i="21"/>
  <c r="V56" i="21" s="1"/>
  <c r="S56" i="21"/>
  <c r="T56" i="21" s="1"/>
  <c r="Q56" i="21"/>
  <c r="R56" i="21" s="1"/>
  <c r="P56" i="21"/>
  <c r="O56" i="21"/>
  <c r="N56" i="21"/>
  <c r="M56" i="21"/>
  <c r="L56" i="21"/>
  <c r="K56" i="21"/>
  <c r="J56" i="21"/>
  <c r="I56" i="21"/>
  <c r="H56" i="21"/>
  <c r="G56" i="21"/>
  <c r="F56" i="21"/>
  <c r="E56" i="21"/>
  <c r="D56" i="21"/>
  <c r="C56" i="21"/>
  <c r="B56" i="21"/>
  <c r="A56" i="21"/>
  <c r="BG55" i="21"/>
  <c r="BE55" i="21"/>
  <c r="BF55" i="21" s="1"/>
  <c r="AW55" i="21"/>
  <c r="AX55" i="21" s="1"/>
  <c r="AU55" i="21"/>
  <c r="AV55" i="21" s="1"/>
  <c r="AS55" i="21"/>
  <c r="AQ55" i="21"/>
  <c r="AO55" i="21"/>
  <c r="AP55" i="21" s="1"/>
  <c r="AM55" i="21"/>
  <c r="AK55" i="21"/>
  <c r="AL55" i="21" s="1"/>
  <c r="AG55" i="21"/>
  <c r="AE55" i="21"/>
  <c r="AF55" i="21" s="1"/>
  <c r="AC55" i="21"/>
  <c r="AA55" i="21"/>
  <c r="AB55" i="21" s="1"/>
  <c r="W55" i="21"/>
  <c r="X55" i="21" s="1"/>
  <c r="U55" i="21"/>
  <c r="V55" i="21" s="1"/>
  <c r="S55" i="21"/>
  <c r="T55" i="21" s="1"/>
  <c r="Q55" i="21"/>
  <c r="R55" i="21" s="1"/>
  <c r="P55" i="21"/>
  <c r="O55" i="21"/>
  <c r="N55" i="21"/>
  <c r="M55" i="21"/>
  <c r="L55" i="21"/>
  <c r="K55" i="21"/>
  <c r="J55" i="21"/>
  <c r="I55" i="21"/>
  <c r="H55" i="21"/>
  <c r="G55" i="21"/>
  <c r="F55" i="21"/>
  <c r="E55" i="21"/>
  <c r="D55" i="21"/>
  <c r="C55" i="21"/>
  <c r="B55" i="21"/>
  <c r="A55" i="21"/>
  <c r="BG54" i="21"/>
  <c r="BH54" i="21" s="1"/>
  <c r="BE54" i="21"/>
  <c r="AW54" i="21"/>
  <c r="AU54" i="21"/>
  <c r="AS54" i="21"/>
  <c r="AT54" i="21" s="1"/>
  <c r="AQ54" i="21"/>
  <c r="AO54" i="21"/>
  <c r="AP54" i="21" s="1"/>
  <c r="AM54" i="21"/>
  <c r="AN54" i="21" s="1"/>
  <c r="AK54" i="21"/>
  <c r="AL54" i="21" s="1"/>
  <c r="AG54" i="21"/>
  <c r="AH54" i="21" s="1"/>
  <c r="AE54" i="21"/>
  <c r="AF54" i="21" s="1"/>
  <c r="AC54" i="21"/>
  <c r="AD54" i="21" s="1"/>
  <c r="AA54" i="21"/>
  <c r="W54" i="21"/>
  <c r="X54" i="21" s="1"/>
  <c r="U54" i="21"/>
  <c r="V54" i="21" s="1"/>
  <c r="S54" i="21"/>
  <c r="Q54" i="21"/>
  <c r="R54" i="21" s="1"/>
  <c r="P54" i="21"/>
  <c r="O54" i="21"/>
  <c r="N54" i="21"/>
  <c r="M54" i="21"/>
  <c r="L54" i="21"/>
  <c r="K54" i="21"/>
  <c r="J54" i="21"/>
  <c r="I54" i="21"/>
  <c r="H54" i="21"/>
  <c r="G54" i="21"/>
  <c r="F54" i="21"/>
  <c r="E54" i="21"/>
  <c r="D54" i="21"/>
  <c r="C54" i="21"/>
  <c r="B54" i="21"/>
  <c r="A54" i="21"/>
  <c r="BG53" i="21"/>
  <c r="BH53" i="21" s="1"/>
  <c r="BE53" i="21"/>
  <c r="AW53" i="21"/>
  <c r="AX53" i="21" s="1"/>
  <c r="AU53" i="21"/>
  <c r="AV53" i="21" s="1"/>
  <c r="AS53" i="21"/>
  <c r="AT53" i="21" s="1"/>
  <c r="AQ53" i="21"/>
  <c r="AR53" i="21" s="1"/>
  <c r="AO53" i="21"/>
  <c r="AP53" i="21" s="1"/>
  <c r="AM53" i="21"/>
  <c r="AN53" i="21" s="1"/>
  <c r="AK53" i="21"/>
  <c r="AG53" i="21"/>
  <c r="AH53" i="21" s="1"/>
  <c r="AE53" i="21"/>
  <c r="AF53" i="21" s="1"/>
  <c r="AC53" i="21"/>
  <c r="AA53" i="21"/>
  <c r="AB53" i="21" s="1"/>
  <c r="W53" i="21"/>
  <c r="X53" i="21" s="1"/>
  <c r="U53" i="21"/>
  <c r="V53" i="21" s="1"/>
  <c r="S53" i="21"/>
  <c r="T53" i="21" s="1"/>
  <c r="Q53" i="21"/>
  <c r="P53" i="21"/>
  <c r="O53" i="21"/>
  <c r="N53" i="21"/>
  <c r="M53" i="21"/>
  <c r="L53" i="21"/>
  <c r="K53" i="21"/>
  <c r="J53" i="21"/>
  <c r="I53" i="21"/>
  <c r="H53" i="21"/>
  <c r="G53" i="21"/>
  <c r="F53" i="21"/>
  <c r="E53" i="21"/>
  <c r="D53" i="21"/>
  <c r="C53" i="21"/>
  <c r="B53" i="21"/>
  <c r="A53" i="21"/>
  <c r="BG52" i="21"/>
  <c r="BE52" i="21"/>
  <c r="BF52" i="21" s="1"/>
  <c r="AW52" i="21"/>
  <c r="AX52" i="21" s="1"/>
  <c r="AU52" i="21"/>
  <c r="AV52" i="21" s="1"/>
  <c r="AS52" i="21"/>
  <c r="AT52" i="21" s="1"/>
  <c r="AQ52" i="21"/>
  <c r="AR52" i="21" s="1"/>
  <c r="AO52" i="21"/>
  <c r="AM52" i="21"/>
  <c r="AN52" i="21" s="1"/>
  <c r="AK52" i="21"/>
  <c r="AL52" i="21" s="1"/>
  <c r="AG52" i="21"/>
  <c r="AE52" i="21"/>
  <c r="AF52" i="21" s="1"/>
  <c r="AC52" i="21"/>
  <c r="AD52" i="21" s="1"/>
  <c r="AA52" i="21"/>
  <c r="AB52" i="21" s="1"/>
  <c r="W52" i="21"/>
  <c r="X52" i="21" s="1"/>
  <c r="U52" i="21"/>
  <c r="S52" i="21"/>
  <c r="Q52" i="21"/>
  <c r="R52" i="21" s="1"/>
  <c r="P52" i="21"/>
  <c r="O52" i="21"/>
  <c r="N52" i="21"/>
  <c r="M52" i="21"/>
  <c r="L52" i="21"/>
  <c r="K52" i="21"/>
  <c r="J52" i="21"/>
  <c r="I52" i="21"/>
  <c r="H52" i="21"/>
  <c r="G52" i="21"/>
  <c r="F52" i="21"/>
  <c r="E52" i="21"/>
  <c r="D52" i="21"/>
  <c r="C52" i="21"/>
  <c r="B52" i="21"/>
  <c r="A52" i="21"/>
  <c r="BG51" i="21"/>
  <c r="BE51" i="21"/>
  <c r="BF51" i="21" s="1"/>
  <c r="AW51" i="21"/>
  <c r="AX51" i="21" s="1"/>
  <c r="AU51" i="21"/>
  <c r="AV51" i="21" s="1"/>
  <c r="AS51" i="21"/>
  <c r="AQ51" i="21"/>
  <c r="AR51" i="21" s="1"/>
  <c r="AO51" i="21"/>
  <c r="AP51" i="21" s="1"/>
  <c r="AM51" i="21"/>
  <c r="AK51" i="21"/>
  <c r="AL51" i="21" s="1"/>
  <c r="AG51" i="21"/>
  <c r="AH51" i="21" s="1"/>
  <c r="AE51" i="21"/>
  <c r="AF51" i="21" s="1"/>
  <c r="AC51" i="21"/>
  <c r="AD51" i="21" s="1"/>
  <c r="AA51" i="21"/>
  <c r="W51" i="21"/>
  <c r="U51" i="21"/>
  <c r="V51" i="21" s="1"/>
  <c r="S51" i="21"/>
  <c r="Q51" i="21"/>
  <c r="R51" i="21" s="1"/>
  <c r="P51" i="21"/>
  <c r="O51" i="21"/>
  <c r="N51" i="21"/>
  <c r="M51" i="21"/>
  <c r="L51" i="21"/>
  <c r="K51" i="21"/>
  <c r="J51" i="21"/>
  <c r="I51" i="21"/>
  <c r="H51" i="21"/>
  <c r="G51" i="21"/>
  <c r="F51" i="21"/>
  <c r="E51" i="21"/>
  <c r="D51" i="21"/>
  <c r="C51" i="21"/>
  <c r="B51" i="21"/>
  <c r="A51" i="21"/>
  <c r="BG50" i="21"/>
  <c r="BH50" i="21" s="1"/>
  <c r="BE50" i="21"/>
  <c r="BF50" i="21" s="1"/>
  <c r="AW50" i="21"/>
  <c r="AX50" i="21" s="1"/>
  <c r="AU50" i="21"/>
  <c r="AV50" i="21" s="1"/>
  <c r="AS50" i="21"/>
  <c r="AT50" i="21" s="1"/>
  <c r="AQ50" i="21"/>
  <c r="AO50" i="21"/>
  <c r="AP50" i="21" s="1"/>
  <c r="AM50" i="21"/>
  <c r="AN50" i="21" s="1"/>
  <c r="AK50" i="21"/>
  <c r="AL50" i="21" s="1"/>
  <c r="AG50" i="21"/>
  <c r="AH50" i="21" s="1"/>
  <c r="AE50" i="21"/>
  <c r="AC50" i="21"/>
  <c r="AA50" i="21"/>
  <c r="AB50" i="21" s="1"/>
  <c r="W50" i="21"/>
  <c r="U50" i="21"/>
  <c r="V50" i="21" s="1"/>
  <c r="S50" i="21"/>
  <c r="T50" i="21" s="1"/>
  <c r="Q50" i="21"/>
  <c r="R50" i="21" s="1"/>
  <c r="P50" i="21"/>
  <c r="O50" i="21"/>
  <c r="N50" i="21"/>
  <c r="M50" i="21"/>
  <c r="L50" i="21"/>
  <c r="K50" i="21"/>
  <c r="J50" i="21"/>
  <c r="I50" i="21"/>
  <c r="H50" i="21"/>
  <c r="G50" i="21"/>
  <c r="F50" i="21"/>
  <c r="E50" i="21"/>
  <c r="D50" i="21"/>
  <c r="C50" i="21"/>
  <c r="B50" i="21"/>
  <c r="A50" i="21"/>
  <c r="BG49" i="21"/>
  <c r="BH49" i="21" s="1"/>
  <c r="BE49" i="21"/>
  <c r="AW49" i="21"/>
  <c r="AX49" i="21" s="1"/>
  <c r="AU49" i="21"/>
  <c r="AS49" i="21"/>
  <c r="AT49" i="21" s="1"/>
  <c r="AQ49" i="21"/>
  <c r="AR49" i="21" s="1"/>
  <c r="AO49" i="21"/>
  <c r="AP49" i="21" s="1"/>
  <c r="AM49" i="21"/>
  <c r="AN49" i="21" s="1"/>
  <c r="AK49" i="21"/>
  <c r="AG49" i="21"/>
  <c r="AE49" i="21"/>
  <c r="AF49" i="21" s="1"/>
  <c r="AC49" i="21"/>
  <c r="AA49" i="21"/>
  <c r="AB49" i="21" s="1"/>
  <c r="W49" i="21"/>
  <c r="X49" i="21" s="1"/>
  <c r="U49" i="21"/>
  <c r="V49" i="21" s="1"/>
  <c r="S49" i="21"/>
  <c r="T49" i="21" s="1"/>
  <c r="Q49" i="21"/>
  <c r="P49" i="21"/>
  <c r="O49" i="21"/>
  <c r="N49" i="21"/>
  <c r="M49" i="21"/>
  <c r="L49" i="21"/>
  <c r="K49" i="21"/>
  <c r="J49" i="21"/>
  <c r="I49" i="21"/>
  <c r="H49" i="21"/>
  <c r="G49" i="21"/>
  <c r="F49" i="21"/>
  <c r="E49" i="21"/>
  <c r="D49" i="21"/>
  <c r="C49" i="21"/>
  <c r="B49" i="21"/>
  <c r="A49" i="21"/>
  <c r="BG48" i="21"/>
  <c r="BH48" i="21" s="1"/>
  <c r="BE48" i="21"/>
  <c r="BF48" i="21" s="1"/>
  <c r="AW48" i="21"/>
  <c r="AU48" i="21"/>
  <c r="AV48" i="21" s="1"/>
  <c r="AS48" i="21"/>
  <c r="AT48" i="21" s="1"/>
  <c r="AQ48" i="21"/>
  <c r="AR48" i="21" s="1"/>
  <c r="AO48" i="21"/>
  <c r="AM48" i="21"/>
  <c r="AK48" i="21"/>
  <c r="AL48" i="21" s="1"/>
  <c r="AG48" i="21"/>
  <c r="AE48" i="21"/>
  <c r="AF48" i="21" s="1"/>
  <c r="AC48" i="21"/>
  <c r="AD48" i="21" s="1"/>
  <c r="AA48" i="21"/>
  <c r="AB48" i="21" s="1"/>
  <c r="AI48" i="21" s="1"/>
  <c r="W48" i="21"/>
  <c r="X48" i="21" s="1"/>
  <c r="U48" i="21"/>
  <c r="S48" i="21"/>
  <c r="T48" i="21" s="1"/>
  <c r="Q48" i="21"/>
  <c r="R48" i="21" s="1"/>
  <c r="P48" i="21"/>
  <c r="O48" i="21"/>
  <c r="N48" i="21"/>
  <c r="M48" i="21"/>
  <c r="L48" i="21"/>
  <c r="K48" i="21"/>
  <c r="J48" i="21"/>
  <c r="I48" i="21"/>
  <c r="H48" i="21"/>
  <c r="G48" i="21"/>
  <c r="F48" i="21"/>
  <c r="E48" i="21"/>
  <c r="D48" i="21"/>
  <c r="C48" i="21"/>
  <c r="B48" i="21"/>
  <c r="A48" i="21"/>
  <c r="BG47" i="21"/>
  <c r="BE47" i="21"/>
  <c r="BF47" i="21" s="1"/>
  <c r="AW47" i="21"/>
  <c r="AX47" i="21" s="1"/>
  <c r="AU47" i="21"/>
  <c r="AV47" i="21" s="1"/>
  <c r="AS47" i="21"/>
  <c r="AT47" i="21" s="1"/>
  <c r="AQ47" i="21"/>
  <c r="AO47" i="21"/>
  <c r="AP47" i="21" s="1"/>
  <c r="AM47" i="21"/>
  <c r="AK47" i="21"/>
  <c r="AL47" i="21" s="1"/>
  <c r="AG47" i="21"/>
  <c r="AH47" i="21" s="1"/>
  <c r="AE47" i="21"/>
  <c r="AF47" i="21" s="1"/>
  <c r="AC47" i="21"/>
  <c r="AD47" i="21" s="1"/>
  <c r="AJ47" i="21" s="1"/>
  <c r="AA47" i="21"/>
  <c r="W47" i="21"/>
  <c r="X47" i="21" s="1"/>
  <c r="U47" i="21"/>
  <c r="V47" i="21" s="1"/>
  <c r="S47" i="21"/>
  <c r="Q47" i="21"/>
  <c r="R47" i="21" s="1"/>
  <c r="P47" i="21"/>
  <c r="O47" i="21"/>
  <c r="N47" i="21"/>
  <c r="M47" i="21"/>
  <c r="L47" i="21"/>
  <c r="K47" i="21"/>
  <c r="J47" i="21"/>
  <c r="I47" i="21"/>
  <c r="H47" i="21"/>
  <c r="G47" i="21"/>
  <c r="F47" i="21"/>
  <c r="E47" i="21"/>
  <c r="D47" i="21"/>
  <c r="C47" i="21"/>
  <c r="B47" i="21"/>
  <c r="A47" i="21"/>
  <c r="BG46" i="21"/>
  <c r="BH46" i="21" s="1"/>
  <c r="BE46" i="21"/>
  <c r="BF46" i="21" s="1"/>
  <c r="AW46" i="21"/>
  <c r="AX46" i="21" s="1"/>
  <c r="AU46" i="21"/>
  <c r="AS46" i="21"/>
  <c r="AT46" i="21" s="1"/>
  <c r="AQ46" i="21"/>
  <c r="AO46" i="21"/>
  <c r="AP46" i="21" s="1"/>
  <c r="AM46" i="21"/>
  <c r="AN46" i="21" s="1"/>
  <c r="AK46" i="21"/>
  <c r="AL46" i="21" s="1"/>
  <c r="AG46" i="21"/>
  <c r="AH46" i="21" s="1"/>
  <c r="AE46" i="21"/>
  <c r="AC46" i="21"/>
  <c r="AD46" i="21" s="1"/>
  <c r="AA46" i="21"/>
  <c r="AB46" i="21" s="1"/>
  <c r="W46" i="21"/>
  <c r="U46" i="21"/>
  <c r="V46" i="21" s="1"/>
  <c r="S46" i="21"/>
  <c r="T46" i="21" s="1"/>
  <c r="Q46" i="21"/>
  <c r="R46" i="21" s="1"/>
  <c r="P46" i="21"/>
  <c r="O46" i="21"/>
  <c r="N46" i="21"/>
  <c r="M46" i="21"/>
  <c r="L46" i="21"/>
  <c r="K46" i="21"/>
  <c r="J46" i="21"/>
  <c r="I46" i="21"/>
  <c r="H46" i="21"/>
  <c r="G46" i="21"/>
  <c r="F46" i="21"/>
  <c r="E46" i="21"/>
  <c r="D46" i="21"/>
  <c r="C46" i="21"/>
  <c r="B46" i="21"/>
  <c r="A46" i="21"/>
  <c r="BG45" i="21"/>
  <c r="BH45" i="21" s="1"/>
  <c r="BE45" i="21"/>
  <c r="BF45" i="21" s="1"/>
  <c r="AW45" i="21"/>
  <c r="AX45" i="21" s="1"/>
  <c r="AU45" i="21"/>
  <c r="AS45" i="21"/>
  <c r="AT45" i="21" s="1"/>
  <c r="AQ45" i="21"/>
  <c r="AR45" i="21" s="1"/>
  <c r="AO45" i="21"/>
  <c r="AP45" i="21" s="1"/>
  <c r="AM45" i="21"/>
  <c r="AN45" i="21" s="1"/>
  <c r="AK45" i="21"/>
  <c r="AG45" i="21"/>
  <c r="AH45" i="21" s="1"/>
  <c r="AE45" i="21"/>
  <c r="AF45" i="21" s="1"/>
  <c r="AC45" i="21"/>
  <c r="AA45" i="21"/>
  <c r="AB45" i="21" s="1"/>
  <c r="W45" i="21"/>
  <c r="X45" i="21" s="1"/>
  <c r="U45" i="21"/>
  <c r="V45" i="21" s="1"/>
  <c r="S45" i="21"/>
  <c r="T45" i="21" s="1"/>
  <c r="Q45" i="21"/>
  <c r="P45" i="21"/>
  <c r="O45" i="21"/>
  <c r="N45" i="21"/>
  <c r="M45" i="21"/>
  <c r="L45" i="21"/>
  <c r="K45" i="21"/>
  <c r="J45" i="21"/>
  <c r="I45" i="21"/>
  <c r="H45" i="21"/>
  <c r="G45" i="21"/>
  <c r="F45" i="21"/>
  <c r="E45" i="21"/>
  <c r="D45" i="21"/>
  <c r="C45" i="21"/>
  <c r="B45" i="21"/>
  <c r="A45" i="21"/>
  <c r="BG44" i="21"/>
  <c r="BE44" i="21"/>
  <c r="BF44" i="21" s="1"/>
  <c r="AW44" i="21"/>
  <c r="AX44" i="21" s="1"/>
  <c r="AU44" i="21"/>
  <c r="AV44" i="21" s="1"/>
  <c r="AS44" i="21"/>
  <c r="AT44" i="21" s="1"/>
  <c r="AQ44" i="21"/>
  <c r="AR44" i="21" s="1"/>
  <c r="AO44" i="21"/>
  <c r="AM44" i="21"/>
  <c r="AN44" i="21" s="1"/>
  <c r="AK44" i="21"/>
  <c r="AL44" i="21" s="1"/>
  <c r="AG44" i="21"/>
  <c r="AE44" i="21"/>
  <c r="AF44" i="21" s="1"/>
  <c r="AC44" i="21"/>
  <c r="AD44" i="21" s="1"/>
  <c r="AA44" i="21"/>
  <c r="AB44" i="21" s="1"/>
  <c r="W44" i="21"/>
  <c r="X44" i="21" s="1"/>
  <c r="U44" i="21"/>
  <c r="S44" i="21"/>
  <c r="T44" i="21" s="1"/>
  <c r="Q44" i="21"/>
  <c r="R44" i="21" s="1"/>
  <c r="P44" i="21"/>
  <c r="O44" i="21"/>
  <c r="N44" i="21"/>
  <c r="M44" i="21"/>
  <c r="L44" i="21"/>
  <c r="K44" i="21"/>
  <c r="J44" i="21"/>
  <c r="I44" i="21"/>
  <c r="H44" i="21"/>
  <c r="G44" i="21"/>
  <c r="F44" i="21"/>
  <c r="E44" i="21"/>
  <c r="D44" i="21"/>
  <c r="C44" i="21"/>
  <c r="B44" i="21"/>
  <c r="A44" i="21"/>
  <c r="BG43" i="21"/>
  <c r="BE43" i="21"/>
  <c r="BF43" i="21" s="1"/>
  <c r="AW43" i="21"/>
  <c r="AX43" i="21" s="1"/>
  <c r="AU43" i="21"/>
  <c r="AV43" i="21" s="1"/>
  <c r="AS43" i="21"/>
  <c r="AQ43" i="21"/>
  <c r="AR43" i="21" s="1"/>
  <c r="AO43" i="21"/>
  <c r="AP43" i="21" s="1"/>
  <c r="AM43" i="21"/>
  <c r="AK43" i="21"/>
  <c r="AL43" i="21" s="1"/>
  <c r="AG43" i="21"/>
  <c r="AH43" i="21" s="1"/>
  <c r="AE43" i="21"/>
  <c r="AF43" i="21" s="1"/>
  <c r="AC43" i="21"/>
  <c r="AD43" i="21" s="1"/>
  <c r="AA43" i="21"/>
  <c r="W43" i="21"/>
  <c r="X43" i="21" s="1"/>
  <c r="U43" i="21"/>
  <c r="V43" i="21" s="1"/>
  <c r="S43" i="21"/>
  <c r="Q43" i="21"/>
  <c r="R43" i="21" s="1"/>
  <c r="P43" i="21"/>
  <c r="O43" i="21"/>
  <c r="N43" i="21"/>
  <c r="M43" i="21"/>
  <c r="L43" i="21"/>
  <c r="K43" i="21"/>
  <c r="J43" i="21"/>
  <c r="I43" i="21"/>
  <c r="H43" i="21"/>
  <c r="G43" i="21"/>
  <c r="F43" i="21"/>
  <c r="E43" i="21"/>
  <c r="D43" i="21"/>
  <c r="C43" i="21"/>
  <c r="B43" i="21"/>
  <c r="A43" i="21"/>
  <c r="BG42" i="21"/>
  <c r="BH42" i="21" s="1"/>
  <c r="BE42" i="21"/>
  <c r="BF42" i="21" s="1"/>
  <c r="AW42" i="21"/>
  <c r="AX42" i="21" s="1"/>
  <c r="AU42" i="21"/>
  <c r="AV42" i="21" s="1"/>
  <c r="AS42" i="21"/>
  <c r="AT42" i="21" s="1"/>
  <c r="AQ42" i="21"/>
  <c r="AO42" i="21"/>
  <c r="AP42" i="21" s="1"/>
  <c r="AM42" i="21"/>
  <c r="AN42" i="21" s="1"/>
  <c r="AK42" i="21"/>
  <c r="AL42" i="21" s="1"/>
  <c r="AG42" i="21"/>
  <c r="AH42" i="21" s="1"/>
  <c r="AE42" i="21"/>
  <c r="AC42" i="21"/>
  <c r="AD42" i="21" s="1"/>
  <c r="AA42" i="21"/>
  <c r="AB42" i="21" s="1"/>
  <c r="W42" i="21"/>
  <c r="U42" i="21"/>
  <c r="V42" i="21" s="1"/>
  <c r="S42" i="21"/>
  <c r="T42" i="21" s="1"/>
  <c r="Q42" i="21"/>
  <c r="R42" i="21" s="1"/>
  <c r="P42" i="21"/>
  <c r="O42" i="21"/>
  <c r="N42" i="21"/>
  <c r="M42" i="21"/>
  <c r="L42" i="21"/>
  <c r="K42" i="21"/>
  <c r="J42" i="21"/>
  <c r="I42" i="21"/>
  <c r="H42" i="21"/>
  <c r="G42" i="21"/>
  <c r="F42" i="21"/>
  <c r="E42" i="21"/>
  <c r="D42" i="21"/>
  <c r="C42" i="21"/>
  <c r="B42" i="21"/>
  <c r="A42" i="21"/>
  <c r="BG41" i="21"/>
  <c r="BH41" i="21" s="1"/>
  <c r="BE41" i="21"/>
  <c r="AW41" i="21"/>
  <c r="AX41" i="21" s="1"/>
  <c r="AU41" i="21"/>
  <c r="AS41" i="21"/>
  <c r="AT41" i="21" s="1"/>
  <c r="AQ41" i="21"/>
  <c r="AR41" i="21" s="1"/>
  <c r="AO41" i="21"/>
  <c r="AP41" i="21" s="1"/>
  <c r="AM41" i="21"/>
  <c r="AN41" i="21" s="1"/>
  <c r="AK41" i="21"/>
  <c r="AG41" i="21"/>
  <c r="AH41" i="21" s="1"/>
  <c r="AE41" i="21"/>
  <c r="AF41" i="21" s="1"/>
  <c r="AC41" i="21"/>
  <c r="AA41" i="21"/>
  <c r="AB41" i="21" s="1"/>
  <c r="W41" i="21"/>
  <c r="X41" i="21" s="1"/>
  <c r="U41" i="21"/>
  <c r="V41" i="21" s="1"/>
  <c r="S41" i="21"/>
  <c r="T41" i="21" s="1"/>
  <c r="Q41" i="21"/>
  <c r="P41" i="21"/>
  <c r="O41" i="21"/>
  <c r="N41" i="21"/>
  <c r="M41" i="21"/>
  <c r="L41" i="21"/>
  <c r="K41" i="21"/>
  <c r="J41" i="21"/>
  <c r="I41" i="21"/>
  <c r="H41" i="21"/>
  <c r="G41" i="21"/>
  <c r="F41" i="21"/>
  <c r="E41" i="21"/>
  <c r="D41" i="21"/>
  <c r="C41" i="21"/>
  <c r="B41" i="21"/>
  <c r="A41" i="21"/>
  <c r="BG40" i="21"/>
  <c r="BH40" i="21" s="1"/>
  <c r="BE40" i="21"/>
  <c r="BF40" i="21" s="1"/>
  <c r="AW40" i="21"/>
  <c r="AU40" i="21"/>
  <c r="AV40" i="21" s="1"/>
  <c r="AS40" i="21"/>
  <c r="AT40" i="21" s="1"/>
  <c r="AQ40" i="21"/>
  <c r="AR40" i="21" s="1"/>
  <c r="AO40" i="21"/>
  <c r="AM40" i="21"/>
  <c r="AN40" i="21" s="1"/>
  <c r="AK40" i="21"/>
  <c r="AL40" i="21" s="1"/>
  <c r="AG40" i="21"/>
  <c r="AE40" i="21"/>
  <c r="AF40" i="21" s="1"/>
  <c r="AC40" i="21"/>
  <c r="AD40" i="21" s="1"/>
  <c r="AA40" i="21"/>
  <c r="AB40" i="21" s="1"/>
  <c r="W40" i="21"/>
  <c r="X40" i="21" s="1"/>
  <c r="U40" i="21"/>
  <c r="S40" i="21"/>
  <c r="T40" i="21" s="1"/>
  <c r="Q40" i="21"/>
  <c r="R40" i="21" s="1"/>
  <c r="P40" i="21"/>
  <c r="O40" i="21"/>
  <c r="N40" i="21"/>
  <c r="M40" i="21"/>
  <c r="L40" i="21"/>
  <c r="K40" i="21"/>
  <c r="J40" i="21"/>
  <c r="I40" i="21"/>
  <c r="H40" i="21"/>
  <c r="G40" i="21"/>
  <c r="F40" i="21"/>
  <c r="E40" i="21"/>
  <c r="D40" i="21"/>
  <c r="C40" i="21"/>
  <c r="B40" i="21"/>
  <c r="A40" i="21"/>
  <c r="BG39" i="21"/>
  <c r="BE39" i="21"/>
  <c r="BF39" i="21" s="1"/>
  <c r="AW39" i="21"/>
  <c r="AX39" i="21" s="1"/>
  <c r="AU39" i="21"/>
  <c r="AV39" i="21" s="1"/>
  <c r="AS39" i="21"/>
  <c r="AT39" i="21" s="1"/>
  <c r="AQ39" i="21"/>
  <c r="AR39" i="21" s="1"/>
  <c r="AO39" i="21"/>
  <c r="AP39" i="21" s="1"/>
  <c r="AM39" i="21"/>
  <c r="AK39" i="21"/>
  <c r="AL39" i="21" s="1"/>
  <c r="AG39" i="21"/>
  <c r="AH39" i="21" s="1"/>
  <c r="AE39" i="21"/>
  <c r="AF39" i="21" s="1"/>
  <c r="AC39" i="21"/>
  <c r="AD39" i="21" s="1"/>
  <c r="AA39" i="21"/>
  <c r="AB39" i="21" s="1"/>
  <c r="W39" i="21"/>
  <c r="X39" i="21" s="1"/>
  <c r="U39" i="21"/>
  <c r="V39" i="21" s="1"/>
  <c r="S39" i="21"/>
  <c r="Q39" i="21"/>
  <c r="R39" i="21" s="1"/>
  <c r="P39" i="21"/>
  <c r="O39" i="21"/>
  <c r="N39" i="21"/>
  <c r="M39" i="21"/>
  <c r="L39" i="21"/>
  <c r="K39" i="21"/>
  <c r="J39" i="21"/>
  <c r="I39" i="21"/>
  <c r="H39" i="21"/>
  <c r="G39" i="21"/>
  <c r="F39" i="21"/>
  <c r="E39" i="21"/>
  <c r="D39" i="21"/>
  <c r="C39" i="21"/>
  <c r="B39" i="21"/>
  <c r="A39" i="21"/>
  <c r="BG38" i="21"/>
  <c r="BH38" i="21" s="1"/>
  <c r="BE38" i="21"/>
  <c r="BF38" i="21" s="1"/>
  <c r="AW38" i="21"/>
  <c r="AX38" i="21" s="1"/>
  <c r="AU38" i="21"/>
  <c r="AV38" i="21" s="1"/>
  <c r="AS38" i="21"/>
  <c r="AT38" i="21" s="1"/>
  <c r="AQ38" i="21"/>
  <c r="AO38" i="21"/>
  <c r="AP38" i="21" s="1"/>
  <c r="AM38" i="21"/>
  <c r="AN38" i="21" s="1"/>
  <c r="AK38" i="21"/>
  <c r="AL38" i="21" s="1"/>
  <c r="AG38" i="21"/>
  <c r="AH38" i="21" s="1"/>
  <c r="AE38" i="21"/>
  <c r="AC38" i="21"/>
  <c r="AD38" i="21" s="1"/>
  <c r="AA38" i="21"/>
  <c r="AB38" i="21" s="1"/>
  <c r="W38" i="21"/>
  <c r="U38" i="21"/>
  <c r="V38" i="21" s="1"/>
  <c r="S38" i="21"/>
  <c r="T38" i="21" s="1"/>
  <c r="Q38" i="21"/>
  <c r="R38" i="21" s="1"/>
  <c r="P38" i="21"/>
  <c r="O38" i="21"/>
  <c r="N38" i="21"/>
  <c r="M38" i="21"/>
  <c r="L38" i="21"/>
  <c r="K38" i="21"/>
  <c r="J38" i="21"/>
  <c r="I38" i="21"/>
  <c r="H38" i="21"/>
  <c r="G38" i="21"/>
  <c r="F38" i="21"/>
  <c r="E38" i="21"/>
  <c r="D38" i="21"/>
  <c r="C38" i="21"/>
  <c r="B38" i="21"/>
  <c r="A38" i="21"/>
  <c r="BG37" i="21"/>
  <c r="BH37" i="21" s="1"/>
  <c r="BE37" i="21"/>
  <c r="BF37" i="21" s="1"/>
  <c r="AW37" i="21"/>
  <c r="AX37" i="21" s="1"/>
  <c r="AU37" i="21"/>
  <c r="AS37" i="21"/>
  <c r="AT37" i="21" s="1"/>
  <c r="AQ37" i="21"/>
  <c r="AR37" i="21" s="1"/>
  <c r="AO37" i="21"/>
  <c r="AP37" i="21" s="1"/>
  <c r="AM37" i="21"/>
  <c r="AN37" i="21" s="1"/>
  <c r="AK37" i="21"/>
  <c r="AL37" i="21" s="1"/>
  <c r="AG37" i="21"/>
  <c r="AH37" i="21" s="1"/>
  <c r="AE37" i="21"/>
  <c r="AF37" i="21" s="1"/>
  <c r="AC37" i="21"/>
  <c r="AA37" i="21"/>
  <c r="AB37" i="21" s="1"/>
  <c r="W37" i="21"/>
  <c r="X37" i="21" s="1"/>
  <c r="U37" i="21"/>
  <c r="V37" i="21" s="1"/>
  <c r="S37" i="21"/>
  <c r="T37" i="21" s="1"/>
  <c r="Q37" i="21"/>
  <c r="R37" i="21" s="1"/>
  <c r="P37" i="21"/>
  <c r="O37" i="21"/>
  <c r="N37" i="21"/>
  <c r="M37" i="21"/>
  <c r="L37" i="21"/>
  <c r="K37" i="21"/>
  <c r="J37" i="21"/>
  <c r="I37" i="21"/>
  <c r="H37" i="21"/>
  <c r="G37" i="21"/>
  <c r="F37" i="21"/>
  <c r="E37" i="21"/>
  <c r="D37" i="21"/>
  <c r="C37" i="21"/>
  <c r="B37" i="21"/>
  <c r="A37" i="21"/>
  <c r="BG36" i="21"/>
  <c r="BH36" i="21" s="1"/>
  <c r="BE36" i="21"/>
  <c r="BF36" i="21" s="1"/>
  <c r="AW36" i="21"/>
  <c r="AX36" i="21" s="1"/>
  <c r="AU36" i="21"/>
  <c r="AV36" i="21" s="1"/>
  <c r="AS36" i="21"/>
  <c r="AT36" i="21" s="1"/>
  <c r="AQ36" i="21"/>
  <c r="AR36" i="21" s="1"/>
  <c r="AO36" i="21"/>
  <c r="AM36" i="21"/>
  <c r="AN36" i="21" s="1"/>
  <c r="AK36" i="21"/>
  <c r="AL36" i="21" s="1"/>
  <c r="AG36" i="21"/>
  <c r="AE36" i="21"/>
  <c r="AF36" i="21" s="1"/>
  <c r="AC36" i="21"/>
  <c r="AD36" i="21" s="1"/>
  <c r="AA36" i="21"/>
  <c r="AB36" i="21" s="1"/>
  <c r="W36" i="21"/>
  <c r="X36" i="21" s="1"/>
  <c r="U36" i="21"/>
  <c r="V36" i="21" s="1"/>
  <c r="S36" i="21"/>
  <c r="T36" i="21" s="1"/>
  <c r="Q36" i="21"/>
  <c r="R36" i="21" s="1"/>
  <c r="P36" i="21"/>
  <c r="O36" i="21"/>
  <c r="N36" i="21"/>
  <c r="M36" i="21"/>
  <c r="L36" i="21"/>
  <c r="K36" i="21"/>
  <c r="J36" i="21"/>
  <c r="I36" i="21"/>
  <c r="H36" i="21"/>
  <c r="G36" i="21"/>
  <c r="F36" i="21"/>
  <c r="E36" i="21"/>
  <c r="D36" i="21"/>
  <c r="C36" i="21"/>
  <c r="B36" i="21"/>
  <c r="A36" i="21"/>
  <c r="BG35" i="21"/>
  <c r="BE35" i="21"/>
  <c r="BF35" i="21" s="1"/>
  <c r="AW35" i="21"/>
  <c r="AX35" i="21" s="1"/>
  <c r="AU35" i="21"/>
  <c r="AV35" i="21" s="1"/>
  <c r="AS35" i="21"/>
  <c r="AT35" i="21" s="1"/>
  <c r="AQ35" i="21"/>
  <c r="AR35" i="21" s="1"/>
  <c r="AO35" i="21"/>
  <c r="AP35" i="21" s="1"/>
  <c r="AM35" i="21"/>
  <c r="AK35" i="21"/>
  <c r="AL35" i="21" s="1"/>
  <c r="AG35" i="21"/>
  <c r="AH35" i="21" s="1"/>
  <c r="AE35" i="21"/>
  <c r="AF35" i="21" s="1"/>
  <c r="AC35" i="21"/>
  <c r="AD35" i="21" s="1"/>
  <c r="AA35" i="21"/>
  <c r="AB35" i="21" s="1"/>
  <c r="W35" i="21"/>
  <c r="X35" i="21" s="1"/>
  <c r="U35" i="21"/>
  <c r="V35" i="21" s="1"/>
  <c r="S35" i="21"/>
  <c r="Q35" i="21"/>
  <c r="R35" i="21" s="1"/>
  <c r="P35" i="21"/>
  <c r="O35" i="21"/>
  <c r="N35" i="21"/>
  <c r="M35" i="21"/>
  <c r="L35" i="21"/>
  <c r="K35" i="21"/>
  <c r="J35" i="21"/>
  <c r="I35" i="21"/>
  <c r="H35" i="21"/>
  <c r="G35" i="21"/>
  <c r="F35" i="21"/>
  <c r="E35" i="21"/>
  <c r="D35" i="21"/>
  <c r="C35" i="21"/>
  <c r="B35" i="21"/>
  <c r="A35" i="21"/>
  <c r="BG34" i="21"/>
  <c r="BH34" i="21" s="1"/>
  <c r="BE34" i="21"/>
  <c r="BF34" i="21" s="1"/>
  <c r="AW34" i="21"/>
  <c r="AX34" i="21" s="1"/>
  <c r="AU34" i="21"/>
  <c r="AV34" i="21" s="1"/>
  <c r="AS34" i="21"/>
  <c r="AT34" i="21" s="1"/>
  <c r="AQ34" i="21"/>
  <c r="AO34" i="21"/>
  <c r="AP34" i="21" s="1"/>
  <c r="AM34" i="21"/>
  <c r="AN34" i="21" s="1"/>
  <c r="AK34" i="21"/>
  <c r="AL34" i="21" s="1"/>
  <c r="AG34" i="21"/>
  <c r="AH34" i="21" s="1"/>
  <c r="AE34" i="21"/>
  <c r="AF34" i="21" s="1"/>
  <c r="AC34" i="21"/>
  <c r="AD34" i="21" s="1"/>
  <c r="AA34" i="21"/>
  <c r="AB34" i="21" s="1"/>
  <c r="W34" i="21"/>
  <c r="U34" i="21"/>
  <c r="V34" i="21" s="1"/>
  <c r="S34" i="21"/>
  <c r="T34" i="21" s="1"/>
  <c r="Q34" i="21"/>
  <c r="R34" i="21" s="1"/>
  <c r="P34" i="21"/>
  <c r="O34" i="21"/>
  <c r="N34" i="21"/>
  <c r="M34" i="21"/>
  <c r="L34" i="21"/>
  <c r="K34" i="21"/>
  <c r="J34" i="21"/>
  <c r="I34" i="21"/>
  <c r="H34" i="21"/>
  <c r="G34" i="21"/>
  <c r="F34" i="21"/>
  <c r="E34" i="21"/>
  <c r="D34" i="21"/>
  <c r="C34" i="21"/>
  <c r="B34" i="21"/>
  <c r="A34" i="21"/>
  <c r="BG33" i="21"/>
  <c r="BH33" i="21" s="1"/>
  <c r="BE33" i="21"/>
  <c r="BF33" i="21" s="1"/>
  <c r="AW33" i="21"/>
  <c r="AX33" i="21" s="1"/>
  <c r="AU33" i="21"/>
  <c r="AS33" i="21"/>
  <c r="AT33" i="21" s="1"/>
  <c r="AQ33" i="21"/>
  <c r="AR33" i="21" s="1"/>
  <c r="AO33" i="21"/>
  <c r="AP33" i="21" s="1"/>
  <c r="AM33" i="21"/>
  <c r="AN33" i="21" s="1"/>
  <c r="AK33" i="21"/>
  <c r="AL33" i="21" s="1"/>
  <c r="AG33" i="21"/>
  <c r="AH33" i="21" s="1"/>
  <c r="AE33" i="21"/>
  <c r="AF33" i="21" s="1"/>
  <c r="AC33" i="21"/>
  <c r="AA33" i="21"/>
  <c r="AB33" i="21" s="1"/>
  <c r="W33" i="21"/>
  <c r="X33" i="21" s="1"/>
  <c r="U33" i="21"/>
  <c r="V33" i="21" s="1"/>
  <c r="S33" i="21"/>
  <c r="T33" i="21" s="1"/>
  <c r="Q33" i="21"/>
  <c r="P33" i="21"/>
  <c r="O33" i="21"/>
  <c r="N33" i="21"/>
  <c r="M33" i="21"/>
  <c r="L33" i="21"/>
  <c r="K33" i="21"/>
  <c r="J33" i="21"/>
  <c r="I33" i="21"/>
  <c r="H33" i="21"/>
  <c r="G33" i="21"/>
  <c r="F33" i="21"/>
  <c r="E33" i="21"/>
  <c r="D33" i="21"/>
  <c r="C33" i="21"/>
  <c r="B33" i="21"/>
  <c r="A33" i="21"/>
  <c r="BG32" i="21"/>
  <c r="BH32" i="21" s="1"/>
  <c r="BE32" i="21"/>
  <c r="BF32" i="21" s="1"/>
  <c r="AW32" i="21"/>
  <c r="AX32" i="21" s="1"/>
  <c r="AU32" i="21"/>
  <c r="AV32" i="21" s="1"/>
  <c r="AS32" i="21"/>
  <c r="AT32" i="21" s="1"/>
  <c r="AQ32" i="21"/>
  <c r="AR32" i="21" s="1"/>
  <c r="AO32" i="21"/>
  <c r="AP32" i="21" s="1"/>
  <c r="AM32" i="21"/>
  <c r="AN32" i="21" s="1"/>
  <c r="AK32" i="21"/>
  <c r="AL32" i="21" s="1"/>
  <c r="AG32" i="21"/>
  <c r="AE32" i="21"/>
  <c r="AF32" i="21" s="1"/>
  <c r="AC32" i="21"/>
  <c r="AD32" i="21" s="1"/>
  <c r="AA32" i="21"/>
  <c r="AB32" i="21" s="1"/>
  <c r="W32" i="21"/>
  <c r="X32" i="21" s="1"/>
  <c r="U32" i="21"/>
  <c r="V32" i="21" s="1"/>
  <c r="S32" i="21"/>
  <c r="T32" i="21" s="1"/>
  <c r="Q32" i="21"/>
  <c r="R32" i="21" s="1"/>
  <c r="P32" i="21"/>
  <c r="O32" i="21"/>
  <c r="N32" i="21"/>
  <c r="M32" i="21"/>
  <c r="L32" i="21"/>
  <c r="K32" i="21"/>
  <c r="J32" i="21"/>
  <c r="I32" i="21"/>
  <c r="H32" i="21"/>
  <c r="G32" i="21"/>
  <c r="F32" i="21"/>
  <c r="E32" i="21"/>
  <c r="D32" i="21"/>
  <c r="C32" i="21"/>
  <c r="B32" i="21"/>
  <c r="A32" i="21"/>
  <c r="BG31" i="21"/>
  <c r="BE31" i="21"/>
  <c r="BF31" i="21" s="1"/>
  <c r="AW31" i="21"/>
  <c r="AX31" i="21" s="1"/>
  <c r="AU31" i="21"/>
  <c r="AV31" i="21" s="1"/>
  <c r="AS31" i="21"/>
  <c r="AT31" i="21" s="1"/>
  <c r="AQ31" i="21"/>
  <c r="AR31" i="21" s="1"/>
  <c r="AO31" i="21"/>
  <c r="AP31" i="21" s="1"/>
  <c r="AM31" i="21"/>
  <c r="AK31" i="21"/>
  <c r="AL31" i="21" s="1"/>
  <c r="AG31" i="21"/>
  <c r="AH31" i="21" s="1"/>
  <c r="AE31" i="21"/>
  <c r="AF31" i="21" s="1"/>
  <c r="AC31" i="21"/>
  <c r="AD31" i="21" s="1"/>
  <c r="AA31" i="21"/>
  <c r="W31" i="21"/>
  <c r="X31" i="21" s="1"/>
  <c r="U31" i="21"/>
  <c r="V31" i="21" s="1"/>
  <c r="S31" i="21"/>
  <c r="Q31" i="21"/>
  <c r="R31" i="21" s="1"/>
  <c r="P31" i="21"/>
  <c r="O31" i="21"/>
  <c r="N31" i="21"/>
  <c r="M31" i="21"/>
  <c r="L31" i="21"/>
  <c r="K31" i="21"/>
  <c r="J31" i="21"/>
  <c r="I31" i="21"/>
  <c r="H31" i="21"/>
  <c r="G31" i="21"/>
  <c r="F31" i="21"/>
  <c r="E31" i="21"/>
  <c r="D31" i="21"/>
  <c r="C31" i="21"/>
  <c r="B31" i="21"/>
  <c r="A31" i="21"/>
  <c r="BG30" i="21"/>
  <c r="BH30" i="21" s="1"/>
  <c r="BE30" i="21"/>
  <c r="BF30" i="21" s="1"/>
  <c r="AW30" i="21"/>
  <c r="AX30" i="21" s="1"/>
  <c r="AU30" i="21"/>
  <c r="AV30" i="21" s="1"/>
  <c r="AS30" i="21"/>
  <c r="AT30" i="21" s="1"/>
  <c r="AQ30" i="21"/>
  <c r="AO30" i="21"/>
  <c r="AP30" i="21" s="1"/>
  <c r="AM30" i="21"/>
  <c r="AN30" i="21" s="1"/>
  <c r="AK30" i="21"/>
  <c r="AL30" i="21" s="1"/>
  <c r="AG30" i="21"/>
  <c r="AH30" i="21" s="1"/>
  <c r="AE30" i="21"/>
  <c r="AF30" i="21" s="1"/>
  <c r="AC30" i="21"/>
  <c r="AD30" i="21" s="1"/>
  <c r="AA30" i="21"/>
  <c r="AB30" i="21" s="1"/>
  <c r="W30" i="21"/>
  <c r="U30" i="21"/>
  <c r="V30" i="21" s="1"/>
  <c r="S30" i="21"/>
  <c r="T30" i="21" s="1"/>
  <c r="Q30" i="21"/>
  <c r="R30" i="21" s="1"/>
  <c r="P30" i="21"/>
  <c r="O30" i="21"/>
  <c r="N30" i="21"/>
  <c r="M30" i="21"/>
  <c r="L30" i="21"/>
  <c r="K30" i="21"/>
  <c r="J30" i="21"/>
  <c r="I30" i="21"/>
  <c r="H30" i="21"/>
  <c r="G30" i="21"/>
  <c r="F30" i="21"/>
  <c r="E30" i="21"/>
  <c r="D30" i="21"/>
  <c r="C30" i="21"/>
  <c r="B30" i="21"/>
  <c r="A30" i="21"/>
  <c r="BG29" i="21"/>
  <c r="BH29" i="21" s="1"/>
  <c r="BE29" i="21"/>
  <c r="BF29" i="21" s="1"/>
  <c r="AW29" i="21"/>
  <c r="AX29" i="21" s="1"/>
  <c r="AU29" i="21"/>
  <c r="AS29" i="21"/>
  <c r="AT29" i="21" s="1"/>
  <c r="AQ29" i="21"/>
  <c r="AR29" i="21" s="1"/>
  <c r="AO29" i="21"/>
  <c r="AP29" i="21" s="1"/>
  <c r="AM29" i="21"/>
  <c r="AN29" i="21" s="1"/>
  <c r="AK29" i="21"/>
  <c r="AG29" i="21"/>
  <c r="AH29" i="21" s="1"/>
  <c r="AE29" i="21"/>
  <c r="AF29" i="21" s="1"/>
  <c r="AC29" i="21"/>
  <c r="AA29" i="21"/>
  <c r="AB29" i="21" s="1"/>
  <c r="W29" i="21"/>
  <c r="X29" i="21" s="1"/>
  <c r="U29" i="21"/>
  <c r="V29" i="21" s="1"/>
  <c r="S29" i="21"/>
  <c r="T29" i="21" s="1"/>
  <c r="Q29" i="21"/>
  <c r="R29" i="21" s="1"/>
  <c r="P29" i="21"/>
  <c r="O29" i="21"/>
  <c r="N29" i="21"/>
  <c r="M29" i="21"/>
  <c r="L29" i="21"/>
  <c r="K29" i="21"/>
  <c r="J29" i="21"/>
  <c r="I29" i="21"/>
  <c r="H29" i="21"/>
  <c r="G29" i="21"/>
  <c r="F29" i="21"/>
  <c r="E29" i="21"/>
  <c r="D29" i="21"/>
  <c r="C29" i="21"/>
  <c r="B29" i="21"/>
  <c r="A29" i="21"/>
  <c r="BG28" i="21"/>
  <c r="BH28" i="21" s="1"/>
  <c r="BE28" i="21"/>
  <c r="BF28" i="21" s="1"/>
  <c r="AW28" i="21"/>
  <c r="AX28" i="21" s="1"/>
  <c r="AU28" i="21"/>
  <c r="AV28" i="21" s="1"/>
  <c r="AS28" i="21"/>
  <c r="AT28" i="21" s="1"/>
  <c r="AQ28" i="21"/>
  <c r="AR28" i="21" s="1"/>
  <c r="AO28" i="21"/>
  <c r="AP28" i="21" s="1"/>
  <c r="AM28" i="21"/>
  <c r="AN28" i="21" s="1"/>
  <c r="AK28" i="21"/>
  <c r="AL28" i="21" s="1"/>
  <c r="AG28" i="21"/>
  <c r="AE28" i="21"/>
  <c r="AF28" i="21" s="1"/>
  <c r="AC28" i="21"/>
  <c r="AD28" i="21" s="1"/>
  <c r="AA28" i="21"/>
  <c r="AB28" i="21" s="1"/>
  <c r="W28" i="21"/>
  <c r="X28" i="21" s="1"/>
  <c r="U28" i="21"/>
  <c r="V28" i="21" s="1"/>
  <c r="S28" i="21"/>
  <c r="T28" i="21" s="1"/>
  <c r="Q28" i="21"/>
  <c r="R28" i="21" s="1"/>
  <c r="P28" i="21"/>
  <c r="O28" i="21"/>
  <c r="N28" i="21"/>
  <c r="M28" i="21"/>
  <c r="L28" i="21"/>
  <c r="K28" i="21"/>
  <c r="J28" i="21"/>
  <c r="I28" i="21"/>
  <c r="H28" i="21"/>
  <c r="G28" i="21"/>
  <c r="F28" i="21"/>
  <c r="E28" i="21"/>
  <c r="D28" i="21"/>
  <c r="C28" i="21"/>
  <c r="B28" i="21"/>
  <c r="A28" i="21"/>
  <c r="BG27" i="21"/>
  <c r="BE27" i="21"/>
  <c r="BF27" i="21" s="1"/>
  <c r="AW27" i="21"/>
  <c r="AX27" i="21" s="1"/>
  <c r="AU27" i="21"/>
  <c r="AV27" i="21" s="1"/>
  <c r="AS27" i="21"/>
  <c r="AQ27" i="21"/>
  <c r="AR27" i="21" s="1"/>
  <c r="AO27" i="21"/>
  <c r="AP27" i="21" s="1"/>
  <c r="AM27" i="21"/>
  <c r="AK27" i="21"/>
  <c r="AL27" i="21" s="1"/>
  <c r="AG27" i="21"/>
  <c r="AH27" i="21" s="1"/>
  <c r="AE27" i="21"/>
  <c r="AF27" i="21" s="1"/>
  <c r="AC27" i="21"/>
  <c r="AD27" i="21" s="1"/>
  <c r="AA27" i="21"/>
  <c r="W27" i="21"/>
  <c r="X27" i="21" s="1"/>
  <c r="U27" i="21"/>
  <c r="V27" i="21" s="1"/>
  <c r="S27" i="21"/>
  <c r="Q27" i="21"/>
  <c r="R27" i="21" s="1"/>
  <c r="P27" i="21"/>
  <c r="O27" i="21"/>
  <c r="N27" i="21"/>
  <c r="M27" i="21"/>
  <c r="L27" i="21"/>
  <c r="K27" i="21"/>
  <c r="J27" i="21"/>
  <c r="I27" i="21"/>
  <c r="H27" i="21"/>
  <c r="G27" i="21"/>
  <c r="F27" i="21"/>
  <c r="E27" i="21"/>
  <c r="D27" i="21"/>
  <c r="C27" i="21"/>
  <c r="B27" i="21"/>
  <c r="A27" i="21"/>
  <c r="BG26" i="21"/>
  <c r="BH26" i="21" s="1"/>
  <c r="BE26" i="21"/>
  <c r="BF26" i="21" s="1"/>
  <c r="AW26" i="21"/>
  <c r="AX26" i="21" s="1"/>
  <c r="AU26" i="21"/>
  <c r="AV26" i="21" s="1"/>
  <c r="AS26" i="21"/>
  <c r="AT26" i="21" s="1"/>
  <c r="AQ26" i="21"/>
  <c r="AO26" i="21"/>
  <c r="AP26" i="21" s="1"/>
  <c r="AM26" i="21"/>
  <c r="AN26" i="21" s="1"/>
  <c r="AK26" i="21"/>
  <c r="AL26" i="21" s="1"/>
  <c r="AG26" i="21"/>
  <c r="AH26" i="21" s="1"/>
  <c r="AE26" i="21"/>
  <c r="AF26" i="21" s="1"/>
  <c r="AC26" i="21"/>
  <c r="AD26" i="21" s="1"/>
  <c r="AA26" i="21"/>
  <c r="AB26" i="21" s="1"/>
  <c r="W26" i="21"/>
  <c r="U26" i="21"/>
  <c r="V26" i="21" s="1"/>
  <c r="S26" i="21"/>
  <c r="T26" i="21" s="1"/>
  <c r="Q26" i="21"/>
  <c r="R26" i="21" s="1"/>
  <c r="P26" i="21"/>
  <c r="O26" i="21"/>
  <c r="N26" i="21"/>
  <c r="M26" i="21"/>
  <c r="L26" i="21"/>
  <c r="K26" i="21"/>
  <c r="J26" i="21"/>
  <c r="I26" i="21"/>
  <c r="H26" i="21"/>
  <c r="G26" i="21"/>
  <c r="F26" i="21"/>
  <c r="E26" i="21"/>
  <c r="D26" i="21"/>
  <c r="C26" i="21"/>
  <c r="B26" i="21"/>
  <c r="A26" i="21"/>
  <c r="BG25" i="21"/>
  <c r="BH25" i="21" s="1"/>
  <c r="BE25" i="21"/>
  <c r="AW25" i="21"/>
  <c r="AX25" i="21" s="1"/>
  <c r="AU25" i="21"/>
  <c r="AS25" i="21"/>
  <c r="AT25" i="21" s="1"/>
  <c r="AQ25" i="21"/>
  <c r="AR25" i="21" s="1"/>
  <c r="AO25" i="21"/>
  <c r="AP25" i="21" s="1"/>
  <c r="AM25" i="21"/>
  <c r="AN25" i="21" s="1"/>
  <c r="AK25" i="21"/>
  <c r="AG25" i="21"/>
  <c r="AH25" i="21" s="1"/>
  <c r="AE25" i="21"/>
  <c r="AF25" i="21" s="1"/>
  <c r="AC25" i="21"/>
  <c r="AA25" i="21"/>
  <c r="AB25" i="21" s="1"/>
  <c r="W25" i="21"/>
  <c r="X25" i="21" s="1"/>
  <c r="U25" i="21"/>
  <c r="V25" i="21" s="1"/>
  <c r="S25" i="21"/>
  <c r="T25" i="21" s="1"/>
  <c r="Q25" i="21"/>
  <c r="R25" i="21" s="1"/>
  <c r="P25" i="21"/>
  <c r="O25" i="21"/>
  <c r="N25" i="21"/>
  <c r="M25" i="21"/>
  <c r="L25" i="21"/>
  <c r="K25" i="21"/>
  <c r="J25" i="21"/>
  <c r="I25" i="21"/>
  <c r="H25" i="21"/>
  <c r="G25" i="21"/>
  <c r="F25" i="21"/>
  <c r="E25" i="21"/>
  <c r="D25" i="21"/>
  <c r="C25" i="21"/>
  <c r="B25" i="21"/>
  <c r="A25" i="21"/>
  <c r="BG24" i="21"/>
  <c r="BH24" i="21" s="1"/>
  <c r="BE24" i="21"/>
  <c r="BF24" i="21" s="1"/>
  <c r="AW24" i="21"/>
  <c r="AU24" i="21"/>
  <c r="AV24" i="21" s="1"/>
  <c r="AS24" i="21"/>
  <c r="AT24" i="21" s="1"/>
  <c r="AQ24" i="21"/>
  <c r="AR24" i="21" s="1"/>
  <c r="AO24" i="21"/>
  <c r="AP24" i="21" s="1"/>
  <c r="AM24" i="21"/>
  <c r="AN24" i="21" s="1"/>
  <c r="AK24" i="21"/>
  <c r="AL24" i="21" s="1"/>
  <c r="AG24" i="21"/>
  <c r="AE24" i="21"/>
  <c r="AF24" i="21" s="1"/>
  <c r="AC24" i="21"/>
  <c r="AD24" i="21" s="1"/>
  <c r="AA24" i="21"/>
  <c r="AB24" i="21" s="1"/>
  <c r="W24" i="21"/>
  <c r="X24" i="21" s="1"/>
  <c r="U24" i="21"/>
  <c r="S24" i="21"/>
  <c r="T24" i="21" s="1"/>
  <c r="Q24" i="21"/>
  <c r="R24" i="21" s="1"/>
  <c r="P24" i="21"/>
  <c r="O24" i="21"/>
  <c r="N24" i="21"/>
  <c r="M24" i="21"/>
  <c r="L24" i="21"/>
  <c r="K24" i="21"/>
  <c r="J24" i="21"/>
  <c r="I24" i="21"/>
  <c r="H24" i="21"/>
  <c r="G24" i="21"/>
  <c r="F24" i="21"/>
  <c r="E24" i="21"/>
  <c r="D24" i="21"/>
  <c r="C24" i="21"/>
  <c r="B24" i="21"/>
  <c r="A24" i="21"/>
  <c r="BG23" i="21"/>
  <c r="BE23" i="21"/>
  <c r="BF23" i="21" s="1"/>
  <c r="AW23" i="21"/>
  <c r="AX23" i="21" s="1"/>
  <c r="AU23" i="21"/>
  <c r="AV23" i="21" s="1"/>
  <c r="AS23" i="21"/>
  <c r="AQ23" i="21"/>
  <c r="AR23" i="21" s="1"/>
  <c r="AO23" i="21"/>
  <c r="AP23" i="21" s="1"/>
  <c r="AM23" i="21"/>
  <c r="AK23" i="21"/>
  <c r="AL23" i="21" s="1"/>
  <c r="AG23" i="21"/>
  <c r="AH23" i="21" s="1"/>
  <c r="AE23" i="21"/>
  <c r="AF23" i="21" s="1"/>
  <c r="AC23" i="21"/>
  <c r="AD23" i="21" s="1"/>
  <c r="AA23" i="21"/>
  <c r="AB23" i="21" s="1"/>
  <c r="W23" i="21"/>
  <c r="X23" i="21" s="1"/>
  <c r="U23" i="21"/>
  <c r="V23" i="21" s="1"/>
  <c r="S23" i="21"/>
  <c r="Q23" i="21"/>
  <c r="R23" i="21" s="1"/>
  <c r="P23" i="21"/>
  <c r="O23" i="21"/>
  <c r="N23" i="21"/>
  <c r="M23" i="21"/>
  <c r="L23" i="21"/>
  <c r="K23" i="21"/>
  <c r="J23" i="21"/>
  <c r="I23" i="21"/>
  <c r="H23" i="21"/>
  <c r="G23" i="21"/>
  <c r="F23" i="21"/>
  <c r="E23" i="21"/>
  <c r="D23" i="21"/>
  <c r="C23" i="21"/>
  <c r="B23" i="21"/>
  <c r="A23" i="21"/>
  <c r="BG22" i="21"/>
  <c r="BH22" i="21" s="1"/>
  <c r="BE22" i="21"/>
  <c r="BF22" i="21" s="1"/>
  <c r="AW22" i="21"/>
  <c r="AX22" i="21" s="1"/>
  <c r="AU22" i="21"/>
  <c r="AV22" i="21" s="1"/>
  <c r="AS22" i="21"/>
  <c r="AT22" i="21" s="1"/>
  <c r="AQ22" i="21"/>
  <c r="AO22" i="21"/>
  <c r="AP22" i="21" s="1"/>
  <c r="AM22" i="21"/>
  <c r="AN22" i="21" s="1"/>
  <c r="AK22" i="21"/>
  <c r="AL22" i="21" s="1"/>
  <c r="AG22" i="21"/>
  <c r="AH22" i="21" s="1"/>
  <c r="AE22" i="21"/>
  <c r="AC22" i="21"/>
  <c r="AD22" i="21" s="1"/>
  <c r="AA22" i="21"/>
  <c r="AB22" i="21" s="1"/>
  <c r="W22" i="21"/>
  <c r="U22" i="21"/>
  <c r="V22" i="21" s="1"/>
  <c r="S22" i="21"/>
  <c r="T22" i="21" s="1"/>
  <c r="Q22" i="21"/>
  <c r="R22" i="21" s="1"/>
  <c r="P22" i="21"/>
  <c r="O22" i="21"/>
  <c r="N22" i="21"/>
  <c r="M22" i="21"/>
  <c r="L22" i="21"/>
  <c r="K22" i="21"/>
  <c r="J22" i="21"/>
  <c r="I22" i="21"/>
  <c r="H22" i="21"/>
  <c r="G22" i="21"/>
  <c r="F22" i="21"/>
  <c r="E22" i="21"/>
  <c r="D22" i="21"/>
  <c r="C22" i="21"/>
  <c r="B22" i="21"/>
  <c r="A22" i="21"/>
  <c r="BG21" i="21"/>
  <c r="BH21" i="21" s="1"/>
  <c r="BE21" i="21"/>
  <c r="AW21" i="21"/>
  <c r="AX21" i="21" s="1"/>
  <c r="AU21" i="21"/>
  <c r="AS21" i="21"/>
  <c r="AT21" i="21" s="1"/>
  <c r="AQ21" i="21"/>
  <c r="AR21" i="21" s="1"/>
  <c r="AO21" i="21"/>
  <c r="AP21" i="21" s="1"/>
  <c r="AM21" i="21"/>
  <c r="AN21" i="21" s="1"/>
  <c r="AK21" i="21"/>
  <c r="AL21" i="21" s="1"/>
  <c r="AG21" i="21"/>
  <c r="AH21" i="21" s="1"/>
  <c r="AE21" i="21"/>
  <c r="AF21" i="21" s="1"/>
  <c r="AC21" i="21"/>
  <c r="AD21" i="21" s="1"/>
  <c r="AA21" i="21"/>
  <c r="AB21" i="21" s="1"/>
  <c r="W21" i="21"/>
  <c r="X21" i="21" s="1"/>
  <c r="U21" i="21"/>
  <c r="S21" i="21"/>
  <c r="T21" i="21" s="1"/>
  <c r="Q21" i="21"/>
  <c r="R21" i="21" s="1"/>
  <c r="P21" i="21"/>
  <c r="O21" i="21"/>
  <c r="N21" i="21"/>
  <c r="M21" i="21"/>
  <c r="L21" i="21"/>
  <c r="K21" i="21"/>
  <c r="J21" i="21"/>
  <c r="I21" i="21"/>
  <c r="H21" i="21"/>
  <c r="G21" i="21"/>
  <c r="F21" i="21"/>
  <c r="E21" i="21"/>
  <c r="D21" i="21"/>
  <c r="C21" i="21"/>
  <c r="B21" i="21"/>
  <c r="A21" i="21"/>
  <c r="BG20" i="21"/>
  <c r="BE20" i="21"/>
  <c r="BF20" i="21" s="1"/>
  <c r="AW20" i="21"/>
  <c r="AX20" i="21" s="1"/>
  <c r="AU20" i="21"/>
  <c r="AV20" i="21" s="1"/>
  <c r="AS20" i="21"/>
  <c r="AT20" i="21" s="1"/>
  <c r="AQ20" i="21"/>
  <c r="AR20" i="21" s="1"/>
  <c r="AO20" i="21"/>
  <c r="AP20" i="21" s="1"/>
  <c r="AM20" i="21"/>
  <c r="AK20" i="21"/>
  <c r="AL20" i="21" s="1"/>
  <c r="AG20" i="21"/>
  <c r="AE20" i="21"/>
  <c r="AF20" i="21" s="1"/>
  <c r="AC20" i="21"/>
  <c r="AD20" i="21" s="1"/>
  <c r="AA20" i="21"/>
  <c r="W20" i="21"/>
  <c r="X20" i="21" s="1"/>
  <c r="U20" i="21"/>
  <c r="V20" i="21" s="1"/>
  <c r="S20" i="21"/>
  <c r="Q20" i="21"/>
  <c r="R20" i="21" s="1"/>
  <c r="P20" i="21"/>
  <c r="O20" i="21"/>
  <c r="N20" i="21"/>
  <c r="M20" i="21"/>
  <c r="L20" i="21"/>
  <c r="K20" i="21"/>
  <c r="J20" i="21"/>
  <c r="I20" i="21"/>
  <c r="H20" i="21"/>
  <c r="G20" i="21"/>
  <c r="F20" i="21"/>
  <c r="E20" i="21"/>
  <c r="D20" i="21"/>
  <c r="C20" i="21"/>
  <c r="B20" i="21"/>
  <c r="A20" i="21"/>
  <c r="BG19" i="21"/>
  <c r="BH19" i="21" s="1"/>
  <c r="BE19" i="21"/>
  <c r="BF19" i="21" s="1"/>
  <c r="AW19" i="21"/>
  <c r="AX19" i="21" s="1"/>
  <c r="AU19" i="21"/>
  <c r="AV19" i="21" s="1"/>
  <c r="AS19" i="21"/>
  <c r="AT19" i="21" s="1"/>
  <c r="AQ19" i="21"/>
  <c r="AO19" i="21"/>
  <c r="AP19" i="21" s="1"/>
  <c r="AM19" i="21"/>
  <c r="AN19" i="21" s="1"/>
  <c r="AK19" i="21"/>
  <c r="AL19" i="21" s="1"/>
  <c r="AG19" i="21"/>
  <c r="AH19" i="21" s="1"/>
  <c r="AE19" i="21"/>
  <c r="AF19" i="21" s="1"/>
  <c r="AC19" i="21"/>
  <c r="AD19" i="21" s="1"/>
  <c r="AA19" i="21"/>
  <c r="AB19" i="21" s="1"/>
  <c r="W19" i="21"/>
  <c r="U19" i="21"/>
  <c r="V19" i="21" s="1"/>
  <c r="S19" i="21"/>
  <c r="T19" i="21" s="1"/>
  <c r="Q19" i="21"/>
  <c r="R19" i="21" s="1"/>
  <c r="P19" i="21"/>
  <c r="O19" i="21"/>
  <c r="N19" i="21"/>
  <c r="M19" i="21"/>
  <c r="L19" i="21"/>
  <c r="K19" i="21"/>
  <c r="J19" i="21"/>
  <c r="I19" i="21"/>
  <c r="H19" i="21"/>
  <c r="G19" i="21"/>
  <c r="F19" i="21"/>
  <c r="E19" i="21"/>
  <c r="D19" i="21"/>
  <c r="C19" i="21"/>
  <c r="B19" i="21"/>
  <c r="A19" i="21"/>
  <c r="BG18" i="21"/>
  <c r="BH18" i="21" s="1"/>
  <c r="BE18" i="21"/>
  <c r="BF18" i="21" s="1"/>
  <c r="AW18" i="21"/>
  <c r="AX18" i="21" s="1"/>
  <c r="AU18" i="21"/>
  <c r="AS18" i="21"/>
  <c r="AT18" i="21" s="1"/>
  <c r="AQ18" i="21"/>
  <c r="AO18" i="21"/>
  <c r="AP18" i="21" s="1"/>
  <c r="AM18" i="21"/>
  <c r="AN18" i="21" s="1"/>
  <c r="AK18" i="21"/>
  <c r="AL18" i="21" s="1"/>
  <c r="AG18" i="21"/>
  <c r="AH18" i="21" s="1"/>
  <c r="AE18" i="21"/>
  <c r="AF18" i="21" s="1"/>
  <c r="AC18" i="21"/>
  <c r="AA18" i="21"/>
  <c r="AB18" i="21" s="1"/>
  <c r="W18" i="21"/>
  <c r="U18" i="21"/>
  <c r="V18" i="21" s="1"/>
  <c r="S18" i="21"/>
  <c r="T18" i="21" s="1"/>
  <c r="Q18" i="21"/>
  <c r="R18" i="21" s="1"/>
  <c r="P18" i="21"/>
  <c r="O18" i="21"/>
  <c r="N18" i="21"/>
  <c r="M18" i="21"/>
  <c r="L18" i="21"/>
  <c r="K18" i="21"/>
  <c r="J18" i="21"/>
  <c r="I18" i="21"/>
  <c r="H18" i="21"/>
  <c r="G18" i="21"/>
  <c r="F18" i="21"/>
  <c r="E18" i="21"/>
  <c r="D18" i="21"/>
  <c r="C18" i="21"/>
  <c r="B18" i="21"/>
  <c r="A18" i="21"/>
  <c r="BG17" i="21"/>
  <c r="BH17" i="21" s="1"/>
  <c r="BE17" i="21"/>
  <c r="BF17" i="21" s="1"/>
  <c r="AW17" i="21"/>
  <c r="AX17" i="21" s="1"/>
  <c r="AU17" i="21"/>
  <c r="AV17" i="21" s="1"/>
  <c r="AS17" i="21"/>
  <c r="AT17" i="21" s="1"/>
  <c r="AQ17" i="21"/>
  <c r="AR17" i="21" s="1"/>
  <c r="AO17" i="21"/>
  <c r="AM17" i="21"/>
  <c r="AN17" i="21" s="1"/>
  <c r="AK17" i="21"/>
  <c r="AL17" i="21" s="1"/>
  <c r="AG17" i="21"/>
  <c r="AE17" i="21"/>
  <c r="AF17" i="21" s="1"/>
  <c r="AC17" i="21"/>
  <c r="AD17" i="21" s="1"/>
  <c r="AA17" i="21"/>
  <c r="AB17" i="21" s="1"/>
  <c r="W17" i="21"/>
  <c r="X17" i="21" s="1"/>
  <c r="U17" i="21"/>
  <c r="V17" i="21" s="1"/>
  <c r="S17" i="21"/>
  <c r="T17" i="21" s="1"/>
  <c r="Q17" i="21"/>
  <c r="R17" i="21" s="1"/>
  <c r="P17" i="21"/>
  <c r="O17" i="21"/>
  <c r="N17" i="21"/>
  <c r="M17" i="21"/>
  <c r="L17" i="21"/>
  <c r="K17" i="21"/>
  <c r="J17" i="21"/>
  <c r="I17" i="21"/>
  <c r="H17" i="21"/>
  <c r="G17" i="21"/>
  <c r="F17" i="21"/>
  <c r="E17" i="21"/>
  <c r="D17" i="21"/>
  <c r="C17" i="21"/>
  <c r="B17" i="21"/>
  <c r="A17" i="21"/>
  <c r="BG16" i="21"/>
  <c r="BE16" i="21"/>
  <c r="BF16" i="21" s="1"/>
  <c r="AW16" i="21"/>
  <c r="AX16" i="21" s="1"/>
  <c r="AU16" i="21"/>
  <c r="AV16" i="21" s="1"/>
  <c r="AS16" i="21"/>
  <c r="AQ16" i="21"/>
  <c r="AR16" i="21" s="1"/>
  <c r="AO16" i="21"/>
  <c r="AP16" i="21" s="1"/>
  <c r="AM16" i="21"/>
  <c r="AK16" i="21"/>
  <c r="AL16" i="21" s="1"/>
  <c r="AG16" i="21"/>
  <c r="AH16" i="21" s="1"/>
  <c r="AE16" i="21"/>
  <c r="AF16" i="21" s="1"/>
  <c r="AC16" i="21"/>
  <c r="AD16" i="21" s="1"/>
  <c r="AA16" i="21"/>
  <c r="AB16" i="21" s="1"/>
  <c r="W16" i="21"/>
  <c r="X16" i="21" s="1"/>
  <c r="U16" i="21"/>
  <c r="V16" i="21" s="1"/>
  <c r="S16" i="21"/>
  <c r="Q16" i="21"/>
  <c r="R16" i="21" s="1"/>
  <c r="P16" i="21"/>
  <c r="O16" i="21"/>
  <c r="N16" i="21"/>
  <c r="M16" i="21"/>
  <c r="L16" i="21"/>
  <c r="K16" i="21"/>
  <c r="J16" i="21"/>
  <c r="I16" i="21"/>
  <c r="H16" i="21"/>
  <c r="G16" i="21"/>
  <c r="F16" i="21"/>
  <c r="E16" i="21"/>
  <c r="D16" i="21"/>
  <c r="C16" i="21"/>
  <c r="B16" i="21"/>
  <c r="A16" i="21"/>
  <c r="BG15" i="21"/>
  <c r="BH15" i="21" s="1"/>
  <c r="BE15" i="21"/>
  <c r="BF15" i="21" s="1"/>
  <c r="AW15" i="21"/>
  <c r="AU15" i="21"/>
  <c r="AV15" i="21" s="1"/>
  <c r="AS15" i="21"/>
  <c r="AT15" i="21" s="1"/>
  <c r="AQ15" i="21"/>
  <c r="AO15" i="21"/>
  <c r="AP15" i="21" s="1"/>
  <c r="AM15" i="21"/>
  <c r="AN15" i="21" s="1"/>
  <c r="AK15" i="21"/>
  <c r="AL15" i="21" s="1"/>
  <c r="AG15" i="21"/>
  <c r="AH15" i="21" s="1"/>
  <c r="AE15" i="21"/>
  <c r="AF15" i="21" s="1"/>
  <c r="AC15" i="21"/>
  <c r="AD15" i="21" s="1"/>
  <c r="AA15" i="21"/>
  <c r="AB15" i="21" s="1"/>
  <c r="W15" i="21"/>
  <c r="U15" i="21"/>
  <c r="V15" i="21" s="1"/>
  <c r="S15" i="21"/>
  <c r="Q15" i="21"/>
  <c r="R15" i="21" s="1"/>
  <c r="P15" i="21"/>
  <c r="O15" i="21"/>
  <c r="N15" i="21"/>
  <c r="M15" i="21"/>
  <c r="L15" i="21"/>
  <c r="K15" i="21"/>
  <c r="J15" i="21"/>
  <c r="I15" i="21"/>
  <c r="H15" i="21"/>
  <c r="G15" i="21"/>
  <c r="F15" i="21"/>
  <c r="E15" i="21"/>
  <c r="D15" i="21"/>
  <c r="C15" i="21"/>
  <c r="B15" i="21"/>
  <c r="A15" i="21"/>
  <c r="BG14" i="21"/>
  <c r="BH14" i="21" s="1"/>
  <c r="BE14" i="21"/>
  <c r="BF14" i="21" s="1"/>
  <c r="AW14" i="21"/>
  <c r="AX14" i="21" s="1"/>
  <c r="AU14" i="21"/>
  <c r="AS14" i="21"/>
  <c r="AT14" i="21" s="1"/>
  <c r="AQ14" i="21"/>
  <c r="AO14" i="21"/>
  <c r="AP14" i="21" s="1"/>
  <c r="AM14" i="21"/>
  <c r="AN14" i="21" s="1"/>
  <c r="AK14" i="21"/>
  <c r="AL14" i="21" s="1"/>
  <c r="AG14" i="21"/>
  <c r="AH14" i="21" s="1"/>
  <c r="AE14" i="21"/>
  <c r="AF14" i="21" s="1"/>
  <c r="AC14" i="21"/>
  <c r="AA14" i="21"/>
  <c r="AB14" i="21" s="1"/>
  <c r="W14" i="21"/>
  <c r="X14" i="21" s="1"/>
  <c r="U14" i="21"/>
  <c r="V14" i="21" s="1"/>
  <c r="S14" i="21"/>
  <c r="T14" i="21" s="1"/>
  <c r="Q14" i="21"/>
  <c r="P14" i="21"/>
  <c r="O14" i="21"/>
  <c r="N14" i="21"/>
  <c r="M14" i="21"/>
  <c r="L14" i="21"/>
  <c r="K14" i="21"/>
  <c r="J14" i="21"/>
  <c r="I14" i="21"/>
  <c r="H14" i="21"/>
  <c r="G14" i="21"/>
  <c r="F14" i="21"/>
  <c r="E14" i="21"/>
  <c r="D14" i="21"/>
  <c r="C14" i="21"/>
  <c r="B14" i="21"/>
  <c r="A14" i="21"/>
  <c r="BG13" i="21"/>
  <c r="BH13" i="21" s="1"/>
  <c r="BE13" i="21"/>
  <c r="BF13" i="21" s="1"/>
  <c r="AW13" i="21"/>
  <c r="AX13" i="21" s="1"/>
  <c r="AU13" i="21"/>
  <c r="AV13" i="21" s="1"/>
  <c r="AS13" i="21"/>
  <c r="AT13" i="21" s="1"/>
  <c r="AQ13" i="21"/>
  <c r="AR13" i="21" s="1"/>
  <c r="AO13" i="21"/>
  <c r="AP13" i="21" s="1"/>
  <c r="AM13" i="21"/>
  <c r="AN13" i="21" s="1"/>
  <c r="AK13" i="21"/>
  <c r="AL13" i="21" s="1"/>
  <c r="AG13" i="21"/>
  <c r="AE13" i="21"/>
  <c r="AF13" i="21" s="1"/>
  <c r="AC13" i="21"/>
  <c r="AA13" i="21"/>
  <c r="AB13" i="21" s="1"/>
  <c r="W13" i="21"/>
  <c r="X13" i="21" s="1"/>
  <c r="U13" i="21"/>
  <c r="S13" i="21"/>
  <c r="T13" i="21" s="1"/>
  <c r="Q13" i="21"/>
  <c r="R13" i="21" s="1"/>
  <c r="P13" i="21"/>
  <c r="O13" i="21"/>
  <c r="N13" i="21"/>
  <c r="M13" i="21"/>
  <c r="L13" i="21"/>
  <c r="K13" i="21"/>
  <c r="J13" i="21"/>
  <c r="I13" i="21"/>
  <c r="H13" i="21"/>
  <c r="G13" i="21"/>
  <c r="F13" i="21"/>
  <c r="E13" i="21"/>
  <c r="D13" i="21"/>
  <c r="C13" i="21"/>
  <c r="B13" i="21"/>
  <c r="A13" i="21"/>
  <c r="BG12" i="21"/>
  <c r="BE12" i="21"/>
  <c r="BF12" i="21" s="1"/>
  <c r="AW12" i="21"/>
  <c r="AX12" i="21" s="1"/>
  <c r="AU12" i="21"/>
  <c r="AV12" i="21" s="1"/>
  <c r="AS12" i="21"/>
  <c r="AT12" i="21" s="1"/>
  <c r="AQ12" i="21"/>
  <c r="AR12" i="21" s="1"/>
  <c r="AO12" i="21"/>
  <c r="AP12" i="21" s="1"/>
  <c r="AM12" i="21"/>
  <c r="AK12" i="21"/>
  <c r="AL12" i="21" s="1"/>
  <c r="AG12" i="21"/>
  <c r="AH12" i="21" s="1"/>
  <c r="AE12" i="21"/>
  <c r="AF12" i="21" s="1"/>
  <c r="AC12" i="21"/>
  <c r="AD12" i="21" s="1"/>
  <c r="AA12" i="21"/>
  <c r="W12" i="21"/>
  <c r="X12" i="21" s="1"/>
  <c r="U12" i="21"/>
  <c r="V12" i="21" s="1"/>
  <c r="S12" i="21"/>
  <c r="Q12" i="21"/>
  <c r="R12" i="21" s="1"/>
  <c r="P12" i="21"/>
  <c r="O12" i="21"/>
  <c r="N12" i="21"/>
  <c r="M12" i="21"/>
  <c r="L12" i="21"/>
  <c r="K12" i="21"/>
  <c r="J12" i="21"/>
  <c r="I12" i="21"/>
  <c r="H12" i="21"/>
  <c r="G12" i="21"/>
  <c r="F12" i="21"/>
  <c r="E12" i="21"/>
  <c r="D12" i="21"/>
  <c r="C12" i="21"/>
  <c r="B12" i="21"/>
  <c r="A12" i="21"/>
  <c r="BG11" i="21"/>
  <c r="BH11" i="21" s="1"/>
  <c r="BE11" i="21"/>
  <c r="BF11" i="21" s="1"/>
  <c r="AW11" i="21"/>
  <c r="AX11" i="21" s="1"/>
  <c r="AU11" i="21"/>
  <c r="AV11" i="21" s="1"/>
  <c r="AS11" i="21"/>
  <c r="AT11" i="21" s="1"/>
  <c r="AQ11" i="21"/>
  <c r="AO11" i="21"/>
  <c r="AP11" i="21" s="1"/>
  <c r="AM11" i="21"/>
  <c r="AK11" i="21"/>
  <c r="AL11" i="21" s="1"/>
  <c r="AG11" i="21"/>
  <c r="AH11" i="21" s="1"/>
  <c r="AE11" i="21"/>
  <c r="AF11" i="21" s="1"/>
  <c r="AC11" i="21"/>
  <c r="AD11" i="21" s="1"/>
  <c r="AA11" i="21"/>
  <c r="AB11" i="21" s="1"/>
  <c r="W11" i="21"/>
  <c r="U11" i="21"/>
  <c r="V11" i="21" s="1"/>
  <c r="S11" i="21"/>
  <c r="Q11" i="21"/>
  <c r="R11" i="21" s="1"/>
  <c r="P11" i="21"/>
  <c r="O11" i="21"/>
  <c r="N11" i="21"/>
  <c r="M11" i="21"/>
  <c r="L11" i="21"/>
  <c r="K11" i="21"/>
  <c r="J11" i="21"/>
  <c r="I11" i="21"/>
  <c r="H11" i="21"/>
  <c r="G11" i="21"/>
  <c r="F11" i="21"/>
  <c r="E11" i="21"/>
  <c r="D11" i="21"/>
  <c r="C11" i="21"/>
  <c r="B11" i="21"/>
  <c r="A11" i="21"/>
  <c r="BG10" i="21"/>
  <c r="BH10" i="21" s="1"/>
  <c r="BE10" i="21"/>
  <c r="BF10" i="21" s="1"/>
  <c r="AW10" i="21"/>
  <c r="AX10" i="21" s="1"/>
  <c r="AU10" i="21"/>
  <c r="AS10" i="21"/>
  <c r="AT10" i="21" s="1"/>
  <c r="AQ10" i="21"/>
  <c r="AR10" i="21" s="1"/>
  <c r="AO10" i="21"/>
  <c r="AP10" i="21" s="1"/>
  <c r="AM10" i="21"/>
  <c r="AN10" i="21" s="1"/>
  <c r="AK10" i="21"/>
  <c r="AL10" i="21" s="1"/>
  <c r="AG10" i="21"/>
  <c r="AH10" i="21" s="1"/>
  <c r="AE10" i="21"/>
  <c r="AF10" i="21" s="1"/>
  <c r="AC10" i="21"/>
  <c r="AA10" i="21"/>
  <c r="AB10" i="21" s="1"/>
  <c r="W10" i="21"/>
  <c r="X10" i="21" s="1"/>
  <c r="U10" i="21"/>
  <c r="V10" i="21" s="1"/>
  <c r="S10" i="21"/>
  <c r="T10" i="21" s="1"/>
  <c r="Q10" i="21"/>
  <c r="R10" i="21" s="1"/>
  <c r="P10" i="21"/>
  <c r="O10" i="21"/>
  <c r="N10" i="21"/>
  <c r="M10" i="21"/>
  <c r="L10" i="21"/>
  <c r="K10" i="21"/>
  <c r="J10" i="21"/>
  <c r="I10" i="21"/>
  <c r="H10" i="21"/>
  <c r="G10" i="21"/>
  <c r="F10" i="21"/>
  <c r="E10" i="21"/>
  <c r="D10" i="21"/>
  <c r="C10" i="21"/>
  <c r="B10" i="21"/>
  <c r="A10" i="21"/>
  <c r="BG9" i="21"/>
  <c r="BH9" i="21" s="1"/>
  <c r="BE9" i="21"/>
  <c r="BF9" i="21" s="1"/>
  <c r="AW9" i="21"/>
  <c r="AX9" i="21" s="1"/>
  <c r="AU9" i="21"/>
  <c r="AS9" i="21"/>
  <c r="AT9" i="21" s="1"/>
  <c r="AQ9" i="21"/>
  <c r="AR9" i="21" s="1"/>
  <c r="AO9" i="21"/>
  <c r="AM9" i="21"/>
  <c r="AN9" i="21" s="1"/>
  <c r="AK9" i="21"/>
  <c r="AL9" i="21" s="1"/>
  <c r="AG9" i="21"/>
  <c r="AE9" i="21"/>
  <c r="AF9" i="21" s="1"/>
  <c r="AC9" i="21"/>
  <c r="AD9" i="21" s="1"/>
  <c r="AA9" i="21"/>
  <c r="AB9" i="21" s="1"/>
  <c r="W9" i="21"/>
  <c r="X9" i="21" s="1"/>
  <c r="U9" i="21"/>
  <c r="V9" i="21" s="1"/>
  <c r="S9" i="21"/>
  <c r="T9" i="21" s="1"/>
  <c r="Q9" i="21"/>
  <c r="R9" i="21" s="1"/>
  <c r="P9" i="21"/>
  <c r="O9" i="21"/>
  <c r="N9" i="21"/>
  <c r="M9" i="21"/>
  <c r="L9" i="21"/>
  <c r="K9" i="21"/>
  <c r="J9" i="21"/>
  <c r="I9" i="21"/>
  <c r="H9" i="21"/>
  <c r="G9" i="21"/>
  <c r="F9" i="21"/>
  <c r="E9" i="21"/>
  <c r="D9" i="21"/>
  <c r="C9" i="21"/>
  <c r="B9" i="21"/>
  <c r="A9" i="21"/>
  <c r="BG8" i="21"/>
  <c r="BE8" i="21"/>
  <c r="BF8" i="21" s="1"/>
  <c r="AW8" i="21"/>
  <c r="AX8" i="21" s="1"/>
  <c r="AU8" i="21"/>
  <c r="AV8" i="21" s="1"/>
  <c r="AS8" i="21"/>
  <c r="AQ8" i="21"/>
  <c r="AR8" i="21" s="1"/>
  <c r="AO8" i="21"/>
  <c r="AP8" i="21" s="1"/>
  <c r="AM8" i="21"/>
  <c r="AK8" i="21"/>
  <c r="AL8" i="21" s="1"/>
  <c r="AG8" i="21"/>
  <c r="AH8" i="21" s="1"/>
  <c r="AE8" i="21"/>
  <c r="AF8" i="21" s="1"/>
  <c r="AC8" i="21"/>
  <c r="AD8" i="21" s="1"/>
  <c r="AA8" i="21"/>
  <c r="AB8" i="21" s="1"/>
  <c r="W8" i="21"/>
  <c r="X8" i="21" s="1"/>
  <c r="U8" i="21"/>
  <c r="V8" i="21" s="1"/>
  <c r="S8" i="21"/>
  <c r="Q8" i="21"/>
  <c r="R8" i="21" s="1"/>
  <c r="P8" i="21"/>
  <c r="O8" i="21"/>
  <c r="N8" i="21"/>
  <c r="M8" i="21"/>
  <c r="L8" i="21"/>
  <c r="K8" i="21"/>
  <c r="J8" i="21"/>
  <c r="I8" i="21"/>
  <c r="H8" i="21"/>
  <c r="G8" i="21"/>
  <c r="F8" i="21"/>
  <c r="E8" i="21"/>
  <c r="D8" i="21"/>
  <c r="C8" i="21"/>
  <c r="B8" i="21"/>
  <c r="A8" i="21"/>
  <c r="BG7" i="21"/>
  <c r="BE7" i="21"/>
  <c r="BF7" i="21" s="1"/>
  <c r="AW7" i="21"/>
  <c r="AX7" i="21" s="1"/>
  <c r="AU7" i="21"/>
  <c r="AV7" i="21" s="1"/>
  <c r="AS7" i="21"/>
  <c r="AT7" i="21" s="1"/>
  <c r="AQ7" i="21"/>
  <c r="AO7" i="21"/>
  <c r="AP7" i="21" s="1"/>
  <c r="AM7" i="21"/>
  <c r="AK7" i="21"/>
  <c r="AL7" i="21" s="1"/>
  <c r="AG7" i="21"/>
  <c r="AH7" i="21" s="1"/>
  <c r="AE7" i="21"/>
  <c r="AF7" i="21" s="1"/>
  <c r="AC7" i="21"/>
  <c r="AD7" i="21" s="1"/>
  <c r="AA7" i="21"/>
  <c r="AB7" i="21" s="1"/>
  <c r="W7" i="21"/>
  <c r="U7" i="21"/>
  <c r="V7" i="21" s="1"/>
  <c r="S7" i="21"/>
  <c r="T7" i="21" s="1"/>
  <c r="Q7" i="21"/>
  <c r="R7" i="21" s="1"/>
  <c r="P7" i="21"/>
  <c r="O7" i="21"/>
  <c r="N7" i="21"/>
  <c r="M7" i="21"/>
  <c r="L7" i="21"/>
  <c r="K7" i="21"/>
  <c r="J7" i="21"/>
  <c r="I7" i="21"/>
  <c r="H7" i="21"/>
  <c r="G7" i="21"/>
  <c r="F7" i="21"/>
  <c r="E7" i="21"/>
  <c r="D7" i="21"/>
  <c r="C7" i="21"/>
  <c r="B7" i="21"/>
  <c r="A7" i="21"/>
  <c r="BG6" i="21"/>
  <c r="BH6" i="21" s="1"/>
  <c r="BE6" i="21"/>
  <c r="BF6" i="21" s="1"/>
  <c r="AW6" i="21"/>
  <c r="AX6" i="21" s="1"/>
  <c r="AU6" i="21"/>
  <c r="AS6" i="21"/>
  <c r="AT6" i="21" s="1"/>
  <c r="AQ6" i="21"/>
  <c r="AR6" i="21" s="1"/>
  <c r="AO6" i="21"/>
  <c r="AP6" i="21" s="1"/>
  <c r="AM6" i="21"/>
  <c r="AN6" i="21" s="1"/>
  <c r="AK6" i="21"/>
  <c r="AG6" i="21"/>
  <c r="AH6" i="21" s="1"/>
  <c r="AE6" i="21"/>
  <c r="AF6" i="21" s="1"/>
  <c r="AC6" i="21"/>
  <c r="AA6" i="21"/>
  <c r="AB6" i="21" s="1"/>
  <c r="W6" i="21"/>
  <c r="U6" i="21"/>
  <c r="V6" i="21" s="1"/>
  <c r="S6" i="21"/>
  <c r="T6" i="21" s="1"/>
  <c r="Q6" i="21"/>
  <c r="P6" i="21"/>
  <c r="O6" i="21"/>
  <c r="N6" i="21"/>
  <c r="M6" i="21"/>
  <c r="L6" i="21"/>
  <c r="K6" i="21"/>
  <c r="J6" i="21"/>
  <c r="I6" i="21"/>
  <c r="H6" i="21"/>
  <c r="G6" i="21"/>
  <c r="F6" i="21"/>
  <c r="E6" i="21"/>
  <c r="D6" i="21"/>
  <c r="C6" i="21"/>
  <c r="B6" i="21"/>
  <c r="A6" i="21"/>
  <c r="BG5" i="21"/>
  <c r="BH5" i="21" s="1"/>
  <c r="BE5" i="21"/>
  <c r="BF5" i="21" s="1"/>
  <c r="AW5" i="21"/>
  <c r="AX5" i="21" s="1"/>
  <c r="AU5" i="21"/>
  <c r="AS5" i="21"/>
  <c r="AT5" i="21" s="1"/>
  <c r="AQ5" i="21"/>
  <c r="AR5" i="21" s="1"/>
  <c r="AO5" i="21"/>
  <c r="AP5" i="21" s="1"/>
  <c r="AM5" i="21"/>
  <c r="AN5" i="21" s="1"/>
  <c r="AK5" i="21"/>
  <c r="AL5" i="21" s="1"/>
  <c r="AG5" i="21"/>
  <c r="AE5" i="21"/>
  <c r="AF5" i="21" s="1"/>
  <c r="AC5" i="21"/>
  <c r="AD5" i="21" s="1"/>
  <c r="AA5" i="21"/>
  <c r="AB5" i="21" s="1"/>
  <c r="W5" i="21"/>
  <c r="X5" i="21" s="1"/>
  <c r="U5" i="21"/>
  <c r="S5" i="21"/>
  <c r="T5" i="21" s="1"/>
  <c r="Q5" i="21"/>
  <c r="R5" i="21" s="1"/>
  <c r="P5" i="21"/>
  <c r="O5" i="21"/>
  <c r="N5" i="21"/>
  <c r="M5" i="21"/>
  <c r="L5" i="21"/>
  <c r="K5" i="21"/>
  <c r="J5" i="21"/>
  <c r="I5" i="21"/>
  <c r="H5" i="21"/>
  <c r="G5" i="21"/>
  <c r="F5" i="21"/>
  <c r="E5" i="21"/>
  <c r="D5" i="21"/>
  <c r="C5" i="21"/>
  <c r="B5" i="21"/>
  <c r="A5" i="21"/>
  <c r="BG4" i="21"/>
  <c r="BE4" i="21"/>
  <c r="BF4" i="21" s="1"/>
  <c r="AW4" i="21"/>
  <c r="AX4" i="21" s="1"/>
  <c r="AU4" i="21"/>
  <c r="AV4" i="21" s="1"/>
  <c r="AS4" i="21"/>
  <c r="AT4" i="21" s="1"/>
  <c r="AQ4" i="21"/>
  <c r="AR4" i="21" s="1"/>
  <c r="AO4" i="21"/>
  <c r="AP4" i="21" s="1"/>
  <c r="AM4" i="21"/>
  <c r="AK4" i="21"/>
  <c r="AL4" i="21" s="1"/>
  <c r="AG4" i="21"/>
  <c r="AE4" i="21"/>
  <c r="AF4" i="21" s="1"/>
  <c r="AC4" i="21"/>
  <c r="AD4" i="21" s="1"/>
  <c r="AA4" i="21"/>
  <c r="AB4" i="21" s="1"/>
  <c r="W4" i="21"/>
  <c r="X4" i="21" s="1"/>
  <c r="U4" i="21"/>
  <c r="V4" i="21" s="1"/>
  <c r="S4" i="21"/>
  <c r="Q4" i="21"/>
  <c r="R4" i="21" s="1"/>
  <c r="P4" i="21"/>
  <c r="O4" i="21"/>
  <c r="N4" i="21"/>
  <c r="M4" i="21"/>
  <c r="L4" i="21"/>
  <c r="K4" i="21"/>
  <c r="J4" i="21"/>
  <c r="I4" i="21"/>
  <c r="H4" i="21"/>
  <c r="G4" i="21"/>
  <c r="F4" i="21"/>
  <c r="E4" i="21"/>
  <c r="D4" i="21"/>
  <c r="C4" i="21"/>
  <c r="B4" i="21"/>
  <c r="A4" i="21"/>
  <c r="BG3" i="21"/>
  <c r="BE3" i="21"/>
  <c r="BF3" i="21" s="1"/>
  <c r="AW3" i="21"/>
  <c r="AX3" i="21" s="1"/>
  <c r="AU3" i="21"/>
  <c r="AV3" i="21" s="1"/>
  <c r="AS3" i="21"/>
  <c r="AT3" i="21" s="1"/>
  <c r="AQ3" i="21"/>
  <c r="AO3" i="21"/>
  <c r="AP3" i="21" s="1"/>
  <c r="AM3" i="21"/>
  <c r="AN3" i="21" s="1"/>
  <c r="AK3" i="21"/>
  <c r="AL3" i="21" s="1"/>
  <c r="AG3" i="21"/>
  <c r="AH3" i="21" s="1"/>
  <c r="AE3" i="21"/>
  <c r="AC3" i="21"/>
  <c r="AD3" i="21" s="1"/>
  <c r="AA3" i="21"/>
  <c r="AB3" i="21" s="1"/>
  <c r="W3" i="21"/>
  <c r="U3" i="21"/>
  <c r="V3" i="21" s="1"/>
  <c r="S3" i="21"/>
  <c r="T3" i="21" s="1"/>
  <c r="Q3" i="21"/>
  <c r="R3" i="21" s="1"/>
  <c r="P3" i="21"/>
  <c r="O3" i="21"/>
  <c r="N3" i="21"/>
  <c r="M3" i="21"/>
  <c r="L3" i="21"/>
  <c r="K3" i="21"/>
  <c r="J3" i="21"/>
  <c r="I3" i="21"/>
  <c r="H3" i="21"/>
  <c r="G3" i="21"/>
  <c r="F3" i="21"/>
  <c r="E3" i="21"/>
  <c r="D3" i="21"/>
  <c r="C3" i="21"/>
  <c r="B3" i="21"/>
  <c r="A3" i="21"/>
  <c r="BG2" i="21"/>
  <c r="BH2" i="21" s="1"/>
  <c r="BE2" i="21"/>
  <c r="BF2" i="21" s="1"/>
  <c r="AY2" i="21"/>
  <c r="AZ2" i="21" s="1"/>
  <c r="AW2" i="21"/>
  <c r="AX2" i="21" s="1"/>
  <c r="AU2" i="21"/>
  <c r="AS2" i="21"/>
  <c r="AT2" i="21" s="1"/>
  <c r="AQ2" i="21"/>
  <c r="AO2" i="21"/>
  <c r="AP2" i="21" s="1"/>
  <c r="AM2" i="21"/>
  <c r="AN2" i="21" s="1"/>
  <c r="AK2" i="21"/>
  <c r="AG2" i="21"/>
  <c r="AH2" i="21" s="1"/>
  <c r="AE2" i="21"/>
  <c r="AF2" i="21" s="1"/>
  <c r="AC2" i="21"/>
  <c r="AA2" i="21"/>
  <c r="AB2" i="21" s="1"/>
  <c r="W2" i="21"/>
  <c r="X2" i="21" s="1"/>
  <c r="U2" i="21"/>
  <c r="V2" i="21" s="1"/>
  <c r="S2" i="21"/>
  <c r="T2" i="21" s="1"/>
  <c r="Q2" i="21"/>
  <c r="R2" i="21" s="1"/>
  <c r="P2" i="21"/>
  <c r="O2" i="21"/>
  <c r="N2" i="21"/>
  <c r="M2" i="21"/>
  <c r="L2" i="21"/>
  <c r="K2" i="21"/>
  <c r="J2" i="21"/>
  <c r="I2" i="21"/>
  <c r="H2" i="21"/>
  <c r="G2" i="21"/>
  <c r="F2" i="21"/>
  <c r="E2" i="21"/>
  <c r="D2" i="21"/>
  <c r="C2" i="21"/>
  <c r="B2" i="21"/>
  <c r="A2" i="21"/>
  <c r="BA92" i="21" l="1"/>
  <c r="BA116" i="21"/>
  <c r="BA148" i="21"/>
  <c r="BA188" i="21"/>
  <c r="BA196" i="21"/>
  <c r="BA204" i="21"/>
  <c r="BA278" i="21"/>
  <c r="BA284" i="21"/>
  <c r="BA286" i="21"/>
  <c r="BA300" i="21"/>
  <c r="BA312" i="21"/>
  <c r="BA316" i="21"/>
  <c r="Y174" i="21"/>
  <c r="AI178" i="21"/>
  <c r="Y182" i="21"/>
  <c r="Y214" i="21"/>
  <c r="Y230" i="21"/>
  <c r="BA4" i="21"/>
  <c r="BA20" i="21"/>
  <c r="BA28" i="21"/>
  <c r="AJ95" i="21"/>
  <c r="AJ111" i="21"/>
  <c r="AJ135" i="21"/>
  <c r="BB211" i="21"/>
  <c r="BB219" i="21"/>
  <c r="BA220" i="21"/>
  <c r="BA270" i="21"/>
  <c r="BA288" i="21"/>
  <c r="BA296" i="21"/>
  <c r="BA320" i="21"/>
  <c r="AJ351" i="21"/>
  <c r="AI69" i="21"/>
  <c r="Z72" i="21"/>
  <c r="Y73" i="21"/>
  <c r="Z80" i="21"/>
  <c r="Y81" i="21"/>
  <c r="AI85" i="21"/>
  <c r="Z88" i="21"/>
  <c r="Y89" i="21"/>
  <c r="AI93" i="21"/>
  <c r="AI101" i="21"/>
  <c r="AI109" i="21"/>
  <c r="AJ116" i="21"/>
  <c r="AJ124" i="21"/>
  <c r="AI125" i="21"/>
  <c r="BB176" i="21"/>
  <c r="AJ252" i="21"/>
  <c r="AJ260" i="21"/>
  <c r="AI261" i="21"/>
  <c r="AI269" i="21"/>
  <c r="Z272" i="21"/>
  <c r="AI277" i="21"/>
  <c r="Z280" i="21"/>
  <c r="Y281" i="21"/>
  <c r="AI285" i="21"/>
  <c r="Z288" i="21"/>
  <c r="Y289" i="21"/>
  <c r="Y297" i="21"/>
  <c r="AJ300" i="21"/>
  <c r="AJ324" i="21"/>
  <c r="Y385" i="21"/>
  <c r="BA206" i="21"/>
  <c r="AJ217" i="21"/>
  <c r="BA400" i="21"/>
  <c r="BB258" i="21"/>
  <c r="BB322" i="21"/>
  <c r="BA12" i="21"/>
  <c r="AJ127" i="21"/>
  <c r="BA180" i="21"/>
  <c r="BB291" i="21"/>
  <c r="BB339" i="21"/>
  <c r="BA344" i="21"/>
  <c r="BA348" i="21"/>
  <c r="BA350" i="21"/>
  <c r="BA360" i="21"/>
  <c r="BA364" i="21"/>
  <c r="BA376" i="21"/>
  <c r="BB379" i="21"/>
  <c r="BA382" i="21"/>
  <c r="BA384" i="21"/>
  <c r="BA388" i="21"/>
  <c r="BA392" i="21"/>
  <c r="AJ240" i="21"/>
  <c r="AJ320" i="21"/>
  <c r="Y333" i="21"/>
  <c r="AI337" i="21"/>
  <c r="AI345" i="21"/>
  <c r="Y349" i="21"/>
  <c r="AI353" i="21"/>
  <c r="Y357" i="21"/>
  <c r="Y365" i="21"/>
  <c r="AI385" i="21"/>
  <c r="Z388" i="21"/>
  <c r="AJ392" i="21"/>
  <c r="AI393" i="21"/>
  <c r="Z396" i="21"/>
  <c r="Y397" i="21"/>
  <c r="Z404" i="21"/>
  <c r="Y286" i="21"/>
  <c r="AJ289" i="21"/>
  <c r="AJ297" i="21"/>
  <c r="AI298" i="21"/>
  <c r="AI306" i="21"/>
  <c r="Y310" i="21"/>
  <c r="BA310" i="21"/>
  <c r="AI314" i="21"/>
  <c r="AJ321" i="21"/>
  <c r="AI322" i="21"/>
  <c r="BA334" i="21"/>
  <c r="BA342" i="21"/>
  <c r="BA366" i="21"/>
  <c r="BB125" i="21"/>
  <c r="BB133" i="21"/>
  <c r="BB149" i="21"/>
  <c r="AJ169" i="21"/>
  <c r="AJ193" i="21"/>
  <c r="AI210" i="21"/>
  <c r="AI218" i="21"/>
  <c r="Y222" i="21"/>
  <c r="AI282" i="21"/>
  <c r="AI290" i="21"/>
  <c r="AJ401" i="21"/>
  <c r="BA367" i="21"/>
  <c r="BA399" i="21"/>
  <c r="AJ75" i="21"/>
  <c r="AI76" i="21"/>
  <c r="Y80" i="21"/>
  <c r="AJ83" i="21"/>
  <c r="AI84" i="21"/>
  <c r="Y88" i="21"/>
  <c r="AJ91" i="21"/>
  <c r="AI92" i="21"/>
  <c r="Y96" i="21"/>
  <c r="AJ99" i="21"/>
  <c r="Y104" i="21"/>
  <c r="AJ107" i="21"/>
  <c r="BB72" i="21"/>
  <c r="BB80" i="21"/>
  <c r="BB88" i="21"/>
  <c r="BA121" i="21"/>
  <c r="BA129" i="21"/>
  <c r="BA137" i="21"/>
  <c r="BA161" i="21"/>
  <c r="BA169" i="21"/>
  <c r="BA177" i="21"/>
  <c r="BA185" i="21"/>
  <c r="BA193" i="21"/>
  <c r="BA201" i="21"/>
  <c r="BA209" i="21"/>
  <c r="BA217" i="21"/>
  <c r="Z224" i="21"/>
  <c r="Y225" i="21"/>
  <c r="BA225" i="21"/>
  <c r="AI229" i="21"/>
  <c r="AJ236" i="21"/>
  <c r="AI237" i="21"/>
  <c r="BA241" i="21"/>
  <c r="AI245" i="21"/>
  <c r="BA249" i="21"/>
  <c r="BA257" i="21"/>
  <c r="BB264" i="21"/>
  <c r="BB272" i="21"/>
  <c r="BA277" i="21"/>
  <c r="BB280" i="21"/>
  <c r="BA281" i="21"/>
  <c r="BA285" i="21"/>
  <c r="BA289" i="21"/>
  <c r="BA293" i="21"/>
  <c r="BA301" i="21"/>
  <c r="BA305" i="21"/>
  <c r="AJ308" i="21"/>
  <c r="AI309" i="21"/>
  <c r="BA309" i="21"/>
  <c r="BA313" i="21"/>
  <c r="BA321" i="21"/>
  <c r="BA329" i="21"/>
  <c r="BA333" i="21"/>
  <c r="BA341" i="21"/>
  <c r="BA345" i="21"/>
  <c r="BA353" i="21"/>
  <c r="BA357" i="21"/>
  <c r="BB360" i="21"/>
  <c r="BA361" i="21"/>
  <c r="BB368" i="21"/>
  <c r="BA369" i="21"/>
  <c r="BA377" i="21"/>
  <c r="BA381" i="21"/>
  <c r="BB384" i="21"/>
  <c r="BA385" i="21"/>
  <c r="BA389" i="21"/>
  <c r="BB392" i="21"/>
  <c r="BA393" i="21"/>
  <c r="BA401" i="21"/>
  <c r="BA222" i="21"/>
  <c r="BA402" i="21"/>
  <c r="Y3" i="21"/>
  <c r="BA3" i="21"/>
  <c r="AI7" i="21"/>
  <c r="Z10" i="21"/>
  <c r="Y11" i="21"/>
  <c r="BA11" i="21"/>
  <c r="AI15" i="21"/>
  <c r="Y19" i="21"/>
  <c r="BA19" i="21"/>
  <c r="BA35" i="21"/>
  <c r="Y59" i="21"/>
  <c r="AJ62" i="21"/>
  <c r="AJ70" i="21"/>
  <c r="Y75" i="21"/>
  <c r="AJ78" i="21"/>
  <c r="AI79" i="21"/>
  <c r="Y83" i="21"/>
  <c r="AJ86" i="21"/>
  <c r="AI87" i="21"/>
  <c r="AJ94" i="21"/>
  <c r="Y99" i="21"/>
  <c r="Y107" i="21"/>
  <c r="Z114" i="21"/>
  <c r="Z122" i="21"/>
  <c r="Y123" i="21"/>
  <c r="Z130" i="21"/>
  <c r="Y131" i="21"/>
  <c r="Z138" i="21"/>
  <c r="Y139" i="21"/>
  <c r="Z146" i="21"/>
  <c r="Y147" i="21"/>
  <c r="BB162" i="21"/>
  <c r="AI167" i="21"/>
  <c r="Z170" i="21"/>
  <c r="Z178" i="21"/>
  <c r="Y179" i="21"/>
  <c r="AJ182" i="21"/>
  <c r="AI183" i="21"/>
  <c r="AJ190" i="21"/>
  <c r="AI191" i="21"/>
  <c r="AJ198" i="21"/>
  <c r="AI199" i="21"/>
  <c r="Y203" i="21"/>
  <c r="Y211" i="21"/>
  <c r="AJ214" i="21"/>
  <c r="AJ222" i="21"/>
  <c r="BB242" i="21"/>
  <c r="BB298" i="21"/>
  <c r="BB314" i="21"/>
  <c r="BB330" i="21"/>
  <c r="BA60" i="21"/>
  <c r="BA76" i="21"/>
  <c r="BB13" i="21"/>
  <c r="BA14" i="21"/>
  <c r="BA22" i="21"/>
  <c r="BA30" i="21"/>
  <c r="BA38" i="21"/>
  <c r="BA46" i="21"/>
  <c r="BB53" i="21"/>
  <c r="BA62" i="21"/>
  <c r="BA70" i="21"/>
  <c r="BA84" i="21"/>
  <c r="BA7" i="21"/>
  <c r="BA31" i="21"/>
  <c r="BA39" i="21"/>
  <c r="BA47" i="21"/>
  <c r="Z118" i="21"/>
  <c r="Y119" i="21"/>
  <c r="Z126" i="21"/>
  <c r="Y127" i="21"/>
  <c r="AI131" i="21"/>
  <c r="Z134" i="21"/>
  <c r="Y135" i="21"/>
  <c r="BA135" i="21"/>
  <c r="AI139" i="21"/>
  <c r="Z142" i="21"/>
  <c r="Y143" i="21"/>
  <c r="Z150" i="21"/>
  <c r="Y151" i="21"/>
  <c r="Z158" i="21"/>
  <c r="Y159" i="21"/>
  <c r="BB166" i="21"/>
  <c r="AI171" i="21"/>
  <c r="Y175" i="21"/>
  <c r="Z182" i="21"/>
  <c r="BB182" i="21"/>
  <c r="Y183" i="21"/>
  <c r="BA183" i="21"/>
  <c r="AJ186" i="21"/>
  <c r="AI187" i="21"/>
  <c r="Z190" i="21"/>
  <c r="Y191" i="21"/>
  <c r="BA287" i="21"/>
  <c r="BA295" i="21"/>
  <c r="BA335" i="21"/>
  <c r="BB32" i="21"/>
  <c r="Z48" i="21"/>
  <c r="AI53" i="21"/>
  <c r="Y57" i="21"/>
  <c r="Z64" i="21"/>
  <c r="BA65" i="21"/>
  <c r="BB24" i="21"/>
  <c r="BA33" i="21"/>
  <c r="BB40" i="21"/>
  <c r="BB56" i="21"/>
  <c r="AI61" i="21"/>
  <c r="Z2" i="21"/>
  <c r="AI6" i="21"/>
  <c r="Z9" i="21"/>
  <c r="BA10" i="21"/>
  <c r="AI14" i="21"/>
  <c r="Z17" i="21"/>
  <c r="BB17" i="21"/>
  <c r="Y18" i="21"/>
  <c r="BA18" i="21"/>
  <c r="AJ21" i="21"/>
  <c r="Z25" i="21"/>
  <c r="Y26" i="21"/>
  <c r="BA26" i="21"/>
  <c r="AI30" i="21"/>
  <c r="Z33" i="21"/>
  <c r="Y34" i="21"/>
  <c r="BA34" i="21"/>
  <c r="BA42" i="21"/>
  <c r="BA50" i="21"/>
  <c r="BA32" i="21"/>
  <c r="BA67" i="21"/>
  <c r="BA75" i="21"/>
  <c r="BA83" i="21"/>
  <c r="BA91" i="21"/>
  <c r="BA115" i="21"/>
  <c r="BA147" i="21"/>
  <c r="BA155" i="21"/>
  <c r="BA163" i="21"/>
  <c r="BA171" i="21"/>
  <c r="BA187" i="21"/>
  <c r="BA195" i="21"/>
  <c r="BA203" i="21"/>
  <c r="BA211" i="21"/>
  <c r="BA58" i="21"/>
  <c r="Z65" i="21"/>
  <c r="Y66" i="21"/>
  <c r="BA66" i="21"/>
  <c r="AI70" i="21"/>
  <c r="Z73" i="21"/>
  <c r="Y74" i="21"/>
  <c r="BA74" i="21"/>
  <c r="BA82" i="21"/>
  <c r="BA90" i="21"/>
  <c r="BB113" i="21"/>
  <c r="BA114" i="21"/>
  <c r="BA122" i="21"/>
  <c r="BB129" i="21"/>
  <c r="BA130" i="21"/>
  <c r="BB137" i="21"/>
  <c r="BA138" i="21"/>
  <c r="BB145" i="21"/>
  <c r="BA162" i="21"/>
  <c r="BA170" i="21"/>
  <c r="BB185" i="21"/>
  <c r="Y186" i="21"/>
  <c r="BA186" i="21"/>
  <c r="AJ189" i="21"/>
  <c r="AI190" i="21"/>
  <c r="BB193" i="21"/>
  <c r="Y194" i="21"/>
  <c r="AJ197" i="21"/>
  <c r="AI198" i="21"/>
  <c r="BA202" i="21"/>
  <c r="AJ205" i="21"/>
  <c r="AI206" i="21"/>
  <c r="BA210" i="21"/>
  <c r="AJ213" i="21"/>
  <c r="AI214" i="21"/>
  <c r="Y218" i="21"/>
  <c r="BA218" i="21"/>
  <c r="AI222" i="21"/>
  <c r="Y226" i="21"/>
  <c r="BA274" i="21"/>
  <c r="BA282" i="21"/>
  <c r="BB305" i="21"/>
  <c r="BA306" i="21"/>
  <c r="BB313" i="21"/>
  <c r="BA314" i="21"/>
  <c r="BA322" i="21"/>
  <c r="BA338" i="21"/>
  <c r="BB353" i="21"/>
  <c r="BA354" i="21"/>
  <c r="BA362" i="21"/>
  <c r="BB385" i="21"/>
  <c r="BA386" i="21"/>
  <c r="BA394" i="21"/>
  <c r="BA235" i="21"/>
  <c r="BA243" i="21"/>
  <c r="BA251" i="21"/>
  <c r="BA259" i="21"/>
  <c r="BA267" i="21"/>
  <c r="BA323" i="21"/>
  <c r="BA331" i="21"/>
  <c r="BA355" i="21"/>
  <c r="BA363" i="21"/>
  <c r="BA387" i="21"/>
  <c r="BA5" i="21"/>
  <c r="BA13" i="21"/>
  <c r="BA21" i="21"/>
  <c r="AI25" i="21"/>
  <c r="Z28" i="21"/>
  <c r="BB28" i="21"/>
  <c r="Y29" i="21"/>
  <c r="Z36" i="21"/>
  <c r="BB36" i="21"/>
  <c r="Y37" i="21"/>
  <c r="BA37" i="21"/>
  <c r="BB44" i="21"/>
  <c r="BB52" i="21"/>
  <c r="AJ56" i="21"/>
  <c r="AI57" i="21"/>
  <c r="BA77" i="21"/>
  <c r="BA85" i="21"/>
  <c r="BA93" i="21"/>
  <c r="BA149" i="21"/>
  <c r="BA181" i="21"/>
  <c r="BA189" i="21"/>
  <c r="BA213" i="21"/>
  <c r="BA221" i="21"/>
  <c r="BB141" i="21"/>
  <c r="BA150" i="21"/>
  <c r="BA182" i="21"/>
  <c r="BA214" i="21"/>
  <c r="BA242" i="21"/>
  <c r="BA250" i="21"/>
  <c r="BA258" i="21"/>
  <c r="Z68" i="21"/>
  <c r="BB68" i="21"/>
  <c r="Y69" i="21"/>
  <c r="BB76" i="21"/>
  <c r="BB84" i="21"/>
  <c r="BB92" i="21"/>
  <c r="BB268" i="21"/>
  <c r="BB284" i="21"/>
  <c r="BB300" i="21"/>
  <c r="Y309" i="21"/>
  <c r="AJ312" i="21"/>
  <c r="Y317" i="21"/>
  <c r="BB372" i="21"/>
  <c r="BB380" i="21"/>
  <c r="Y198" i="21"/>
  <c r="AJ201" i="21"/>
  <c r="Z237" i="21"/>
  <c r="BB237" i="21"/>
  <c r="BB397" i="21"/>
  <c r="AJ194" i="21"/>
  <c r="AI195" i="21"/>
  <c r="Y199" i="21"/>
  <c r="BA199" i="21"/>
  <c r="AJ202" i="21"/>
  <c r="AI203" i="21"/>
  <c r="BA207" i="21"/>
  <c r="AI211" i="21"/>
  <c r="Y215" i="21"/>
  <c r="AJ218" i="21"/>
  <c r="BA223" i="21"/>
  <c r="BA239" i="21"/>
  <c r="BB246" i="21"/>
  <c r="BB254" i="21"/>
  <c r="AI259" i="21"/>
  <c r="Z262" i="21"/>
  <c r="BB262" i="21"/>
  <c r="Y263" i="21"/>
  <c r="AJ266" i="21"/>
  <c r="BA271" i="21"/>
  <c r="BB302" i="21"/>
  <c r="BB318" i="21"/>
  <c r="BB326" i="21"/>
  <c r="BB350" i="21"/>
  <c r="BB358" i="21"/>
  <c r="BB374" i="21"/>
  <c r="BB382" i="21"/>
  <c r="BB390" i="21"/>
  <c r="BB398" i="21"/>
  <c r="Y399" i="21"/>
  <c r="AJ402" i="21"/>
  <c r="AI403" i="21"/>
  <c r="Y112" i="21"/>
  <c r="Z119" i="21"/>
  <c r="Y120" i="21"/>
  <c r="Y128" i="21"/>
  <c r="BA136" i="21"/>
  <c r="BA160" i="21"/>
  <c r="BB167" i="21"/>
  <c r="Z175" i="21"/>
  <c r="Y176" i="21"/>
  <c r="BA176" i="21"/>
  <c r="Z183" i="21"/>
  <c r="AJ187" i="21"/>
  <c r="BA192" i="21"/>
  <c r="BA200" i="21"/>
  <c r="BB223" i="21"/>
  <c r="Y240" i="21"/>
  <c r="AI244" i="21"/>
  <c r="Z247" i="21"/>
  <c r="Y248" i="21"/>
  <c r="BA248" i="21"/>
  <c r="AI252" i="21"/>
  <c r="Z255" i="21"/>
  <c r="Y256" i="21"/>
  <c r="BA256" i="21"/>
  <c r="AI260" i="21"/>
  <c r="Z263" i="21"/>
  <c r="BA264" i="21"/>
  <c r="AJ267" i="21"/>
  <c r="BB287" i="21"/>
  <c r="BB303" i="21"/>
  <c r="Y328" i="21"/>
  <c r="BB343" i="21"/>
  <c r="BB359" i="21"/>
  <c r="Y360" i="21"/>
  <c r="AJ363" i="21"/>
  <c r="BB367" i="21"/>
  <c r="AI372" i="21"/>
  <c r="BB383" i="21"/>
  <c r="Z41" i="21"/>
  <c r="Y42" i="21"/>
  <c r="AI77" i="21"/>
  <c r="AI267" i="21"/>
  <c r="Y271" i="21"/>
  <c r="AJ274" i="21"/>
  <c r="AI275" i="21"/>
  <c r="Y279" i="21"/>
  <c r="AJ282" i="21"/>
  <c r="AJ290" i="21"/>
  <c r="AI291" i="21"/>
  <c r="Y303" i="21"/>
  <c r="Y311" i="21"/>
  <c r="AJ314" i="21"/>
  <c r="AI315" i="21"/>
  <c r="Y319" i="21"/>
  <c r="AI330" i="21"/>
  <c r="AJ337" i="21"/>
  <c r="AI338" i="21"/>
  <c r="AJ345" i="21"/>
  <c r="AJ361" i="21"/>
  <c r="AI362" i="21"/>
  <c r="Y366" i="21"/>
  <c r="AJ369" i="21"/>
  <c r="AI370" i="21"/>
  <c r="Y374" i="21"/>
  <c r="AJ377" i="21"/>
  <c r="AI378" i="21"/>
  <c r="Y382" i="21"/>
  <c r="AI386" i="21"/>
  <c r="AJ393" i="21"/>
  <c r="AI394" i="21"/>
  <c r="Y398" i="21"/>
  <c r="AJ54" i="21"/>
  <c r="Z81" i="21"/>
  <c r="Y82" i="21"/>
  <c r="AI86" i="21"/>
  <c r="Z89" i="21"/>
  <c r="Y90" i="21"/>
  <c r="AI94" i="21"/>
  <c r="Z97" i="21"/>
  <c r="AI102" i="21"/>
  <c r="Z105" i="21"/>
  <c r="AI110" i="21"/>
  <c r="Z113" i="21"/>
  <c r="AJ117" i="21"/>
  <c r="Z208" i="21"/>
  <c r="AI213" i="21"/>
  <c r="Z216" i="21"/>
  <c r="Y217" i="21"/>
  <c r="AI221" i="21"/>
  <c r="AI268" i="21"/>
  <c r="AJ275" i="21"/>
  <c r="AI276" i="21"/>
  <c r="AJ283" i="21"/>
  <c r="AI284" i="21"/>
  <c r="Z287" i="21"/>
  <c r="Y288" i="21"/>
  <c r="AI292" i="21"/>
  <c r="Z295" i="21"/>
  <c r="Y296" i="21"/>
  <c r="Y304" i="21"/>
  <c r="AJ307" i="21"/>
  <c r="AI308" i="21"/>
  <c r="Y312" i="21"/>
  <c r="AJ315" i="21"/>
  <c r="AI316" i="21"/>
  <c r="Z319" i="21"/>
  <c r="Y320" i="21"/>
  <c r="AI324" i="21"/>
  <c r="Z326" i="21"/>
  <c r="Y327" i="21"/>
  <c r="AI331" i="21"/>
  <c r="AI339" i="21"/>
  <c r="Y343" i="21"/>
  <c r="AJ346" i="21"/>
  <c r="AI347" i="21"/>
  <c r="Y351" i="21"/>
  <c r="AJ354" i="21"/>
  <c r="AI355" i="21"/>
  <c r="Z358" i="21"/>
  <c r="Y359" i="21"/>
  <c r="AJ362" i="21"/>
  <c r="Z366" i="21"/>
  <c r="Y367" i="21"/>
  <c r="AJ370" i="21"/>
  <c r="AI371" i="21"/>
  <c r="Z374" i="21"/>
  <c r="Y375" i="21"/>
  <c r="AJ378" i="21"/>
  <c r="AI379" i="21"/>
  <c r="Z390" i="21"/>
  <c r="AJ394" i="21"/>
  <c r="Z154" i="21"/>
  <c r="AI166" i="21"/>
  <c r="AJ173" i="21"/>
  <c r="AI174" i="21"/>
  <c r="Y178" i="21"/>
  <c r="AJ181" i="21"/>
  <c r="AI182" i="21"/>
  <c r="Y202" i="21"/>
  <c r="AI230" i="21"/>
  <c r="Z233" i="21"/>
  <c r="AI238" i="21"/>
  <c r="AI253" i="21"/>
  <c r="Y257" i="21"/>
  <c r="AI2" i="21"/>
  <c r="AJ8" i="21"/>
  <c r="AI9" i="21"/>
  <c r="AJ16" i="21"/>
  <c r="AI17" i="21"/>
  <c r="AI33" i="21"/>
  <c r="AI41" i="21"/>
  <c r="Z44" i="21"/>
  <c r="AI223" i="21"/>
  <c r="AI231" i="21"/>
  <c r="Z234" i="21"/>
  <c r="Y235" i="21"/>
  <c r="Z241" i="21"/>
  <c r="AJ245" i="21"/>
  <c r="AI246" i="21"/>
  <c r="AJ253" i="21"/>
  <c r="AI254" i="21"/>
  <c r="AJ261" i="21"/>
  <c r="AI262" i="21"/>
  <c r="Z265" i="21"/>
  <c r="Y266" i="21"/>
  <c r="AI270" i="21"/>
  <c r="Y274" i="21"/>
  <c r="AI278" i="21"/>
  <c r="Z281" i="21"/>
  <c r="Y282" i="21"/>
  <c r="AI389" i="21"/>
  <c r="AI397" i="21"/>
  <c r="Z84" i="21"/>
  <c r="Z92" i="21"/>
  <c r="AI97" i="21"/>
  <c r="AJ120" i="21"/>
  <c r="AJ128" i="21"/>
  <c r="AI129" i="21"/>
  <c r="Y133" i="21"/>
  <c r="AJ136" i="21"/>
  <c r="AI137" i="21"/>
  <c r="AJ144" i="21"/>
  <c r="AI145" i="21"/>
  <c r="AJ152" i="21"/>
  <c r="Z164" i="21"/>
  <c r="Y165" i="21"/>
  <c r="Z179" i="21"/>
  <c r="Y180" i="21"/>
  <c r="AI184" i="21"/>
  <c r="Z187" i="21"/>
  <c r="AI192" i="21"/>
  <c r="Z195" i="21"/>
  <c r="Z203" i="21"/>
  <c r="Y204" i="21"/>
  <c r="Z242" i="21"/>
  <c r="Y243" i="21"/>
  <c r="Y267" i="21"/>
  <c r="AJ270" i="21"/>
  <c r="AJ278" i="21"/>
  <c r="BI310" i="21"/>
  <c r="AJ121" i="21"/>
  <c r="Z133" i="21"/>
  <c r="Y134" i="21"/>
  <c r="Z204" i="21"/>
  <c r="Y213" i="21"/>
  <c r="Z220" i="21"/>
  <c r="Z228" i="21"/>
  <c r="AJ232" i="21"/>
  <c r="AI233" i="21"/>
  <c r="Y244" i="21"/>
  <c r="AJ382" i="21"/>
  <c r="BH280" i="21"/>
  <c r="BI280" i="21"/>
  <c r="AI89" i="21"/>
  <c r="AI113" i="21"/>
  <c r="AJ3" i="21"/>
  <c r="AI4" i="21"/>
  <c r="Y16" i="21"/>
  <c r="AJ19" i="21"/>
  <c r="AJ27" i="21"/>
  <c r="AI28" i="21"/>
  <c r="Y32" i="21"/>
  <c r="AJ35" i="21"/>
  <c r="AI36" i="21"/>
  <c r="AJ43" i="21"/>
  <c r="AI44" i="21"/>
  <c r="Y47" i="21"/>
  <c r="AJ58" i="21"/>
  <c r="Y63" i="21"/>
  <c r="AJ66" i="21"/>
  <c r="Y71" i="21"/>
  <c r="Z77" i="21"/>
  <c r="Y78" i="21"/>
  <c r="Z85" i="21"/>
  <c r="Y86" i="21"/>
  <c r="Z93" i="21"/>
  <c r="Y94" i="21"/>
  <c r="AI114" i="21"/>
  <c r="Y8" i="21"/>
  <c r="AJ11" i="21"/>
  <c r="Y2" i="21"/>
  <c r="AI5" i="21"/>
  <c r="Y9" i="21"/>
  <c r="AJ12" i="21"/>
  <c r="AI13" i="21"/>
  <c r="Y17" i="21"/>
  <c r="AI21" i="21"/>
  <c r="Z24" i="21"/>
  <c r="Y25" i="21"/>
  <c r="AI29" i="21"/>
  <c r="Z32" i="21"/>
  <c r="AI37" i="21"/>
  <c r="Z40" i="21"/>
  <c r="AI45" i="21"/>
  <c r="AJ51" i="21"/>
  <c r="AI52" i="21"/>
  <c r="Z55" i="21"/>
  <c r="Y56" i="21"/>
  <c r="AJ59" i="21"/>
  <c r="AI60" i="21"/>
  <c r="Z63" i="21"/>
  <c r="AJ67" i="21"/>
  <c r="AI68" i="21"/>
  <c r="AJ74" i="21"/>
  <c r="Y79" i="21"/>
  <c r="AJ82" i="21"/>
  <c r="AJ90" i="21"/>
  <c r="Y95" i="21"/>
  <c r="Y103" i="21"/>
  <c r="Y111" i="21"/>
  <c r="AI115" i="21"/>
  <c r="AI200" i="21"/>
  <c r="AI215" i="21"/>
  <c r="AI307" i="21"/>
  <c r="AI323" i="21"/>
  <c r="AI354" i="21"/>
  <c r="Y389" i="21"/>
  <c r="AI401" i="21"/>
  <c r="AI130" i="21"/>
  <c r="AI138" i="21"/>
  <c r="Z141" i="21"/>
  <c r="AI146" i="21"/>
  <c r="Z149" i="21"/>
  <c r="AJ161" i="21"/>
  <c r="AI162" i="21"/>
  <c r="AJ168" i="21"/>
  <c r="Y173" i="21"/>
  <c r="AI177" i="21"/>
  <c r="Y181" i="21"/>
  <c r="AJ184" i="21"/>
  <c r="Y189" i="21"/>
  <c r="AI193" i="21"/>
  <c r="Y197" i="21"/>
  <c r="Y205" i="21"/>
  <c r="AI208" i="21"/>
  <c r="Z211" i="21"/>
  <c r="AI216" i="21"/>
  <c r="Z219" i="21"/>
  <c r="AJ231" i="21"/>
  <c r="Y236" i="21"/>
  <c r="AI247" i="21"/>
  <c r="AJ162" i="21"/>
  <c r="Y190" i="21"/>
  <c r="Y206" i="21"/>
  <c r="AI217" i="21"/>
  <c r="Y221" i="21"/>
  <c r="Z250" i="21"/>
  <c r="AI255" i="21"/>
  <c r="Z258" i="21"/>
  <c r="AI263" i="21"/>
  <c r="AI271" i="21"/>
  <c r="Y275" i="21"/>
  <c r="Y290" i="21"/>
  <c r="AJ293" i="21"/>
  <c r="Z297" i="21"/>
  <c r="Y298" i="21"/>
  <c r="AJ301" i="21"/>
  <c r="Y313" i="21"/>
  <c r="AI317" i="21"/>
  <c r="Y321" i="21"/>
  <c r="AI325" i="21"/>
  <c r="AI332" i="21"/>
  <c r="Z335" i="21"/>
  <c r="AI340" i="21"/>
  <c r="Z343" i="21"/>
  <c r="AI348" i="21"/>
  <c r="Y352" i="21"/>
  <c r="AJ355" i="21"/>
  <c r="AI356" i="21"/>
  <c r="AI364" i="21"/>
  <c r="AI380" i="21"/>
  <c r="Y383" i="21"/>
  <c r="AI387" i="21"/>
  <c r="Y391" i="21"/>
  <c r="AI395" i="21"/>
  <c r="AJ131" i="21"/>
  <c r="AI132" i="21"/>
  <c r="Y136" i="21"/>
  <c r="AJ139" i="21"/>
  <c r="AI140" i="21"/>
  <c r="Y144" i="21"/>
  <c r="Y152" i="21"/>
  <c r="AJ155" i="21"/>
  <c r="Y160" i="21"/>
  <c r="AI164" i="21"/>
  <c r="Z166" i="21"/>
  <c r="Y167" i="21"/>
  <c r="AI179" i="21"/>
  <c r="AI234" i="21"/>
  <c r="AI241" i="21"/>
  <c r="Y245" i="21"/>
  <c r="Z251" i="21"/>
  <c r="Y252" i="21"/>
  <c r="Z259" i="21"/>
  <c r="Y260" i="21"/>
  <c r="AI264" i="21"/>
  <c r="Y268" i="21"/>
  <c r="AI272" i="21"/>
  <c r="AI280" i="21"/>
  <c r="AI287" i="21"/>
  <c r="AI302" i="21"/>
  <c r="AI310" i="21"/>
  <c r="AI318" i="21"/>
  <c r="AI333" i="21"/>
  <c r="AI357" i="21"/>
  <c r="AI365" i="21"/>
  <c r="Z368" i="21"/>
  <c r="Y369" i="21"/>
  <c r="Y377" i="21"/>
  <c r="AI388" i="21"/>
  <c r="Y392" i="21"/>
  <c r="AI396" i="21"/>
  <c r="Y400" i="21"/>
  <c r="AI404" i="21"/>
  <c r="AJ132" i="21"/>
  <c r="AI133" i="21"/>
  <c r="AJ140" i="21"/>
  <c r="AI141" i="21"/>
  <c r="AJ148" i="21"/>
  <c r="AI149" i="21"/>
  <c r="Y153" i="21"/>
  <c r="AJ156" i="21"/>
  <c r="AI157" i="21"/>
  <c r="Y161" i="21"/>
  <c r="AJ164" i="21"/>
  <c r="Y168" i="21"/>
  <c r="AJ171" i="21"/>
  <c r="AI180" i="21"/>
  <c r="Y184" i="21"/>
  <c r="AI188" i="21"/>
  <c r="Z191" i="21"/>
  <c r="Y192" i="21"/>
  <c r="AI196" i="21"/>
  <c r="Y200" i="21"/>
  <c r="AI204" i="21"/>
  <c r="Z207" i="21"/>
  <c r="AI219" i="21"/>
  <c r="Z222" i="21"/>
  <c r="Y223" i="21"/>
  <c r="AJ226" i="21"/>
  <c r="Z230" i="21"/>
  <c r="Y231" i="21"/>
  <c r="Z238" i="21"/>
  <c r="AI242" i="21"/>
  <c r="Y246" i="21"/>
  <c r="Y253" i="21"/>
  <c r="AJ256" i="21"/>
  <c r="Y261" i="21"/>
  <c r="AI265" i="21"/>
  <c r="AI273" i="21"/>
  <c r="Z276" i="21"/>
  <c r="AI288" i="21"/>
  <c r="Z291" i="21"/>
  <c r="AI296" i="21"/>
  <c r="Z299" i="21"/>
  <c r="Y300" i="21"/>
  <c r="AI303" i="21"/>
  <c r="Z322" i="21"/>
  <c r="AI326" i="21"/>
  <c r="AI334" i="21"/>
  <c r="AJ341" i="21"/>
  <c r="AI342" i="21"/>
  <c r="Y346" i="21"/>
  <c r="AJ349" i="21"/>
  <c r="AJ357" i="21"/>
  <c r="AI358" i="21"/>
  <c r="Y362" i="21"/>
  <c r="AI366" i="21"/>
  <c r="Y370" i="21"/>
  <c r="AJ373" i="21"/>
  <c r="AJ381" i="21"/>
  <c r="Z392" i="21"/>
  <c r="AI118" i="21"/>
  <c r="AI126" i="21"/>
  <c r="Z129" i="21"/>
  <c r="AI134" i="21"/>
  <c r="Z137" i="21"/>
  <c r="AI142" i="21"/>
  <c r="Z145" i="21"/>
  <c r="Y146" i="21"/>
  <c r="AI150" i="21"/>
  <c r="AI158" i="21"/>
  <c r="Y162" i="21"/>
  <c r="Y169" i="21"/>
  <c r="AJ172" i="21"/>
  <c r="AI173" i="21"/>
  <c r="AJ180" i="21"/>
  <c r="AI181" i="21"/>
  <c r="Z184" i="21"/>
  <c r="Y185" i="21"/>
  <c r="AI189" i="21"/>
  <c r="Z192" i="21"/>
  <c r="Y193" i="21"/>
  <c r="AI197" i="21"/>
  <c r="Z200" i="21"/>
  <c r="Y201" i="21"/>
  <c r="AI205" i="21"/>
  <c r="Y208" i="21"/>
  <c r="Z215" i="21"/>
  <c r="AI220" i="21"/>
  <c r="Z223" i="21"/>
  <c r="AI228" i="21"/>
  <c r="Y232" i="21"/>
  <c r="AJ235" i="21"/>
  <c r="Z246" i="21"/>
  <c r="AJ249" i="21"/>
  <c r="AI250" i="21"/>
  <c r="AJ257" i="21"/>
  <c r="AI258" i="21"/>
  <c r="Y262" i="21"/>
  <c r="AJ265" i="21"/>
  <c r="AI266" i="21"/>
  <c r="Z269" i="21"/>
  <c r="Y270" i="21"/>
  <c r="AI274" i="21"/>
  <c r="Y278" i="21"/>
  <c r="AI281" i="21"/>
  <c r="Z284" i="21"/>
  <c r="Y285" i="21"/>
  <c r="AI289" i="21"/>
  <c r="Z292" i="21"/>
  <c r="Y293" i="21"/>
  <c r="AI297" i="21"/>
  <c r="Y301" i="21"/>
  <c r="Z307" i="21"/>
  <c r="Y308" i="21"/>
  <c r="Z315" i="21"/>
  <c r="Y316" i="21"/>
  <c r="Z323" i="21"/>
  <c r="Y324" i="21"/>
  <c r="AI327" i="21"/>
  <c r="Z330" i="21"/>
  <c r="AJ334" i="21"/>
  <c r="AI335" i="21"/>
  <c r="Y339" i="21"/>
  <c r="AI343" i="21"/>
  <c r="AJ350" i="21"/>
  <c r="AI351" i="21"/>
  <c r="Y355" i="21"/>
  <c r="AI359" i="21"/>
  <c r="Z362" i="21"/>
  <c r="AI367" i="21"/>
  <c r="Y371" i="21"/>
  <c r="AI375" i="21"/>
  <c r="Y379" i="21"/>
  <c r="Y386" i="21"/>
  <c r="AI390" i="21"/>
  <c r="Z393" i="21"/>
  <c r="AI398" i="21"/>
  <c r="Z401" i="21"/>
  <c r="Y402" i="21"/>
  <c r="AJ22" i="21"/>
  <c r="AI23" i="21"/>
  <c r="Y27" i="21"/>
  <c r="AJ30" i="21"/>
  <c r="Y35" i="21"/>
  <c r="AJ38" i="21"/>
  <c r="AI39" i="21"/>
  <c r="Y43" i="21"/>
  <c r="AJ46" i="21"/>
  <c r="Z49" i="21"/>
  <c r="Y50" i="21"/>
  <c r="Y4" i="21"/>
  <c r="AJ7" i="21"/>
  <c r="AI8" i="21"/>
  <c r="Y12" i="21"/>
  <c r="AJ15" i="21"/>
  <c r="AI16" i="21"/>
  <c r="Y20" i="21"/>
  <c r="AJ23" i="21"/>
  <c r="AI24" i="21"/>
  <c r="Y28" i="21"/>
  <c r="AJ31" i="21"/>
  <c r="AI32" i="21"/>
  <c r="Y36" i="21"/>
  <c r="AJ39" i="21"/>
  <c r="AI40" i="21"/>
  <c r="Y51" i="21"/>
  <c r="AI18" i="21"/>
  <c r="AI49" i="21"/>
  <c r="AI10" i="21"/>
  <c r="Z21" i="21"/>
  <c r="Y22" i="21"/>
  <c r="AI26" i="21"/>
  <c r="Z29" i="21"/>
  <c r="Y30" i="21"/>
  <c r="AI34" i="21"/>
  <c r="Z37" i="21"/>
  <c r="Y38" i="21"/>
  <c r="Z45" i="21"/>
  <c r="Y46" i="21"/>
  <c r="Y7" i="21"/>
  <c r="AI11" i="21"/>
  <c r="Z14" i="21"/>
  <c r="Y15" i="21"/>
  <c r="AI19" i="21"/>
  <c r="Y23" i="21"/>
  <c r="AJ26" i="21"/>
  <c r="Y31" i="21"/>
  <c r="AJ34" i="21"/>
  <c r="AI35" i="21"/>
  <c r="Y39" i="21"/>
  <c r="AJ42" i="21"/>
  <c r="Z53" i="21"/>
  <c r="Z60" i="21"/>
  <c r="AI95" i="21"/>
  <c r="AI119" i="21"/>
  <c r="Y177" i="21"/>
  <c r="AJ188" i="21"/>
  <c r="AI212" i="21"/>
  <c r="AJ316" i="21"/>
  <c r="Y54" i="21"/>
  <c r="Y62" i="21"/>
  <c r="AI66" i="21"/>
  <c r="Z69" i="21"/>
  <c r="Y70" i="21"/>
  <c r="AI73" i="21"/>
  <c r="Z76" i="21"/>
  <c r="AI81" i="21"/>
  <c r="AJ87" i="21"/>
  <c r="AI88" i="21"/>
  <c r="Y209" i="21"/>
  <c r="AI227" i="21"/>
  <c r="Y239" i="21"/>
  <c r="AJ279" i="21"/>
  <c r="Y283" i="21"/>
  <c r="AJ286" i="21"/>
  <c r="Y291" i="21"/>
  <c r="AJ294" i="21"/>
  <c r="Y306" i="21"/>
  <c r="AJ325" i="21"/>
  <c r="Y329" i="21"/>
  <c r="AJ332" i="21"/>
  <c r="Z336" i="21"/>
  <c r="Y337" i="21"/>
  <c r="Y345" i="21"/>
  <c r="Y353" i="21"/>
  <c r="AJ356" i="21"/>
  <c r="Y361" i="21"/>
  <c r="Y368" i="21"/>
  <c r="BI382" i="21"/>
  <c r="Z389" i="21"/>
  <c r="Y390" i="21"/>
  <c r="Y55" i="21"/>
  <c r="AI105" i="21"/>
  <c r="AJ143" i="21"/>
  <c r="Y148" i="21"/>
  <c r="AI175" i="21"/>
  <c r="AI207" i="21"/>
  <c r="Y210" i="21"/>
  <c r="AJ248" i="21"/>
  <c r="Y292" i="21"/>
  <c r="Z306" i="21"/>
  <c r="Y338" i="21"/>
  <c r="Z109" i="21"/>
  <c r="Y118" i="21"/>
  <c r="AI122" i="21"/>
  <c r="Z171" i="21"/>
  <c r="AJ183" i="21"/>
  <c r="Y196" i="21"/>
  <c r="AJ228" i="21"/>
  <c r="Y254" i="21"/>
  <c r="Y87" i="21"/>
  <c r="AI154" i="21"/>
  <c r="AJ221" i="21"/>
  <c r="AJ244" i="21"/>
  <c r="AI251" i="21"/>
  <c r="Z254" i="21"/>
  <c r="Y255" i="21"/>
  <c r="Y294" i="21"/>
  <c r="AJ304" i="21"/>
  <c r="Y325" i="21"/>
  <c r="Z378" i="21"/>
  <c r="Z384" i="21"/>
  <c r="Y58" i="21"/>
  <c r="AJ123" i="21"/>
  <c r="AI163" i="21"/>
  <c r="Y166" i="21"/>
  <c r="AI170" i="21"/>
  <c r="Y242" i="21"/>
  <c r="Y264" i="21"/>
  <c r="Y318" i="21"/>
  <c r="AJ328" i="21"/>
  <c r="Z340" i="21"/>
  <c r="Y341" i="21"/>
  <c r="AI55" i="21"/>
  <c r="AI71" i="21"/>
  <c r="BI81" i="21"/>
  <c r="AJ147" i="21"/>
  <c r="Y207" i="21"/>
  <c r="AI224" i="21"/>
  <c r="AI232" i="21"/>
  <c r="AJ239" i="21"/>
  <c r="Y249" i="21"/>
  <c r="AJ299" i="21"/>
  <c r="Z310" i="21"/>
  <c r="Y326" i="21"/>
  <c r="Y342" i="21"/>
  <c r="Y350" i="21"/>
  <c r="Z357" i="21"/>
  <c r="Y358" i="21"/>
  <c r="Y373" i="21"/>
  <c r="AJ376" i="21"/>
  <c r="Y381" i="21"/>
  <c r="Z386" i="21"/>
  <c r="Y387" i="21"/>
  <c r="AJ390" i="21"/>
  <c r="Z394" i="21"/>
  <c r="Y395" i="21"/>
  <c r="Z402" i="21"/>
  <c r="Y403" i="21"/>
  <c r="BI403" i="21"/>
  <c r="Y67" i="21"/>
  <c r="Z174" i="21"/>
  <c r="Z206" i="21"/>
  <c r="Z5" i="21"/>
  <c r="Z13" i="21"/>
  <c r="Y91" i="21"/>
  <c r="Z199" i="21"/>
  <c r="Z308" i="21"/>
  <c r="BI400" i="21"/>
  <c r="Z309" i="21"/>
  <c r="Z317" i="21"/>
  <c r="Z380" i="21"/>
  <c r="Z375" i="21"/>
  <c r="Y64" i="21"/>
  <c r="Z101" i="21"/>
  <c r="Z125" i="21"/>
  <c r="Y224" i="21"/>
  <c r="Z268" i="21"/>
  <c r="Z311" i="21"/>
  <c r="BI350" i="21"/>
  <c r="BI356" i="21"/>
  <c r="Y10" i="21"/>
  <c r="Z157" i="21"/>
  <c r="Z173" i="21"/>
  <c r="BI281" i="21"/>
  <c r="AZ361" i="21"/>
  <c r="BB361" i="21" s="1"/>
  <c r="BI217" i="21"/>
  <c r="BI402" i="21"/>
  <c r="BI200" i="21"/>
  <c r="BI38" i="21"/>
  <c r="BI56" i="21"/>
  <c r="BI134" i="21"/>
  <c r="BI263" i="21"/>
  <c r="BI266" i="21"/>
  <c r="BI339" i="21"/>
  <c r="BI359" i="21"/>
  <c r="BI380" i="21"/>
  <c r="X379" i="21"/>
  <c r="Z379" i="21" s="1"/>
  <c r="AZ295" i="21"/>
  <c r="BI76" i="21"/>
  <c r="BI179" i="21"/>
  <c r="BI182" i="21"/>
  <c r="BI201" i="21"/>
  <c r="BI293" i="21"/>
  <c r="R344" i="21"/>
  <c r="Y344" i="21" s="1"/>
  <c r="AZ207" i="21"/>
  <c r="BB207" i="21" s="1"/>
  <c r="AZ95" i="21"/>
  <c r="AZ79" i="21"/>
  <c r="BI97" i="21"/>
  <c r="BI247" i="21"/>
  <c r="BI343" i="21"/>
  <c r="T373" i="21"/>
  <c r="Z373" i="21" s="1"/>
  <c r="X277" i="21"/>
  <c r="Z277" i="21" s="1"/>
  <c r="AZ263" i="21"/>
  <c r="BI127" i="21"/>
  <c r="BI166" i="21"/>
  <c r="BI357" i="21"/>
  <c r="T364" i="21"/>
  <c r="Z364" i="21" s="1"/>
  <c r="T301" i="21"/>
  <c r="AZ47" i="21"/>
  <c r="BI11" i="21"/>
  <c r="BI88" i="21"/>
  <c r="BI180" i="21"/>
  <c r="BI192" i="21"/>
  <c r="BI220" i="21"/>
  <c r="BI370" i="21"/>
  <c r="BI379" i="21"/>
  <c r="V384" i="21"/>
  <c r="Y384" i="21" s="1"/>
  <c r="AZ375" i="21"/>
  <c r="AX339" i="21"/>
  <c r="BI154" i="21"/>
  <c r="BI203" i="21"/>
  <c r="BI264" i="21"/>
  <c r="BI299" i="21"/>
  <c r="AX324" i="21"/>
  <c r="BA324" i="21" s="1"/>
  <c r="BI189" i="21"/>
  <c r="BI390" i="21"/>
  <c r="R247" i="21"/>
  <c r="Y247" i="21" s="1"/>
  <c r="T351" i="21"/>
  <c r="Z351" i="21" s="1"/>
  <c r="AV381" i="21"/>
  <c r="BB381" i="21" s="1"/>
  <c r="AP9" i="21"/>
  <c r="BA9" i="21" s="1"/>
  <c r="AD6" i="21"/>
  <c r="AJ6" i="21" s="1"/>
  <c r="AB12" i="21"/>
  <c r="AI12" i="21" s="1"/>
  <c r="AV14" i="21"/>
  <c r="AV18" i="21"/>
  <c r="V21" i="21"/>
  <c r="Y21" i="21" s="1"/>
  <c r="AL29" i="21"/>
  <c r="BA29" i="21" s="1"/>
  <c r="AD37" i="21"/>
  <c r="AJ37" i="21" s="1"/>
  <c r="AV46" i="21"/>
  <c r="AX48" i="21"/>
  <c r="X50" i="21"/>
  <c r="Z50" i="21" s="1"/>
  <c r="T51" i="21"/>
  <c r="BI57" i="21"/>
  <c r="BF57" i="21"/>
  <c r="AD61" i="21"/>
  <c r="AJ61" i="21" s="1"/>
  <c r="X62" i="21"/>
  <c r="Z62" i="21" s="1"/>
  <c r="BI68" i="21"/>
  <c r="BF68" i="21"/>
  <c r="X78" i="21"/>
  <c r="AB83" i="21"/>
  <c r="AI83" i="21" s="1"/>
  <c r="AH88" i="21"/>
  <c r="AJ88" i="21" s="1"/>
  <c r="AV93" i="21"/>
  <c r="BB93" i="21" s="1"/>
  <c r="BI98" i="21"/>
  <c r="BF98" i="21"/>
  <c r="AB100" i="21"/>
  <c r="AI100" i="21" s="1"/>
  <c r="BI101" i="21"/>
  <c r="BF101" i="21"/>
  <c r="X107" i="21"/>
  <c r="T111" i="21"/>
  <c r="AV142" i="21"/>
  <c r="BB142" i="21" s="1"/>
  <c r="AR143" i="21"/>
  <c r="BB143" i="21" s="1"/>
  <c r="AN144" i="21"/>
  <c r="BB144" i="21" s="1"/>
  <c r="AH145" i="21"/>
  <c r="AJ145" i="21" s="1"/>
  <c r="AH165" i="21"/>
  <c r="AJ165" i="21" s="1"/>
  <c r="AH167" i="21"/>
  <c r="AJ167" i="21" s="1"/>
  <c r="BI169" i="21"/>
  <c r="BH169" i="21"/>
  <c r="AV170" i="21"/>
  <c r="BB170" i="21" s="1"/>
  <c r="T181" i="21"/>
  <c r="AV183" i="21"/>
  <c r="BB183" i="21" s="1"/>
  <c r="BI184" i="21"/>
  <c r="BH184" i="21"/>
  <c r="AF185" i="21"/>
  <c r="AI185" i="21" s="1"/>
  <c r="AR189" i="21"/>
  <c r="BB189" i="21" s="1"/>
  <c r="AH195" i="21"/>
  <c r="AB202" i="21"/>
  <c r="AI202" i="21" s="1"/>
  <c r="AX205" i="21"/>
  <c r="BA205" i="21" s="1"/>
  <c r="BI213" i="21"/>
  <c r="BH213" i="21"/>
  <c r="AN217" i="21"/>
  <c r="AX228" i="21"/>
  <c r="AT229" i="21"/>
  <c r="AR231" i="21"/>
  <c r="BB231" i="21" s="1"/>
  <c r="BI232" i="21"/>
  <c r="BH232" i="21"/>
  <c r="AH233" i="21"/>
  <c r="AJ233" i="21" s="1"/>
  <c r="AD234" i="21"/>
  <c r="AJ234" i="21" s="1"/>
  <c r="AV234" i="21"/>
  <c r="BB234" i="21" s="1"/>
  <c r="X235" i="21"/>
  <c r="Z235" i="21" s="1"/>
  <c r="AR235" i="21"/>
  <c r="BB235" i="21" s="1"/>
  <c r="BI236" i="21"/>
  <c r="BH236" i="21"/>
  <c r="AH237" i="21"/>
  <c r="AJ237" i="21" s="1"/>
  <c r="AD238" i="21"/>
  <c r="AJ238" i="21" s="1"/>
  <c r="AV238" i="21"/>
  <c r="BB238" i="21" s="1"/>
  <c r="X239" i="21"/>
  <c r="Z239" i="21" s="1"/>
  <c r="AR239" i="21"/>
  <c r="BB239" i="21" s="1"/>
  <c r="T240" i="21"/>
  <c r="Z240" i="21" s="1"/>
  <c r="AN240" i="21"/>
  <c r="BB240" i="21" s="1"/>
  <c r="AF248" i="21"/>
  <c r="AI248" i="21" s="1"/>
  <c r="AV251" i="21"/>
  <c r="BB251" i="21" s="1"/>
  <c r="X252" i="21"/>
  <c r="Z252" i="21" s="1"/>
  <c r="AR256" i="21"/>
  <c r="BB256" i="21" s="1"/>
  <c r="AT261" i="21"/>
  <c r="BA261" i="21" s="1"/>
  <c r="AD263" i="21"/>
  <c r="AJ263" i="21" s="1"/>
  <c r="AV263" i="21"/>
  <c r="X266" i="21"/>
  <c r="AD269" i="21"/>
  <c r="AJ269" i="21" s="1"/>
  <c r="AV269" i="21"/>
  <c r="X270" i="21"/>
  <c r="Z270" i="21" s="1"/>
  <c r="X274" i="21"/>
  <c r="Z274" i="21" s="1"/>
  <c r="T275" i="21"/>
  <c r="Z275" i="21" s="1"/>
  <c r="AR278" i="21"/>
  <c r="AD280" i="21"/>
  <c r="AR282" i="21"/>
  <c r="BB282" i="21" s="1"/>
  <c r="X286" i="21"/>
  <c r="Z286" i="21" s="1"/>
  <c r="BI286" i="21"/>
  <c r="BH286" i="21"/>
  <c r="AH287" i="21"/>
  <c r="AJ287" i="21" s="1"/>
  <c r="AR295" i="21"/>
  <c r="AF300" i="21"/>
  <c r="AI300" i="21" s="1"/>
  <c r="X301" i="21"/>
  <c r="AV310" i="21"/>
  <c r="BB310" i="21" s="1"/>
  <c r="AD323" i="21"/>
  <c r="AJ323" i="21" s="1"/>
  <c r="AR329" i="21"/>
  <c r="V334" i="21"/>
  <c r="Y334" i="21" s="1"/>
  <c r="AN334" i="21"/>
  <c r="BB334" i="21" s="1"/>
  <c r="AV336" i="21"/>
  <c r="BB336" i="21" s="1"/>
  <c r="AR337" i="21"/>
  <c r="T338" i="21"/>
  <c r="Z338" i="21" s="1"/>
  <c r="AH342" i="21"/>
  <c r="AJ342" i="21" s="1"/>
  <c r="AB350" i="21"/>
  <c r="AI350" i="21" s="1"/>
  <c r="AN354" i="21"/>
  <c r="AF361" i="21"/>
  <c r="BI369" i="21"/>
  <c r="BH369" i="21"/>
  <c r="AH374" i="21"/>
  <c r="AJ374" i="21" s="1"/>
  <c r="AF391" i="21"/>
  <c r="AI391" i="21" s="1"/>
  <c r="V401" i="21"/>
  <c r="Y401" i="21" s="1"/>
  <c r="X181" i="21"/>
  <c r="X3" i="21"/>
  <c r="Z3" i="21" s="1"/>
  <c r="V5" i="21"/>
  <c r="Y5" i="21" s="1"/>
  <c r="V13" i="21"/>
  <c r="Y13" i="21" s="1"/>
  <c r="AD14" i="21"/>
  <c r="AJ14" i="21" s="1"/>
  <c r="AV37" i="21"/>
  <c r="BB37" i="21" s="1"/>
  <c r="BI47" i="21"/>
  <c r="BH47" i="21"/>
  <c r="AH48" i="21"/>
  <c r="AJ48" i="21" s="1"/>
  <c r="AD49" i="21"/>
  <c r="BI51" i="21"/>
  <c r="BH51" i="21"/>
  <c r="AD55" i="21"/>
  <c r="X56" i="21"/>
  <c r="Z56" i="21" s="1"/>
  <c r="V60" i="21"/>
  <c r="Y60" i="21" s="1"/>
  <c r="AV61" i="21"/>
  <c r="BB61" i="21" s="1"/>
  <c r="AD69" i="21"/>
  <c r="AJ69" i="21" s="1"/>
  <c r="AN70" i="21"/>
  <c r="AD73" i="21"/>
  <c r="AJ73" i="21" s="1"/>
  <c r="R77" i="21"/>
  <c r="Y77" i="21" s="1"/>
  <c r="T79" i="21"/>
  <c r="Z79" i="21" s="1"/>
  <c r="AH84" i="21"/>
  <c r="AJ84" i="21" s="1"/>
  <c r="T95" i="21"/>
  <c r="Z95" i="21" s="1"/>
  <c r="AF99" i="21"/>
  <c r="AV102" i="21"/>
  <c r="AR103" i="21"/>
  <c r="AN104" i="21"/>
  <c r="BB104" i="21" s="1"/>
  <c r="AH105" i="21"/>
  <c r="AR107" i="21"/>
  <c r="AN108" i="21"/>
  <c r="BB108" i="21" s="1"/>
  <c r="AV109" i="21"/>
  <c r="BB109" i="21" s="1"/>
  <c r="X110" i="21"/>
  <c r="Z110" i="21" s="1"/>
  <c r="BI111" i="21"/>
  <c r="BH111" i="21"/>
  <c r="V114" i="21"/>
  <c r="AN116" i="21"/>
  <c r="BI116" i="21"/>
  <c r="BH116" i="21"/>
  <c r="AR120" i="21"/>
  <c r="V121" i="21"/>
  <c r="Y121" i="21" s="1"/>
  <c r="AN121" i="21"/>
  <c r="BB121" i="21" s="1"/>
  <c r="BI124" i="21"/>
  <c r="BH124" i="21"/>
  <c r="AH125" i="21"/>
  <c r="AJ125" i="21" s="1"/>
  <c r="AD126" i="21"/>
  <c r="AJ126" i="21" s="1"/>
  <c r="AV126" i="21"/>
  <c r="BB126" i="21" s="1"/>
  <c r="X131" i="21"/>
  <c r="Z131" i="21" s="1"/>
  <c r="T136" i="21"/>
  <c r="Z136" i="21" s="1"/>
  <c r="AN136" i="21"/>
  <c r="BB136" i="21" s="1"/>
  <c r="AD142" i="21"/>
  <c r="AJ142" i="21" s="1"/>
  <c r="T144" i="21"/>
  <c r="Z144" i="21" s="1"/>
  <c r="V149" i="21"/>
  <c r="Y149" i="21" s="1"/>
  <c r="AD150" i="21"/>
  <c r="AJ150" i="21" s="1"/>
  <c r="T152" i="21"/>
  <c r="BI152" i="21"/>
  <c r="BH152" i="21"/>
  <c r="BI160" i="21"/>
  <c r="BF160" i="21"/>
  <c r="AF161" i="21"/>
  <c r="AP174" i="21"/>
  <c r="AD176" i="21"/>
  <c r="AJ176" i="21" s="1"/>
  <c r="AX197" i="21"/>
  <c r="BA197" i="21" s="1"/>
  <c r="AD212" i="21"/>
  <c r="AJ212" i="21" s="1"/>
  <c r="AN213" i="21"/>
  <c r="AD216" i="21"/>
  <c r="AJ216" i="21" s="1"/>
  <c r="V219" i="21"/>
  <c r="Y219" i="21" s="1"/>
  <c r="AP219" i="21"/>
  <c r="BA219" i="21" s="1"/>
  <c r="AD220" i="21"/>
  <c r="AJ220" i="21" s="1"/>
  <c r="AD2" i="21"/>
  <c r="AJ2" i="21" s="1"/>
  <c r="AV2" i="21"/>
  <c r="BI3" i="21"/>
  <c r="BH3" i="21"/>
  <c r="AV6" i="21"/>
  <c r="BB6" i="21" s="1"/>
  <c r="AN7" i="21"/>
  <c r="X11" i="21"/>
  <c r="AN11" i="21"/>
  <c r="BI13" i="21"/>
  <c r="X15" i="21"/>
  <c r="AP17" i="21"/>
  <c r="BA17" i="21" s="1"/>
  <c r="X19" i="21"/>
  <c r="Z19" i="21" s="1"/>
  <c r="AH20" i="21"/>
  <c r="AJ20" i="21" s="1"/>
  <c r="BI29" i="21"/>
  <c r="AB31" i="21"/>
  <c r="AI31" i="21" s="1"/>
  <c r="AD33" i="21"/>
  <c r="AJ33" i="21" s="1"/>
  <c r="AP36" i="21"/>
  <c r="BA36" i="21" s="1"/>
  <c r="X38" i="21"/>
  <c r="Z38" i="21" s="1"/>
  <c r="AR38" i="21"/>
  <c r="BB38" i="21" s="1"/>
  <c r="BI42" i="21"/>
  <c r="BI45" i="21"/>
  <c r="AF46" i="21"/>
  <c r="AI46" i="21" s="1"/>
  <c r="AR47" i="21"/>
  <c r="AV49" i="21"/>
  <c r="BB49" i="21" s="1"/>
  <c r="AR50" i="21"/>
  <c r="BB50" i="21" s="1"/>
  <c r="AN51" i="21"/>
  <c r="BB51" i="21" s="1"/>
  <c r="AH52" i="21"/>
  <c r="AJ52" i="21" s="1"/>
  <c r="AL57" i="21"/>
  <c r="BA57" i="21" s="1"/>
  <c r="AB59" i="21"/>
  <c r="AI59" i="21" s="1"/>
  <c r="AT59" i="21"/>
  <c r="BA59" i="21" s="1"/>
  <c r="AX61" i="21"/>
  <c r="AR62" i="21"/>
  <c r="AN63" i="21"/>
  <c r="BB63" i="21" s="1"/>
  <c r="BI63" i="21"/>
  <c r="BH63" i="21"/>
  <c r="AD64" i="21"/>
  <c r="AV64" i="21"/>
  <c r="BB64" i="21" s="1"/>
  <c r="X70" i="21"/>
  <c r="Z70" i="21" s="1"/>
  <c r="BI70" i="21"/>
  <c r="AT71" i="21"/>
  <c r="BA71" i="21" s="1"/>
  <c r="AP72" i="21"/>
  <c r="BA72" i="21" s="1"/>
  <c r="AN74" i="21"/>
  <c r="AV77" i="21"/>
  <c r="BB77" i="21" s="1"/>
  <c r="AB78" i="21"/>
  <c r="AI78" i="21" s="1"/>
  <c r="AR78" i="21"/>
  <c r="BB78" i="21" s="1"/>
  <c r="AN79" i="21"/>
  <c r="BI79" i="21"/>
  <c r="BH79" i="21"/>
  <c r="AL81" i="21"/>
  <c r="BA81" i="21" s="1"/>
  <c r="AF82" i="21"/>
  <c r="AI82" i="21" s="1"/>
  <c r="AX86" i="21"/>
  <c r="BA86" i="21" s="1"/>
  <c r="AD89" i="21"/>
  <c r="AJ89" i="21" s="1"/>
  <c r="AR94" i="21"/>
  <c r="BB94" i="21" s="1"/>
  <c r="AN95" i="21"/>
  <c r="BI95" i="21"/>
  <c r="BH95" i="21"/>
  <c r="V97" i="21"/>
  <c r="Y97" i="21" s="1"/>
  <c r="AP97" i="21"/>
  <c r="R98" i="21"/>
  <c r="Y98" i="21" s="1"/>
  <c r="AL98" i="21"/>
  <c r="AX99" i="21"/>
  <c r="BA99" i="21" s="1"/>
  <c r="AT100" i="21"/>
  <c r="BA100" i="21" s="1"/>
  <c r="V101" i="21"/>
  <c r="AX102" i="21"/>
  <c r="AT103" i="21"/>
  <c r="AP104" i="21"/>
  <c r="AL105" i="21"/>
  <c r="AD106" i="21"/>
  <c r="AJ106" i="21" s="1"/>
  <c r="AV106" i="21"/>
  <c r="AB107" i="21"/>
  <c r="V108" i="21"/>
  <c r="Y108" i="21" s="1"/>
  <c r="BI108" i="21"/>
  <c r="BH108" i="21"/>
  <c r="AH109" i="21"/>
  <c r="AR110" i="21"/>
  <c r="AN111" i="21"/>
  <c r="AH112" i="21"/>
  <c r="AJ112" i="21" s="1"/>
  <c r="AT113" i="21"/>
  <c r="AV115" i="21"/>
  <c r="BB115" i="21" s="1"/>
  <c r="X116" i="21"/>
  <c r="Z116" i="21" s="1"/>
  <c r="AL119" i="21"/>
  <c r="BA119" i="21" s="1"/>
  <c r="AT120" i="21"/>
  <c r="BA120" i="21" s="1"/>
  <c r="BI121" i="21"/>
  <c r="BH121" i="21"/>
  <c r="AH122" i="21"/>
  <c r="T124" i="21"/>
  <c r="Z124" i="21" s="1"/>
  <c r="AN124" i="21"/>
  <c r="BB124" i="21" s="1"/>
  <c r="V129" i="21"/>
  <c r="Y129" i="21" s="1"/>
  <c r="AV130" i="21"/>
  <c r="BB130" i="21" s="1"/>
  <c r="AL134" i="21"/>
  <c r="BA134" i="21" s="1"/>
  <c r="BI136" i="21"/>
  <c r="BH136" i="21"/>
  <c r="AH137" i="21"/>
  <c r="AJ137" i="21" s="1"/>
  <c r="AX139" i="21"/>
  <c r="BA139" i="21" s="1"/>
  <c r="V141" i="21"/>
  <c r="Y141" i="21" s="1"/>
  <c r="AP141" i="21"/>
  <c r="BA141" i="21" s="1"/>
  <c r="AD146" i="21"/>
  <c r="AJ146" i="21" s="1"/>
  <c r="BI147" i="21"/>
  <c r="X151" i="21"/>
  <c r="Z151" i="21" s="1"/>
  <c r="AR151" i="21"/>
  <c r="BB151" i="21" s="1"/>
  <c r="AN152" i="21"/>
  <c r="BB152" i="21" s="1"/>
  <c r="AH153" i="21"/>
  <c r="AJ153" i="21" s="1"/>
  <c r="AD154" i="21"/>
  <c r="AJ154" i="21" s="1"/>
  <c r="AV154" i="21"/>
  <c r="BB154" i="21" s="1"/>
  <c r="AR155" i="21"/>
  <c r="T156" i="21"/>
  <c r="Z156" i="21" s="1"/>
  <c r="AN156" i="21"/>
  <c r="BI156" i="21"/>
  <c r="BH156" i="21"/>
  <c r="AH157" i="21"/>
  <c r="AJ157" i="21" s="1"/>
  <c r="X159" i="21"/>
  <c r="Z159" i="21" s="1"/>
  <c r="AR159" i="21"/>
  <c r="BB159" i="21" s="1"/>
  <c r="T160" i="21"/>
  <c r="AN160" i="21"/>
  <c r="R163" i="21"/>
  <c r="Y163" i="21" s="1"/>
  <c r="T165" i="21"/>
  <c r="Z165" i="21" s="1"/>
  <c r="AL167" i="21"/>
  <c r="X169" i="21"/>
  <c r="Z169" i="21" s="1"/>
  <c r="AH170" i="21"/>
  <c r="AJ170" i="21" s="1"/>
  <c r="AN172" i="21"/>
  <c r="AL175" i="21"/>
  <c r="BI175" i="21"/>
  <c r="BF175" i="21"/>
  <c r="AF176" i="21"/>
  <c r="AI176" i="21" s="1"/>
  <c r="AN177" i="21"/>
  <c r="BB177" i="21" s="1"/>
  <c r="AD196" i="21"/>
  <c r="AJ196" i="21" s="1"/>
  <c r="AD200" i="21"/>
  <c r="AJ200" i="21" s="1"/>
  <c r="AV212" i="21"/>
  <c r="BB212" i="21" s="1"/>
  <c r="X217" i="21"/>
  <c r="BI219" i="21"/>
  <c r="AV220" i="21"/>
  <c r="X221" i="21"/>
  <c r="AN222" i="21"/>
  <c r="BB222" i="21" s="1"/>
  <c r="BI222" i="21"/>
  <c r="BH222" i="21"/>
  <c r="AT227" i="21"/>
  <c r="AD229" i="21"/>
  <c r="AN232" i="21"/>
  <c r="BB232" i="21" s="1"/>
  <c r="T236" i="21"/>
  <c r="Z236" i="21" s="1"/>
  <c r="AN236" i="21"/>
  <c r="BB236" i="21" s="1"/>
  <c r="AN241" i="21"/>
  <c r="BB241" i="21" s="1"/>
  <c r="AD242" i="21"/>
  <c r="AN245" i="21"/>
  <c r="BB245" i="21" s="1"/>
  <c r="BI245" i="21"/>
  <c r="BH245" i="21"/>
  <c r="AB249" i="21"/>
  <c r="AI249" i="21" s="1"/>
  <c r="V250" i="21"/>
  <c r="Y250" i="21" s="1"/>
  <c r="R251" i="21"/>
  <c r="Y251" i="21" s="1"/>
  <c r="AL255" i="21"/>
  <c r="BA255" i="21" s="1"/>
  <c r="AD259" i="21"/>
  <c r="AJ259" i="21" s="1"/>
  <c r="AP262" i="21"/>
  <c r="BA262" i="21" s="1"/>
  <c r="BI262" i="21"/>
  <c r="X264" i="21"/>
  <c r="Z264" i="21" s="1"/>
  <c r="AV265" i="21"/>
  <c r="BB265" i="21" s="1"/>
  <c r="AR266" i="21"/>
  <c r="BI270" i="21"/>
  <c r="BH270" i="21"/>
  <c r="V272" i="21"/>
  <c r="Y272" i="21" s="1"/>
  <c r="R273" i="21"/>
  <c r="Y273" i="21" s="1"/>
  <c r="AL273" i="21"/>
  <c r="BA273" i="21" s="1"/>
  <c r="AR274" i="21"/>
  <c r="AV276" i="21"/>
  <c r="BB276" i="21" s="1"/>
  <c r="T279" i="21"/>
  <c r="Z279" i="21" s="1"/>
  <c r="T283" i="21"/>
  <c r="Z283" i="21" s="1"/>
  <c r="AN283" i="21"/>
  <c r="BB283" i="21" s="1"/>
  <c r="BI283" i="21"/>
  <c r="BH283" i="21"/>
  <c r="AT290" i="21"/>
  <c r="BA290" i="21" s="1"/>
  <c r="AB295" i="21"/>
  <c r="AI295" i="21" s="1"/>
  <c r="AD298" i="21"/>
  <c r="AJ298" i="21" s="1"/>
  <c r="AR299" i="21"/>
  <c r="BB299" i="21" s="1"/>
  <c r="V302" i="21"/>
  <c r="Y302" i="21" s="1"/>
  <c r="AT304" i="21"/>
  <c r="BA304" i="21" s="1"/>
  <c r="AT308" i="21"/>
  <c r="BA308" i="21" s="1"/>
  <c r="AH310" i="21"/>
  <c r="AN320" i="21"/>
  <c r="BB320" i="21" s="1"/>
  <c r="BI321" i="21"/>
  <c r="BH321" i="21"/>
  <c r="AH322" i="21"/>
  <c r="AV328" i="21"/>
  <c r="AX336" i="21"/>
  <c r="AD343" i="21"/>
  <c r="AF349" i="21"/>
  <c r="AI349" i="21" s="1"/>
  <c r="V354" i="21"/>
  <c r="Y354" i="21" s="1"/>
  <c r="AD364" i="21"/>
  <c r="AJ364" i="21" s="1"/>
  <c r="T369" i="21"/>
  <c r="AN369" i="21"/>
  <c r="AN373" i="21"/>
  <c r="BB373" i="21" s="1"/>
  <c r="AX391" i="21"/>
  <c r="BA391" i="21" s="1"/>
  <c r="AV394" i="21"/>
  <c r="BB394" i="21" s="1"/>
  <c r="BF396" i="21"/>
  <c r="BI396" i="21"/>
  <c r="AH400" i="21"/>
  <c r="AJ400" i="21" s="1"/>
  <c r="R376" i="21"/>
  <c r="Y376" i="21" s="1"/>
  <c r="R216" i="21"/>
  <c r="Y216" i="21" s="1"/>
  <c r="R113" i="21"/>
  <c r="T316" i="21"/>
  <c r="Z316" i="21" s="1"/>
  <c r="T132" i="21"/>
  <c r="Z132" i="21" s="1"/>
  <c r="X155" i="21"/>
  <c r="Z155" i="21" s="1"/>
  <c r="AD50" i="21"/>
  <c r="AJ50" i="21" s="1"/>
  <c r="V68" i="21"/>
  <c r="Y68" i="21" s="1"/>
  <c r="AN75" i="21"/>
  <c r="BB75" i="21" s="1"/>
  <c r="AH80" i="21"/>
  <c r="AJ80" i="21" s="1"/>
  <c r="BI93" i="21"/>
  <c r="BF93" i="21"/>
  <c r="AP101" i="21"/>
  <c r="BA101" i="21" s="1"/>
  <c r="R115" i="21"/>
  <c r="Y115" i="21" s="1"/>
  <c r="AR116" i="21"/>
  <c r="BI119" i="21"/>
  <c r="BF119" i="21"/>
  <c r="AB121" i="21"/>
  <c r="AI121" i="21" s="1"/>
  <c r="AT128" i="21"/>
  <c r="AV146" i="21"/>
  <c r="BB146" i="21" s="1"/>
  <c r="AR147" i="21"/>
  <c r="BB147" i="21" s="1"/>
  <c r="T153" i="21"/>
  <c r="Z153" i="21" s="1"/>
  <c r="BI153" i="21"/>
  <c r="BH153" i="21"/>
  <c r="AR164" i="21"/>
  <c r="BB164" i="21" s="1"/>
  <c r="BI177" i="21"/>
  <c r="BH177" i="21"/>
  <c r="AV178" i="21"/>
  <c r="BB178" i="21" s="1"/>
  <c r="R188" i="21"/>
  <c r="Y188" i="21" s="1"/>
  <c r="AT198" i="21"/>
  <c r="BA198" i="21" s="1"/>
  <c r="X205" i="21"/>
  <c r="Z205" i="21" s="1"/>
  <c r="BI209" i="21"/>
  <c r="BH209" i="21"/>
  <c r="AR213" i="21"/>
  <c r="T214" i="21"/>
  <c r="Z214" i="21" s="1"/>
  <c r="AP215" i="21"/>
  <c r="BA215" i="21" s="1"/>
  <c r="AR217" i="21"/>
  <c r="R234" i="21"/>
  <c r="Y234" i="21" s="1"/>
  <c r="BI238" i="21"/>
  <c r="BF238" i="21"/>
  <c r="AR252" i="21"/>
  <c r="BB252" i="21" s="1"/>
  <c r="AB257" i="21"/>
  <c r="AI257" i="21" s="1"/>
  <c r="AP268" i="21"/>
  <c r="BA268" i="21" s="1"/>
  <c r="BI269" i="21"/>
  <c r="BF269" i="21"/>
  <c r="AH271" i="21"/>
  <c r="AJ271" i="21" s="1"/>
  <c r="BI279" i="21"/>
  <c r="BH279" i="21"/>
  <c r="AH284" i="21"/>
  <c r="AJ284" i="21" s="1"/>
  <c r="AP291" i="21"/>
  <c r="BA291" i="21" s="1"/>
  <c r="AN296" i="21"/>
  <c r="BB296" i="21" s="1"/>
  <c r="T303" i="21"/>
  <c r="BI307" i="21"/>
  <c r="BF307" i="21"/>
  <c r="AR309" i="21"/>
  <c r="AN321" i="21"/>
  <c r="BB321" i="21" s="1"/>
  <c r="BF327" i="21"/>
  <c r="BI327" i="21"/>
  <c r="AX332" i="21"/>
  <c r="BA332" i="21" s="1"/>
  <c r="AD333" i="21"/>
  <c r="AJ333" i="21" s="1"/>
  <c r="AV340" i="21"/>
  <c r="AR341" i="21"/>
  <c r="BB341" i="21" s="1"/>
  <c r="T342" i="21"/>
  <c r="Z342" i="21" s="1"/>
  <c r="X345" i="21"/>
  <c r="Z345" i="21" s="1"/>
  <c r="BH348" i="21"/>
  <c r="BI348" i="21"/>
  <c r="X360" i="21"/>
  <c r="Z360" i="21" s="1"/>
  <c r="BI363" i="21"/>
  <c r="BF363" i="21"/>
  <c r="AP373" i="21"/>
  <c r="AR395" i="21"/>
  <c r="BB395" i="21" s="1"/>
  <c r="BH404" i="21"/>
  <c r="BI404" i="21"/>
  <c r="AH4" i="21"/>
  <c r="AJ4" i="21" s="1"/>
  <c r="R6" i="21"/>
  <c r="Y6" i="21" s="1"/>
  <c r="AL6" i="21"/>
  <c r="BA6" i="21" s="1"/>
  <c r="X7" i="21"/>
  <c r="Z7" i="21" s="1"/>
  <c r="AR7" i="21"/>
  <c r="AR11" i="21"/>
  <c r="AD13" i="21"/>
  <c r="AR15" i="21"/>
  <c r="BB15" i="21" s="1"/>
  <c r="T16" i="21"/>
  <c r="Z16" i="21" s="1"/>
  <c r="AR19" i="21"/>
  <c r="BB19" i="21" s="1"/>
  <c r="T20" i="21"/>
  <c r="Z20" i="21" s="1"/>
  <c r="AN20" i="21"/>
  <c r="BB20" i="21" s="1"/>
  <c r="AV21" i="21"/>
  <c r="BB21" i="21" s="1"/>
  <c r="X22" i="21"/>
  <c r="Z22" i="21" s="1"/>
  <c r="AR22" i="21"/>
  <c r="BB22" i="21" s="1"/>
  <c r="AN23" i="21"/>
  <c r="BB23" i="21" s="1"/>
  <c r="BI23" i="21"/>
  <c r="BH23" i="21"/>
  <c r="AH24" i="21"/>
  <c r="AJ24" i="21" s="1"/>
  <c r="AX24" i="21"/>
  <c r="BA24" i="21" s="1"/>
  <c r="AD25" i="21"/>
  <c r="AJ25" i="21" s="1"/>
  <c r="X26" i="21"/>
  <c r="Z26" i="21" s="1"/>
  <c r="T27" i="21"/>
  <c r="Z27" i="21" s="1"/>
  <c r="BI27" i="21"/>
  <c r="BH27" i="21"/>
  <c r="AV33" i="21"/>
  <c r="BB33" i="21" s="1"/>
  <c r="T35" i="21"/>
  <c r="Z35" i="21" s="1"/>
  <c r="BI39" i="21"/>
  <c r="BH39" i="21"/>
  <c r="AH40" i="21"/>
  <c r="AJ40" i="21" s="1"/>
  <c r="AD41" i="21"/>
  <c r="AJ41" i="21" s="1"/>
  <c r="X42" i="21"/>
  <c r="Z42" i="21" s="1"/>
  <c r="AR42" i="21"/>
  <c r="BB42" i="21" s="1"/>
  <c r="T43" i="21"/>
  <c r="Z43" i="21" s="1"/>
  <c r="BI43" i="21"/>
  <c r="BH43" i="21"/>
  <c r="AH44" i="21"/>
  <c r="AJ44" i="21" s="1"/>
  <c r="V48" i="21"/>
  <c r="Y48" i="21" s="1"/>
  <c r="AP48" i="21"/>
  <c r="BA48" i="21" s="1"/>
  <c r="AL49" i="21"/>
  <c r="BA49" i="21" s="1"/>
  <c r="BI49" i="21"/>
  <c r="BF49" i="21"/>
  <c r="AF50" i="21"/>
  <c r="AI50" i="21" s="1"/>
  <c r="AB51" i="21"/>
  <c r="AI51" i="21" s="1"/>
  <c r="V52" i="21"/>
  <c r="Y52" i="21" s="1"/>
  <c r="BI52" i="21"/>
  <c r="BH52" i="21"/>
  <c r="AB54" i="21"/>
  <c r="AI54" i="21" s="1"/>
  <c r="AR54" i="21"/>
  <c r="R61" i="21"/>
  <c r="Y61" i="21" s="1"/>
  <c r="AL61" i="21"/>
  <c r="AH64" i="21"/>
  <c r="AD65" i="21"/>
  <c r="AJ65" i="21" s="1"/>
  <c r="T71" i="21"/>
  <c r="Z71" i="21" s="1"/>
  <c r="X74" i="21"/>
  <c r="Z74" i="21" s="1"/>
  <c r="AR74" i="21"/>
  <c r="AH76" i="21"/>
  <c r="AJ76" i="21" s="1"/>
  <c r="BI77" i="21"/>
  <c r="BF77" i="21"/>
  <c r="AX80" i="21"/>
  <c r="AD85" i="21"/>
  <c r="AJ85" i="21" s="1"/>
  <c r="AP88" i="21"/>
  <c r="AN91" i="21"/>
  <c r="BB91" i="21" s="1"/>
  <c r="BI91" i="21"/>
  <c r="BH91" i="21"/>
  <c r="AH92" i="21"/>
  <c r="AJ92" i="21" s="1"/>
  <c r="AR95" i="21"/>
  <c r="T96" i="21"/>
  <c r="Z96" i="21" s="1"/>
  <c r="T99" i="21"/>
  <c r="AN99" i="21"/>
  <c r="BI99" i="21"/>
  <c r="BH99" i="21"/>
  <c r="AH100" i="21"/>
  <c r="AJ100" i="21" s="1"/>
  <c r="AL102" i="21"/>
  <c r="AF103" i="21"/>
  <c r="AI103" i="21" s="1"/>
  <c r="AX103" i="21"/>
  <c r="AB104" i="21"/>
  <c r="AI104" i="21" s="1"/>
  <c r="AT104" i="21"/>
  <c r="V105" i="21"/>
  <c r="Y105" i="21" s="1"/>
  <c r="AP105" i="21"/>
  <c r="BI105" i="21"/>
  <c r="BI106" i="21"/>
  <c r="BF106" i="21"/>
  <c r="AF107" i="21"/>
  <c r="AB108" i="21"/>
  <c r="AI108" i="21" s="1"/>
  <c r="BI109" i="21"/>
  <c r="BF109" i="21"/>
  <c r="AV110" i="21"/>
  <c r="AR111" i="21"/>
  <c r="AN112" i="21"/>
  <c r="BB112" i="21" s="1"/>
  <c r="BI112" i="21"/>
  <c r="BH112" i="21"/>
  <c r="BI115" i="21"/>
  <c r="BF115" i="21"/>
  <c r="V117" i="21"/>
  <c r="Y117" i="21" s="1"/>
  <c r="AP117" i="21"/>
  <c r="V125" i="21"/>
  <c r="Y125" i="21" s="1"/>
  <c r="AP125" i="21"/>
  <c r="BA125" i="21" s="1"/>
  <c r="R126" i="21"/>
  <c r="Y126" i="21" s="1"/>
  <c r="AL126" i="21"/>
  <c r="BA126" i="21" s="1"/>
  <c r="BI130" i="21"/>
  <c r="BF130" i="21"/>
  <c r="AN132" i="21"/>
  <c r="BB132" i="21" s="1"/>
  <c r="AB136" i="21"/>
  <c r="AI136" i="21" s="1"/>
  <c r="AD138" i="21"/>
  <c r="AJ138" i="21" s="1"/>
  <c r="AL142" i="21"/>
  <c r="BA142" i="21" s="1"/>
  <c r="AX143" i="21"/>
  <c r="BA143" i="21" s="1"/>
  <c r="AB144" i="21"/>
  <c r="AI144" i="21" s="1"/>
  <c r="AT144" i="21"/>
  <c r="BA144" i="21" s="1"/>
  <c r="AP145" i="21"/>
  <c r="BA145" i="21" s="1"/>
  <c r="T148" i="21"/>
  <c r="Z148" i="21" s="1"/>
  <c r="AV155" i="21"/>
  <c r="AR156" i="21"/>
  <c r="AN157" i="21"/>
  <c r="BB157" i="21" s="1"/>
  <c r="AD159" i="21"/>
  <c r="AJ159" i="21" s="1"/>
  <c r="X160" i="21"/>
  <c r="T161" i="21"/>
  <c r="BI163" i="21"/>
  <c r="BF163" i="21"/>
  <c r="BI165" i="21"/>
  <c r="AP167" i="21"/>
  <c r="AX168" i="21"/>
  <c r="V170" i="21"/>
  <c r="Y170" i="21" s="1"/>
  <c r="BI170" i="21"/>
  <c r="BH170" i="21"/>
  <c r="AV171" i="21"/>
  <c r="BB171" i="21" s="1"/>
  <c r="AD174" i="21"/>
  <c r="AJ174" i="21" s="1"/>
  <c r="AP175" i="21"/>
  <c r="AH178" i="21"/>
  <c r="AJ178" i="21" s="1"/>
  <c r="AN181" i="21"/>
  <c r="BB181" i="21" s="1"/>
  <c r="BI188" i="21"/>
  <c r="AN190" i="21"/>
  <c r="BB190" i="21" s="1"/>
  <c r="AH191" i="21"/>
  <c r="AJ191" i="21" s="1"/>
  <c r="AD192" i="21"/>
  <c r="AJ192" i="21" s="1"/>
  <c r="V195" i="21"/>
  <c r="Y195" i="21" s="1"/>
  <c r="AV204" i="21"/>
  <c r="BB204" i="21" s="1"/>
  <c r="BI205" i="21"/>
  <c r="AH206" i="21"/>
  <c r="AJ206" i="21" s="1"/>
  <c r="AD208" i="21"/>
  <c r="AJ208" i="21" s="1"/>
  <c r="AV208" i="21"/>
  <c r="BB208" i="21" s="1"/>
  <c r="X209" i="21"/>
  <c r="Z209" i="21" s="1"/>
  <c r="AH210" i="21"/>
  <c r="AJ210" i="21" s="1"/>
  <c r="R212" i="21"/>
  <c r="Y212" i="21" s="1"/>
  <c r="AL212" i="21"/>
  <c r="BA212" i="21" s="1"/>
  <c r="AD219" i="21"/>
  <c r="X225" i="21"/>
  <c r="Z225" i="21" s="1"/>
  <c r="T226" i="21"/>
  <c r="BI226" i="21"/>
  <c r="BH226" i="21"/>
  <c r="AN228" i="21"/>
  <c r="BB228" i="21" s="1"/>
  <c r="AH229" i="21"/>
  <c r="AX231" i="21"/>
  <c r="BA231" i="21" s="1"/>
  <c r="V233" i="21"/>
  <c r="Y233" i="21" s="1"/>
  <c r="AP233" i="21"/>
  <c r="BA233" i="21" s="1"/>
  <c r="AL234" i="21"/>
  <c r="BA234" i="21" s="1"/>
  <c r="AF235" i="21"/>
  <c r="AI235" i="21" s="1"/>
  <c r="V237" i="21"/>
  <c r="Y237" i="21" s="1"/>
  <c r="AP237" i="21"/>
  <c r="BA237" i="21" s="1"/>
  <c r="R238" i="21"/>
  <c r="Y238" i="21" s="1"/>
  <c r="AL238" i="21"/>
  <c r="BA238" i="21" s="1"/>
  <c r="AF239" i="21"/>
  <c r="AI239" i="21" s="1"/>
  <c r="AB240" i="21"/>
  <c r="AI240" i="21" s="1"/>
  <c r="AT240" i="21"/>
  <c r="AH242" i="21"/>
  <c r="X243" i="21"/>
  <c r="Z243" i="21" s="1"/>
  <c r="AX244" i="21"/>
  <c r="BA244" i="21" s="1"/>
  <c r="AD247" i="21"/>
  <c r="AJ247" i="21" s="1"/>
  <c r="AV247" i="21"/>
  <c r="BB247" i="21" s="1"/>
  <c r="BI251" i="21"/>
  <c r="BF251" i="21"/>
  <c r="AN253" i="21"/>
  <c r="BB253" i="21" s="1"/>
  <c r="AH254" i="21"/>
  <c r="AJ254" i="21" s="1"/>
  <c r="BI255" i="21"/>
  <c r="AF256" i="21"/>
  <c r="AI256" i="21" s="1"/>
  <c r="BI258" i="21"/>
  <c r="AV259" i="21"/>
  <c r="BB259" i="21" s="1"/>
  <c r="T261" i="21"/>
  <c r="Z261" i="21" s="1"/>
  <c r="AL263" i="21"/>
  <c r="BA263" i="21" s="1"/>
  <c r="AD264" i="21"/>
  <c r="R265" i="21"/>
  <c r="Y265" i="21" s="1"/>
  <c r="BI265" i="21"/>
  <c r="BF265" i="21"/>
  <c r="AN267" i="21"/>
  <c r="BB267" i="21" s="1"/>
  <c r="R269" i="21"/>
  <c r="Y269" i="21" s="1"/>
  <c r="AL269" i="21"/>
  <c r="BA269" i="21" s="1"/>
  <c r="AR270" i="21"/>
  <c r="BB270" i="21" s="1"/>
  <c r="T271" i="21"/>
  <c r="Z271" i="21" s="1"/>
  <c r="BI273" i="21"/>
  <c r="BI275" i="21"/>
  <c r="BH275" i="21"/>
  <c r="AH276" i="21"/>
  <c r="AJ276" i="21" s="1"/>
  <c r="BI277" i="21"/>
  <c r="AN279" i="21"/>
  <c r="BB279" i="21" s="1"/>
  <c r="BI285" i="21"/>
  <c r="V287" i="21"/>
  <c r="Y287" i="21" s="1"/>
  <c r="X289" i="21"/>
  <c r="Z289" i="21" s="1"/>
  <c r="AV292" i="21"/>
  <c r="BB292" i="21" s="1"/>
  <c r="X293" i="21"/>
  <c r="Z293" i="21" s="1"/>
  <c r="AR293" i="21"/>
  <c r="BB293" i="21" s="1"/>
  <c r="X296" i="21"/>
  <c r="AF301" i="21"/>
  <c r="AI301" i="21" s="1"/>
  <c r="AF304" i="21"/>
  <c r="AL307" i="21"/>
  <c r="BA307" i="21" s="1"/>
  <c r="X320" i="21"/>
  <c r="BF332" i="21"/>
  <c r="BI332" i="21"/>
  <c r="AV344" i="21"/>
  <c r="AR345" i="21"/>
  <c r="AN346" i="21"/>
  <c r="BB346" i="21" s="1"/>
  <c r="BI346" i="21"/>
  <c r="BH346" i="21"/>
  <c r="AN348" i="21"/>
  <c r="AH353" i="21"/>
  <c r="AJ353" i="21" s="1"/>
  <c r="AX359" i="21"/>
  <c r="BI385" i="21"/>
  <c r="BF385" i="21"/>
  <c r="BI388" i="21"/>
  <c r="AT390" i="21"/>
  <c r="BA390" i="21" s="1"/>
  <c r="AN404" i="21"/>
  <c r="BB404" i="21" s="1"/>
  <c r="R336" i="21"/>
  <c r="Y336" i="21" s="1"/>
  <c r="T302" i="21"/>
  <c r="Z302" i="21" s="1"/>
  <c r="T23" i="21"/>
  <c r="Z23" i="21" s="1"/>
  <c r="AH118" i="21"/>
  <c r="V122" i="21"/>
  <c r="Y122" i="21" s="1"/>
  <c r="AB124" i="21"/>
  <c r="AI124" i="21" s="1"/>
  <c r="AT124" i="21"/>
  <c r="BA124" i="21" s="1"/>
  <c r="AX128" i="21"/>
  <c r="AH133" i="21"/>
  <c r="AJ133" i="21" s="1"/>
  <c r="V137" i="21"/>
  <c r="Y137" i="21" s="1"/>
  <c r="X139" i="21"/>
  <c r="Z139" i="21" s="1"/>
  <c r="AL146" i="21"/>
  <c r="BA146" i="21" s="1"/>
  <c r="AN148" i="21"/>
  <c r="BB148" i="21" s="1"/>
  <c r="BI150" i="21"/>
  <c r="BF150" i="21"/>
  <c r="AF151" i="21"/>
  <c r="AI151" i="21" s="1"/>
  <c r="AX151" i="21"/>
  <c r="BA151" i="21" s="1"/>
  <c r="AT152" i="21"/>
  <c r="BA152" i="21" s="1"/>
  <c r="AP153" i="21"/>
  <c r="BA153" i="21" s="1"/>
  <c r="AL154" i="21"/>
  <c r="BA154" i="21" s="1"/>
  <c r="AF155" i="21"/>
  <c r="AI155" i="21" s="1"/>
  <c r="AB156" i="21"/>
  <c r="AI156" i="21" s="1"/>
  <c r="V157" i="21"/>
  <c r="Y157" i="21" s="1"/>
  <c r="AH158" i="21"/>
  <c r="BI158" i="21"/>
  <c r="BF158" i="21"/>
  <c r="AF159" i="21"/>
  <c r="AI159" i="21" s="1"/>
  <c r="AX159" i="21"/>
  <c r="BI161" i="21"/>
  <c r="BH161" i="21"/>
  <c r="AR165" i="21"/>
  <c r="BB165" i="21" s="1"/>
  <c r="AH166" i="21"/>
  <c r="AJ166" i="21" s="1"/>
  <c r="X167" i="21"/>
  <c r="Z167" i="21" s="1"/>
  <c r="AL168" i="21"/>
  <c r="BA168" i="21" s="1"/>
  <c r="R171" i="21"/>
  <c r="AN173" i="21"/>
  <c r="BB173" i="21" s="1"/>
  <c r="BI173" i="21"/>
  <c r="BH173" i="21"/>
  <c r="T176" i="21"/>
  <c r="Z176" i="21" s="1"/>
  <c r="AD179" i="21"/>
  <c r="AJ179" i="21" s="1"/>
  <c r="AV179" i="21"/>
  <c r="BB179" i="21" s="1"/>
  <c r="X185" i="21"/>
  <c r="Z185" i="21" s="1"/>
  <c r="AV186" i="21"/>
  <c r="BB186" i="21" s="1"/>
  <c r="AR187" i="21"/>
  <c r="BB187" i="21" s="1"/>
  <c r="AV192" i="21"/>
  <c r="X197" i="21"/>
  <c r="Z197" i="21" s="1"/>
  <c r="T198" i="21"/>
  <c r="Z198" i="21" s="1"/>
  <c r="AV200" i="21"/>
  <c r="BB200" i="21" s="1"/>
  <c r="X201" i="21"/>
  <c r="Z201" i="21" s="1"/>
  <c r="AR201" i="21"/>
  <c r="BB201" i="21" s="1"/>
  <c r="T202" i="21"/>
  <c r="Z202" i="21" s="1"/>
  <c r="AD203" i="21"/>
  <c r="AR205" i="21"/>
  <c r="BB205" i="21" s="1"/>
  <c r="T210" i="21"/>
  <c r="Z210" i="21" s="1"/>
  <c r="BI210" i="21"/>
  <c r="BH210" i="21"/>
  <c r="BI212" i="21"/>
  <c r="BF212" i="21"/>
  <c r="AN214" i="21"/>
  <c r="BB214" i="21" s="1"/>
  <c r="AL216" i="21"/>
  <c r="BA216" i="21" s="1"/>
  <c r="AD224" i="21"/>
  <c r="AJ224" i="21" s="1"/>
  <c r="AV224" i="21"/>
  <c r="BB224" i="21" s="1"/>
  <c r="AR225" i="21"/>
  <c r="BB225" i="21" s="1"/>
  <c r="AN226" i="21"/>
  <c r="AH227" i="21"/>
  <c r="AJ227" i="21" s="1"/>
  <c r="AP230" i="21"/>
  <c r="BA230" i="21" s="1"/>
  <c r="AT232" i="21"/>
  <c r="BA232" i="21" s="1"/>
  <c r="BI234" i="21"/>
  <c r="AB236" i="21"/>
  <c r="AI236" i="21" s="1"/>
  <c r="AT236" i="21"/>
  <c r="BA236" i="21" s="1"/>
  <c r="X248" i="21"/>
  <c r="Z248" i="21" s="1"/>
  <c r="R259" i="21"/>
  <c r="Y259" i="21" s="1"/>
  <c r="AR260" i="21"/>
  <c r="BB260" i="21" s="1"/>
  <c r="BI261" i="21"/>
  <c r="BH261" i="21"/>
  <c r="AL265" i="21"/>
  <c r="BA265" i="21" s="1"/>
  <c r="BI267" i="21"/>
  <c r="BH267" i="21"/>
  <c r="AN271" i="21"/>
  <c r="BB271" i="21" s="1"/>
  <c r="X273" i="21"/>
  <c r="Z273" i="21" s="1"/>
  <c r="AD277" i="21"/>
  <c r="AJ277" i="21" s="1"/>
  <c r="AR281" i="21"/>
  <c r="T282" i="21"/>
  <c r="AB283" i="21"/>
  <c r="AI283" i="21" s="1"/>
  <c r="AT283" i="21"/>
  <c r="BA283" i="21" s="1"/>
  <c r="V284" i="21"/>
  <c r="Y284" i="21" s="1"/>
  <c r="X285" i="21"/>
  <c r="Z285" i="21" s="1"/>
  <c r="AF286" i="21"/>
  <c r="AI286" i="21" s="1"/>
  <c r="AV288" i="21"/>
  <c r="BB288" i="21" s="1"/>
  <c r="T290" i="21"/>
  <c r="Z290" i="21" s="1"/>
  <c r="T294" i="21"/>
  <c r="Z294" i="21" s="1"/>
  <c r="AN294" i="21"/>
  <c r="BB294" i="21" s="1"/>
  <c r="BI294" i="21"/>
  <c r="BH294" i="21"/>
  <c r="AH295" i="21"/>
  <c r="AJ295" i="21" s="1"/>
  <c r="AN297" i="21"/>
  <c r="AL298" i="21"/>
  <c r="AF299" i="21"/>
  <c r="AI299" i="21" s="1"/>
  <c r="BI300" i="21"/>
  <c r="BH300" i="21"/>
  <c r="BH303" i="21"/>
  <c r="BI303" i="21"/>
  <c r="V307" i="21"/>
  <c r="Y307" i="21" s="1"/>
  <c r="AX311" i="21"/>
  <c r="BA311" i="21" s="1"/>
  <c r="T314" i="21"/>
  <c r="Z314" i="21" s="1"/>
  <c r="AH318" i="21"/>
  <c r="AJ318" i="21" s="1"/>
  <c r="AR331" i="21"/>
  <c r="R340" i="21"/>
  <c r="Y340" i="21" s="1"/>
  <c r="AH340" i="21"/>
  <c r="AV362" i="21"/>
  <c r="BB362" i="21" s="1"/>
  <c r="AH367" i="21"/>
  <c r="AR370" i="21"/>
  <c r="BB370" i="21" s="1"/>
  <c r="AN371" i="21"/>
  <c r="BB371" i="21" s="1"/>
  <c r="AH372" i="21"/>
  <c r="AJ372" i="21" s="1"/>
  <c r="AX372" i="21"/>
  <c r="AF376" i="21"/>
  <c r="AI376" i="21" s="1"/>
  <c r="AV376" i="21"/>
  <c r="BB376" i="21" s="1"/>
  <c r="T385" i="21"/>
  <c r="Z385" i="21" s="1"/>
  <c r="AR388" i="21"/>
  <c r="BB388" i="21" s="1"/>
  <c r="AR393" i="21"/>
  <c r="BB393" i="21" s="1"/>
  <c r="V394" i="21"/>
  <c r="Y394" i="21" s="1"/>
  <c r="AD399" i="21"/>
  <c r="AJ399" i="21" s="1"/>
  <c r="AP404" i="21"/>
  <c r="BA404" i="21" s="1"/>
  <c r="R102" i="21"/>
  <c r="Y102" i="21" s="1"/>
  <c r="T108" i="21"/>
  <c r="Z108" i="21" s="1"/>
  <c r="BI7" i="21"/>
  <c r="BH7" i="21"/>
  <c r="AV10" i="21"/>
  <c r="BB10" i="21" s="1"/>
  <c r="X34" i="21"/>
  <c r="Z34" i="21" s="1"/>
  <c r="AX40" i="21"/>
  <c r="X51" i="21"/>
  <c r="AH55" i="21"/>
  <c r="AP68" i="21"/>
  <c r="BA68" i="21" s="1"/>
  <c r="AV73" i="21"/>
  <c r="BB73" i="21" s="1"/>
  <c r="T75" i="21"/>
  <c r="Z75" i="21" s="1"/>
  <c r="V84" i="21"/>
  <c r="Y84" i="21" s="1"/>
  <c r="AT87" i="21"/>
  <c r="BA87" i="21" s="1"/>
  <c r="AV89" i="21"/>
  <c r="BB89" i="21" s="1"/>
  <c r="AR90" i="21"/>
  <c r="BB90" i="21" s="1"/>
  <c r="T91" i="21"/>
  <c r="Z91" i="21" s="1"/>
  <c r="AF106" i="21"/>
  <c r="AI106" i="21" s="1"/>
  <c r="R109" i="21"/>
  <c r="T112" i="21"/>
  <c r="Z112" i="21" s="1"/>
  <c r="AD113" i="21"/>
  <c r="T117" i="21"/>
  <c r="Z117" i="21" s="1"/>
  <c r="BI117" i="21"/>
  <c r="BH117" i="21"/>
  <c r="BI126" i="21"/>
  <c r="BF126" i="21"/>
  <c r="AX127" i="21"/>
  <c r="BA127" i="21" s="1"/>
  <c r="BI132" i="21"/>
  <c r="BH132" i="21"/>
  <c r="AT140" i="21"/>
  <c r="BA140" i="21" s="1"/>
  <c r="R142" i="21"/>
  <c r="Y142" i="21" s="1"/>
  <c r="AF143" i="21"/>
  <c r="AI143" i="21" s="1"/>
  <c r="V145" i="21"/>
  <c r="Y145" i="21" s="1"/>
  <c r="R150" i="21"/>
  <c r="Y150" i="21" s="1"/>
  <c r="AD158" i="21"/>
  <c r="AF168" i="21"/>
  <c r="AI168" i="21" s="1"/>
  <c r="AB169" i="21"/>
  <c r="AI169" i="21" s="1"/>
  <c r="X172" i="21"/>
  <c r="Z172" i="21" s="1"/>
  <c r="BI181" i="21"/>
  <c r="BH181" i="21"/>
  <c r="AB186" i="21"/>
  <c r="AI186" i="21" s="1"/>
  <c r="AR399" i="21"/>
  <c r="BB399" i="21" s="1"/>
  <c r="V258" i="21"/>
  <c r="Y258" i="21" s="1"/>
  <c r="AR3" i="21"/>
  <c r="BB3" i="21" s="1"/>
  <c r="T8" i="21"/>
  <c r="Z8" i="21" s="1"/>
  <c r="T12" i="21"/>
  <c r="Z12" i="21" s="1"/>
  <c r="BI20" i="21"/>
  <c r="BH20" i="21"/>
  <c r="AR26" i="21"/>
  <c r="BB26" i="21" s="1"/>
  <c r="R33" i="21"/>
  <c r="Y33" i="21" s="1"/>
  <c r="AR34" i="21"/>
  <c r="BB34" i="21" s="1"/>
  <c r="AV41" i="21"/>
  <c r="BB41" i="21" s="1"/>
  <c r="AN43" i="21"/>
  <c r="BB43" i="21" s="1"/>
  <c r="AT51" i="21"/>
  <c r="BA51" i="21" s="1"/>
  <c r="AR57" i="21"/>
  <c r="BI58" i="21"/>
  <c r="BH58" i="21"/>
  <c r="AF62" i="21"/>
  <c r="AI62" i="21" s="1"/>
  <c r="AB63" i="21"/>
  <c r="AI63" i="21" s="1"/>
  <c r="AF65" i="21"/>
  <c r="AI65" i="21" s="1"/>
  <c r="T67" i="21"/>
  <c r="Z67" i="21" s="1"/>
  <c r="AL73" i="21"/>
  <c r="BA73" i="21" s="1"/>
  <c r="AT79" i="21"/>
  <c r="BA79" i="21" s="1"/>
  <c r="AL89" i="21"/>
  <c r="BA89" i="21" s="1"/>
  <c r="AT95" i="21"/>
  <c r="BA95" i="21" s="1"/>
  <c r="AD97" i="21"/>
  <c r="AV97" i="21"/>
  <c r="BB97" i="21" s="1"/>
  <c r="X98" i="21"/>
  <c r="Z98" i="21" s="1"/>
  <c r="AR98" i="21"/>
  <c r="AD101" i="21"/>
  <c r="R106" i="21"/>
  <c r="Y106" i="21" s="1"/>
  <c r="AX107" i="21"/>
  <c r="BA107" i="21" s="1"/>
  <c r="AT111" i="21"/>
  <c r="AP112" i="21"/>
  <c r="AH113" i="21"/>
  <c r="AN4" i="21"/>
  <c r="BB4" i="21" s="1"/>
  <c r="AV9" i="21"/>
  <c r="BB9" i="21" s="1"/>
  <c r="AN12" i="21"/>
  <c r="BB12" i="21" s="1"/>
  <c r="BI12" i="21"/>
  <c r="BH12" i="21"/>
  <c r="AH13" i="21"/>
  <c r="BI14" i="21"/>
  <c r="AH17" i="21"/>
  <c r="AJ17" i="21" s="1"/>
  <c r="BI21" i="21"/>
  <c r="BF21" i="21"/>
  <c r="AD29" i="21"/>
  <c r="AJ29" i="21" s="1"/>
  <c r="AV29" i="21"/>
  <c r="BB29" i="21" s="1"/>
  <c r="X30" i="21"/>
  <c r="Z30" i="21" s="1"/>
  <c r="AR30" i="21"/>
  <c r="BB30" i="21" s="1"/>
  <c r="AN35" i="21"/>
  <c r="BB35" i="21" s="1"/>
  <c r="R41" i="21"/>
  <c r="Y41" i="21" s="1"/>
  <c r="BI44" i="21"/>
  <c r="BH44" i="21"/>
  <c r="BI46" i="21"/>
  <c r="AL53" i="21"/>
  <c r="BA53" i="21" s="1"/>
  <c r="AV54" i="21"/>
  <c r="AL56" i="21"/>
  <c r="X58" i="21"/>
  <c r="Z58" i="21" s="1"/>
  <c r="BI59" i="21"/>
  <c r="BH59" i="21"/>
  <c r="AR66" i="21"/>
  <c r="BB66" i="21" s="1"/>
  <c r="AN67" i="21"/>
  <c r="BB67" i="21" s="1"/>
  <c r="AD68" i="21"/>
  <c r="AB75" i="21"/>
  <c r="AI75" i="21" s="1"/>
  <c r="V76" i="21"/>
  <c r="Y76" i="21" s="1"/>
  <c r="T83" i="21"/>
  <c r="Z83" i="21" s="1"/>
  <c r="AV85" i="21"/>
  <c r="BB85" i="21" s="1"/>
  <c r="X86" i="21"/>
  <c r="Z86" i="21" s="1"/>
  <c r="AF90" i="21"/>
  <c r="AI90" i="21" s="1"/>
  <c r="AB91" i="21"/>
  <c r="AI91" i="21" s="1"/>
  <c r="AP96" i="21"/>
  <c r="BA96" i="21" s="1"/>
  <c r="BI96" i="21"/>
  <c r="BH96" i="21"/>
  <c r="X99" i="21"/>
  <c r="AR99" i="21"/>
  <c r="T100" i="21"/>
  <c r="Z100" i="21" s="1"/>
  <c r="AN100" i="21"/>
  <c r="BB100" i="21" s="1"/>
  <c r="AV101" i="21"/>
  <c r="BB101" i="21" s="1"/>
  <c r="X102" i="21"/>
  <c r="Z102" i="21" s="1"/>
  <c r="T103" i="21"/>
  <c r="BI103" i="21"/>
  <c r="BH103" i="21"/>
  <c r="AX104" i="21"/>
  <c r="AP109" i="21"/>
  <c r="BA109" i="21" s="1"/>
  <c r="R110" i="21"/>
  <c r="Y110" i="21" s="1"/>
  <c r="BI110" i="21"/>
  <c r="BF110" i="21"/>
  <c r="BI113" i="21"/>
  <c r="BH113" i="21"/>
  <c r="X115" i="21"/>
  <c r="Z115" i="21" s="1"/>
  <c r="AF116" i="21"/>
  <c r="AI116" i="21" s="1"/>
  <c r="AB117" i="21"/>
  <c r="AI117" i="21" s="1"/>
  <c r="AT117" i="21"/>
  <c r="T120" i="21"/>
  <c r="AF123" i="21"/>
  <c r="AI123" i="21" s="1"/>
  <c r="AX123" i="21"/>
  <c r="BA123" i="21" s="1"/>
  <c r="AX131" i="21"/>
  <c r="BA131" i="21" s="1"/>
  <c r="AV138" i="21"/>
  <c r="BB138" i="21" s="1"/>
  <c r="T140" i="21"/>
  <c r="Z140" i="21" s="1"/>
  <c r="AF147" i="21"/>
  <c r="AI147" i="21" s="1"/>
  <c r="BI148" i="21"/>
  <c r="BH148" i="21"/>
  <c r="AL158" i="21"/>
  <c r="AD160" i="21"/>
  <c r="AJ160" i="21" s="1"/>
  <c r="AV160" i="21"/>
  <c r="X161" i="21"/>
  <c r="AR161" i="21"/>
  <c r="BB161" i="21" s="1"/>
  <c r="R164" i="21"/>
  <c r="Y164" i="21" s="1"/>
  <c r="AX164" i="21"/>
  <c r="BA164" i="21" s="1"/>
  <c r="AB165" i="21"/>
  <c r="AI165" i="21" s="1"/>
  <c r="AT165" i="21"/>
  <c r="BA165" i="21" s="1"/>
  <c r="BI168" i="21"/>
  <c r="BH168" i="21"/>
  <c r="BI171" i="21"/>
  <c r="BF171" i="21"/>
  <c r="AV172" i="21"/>
  <c r="BI176" i="21"/>
  <c r="X180" i="21"/>
  <c r="Z180" i="21" s="1"/>
  <c r="BI183" i="21"/>
  <c r="X188" i="21"/>
  <c r="Z188" i="21" s="1"/>
  <c r="X193" i="21"/>
  <c r="Z193" i="21" s="1"/>
  <c r="AR197" i="21"/>
  <c r="BB197" i="21" s="1"/>
  <c r="AD199" i="21"/>
  <c r="BI202" i="21"/>
  <c r="BH202" i="21"/>
  <c r="BI204" i="21"/>
  <c r="BF204" i="21"/>
  <c r="AN206" i="21"/>
  <c r="BB206" i="21" s="1"/>
  <c r="BI208" i="21"/>
  <c r="BF208" i="21"/>
  <c r="AR209" i="21"/>
  <c r="BB209" i="21" s="1"/>
  <c r="AN210" i="21"/>
  <c r="BB210" i="21" s="1"/>
  <c r="AV215" i="21"/>
  <c r="BB215" i="21" s="1"/>
  <c r="AN218" i="21"/>
  <c r="BB218" i="21" s="1"/>
  <c r="BI218" i="21"/>
  <c r="BH218" i="21"/>
  <c r="AH219" i="21"/>
  <c r="X226" i="21"/>
  <c r="T227" i="21"/>
  <c r="Z227" i="21" s="1"/>
  <c r="AN229" i="21"/>
  <c r="BB229" i="21" s="1"/>
  <c r="T231" i="21"/>
  <c r="BI231" i="21"/>
  <c r="BH231" i="21"/>
  <c r="AX240" i="21"/>
  <c r="AD243" i="21"/>
  <c r="AJ243" i="21" s="1"/>
  <c r="X244" i="21"/>
  <c r="Z244" i="21" s="1"/>
  <c r="AT245" i="21"/>
  <c r="BA245" i="21" s="1"/>
  <c r="AP246" i="21"/>
  <c r="BA246" i="21" s="1"/>
  <c r="AR248" i="21"/>
  <c r="BB248" i="21" s="1"/>
  <c r="T249" i="21"/>
  <c r="Z249" i="21" s="1"/>
  <c r="AD255" i="21"/>
  <c r="AJ255" i="21" s="1"/>
  <c r="BI259" i="21"/>
  <c r="BF259" i="21"/>
  <c r="AN261" i="21"/>
  <c r="BB261" i="21" s="1"/>
  <c r="AH264" i="21"/>
  <c r="AX266" i="21"/>
  <c r="BA266" i="21" s="1"/>
  <c r="BI271" i="21"/>
  <c r="BH271" i="21"/>
  <c r="T278" i="21"/>
  <c r="AB279" i="21"/>
  <c r="AI279" i="21" s="1"/>
  <c r="V280" i="21"/>
  <c r="Y280" i="21" s="1"/>
  <c r="AP280" i="21"/>
  <c r="BA280" i="21" s="1"/>
  <c r="AD281" i="21"/>
  <c r="AJ281" i="21" s="1"/>
  <c r="AR285" i="21"/>
  <c r="AR289" i="21"/>
  <c r="BB289" i="21" s="1"/>
  <c r="BI290" i="21"/>
  <c r="BH290" i="21"/>
  <c r="AL292" i="21"/>
  <c r="BA292" i="21" s="1"/>
  <c r="R299" i="21"/>
  <c r="Y299" i="21" s="1"/>
  <c r="AX299" i="21"/>
  <c r="AP303" i="21"/>
  <c r="BA303" i="21" s="1"/>
  <c r="AH305" i="21"/>
  <c r="AJ305" i="21" s="1"/>
  <c r="AD306" i="21"/>
  <c r="AJ306" i="21" s="1"/>
  <c r="AF312" i="21"/>
  <c r="AB313" i="21"/>
  <c r="AI313" i="21" s="1"/>
  <c r="T318" i="21"/>
  <c r="Z318" i="21" s="1"/>
  <c r="AT339" i="21"/>
  <c r="X352" i="21"/>
  <c r="Z352" i="21" s="1"/>
  <c r="AR352" i="21"/>
  <c r="BB352" i="21" s="1"/>
  <c r="AB363" i="21"/>
  <c r="AI363" i="21" s="1"/>
  <c r="AH365" i="21"/>
  <c r="AJ365" i="21" s="1"/>
  <c r="AT370" i="21"/>
  <c r="BA370" i="21" s="1"/>
  <c r="AP371" i="21"/>
  <c r="BA371" i="21" s="1"/>
  <c r="AB377" i="21"/>
  <c r="AI377" i="21" s="1"/>
  <c r="AR377" i="21"/>
  <c r="BB377" i="21" s="1"/>
  <c r="AH387" i="21"/>
  <c r="AJ387" i="21" s="1"/>
  <c r="AL398" i="21"/>
  <c r="BA398" i="21" s="1"/>
  <c r="AX403" i="21"/>
  <c r="BA403" i="21" s="1"/>
  <c r="T87" i="21"/>
  <c r="Z87" i="21" s="1"/>
  <c r="T4" i="21"/>
  <c r="Z4" i="21" s="1"/>
  <c r="V72" i="21"/>
  <c r="Y72" i="21" s="1"/>
  <c r="AT8" i="21"/>
  <c r="BA8" i="21" s="1"/>
  <c r="T39" i="21"/>
  <c r="Z39" i="21" s="1"/>
  <c r="AB47" i="21"/>
  <c r="AI47" i="21" s="1"/>
  <c r="AH49" i="21"/>
  <c r="BI75" i="21"/>
  <c r="BH75" i="21"/>
  <c r="X90" i="21"/>
  <c r="Z90" i="21" s="1"/>
  <c r="AH96" i="21"/>
  <c r="AJ96" i="21" s="1"/>
  <c r="AN117" i="21"/>
  <c r="BB117" i="21" s="1"/>
  <c r="AD118" i="21"/>
  <c r="AJ118" i="21" s="1"/>
  <c r="AV118" i="21"/>
  <c r="BB118" i="21" s="1"/>
  <c r="AR123" i="21"/>
  <c r="BB123" i="21" s="1"/>
  <c r="AF135" i="21"/>
  <c r="AI135" i="21" s="1"/>
  <c r="AR184" i="21"/>
  <c r="BB184" i="21" s="1"/>
  <c r="V187" i="21"/>
  <c r="Y187" i="21" s="1"/>
  <c r="BI190" i="21"/>
  <c r="BH190" i="21"/>
  <c r="AR192" i="21"/>
  <c r="BB192" i="21" s="1"/>
  <c r="AB194" i="21"/>
  <c r="AI194" i="21" s="1"/>
  <c r="AD204" i="21"/>
  <c r="AJ204" i="21" s="1"/>
  <c r="AV216" i="21"/>
  <c r="BB216" i="21" s="1"/>
  <c r="BI228" i="21"/>
  <c r="BH228" i="21"/>
  <c r="BI230" i="21"/>
  <c r="BF230" i="21"/>
  <c r="X260" i="21"/>
  <c r="Z260" i="21" s="1"/>
  <c r="T267" i="21"/>
  <c r="Z267" i="21" s="1"/>
  <c r="AP272" i="21"/>
  <c r="BA272" i="21" s="1"/>
  <c r="AN275" i="21"/>
  <c r="BB275" i="21" s="1"/>
  <c r="AH280" i="21"/>
  <c r="AR286" i="21"/>
  <c r="BB286" i="21" s="1"/>
  <c r="AD288" i="21"/>
  <c r="AJ288" i="21" s="1"/>
  <c r="AX294" i="21"/>
  <c r="BA294" i="21" s="1"/>
  <c r="AV301" i="21"/>
  <c r="AR319" i="21"/>
  <c r="BB319" i="21" s="1"/>
  <c r="AL327" i="21"/>
  <c r="BA327" i="21" s="1"/>
  <c r="AB341" i="21"/>
  <c r="AI341" i="21" s="1"/>
  <c r="AD386" i="21"/>
  <c r="AJ386" i="21" s="1"/>
  <c r="AN396" i="21"/>
  <c r="BB396" i="21" s="1"/>
  <c r="AL2" i="21"/>
  <c r="BA2" i="21" s="1"/>
  <c r="AN16" i="21"/>
  <c r="BB16" i="21" s="1"/>
  <c r="BI16" i="21"/>
  <c r="BH16" i="21"/>
  <c r="X18" i="21"/>
  <c r="Z18" i="21" s="1"/>
  <c r="BI18" i="21"/>
  <c r="AN27" i="21"/>
  <c r="BB27" i="21" s="1"/>
  <c r="BI30" i="21"/>
  <c r="BI37" i="21"/>
  <c r="AV45" i="21"/>
  <c r="BB45" i="21" s="1"/>
  <c r="AN55" i="21"/>
  <c r="AT63" i="21"/>
  <c r="BA63" i="21" s="1"/>
  <c r="AV65" i="21"/>
  <c r="BB65" i="21" s="1"/>
  <c r="AR81" i="21"/>
  <c r="AX94" i="21"/>
  <c r="BA94" i="21" s="1"/>
  <c r="AL106" i="21"/>
  <c r="BA106" i="21" s="1"/>
  <c r="AT108" i="21"/>
  <c r="BA108" i="21" s="1"/>
  <c r="V109" i="21"/>
  <c r="AF3" i="21"/>
  <c r="AI3" i="21" s="1"/>
  <c r="BI4" i="21"/>
  <c r="BH4" i="21"/>
  <c r="AV5" i="21"/>
  <c r="BB5" i="21" s="1"/>
  <c r="X6" i="21"/>
  <c r="Z6" i="21" s="1"/>
  <c r="BI6" i="21"/>
  <c r="AN8" i="21"/>
  <c r="BB8" i="21" s="1"/>
  <c r="BI8" i="21"/>
  <c r="BH8" i="21"/>
  <c r="AR14" i="21"/>
  <c r="AD18" i="21"/>
  <c r="AJ18" i="21" s="1"/>
  <c r="AR18" i="21"/>
  <c r="BB18" i="21" s="1"/>
  <c r="AB20" i="21"/>
  <c r="AI20" i="21" s="1"/>
  <c r="AF22" i="21"/>
  <c r="AI22" i="21" s="1"/>
  <c r="AT23" i="21"/>
  <c r="BA23" i="21" s="1"/>
  <c r="V24" i="21"/>
  <c r="Y24" i="21" s="1"/>
  <c r="AL25" i="21"/>
  <c r="BA25" i="21" s="1"/>
  <c r="BI25" i="21"/>
  <c r="BF25" i="21"/>
  <c r="AB27" i="21"/>
  <c r="AI27" i="21" s="1"/>
  <c r="T31" i="21"/>
  <c r="Z31" i="21" s="1"/>
  <c r="AN31" i="21"/>
  <c r="BB31" i="21" s="1"/>
  <c r="AH36" i="21"/>
  <c r="AJ36" i="21" s="1"/>
  <c r="AP40" i="21"/>
  <c r="AL41" i="21"/>
  <c r="BA41" i="21" s="1"/>
  <c r="BI41" i="21"/>
  <c r="BF41" i="21"/>
  <c r="AF42" i="21"/>
  <c r="AI42" i="21" s="1"/>
  <c r="AB43" i="21"/>
  <c r="AI43" i="21" s="1"/>
  <c r="V44" i="21"/>
  <c r="Y44" i="21" s="1"/>
  <c r="AP44" i="21"/>
  <c r="BA44" i="21" s="1"/>
  <c r="R45" i="21"/>
  <c r="Y45" i="21" s="1"/>
  <c r="X46" i="21"/>
  <c r="Z46" i="21" s="1"/>
  <c r="AR46" i="21"/>
  <c r="AX54" i="21"/>
  <c r="BA54" i="21" s="1"/>
  <c r="AR55" i="21"/>
  <c r="AD57" i="21"/>
  <c r="AJ57" i="21" s="1"/>
  <c r="AV57" i="21"/>
  <c r="AB58" i="21"/>
  <c r="AI58" i="21" s="1"/>
  <c r="AR58" i="21"/>
  <c r="BB58" i="21" s="1"/>
  <c r="T59" i="21"/>
  <c r="Z59" i="21" s="1"/>
  <c r="AN59" i="21"/>
  <c r="BB59" i="21" s="1"/>
  <c r="AH60" i="21"/>
  <c r="AJ60" i="21" s="1"/>
  <c r="AV60" i="21"/>
  <c r="BB60" i="21" s="1"/>
  <c r="X61" i="21"/>
  <c r="Z61" i="21" s="1"/>
  <c r="AP64" i="21"/>
  <c r="BA64" i="21" s="1"/>
  <c r="R65" i="21"/>
  <c r="Y65" i="21" s="1"/>
  <c r="AN71" i="21"/>
  <c r="BB71" i="21" s="1"/>
  <c r="BI71" i="21"/>
  <c r="BH71" i="21"/>
  <c r="AH72" i="21"/>
  <c r="AJ72" i="21" s="1"/>
  <c r="BI73" i="21"/>
  <c r="AF74" i="21"/>
  <c r="AI74" i="21" s="1"/>
  <c r="AD77" i="21"/>
  <c r="AJ77" i="21" s="1"/>
  <c r="T78" i="21"/>
  <c r="BI78" i="21"/>
  <c r="AP80" i="21"/>
  <c r="BI80" i="21"/>
  <c r="AD81" i="21"/>
  <c r="AJ81" i="21" s="1"/>
  <c r="AV81" i="21"/>
  <c r="X82" i="21"/>
  <c r="Z82" i="21" s="1"/>
  <c r="AR82" i="21"/>
  <c r="BB82" i="21" s="1"/>
  <c r="AN83" i="21"/>
  <c r="BB83" i="21" s="1"/>
  <c r="BI83" i="21"/>
  <c r="BH83" i="21"/>
  <c r="AR86" i="21"/>
  <c r="BB86" i="21" s="1"/>
  <c r="BI89" i="21"/>
  <c r="V92" i="21"/>
  <c r="Y92" i="21" s="1"/>
  <c r="AD93" i="21"/>
  <c r="AJ93" i="21" s="1"/>
  <c r="AH97" i="21"/>
  <c r="AD98" i="21"/>
  <c r="AJ98" i="21" s="1"/>
  <c r="AV98" i="21"/>
  <c r="AB99" i="21"/>
  <c r="V100" i="21"/>
  <c r="Y100" i="21" s="1"/>
  <c r="BI100" i="21"/>
  <c r="BH100" i="21"/>
  <c r="AH101" i="21"/>
  <c r="AR102" i="21"/>
  <c r="AN103" i="21"/>
  <c r="BB103" i="21" s="1"/>
  <c r="AH104" i="21"/>
  <c r="AJ104" i="21" s="1"/>
  <c r="AD105" i="21"/>
  <c r="AV105" i="21"/>
  <c r="BB105" i="21" s="1"/>
  <c r="T107" i="21"/>
  <c r="Z107" i="21" s="1"/>
  <c r="AN107" i="21"/>
  <c r="BB107" i="21" s="1"/>
  <c r="BI107" i="21"/>
  <c r="BH107" i="21"/>
  <c r="AH108" i="21"/>
  <c r="AJ108" i="21" s="1"/>
  <c r="AL110" i="21"/>
  <c r="AF111" i="21"/>
  <c r="AI111" i="21" s="1"/>
  <c r="AX111" i="21"/>
  <c r="AB112" i="21"/>
  <c r="AI112" i="21" s="1"/>
  <c r="AT112" i="21"/>
  <c r="R114" i="21"/>
  <c r="AH114" i="21"/>
  <c r="AJ114" i="21" s="1"/>
  <c r="AV114" i="21"/>
  <c r="AD119" i="21"/>
  <c r="AJ119" i="21" s="1"/>
  <c r="AN120" i="21"/>
  <c r="BI128" i="21"/>
  <c r="BH128" i="21"/>
  <c r="AH129" i="21"/>
  <c r="AJ129" i="21" s="1"/>
  <c r="AT132" i="21"/>
  <c r="BA132" i="21" s="1"/>
  <c r="AD134" i="21"/>
  <c r="AJ134" i="21" s="1"/>
  <c r="AV134" i="21"/>
  <c r="BB134" i="21" s="1"/>
  <c r="BI135" i="21"/>
  <c r="R138" i="21"/>
  <c r="Y138" i="21" s="1"/>
  <c r="AR139" i="21"/>
  <c r="BB139" i="21" s="1"/>
  <c r="BI140" i="21"/>
  <c r="BH140" i="21"/>
  <c r="AH141" i="21"/>
  <c r="AJ141" i="21" s="1"/>
  <c r="BI143" i="21"/>
  <c r="BI146" i="21"/>
  <c r="AB148" i="21"/>
  <c r="AI148" i="21" s="1"/>
  <c r="AH149" i="21"/>
  <c r="AJ149" i="21" s="1"/>
  <c r="AF152" i="21"/>
  <c r="AI152" i="21" s="1"/>
  <c r="AB153" i="21"/>
  <c r="AI153" i="21" s="1"/>
  <c r="V154" i="21"/>
  <c r="Y154" i="21" s="1"/>
  <c r="R155" i="21"/>
  <c r="Y155" i="21" s="1"/>
  <c r="BI155" i="21"/>
  <c r="BF155" i="21"/>
  <c r="AL159" i="21"/>
  <c r="BA159" i="21" s="1"/>
  <c r="AF160" i="21"/>
  <c r="AI160" i="21" s="1"/>
  <c r="AB161" i="21"/>
  <c r="T162" i="21"/>
  <c r="Z162" i="21" s="1"/>
  <c r="AR163" i="21"/>
  <c r="BB163" i="21" s="1"/>
  <c r="BI164" i="21"/>
  <c r="BF164" i="21"/>
  <c r="V171" i="21"/>
  <c r="AF172" i="21"/>
  <c r="AI172" i="21" s="1"/>
  <c r="AX172" i="21"/>
  <c r="BA172" i="21" s="1"/>
  <c r="AD175" i="21"/>
  <c r="AJ175" i="21" s="1"/>
  <c r="AV175" i="21"/>
  <c r="BB175" i="21" s="1"/>
  <c r="AX184" i="21"/>
  <c r="BA184" i="21" s="1"/>
  <c r="T186" i="21"/>
  <c r="Z186" i="21" s="1"/>
  <c r="AT190" i="21"/>
  <c r="BA190" i="21" s="1"/>
  <c r="AD195" i="21"/>
  <c r="AJ195" i="21" s="1"/>
  <c r="AV195" i="21"/>
  <c r="BB195" i="21" s="1"/>
  <c r="AN198" i="21"/>
  <c r="BB198" i="21" s="1"/>
  <c r="AV199" i="21"/>
  <c r="BB199" i="21" s="1"/>
  <c r="AN202" i="21"/>
  <c r="AH203" i="21"/>
  <c r="BI206" i="21"/>
  <c r="BH206" i="21"/>
  <c r="AL208" i="21"/>
  <c r="BA208" i="21" s="1"/>
  <c r="X212" i="21"/>
  <c r="Z212" i="21" s="1"/>
  <c r="BI214" i="21"/>
  <c r="BH214" i="21"/>
  <c r="BI224" i="21"/>
  <c r="AF225" i="21"/>
  <c r="AI225" i="21" s="1"/>
  <c r="AB226" i="21"/>
  <c r="AI226" i="21" s="1"/>
  <c r="AR226" i="21"/>
  <c r="V227" i="21"/>
  <c r="Y227" i="21" s="1"/>
  <c r="AN227" i="21"/>
  <c r="BB227" i="21" s="1"/>
  <c r="BI227" i="21"/>
  <c r="BH227" i="21"/>
  <c r="AT228" i="21"/>
  <c r="BA228" i="21" s="1"/>
  <c r="V229" i="21"/>
  <c r="Y229" i="21" s="1"/>
  <c r="AP229" i="21"/>
  <c r="BI229" i="21"/>
  <c r="AD230" i="21"/>
  <c r="AJ230" i="21" s="1"/>
  <c r="AF243" i="21"/>
  <c r="AI243" i="21" s="1"/>
  <c r="AL247" i="21"/>
  <c r="BA247" i="21" s="1"/>
  <c r="AN249" i="21"/>
  <c r="BB249" i="21" s="1"/>
  <c r="BI249" i="21"/>
  <c r="BH249" i="21"/>
  <c r="AH250" i="21"/>
  <c r="AJ250" i="21" s="1"/>
  <c r="AD251" i="21"/>
  <c r="AJ251" i="21" s="1"/>
  <c r="AX252" i="21"/>
  <c r="BA252" i="21" s="1"/>
  <c r="AT253" i="21"/>
  <c r="BA253" i="21" s="1"/>
  <c r="AP254" i="21"/>
  <c r="BA254" i="21" s="1"/>
  <c r="BI254" i="21"/>
  <c r="AV255" i="21"/>
  <c r="BB255" i="21" s="1"/>
  <c r="AH262" i="21"/>
  <c r="AJ262" i="21" s="1"/>
  <c r="T266" i="21"/>
  <c r="Z266" i="21" s="1"/>
  <c r="AH268" i="21"/>
  <c r="AJ268" i="21" s="1"/>
  <c r="AR269" i="21"/>
  <c r="BB269" i="21" s="1"/>
  <c r="AD273" i="21"/>
  <c r="AJ273" i="21" s="1"/>
  <c r="BI274" i="21"/>
  <c r="BH274" i="21"/>
  <c r="AT275" i="21"/>
  <c r="BA275" i="21" s="1"/>
  <c r="V276" i="21"/>
  <c r="Y276" i="21" s="1"/>
  <c r="AP276" i="21"/>
  <c r="BA276" i="21" s="1"/>
  <c r="R277" i="21"/>
  <c r="Y277" i="21" s="1"/>
  <c r="AN278" i="21"/>
  <c r="BB278" i="21" s="1"/>
  <c r="AT279" i="21"/>
  <c r="BA279" i="21" s="1"/>
  <c r="AV281" i="21"/>
  <c r="X282" i="21"/>
  <c r="AD285" i="21"/>
  <c r="AJ285" i="21" s="1"/>
  <c r="BI288" i="21"/>
  <c r="BF288" i="21"/>
  <c r="AN290" i="21"/>
  <c r="BB290" i="21" s="1"/>
  <c r="AF293" i="21"/>
  <c r="AI293" i="21" s="1"/>
  <c r="AN304" i="21"/>
  <c r="BB304" i="21" s="1"/>
  <c r="AN311" i="21"/>
  <c r="BB311" i="21" s="1"/>
  <c r="AT317" i="21"/>
  <c r="BA317" i="21" s="1"/>
  <c r="T325" i="21"/>
  <c r="Z325" i="21" s="1"/>
  <c r="BI329" i="21"/>
  <c r="BH329" i="21"/>
  <c r="AH330" i="21"/>
  <c r="AD335" i="21"/>
  <c r="AJ335" i="21" s="1"/>
  <c r="AV335" i="21"/>
  <c r="BB335" i="21" s="1"/>
  <c r="AH338" i="21"/>
  <c r="AJ338" i="21" s="1"/>
  <c r="AP343" i="21"/>
  <c r="BA343" i="21" s="1"/>
  <c r="T365" i="21"/>
  <c r="Z365" i="21" s="1"/>
  <c r="AX383" i="21"/>
  <c r="BA383" i="21" s="1"/>
  <c r="T398" i="21"/>
  <c r="Z398" i="21" s="1"/>
  <c r="T403" i="21"/>
  <c r="Z403" i="21" s="1"/>
  <c r="R130" i="21"/>
  <c r="Y130" i="21" s="1"/>
  <c r="R93" i="21"/>
  <c r="Y93" i="21" s="1"/>
  <c r="X341" i="21"/>
  <c r="Z341" i="21" s="1"/>
  <c r="X213" i="21"/>
  <c r="Z213" i="21" s="1"/>
  <c r="R14" i="21"/>
  <c r="Y14" i="21" s="1"/>
  <c r="AN39" i="21"/>
  <c r="BB39" i="21" s="1"/>
  <c r="AN48" i="21"/>
  <c r="BB48" i="21" s="1"/>
  <c r="T52" i="21"/>
  <c r="Z52" i="21" s="1"/>
  <c r="AD53" i="21"/>
  <c r="AJ53" i="21" s="1"/>
  <c r="T66" i="21"/>
  <c r="BI66" i="21"/>
  <c r="BH66" i="21"/>
  <c r="AV69" i="21"/>
  <c r="BB69" i="21" s="1"/>
  <c r="AR70" i="21"/>
  <c r="BI102" i="21"/>
  <c r="BF102" i="21"/>
  <c r="AD110" i="21"/>
  <c r="AJ110" i="21" s="1"/>
  <c r="X111" i="21"/>
  <c r="AF127" i="21"/>
  <c r="AI127" i="21" s="1"/>
  <c r="AB128" i="21"/>
  <c r="AI128" i="21" s="1"/>
  <c r="AR131" i="21"/>
  <c r="BB131" i="21" s="1"/>
  <c r="BI142" i="21"/>
  <c r="BF142" i="21"/>
  <c r="X147" i="21"/>
  <c r="Z147" i="21" s="1"/>
  <c r="AV150" i="21"/>
  <c r="BB150" i="21" s="1"/>
  <c r="X152" i="21"/>
  <c r="AV158" i="21"/>
  <c r="BB158" i="21" s="1"/>
  <c r="AT174" i="21"/>
  <c r="AV191" i="21"/>
  <c r="BB191" i="21" s="1"/>
  <c r="AT194" i="21"/>
  <c r="BA194" i="21" s="1"/>
  <c r="AV196" i="21"/>
  <c r="BB196" i="21" s="1"/>
  <c r="T218" i="21"/>
  <c r="Z218" i="21" s="1"/>
  <c r="R220" i="21"/>
  <c r="Y220" i="21" s="1"/>
  <c r="AR221" i="21"/>
  <c r="BB221" i="21" s="1"/>
  <c r="AH223" i="21"/>
  <c r="AJ223" i="21" s="1"/>
  <c r="V241" i="21"/>
  <c r="Y241" i="21" s="1"/>
  <c r="AH246" i="21"/>
  <c r="AJ246" i="21" s="1"/>
  <c r="T253" i="21"/>
  <c r="Z253" i="21" s="1"/>
  <c r="BI253" i="21"/>
  <c r="BH253" i="21"/>
  <c r="AD292" i="21"/>
  <c r="AJ292" i="21" s="1"/>
  <c r="T321" i="21"/>
  <c r="Z321" i="21" s="1"/>
  <c r="T346" i="21"/>
  <c r="Z346" i="21" s="1"/>
  <c r="AV25" i="21"/>
  <c r="BB25" i="21" s="1"/>
  <c r="AH28" i="21"/>
  <c r="AJ28" i="21" s="1"/>
  <c r="BI35" i="21"/>
  <c r="BH35" i="21"/>
  <c r="AF38" i="21"/>
  <c r="AI38" i="21" s="1"/>
  <c r="AD45" i="21"/>
  <c r="AJ45" i="21" s="1"/>
  <c r="AP52" i="21"/>
  <c r="BA52" i="21" s="1"/>
  <c r="R53" i="21"/>
  <c r="Y53" i="21" s="1"/>
  <c r="BI53" i="21"/>
  <c r="BF53" i="21"/>
  <c r="BI55" i="21"/>
  <c r="BH55" i="21"/>
  <c r="AX56" i="21"/>
  <c r="X57" i="21"/>
  <c r="Z57" i="21" s="1"/>
  <c r="X66" i="21"/>
  <c r="AL69" i="21"/>
  <c r="BA69" i="21" s="1"/>
  <c r="BI69" i="21"/>
  <c r="BF69" i="21"/>
  <c r="AX78" i="21"/>
  <c r="BA78" i="21" s="1"/>
  <c r="AN96" i="21"/>
  <c r="BB96" i="21" s="1"/>
  <c r="AX110" i="21"/>
  <c r="AR2" i="21"/>
  <c r="BB2" i="21" s="1"/>
  <c r="AH5" i="21"/>
  <c r="AJ5" i="21" s="1"/>
  <c r="AH9" i="21"/>
  <c r="AJ9" i="21" s="1"/>
  <c r="AD10" i="21"/>
  <c r="AJ10" i="21" s="1"/>
  <c r="T11" i="21"/>
  <c r="T15" i="21"/>
  <c r="Z15" i="21" s="1"/>
  <c r="AX15" i="21"/>
  <c r="BA15" i="21" s="1"/>
  <c r="AT16" i="21"/>
  <c r="BA16" i="21" s="1"/>
  <c r="AT27" i="21"/>
  <c r="BA27" i="21" s="1"/>
  <c r="BI31" i="21"/>
  <c r="BH31" i="21"/>
  <c r="AH32" i="21"/>
  <c r="AJ32" i="21" s="1"/>
  <c r="AT43" i="21"/>
  <c r="BA43" i="21" s="1"/>
  <c r="AL45" i="21"/>
  <c r="BA45" i="21" s="1"/>
  <c r="T47" i="21"/>
  <c r="Z47" i="21" s="1"/>
  <c r="AN47" i="21"/>
  <c r="T54" i="21"/>
  <c r="Z54" i="21" s="1"/>
  <c r="BI54" i="21"/>
  <c r="BF54" i="21"/>
  <c r="AT55" i="21"/>
  <c r="BA55" i="21" s="1"/>
  <c r="AP56" i="21"/>
  <c r="AN62" i="21"/>
  <c r="BI65" i="21"/>
  <c r="BF65" i="21"/>
  <c r="AB67" i="21"/>
  <c r="AI67" i="21" s="1"/>
  <c r="BI67" i="21"/>
  <c r="BH67" i="21"/>
  <c r="AH68" i="21"/>
  <c r="BI85" i="21"/>
  <c r="BF85" i="21"/>
  <c r="AN87" i="21"/>
  <c r="BB87" i="21" s="1"/>
  <c r="BI87" i="21"/>
  <c r="BH87" i="21"/>
  <c r="AX88" i="21"/>
  <c r="X94" i="21"/>
  <c r="Z94" i="21" s="1"/>
  <c r="AB96" i="21"/>
  <c r="AI96" i="21" s="1"/>
  <c r="AL97" i="21"/>
  <c r="BA97" i="21" s="1"/>
  <c r="AF98" i="21"/>
  <c r="AI98" i="21" s="1"/>
  <c r="AX98" i="21"/>
  <c r="R101" i="21"/>
  <c r="AD102" i="21"/>
  <c r="AJ102" i="21" s="1"/>
  <c r="X103" i="21"/>
  <c r="T104" i="21"/>
  <c r="Z104" i="21" s="1"/>
  <c r="BI104" i="21"/>
  <c r="BH104" i="21"/>
  <c r="X106" i="21"/>
  <c r="Z106" i="21" s="1"/>
  <c r="AR106" i="21"/>
  <c r="BB106" i="21" s="1"/>
  <c r="AD109" i="21"/>
  <c r="V113" i="21"/>
  <c r="AP113" i="21"/>
  <c r="AD115" i="21"/>
  <c r="AJ115" i="21" s="1"/>
  <c r="AP118" i="21"/>
  <c r="BA118" i="21" s="1"/>
  <c r="BI118" i="21"/>
  <c r="AV119" i="21"/>
  <c r="BB119" i="21" s="1"/>
  <c r="X120" i="21"/>
  <c r="T121" i="21"/>
  <c r="Z121" i="21" s="1"/>
  <c r="AD122" i="21"/>
  <c r="X127" i="21"/>
  <c r="Z127" i="21" s="1"/>
  <c r="AR127" i="21"/>
  <c r="BB127" i="21" s="1"/>
  <c r="T128" i="21"/>
  <c r="Z128" i="21" s="1"/>
  <c r="AN128" i="21"/>
  <c r="BB128" i="21" s="1"/>
  <c r="AD130" i="21"/>
  <c r="AJ130" i="21" s="1"/>
  <c r="AP133" i="21"/>
  <c r="BA133" i="21" s="1"/>
  <c r="X135" i="21"/>
  <c r="Z135" i="21" s="1"/>
  <c r="AR135" i="21"/>
  <c r="BB135" i="21" s="1"/>
  <c r="BI138" i="21"/>
  <c r="BF138" i="21"/>
  <c r="AN140" i="21"/>
  <c r="BB140" i="21" s="1"/>
  <c r="X143" i="21"/>
  <c r="Z143" i="21" s="1"/>
  <c r="BI144" i="21"/>
  <c r="BH144" i="21"/>
  <c r="AX156" i="21"/>
  <c r="BA156" i="21" s="1"/>
  <c r="AT157" i="21"/>
  <c r="BA157" i="21" s="1"/>
  <c r="AP158" i="21"/>
  <c r="BI159" i="21"/>
  <c r="AD163" i="21"/>
  <c r="AJ163" i="21" s="1"/>
  <c r="AP166" i="21"/>
  <c r="BA166" i="21" s="1"/>
  <c r="X168" i="21"/>
  <c r="Z168" i="21" s="1"/>
  <c r="AR168" i="21"/>
  <c r="BB168" i="21" s="1"/>
  <c r="R172" i="21"/>
  <c r="Y172" i="21" s="1"/>
  <c r="AT173" i="21"/>
  <c r="BA173" i="21" s="1"/>
  <c r="AN174" i="21"/>
  <c r="BB174" i="21" s="1"/>
  <c r="T177" i="21"/>
  <c r="Z177" i="21" s="1"/>
  <c r="AP178" i="21"/>
  <c r="BA178" i="21" s="1"/>
  <c r="AL179" i="21"/>
  <c r="BA179" i="21" s="1"/>
  <c r="AR180" i="21"/>
  <c r="BB180" i="21" s="1"/>
  <c r="AV188" i="21"/>
  <c r="BB188" i="21" s="1"/>
  <c r="X189" i="21"/>
  <c r="Z189" i="21" s="1"/>
  <c r="AP191" i="21"/>
  <c r="BA191" i="21" s="1"/>
  <c r="T194" i="21"/>
  <c r="Z194" i="21" s="1"/>
  <c r="AN194" i="21"/>
  <c r="BB194" i="21" s="1"/>
  <c r="BI194" i="21"/>
  <c r="BH194" i="21"/>
  <c r="X196" i="21"/>
  <c r="Z196" i="21" s="1"/>
  <c r="BI196" i="21"/>
  <c r="BI198" i="21"/>
  <c r="AH199" i="21"/>
  <c r="AF201" i="21"/>
  <c r="AI201" i="21" s="1"/>
  <c r="AH207" i="21"/>
  <c r="AJ207" i="21" s="1"/>
  <c r="AF209" i="21"/>
  <c r="AI209" i="21" s="1"/>
  <c r="AH211" i="21"/>
  <c r="AJ211" i="21" s="1"/>
  <c r="AH215" i="21"/>
  <c r="AJ215" i="21" s="1"/>
  <c r="T217" i="21"/>
  <c r="Z217" i="21" s="1"/>
  <c r="AR220" i="21"/>
  <c r="T221" i="21"/>
  <c r="Z221" i="21" s="1"/>
  <c r="AL224" i="21"/>
  <c r="BA224" i="21" s="1"/>
  <c r="AT226" i="21"/>
  <c r="BA226" i="21" s="1"/>
  <c r="AP227" i="21"/>
  <c r="R228" i="21"/>
  <c r="Y228" i="21" s="1"/>
  <c r="AV230" i="21"/>
  <c r="BB230" i="21" s="1"/>
  <c r="X231" i="21"/>
  <c r="T232" i="21"/>
  <c r="Z232" i="21" s="1"/>
  <c r="BI235" i="21"/>
  <c r="BI240" i="21"/>
  <c r="BH240" i="21"/>
  <c r="AH241" i="21"/>
  <c r="AJ241" i="21" s="1"/>
  <c r="BI242" i="21"/>
  <c r="AR244" i="21"/>
  <c r="BB244" i="21" s="1"/>
  <c r="T245" i="21"/>
  <c r="Z245" i="21" s="1"/>
  <c r="X256" i="21"/>
  <c r="Z256" i="21" s="1"/>
  <c r="T257" i="21"/>
  <c r="Z257" i="21" s="1"/>
  <c r="AN257" i="21"/>
  <c r="BB257" i="21" s="1"/>
  <c r="BI257" i="21"/>
  <c r="BH257" i="21"/>
  <c r="AH258" i="21"/>
  <c r="AJ258" i="21" s="1"/>
  <c r="AX260" i="21"/>
  <c r="BA260" i="21" s="1"/>
  <c r="AH272" i="21"/>
  <c r="AJ272" i="21" s="1"/>
  <c r="AV273" i="21"/>
  <c r="BB273" i="21" s="1"/>
  <c r="AN274" i="21"/>
  <c r="BB274" i="21" s="1"/>
  <c r="AV277" i="21"/>
  <c r="BB277" i="21" s="1"/>
  <c r="X278" i="21"/>
  <c r="BI278" i="21"/>
  <c r="BI282" i="21"/>
  <c r="AV285" i="21"/>
  <c r="AH291" i="21"/>
  <c r="AJ291" i="21" s="1"/>
  <c r="BI292" i="21"/>
  <c r="AB294" i="21"/>
  <c r="AI294" i="21" s="1"/>
  <c r="V295" i="21"/>
  <c r="Y295" i="21" s="1"/>
  <c r="AL302" i="21"/>
  <c r="BA302" i="21" s="1"/>
  <c r="AN316" i="21"/>
  <c r="X324" i="21"/>
  <c r="AL330" i="21"/>
  <c r="BA330" i="21" s="1"/>
  <c r="T334" i="21"/>
  <c r="Z334" i="21" s="1"/>
  <c r="X337" i="21"/>
  <c r="AR364" i="21"/>
  <c r="AR375" i="21"/>
  <c r="BB375" i="21" s="1"/>
  <c r="AB382" i="21"/>
  <c r="AI382" i="21" s="1"/>
  <c r="T387" i="21"/>
  <c r="Z387" i="21" s="1"/>
  <c r="X397" i="21"/>
  <c r="Z397" i="21" s="1"/>
  <c r="AB402" i="21"/>
  <c r="AI402" i="21" s="1"/>
  <c r="R158" i="21"/>
  <c r="Y158" i="21" s="1"/>
  <c r="R85" i="21"/>
  <c r="Y85" i="21" s="1"/>
  <c r="R49" i="21"/>
  <c r="Y49" i="21" s="1"/>
  <c r="T327" i="21"/>
  <c r="Z327" i="21" s="1"/>
  <c r="V40" i="21"/>
  <c r="Y40" i="21" s="1"/>
  <c r="BF224" i="21"/>
  <c r="AR297" i="21"/>
  <c r="AP298" i="21"/>
  <c r="AL299" i="21"/>
  <c r="BA299" i="21" s="1"/>
  <c r="X300" i="21"/>
  <c r="Z300" i="21" s="1"/>
  <c r="AD302" i="21"/>
  <c r="X304" i="21"/>
  <c r="Z304" i="21" s="1"/>
  <c r="BI305" i="21"/>
  <c r="BH305" i="21"/>
  <c r="AV306" i="21"/>
  <c r="BB306" i="21" s="1"/>
  <c r="AL318" i="21"/>
  <c r="BA318" i="21" s="1"/>
  <c r="AD319" i="21"/>
  <c r="AJ319" i="21" s="1"/>
  <c r="AV323" i="21"/>
  <c r="BB323" i="21" s="1"/>
  <c r="AR324" i="21"/>
  <c r="BB324" i="21" s="1"/>
  <c r="AN325" i="21"/>
  <c r="BB325" i="21" s="1"/>
  <c r="BI325" i="21"/>
  <c r="BH325" i="21"/>
  <c r="AF328" i="21"/>
  <c r="AI328" i="21" s="1"/>
  <c r="AB329" i="21"/>
  <c r="AI329" i="21" s="1"/>
  <c r="AD331" i="21"/>
  <c r="AJ331" i="21" s="1"/>
  <c r="AN332" i="21"/>
  <c r="BI334" i="21"/>
  <c r="BH334" i="21"/>
  <c r="AL336" i="21"/>
  <c r="AT337" i="21"/>
  <c r="BA337" i="21" s="1"/>
  <c r="AN338" i="21"/>
  <c r="BB338" i="21" s="1"/>
  <c r="BI338" i="21"/>
  <c r="BH338" i="21"/>
  <c r="AN342" i="21"/>
  <c r="BB342" i="21" s="1"/>
  <c r="BI342" i="21"/>
  <c r="BH342" i="21"/>
  <c r="AV347" i="21"/>
  <c r="BB347" i="21" s="1"/>
  <c r="AX349" i="21"/>
  <c r="BA349" i="21" s="1"/>
  <c r="AV351" i="21"/>
  <c r="BB351" i="21" s="1"/>
  <c r="AP358" i="21"/>
  <c r="BA358" i="21" s="1"/>
  <c r="AL359" i="21"/>
  <c r="AV364" i="21"/>
  <c r="AD368" i="21"/>
  <c r="AJ368" i="21" s="1"/>
  <c r="X369" i="21"/>
  <c r="AL372" i="21"/>
  <c r="AD375" i="21"/>
  <c r="AJ375" i="21" s="1"/>
  <c r="BI376" i="21"/>
  <c r="BF376" i="21"/>
  <c r="AN378" i="21"/>
  <c r="BB378" i="21" s="1"/>
  <c r="AL380" i="21"/>
  <c r="BA380" i="21" s="1"/>
  <c r="AB392" i="21"/>
  <c r="AI392" i="21" s="1"/>
  <c r="BI394" i="21"/>
  <c r="BF394" i="21"/>
  <c r="AV400" i="21"/>
  <c r="BB400" i="21" s="1"/>
  <c r="AH403" i="21"/>
  <c r="AJ403" i="21" s="1"/>
  <c r="T382" i="21"/>
  <c r="Z382" i="21" s="1"/>
  <c r="T372" i="21"/>
  <c r="Z372" i="21" s="1"/>
  <c r="T350" i="21"/>
  <c r="Z350" i="21" s="1"/>
  <c r="V378" i="21"/>
  <c r="Y378" i="21" s="1"/>
  <c r="V314" i="21"/>
  <c r="Y314" i="21" s="1"/>
  <c r="X371" i="21"/>
  <c r="Z371" i="21" s="1"/>
  <c r="BH400" i="21"/>
  <c r="AH296" i="21"/>
  <c r="AJ296" i="21" s="1"/>
  <c r="AT297" i="21"/>
  <c r="BA297" i="21" s="1"/>
  <c r="X298" i="21"/>
  <c r="Z298" i="21" s="1"/>
  <c r="AN301" i="21"/>
  <c r="BB301" i="21" s="1"/>
  <c r="AB304" i="21"/>
  <c r="AI304" i="21" s="1"/>
  <c r="T305" i="21"/>
  <c r="Z305" i="21" s="1"/>
  <c r="BI312" i="21"/>
  <c r="BH312" i="21"/>
  <c r="AV315" i="21"/>
  <c r="BB315" i="21" s="1"/>
  <c r="AR316" i="21"/>
  <c r="AH317" i="21"/>
  <c r="AJ317" i="21" s="1"/>
  <c r="BI318" i="21"/>
  <c r="BF318" i="21"/>
  <c r="AF319" i="21"/>
  <c r="AI319" i="21" s="1"/>
  <c r="AX328" i="21"/>
  <c r="BA328" i="21" s="1"/>
  <c r="AV331" i="21"/>
  <c r="X332" i="21"/>
  <c r="Z332" i="21" s="1"/>
  <c r="BI336" i="21"/>
  <c r="BF336" i="21"/>
  <c r="AH339" i="21"/>
  <c r="AJ339" i="21" s="1"/>
  <c r="AL340" i="21"/>
  <c r="BA340" i="21" s="1"/>
  <c r="AB346" i="21"/>
  <c r="AI346" i="21" s="1"/>
  <c r="AH347" i="21"/>
  <c r="AJ347" i="21" s="1"/>
  <c r="X348" i="21"/>
  <c r="Z348" i="21" s="1"/>
  <c r="AD352" i="21"/>
  <c r="AJ352" i="21" s="1"/>
  <c r="AD360" i="21"/>
  <c r="AJ360" i="21" s="1"/>
  <c r="AN365" i="21"/>
  <c r="AF368" i="21"/>
  <c r="AI368" i="21" s="1"/>
  <c r="AB369" i="21"/>
  <c r="AI369" i="21" s="1"/>
  <c r="BI378" i="21"/>
  <c r="AV386" i="21"/>
  <c r="BB386" i="21" s="1"/>
  <c r="AN391" i="21"/>
  <c r="BB391" i="21" s="1"/>
  <c r="BI398" i="21"/>
  <c r="BH398" i="21"/>
  <c r="AF399" i="21"/>
  <c r="AI399" i="21" s="1"/>
  <c r="T370" i="21"/>
  <c r="Z370" i="21" s="1"/>
  <c r="T324" i="21"/>
  <c r="T296" i="21"/>
  <c r="V335" i="21"/>
  <c r="Y335" i="21" s="1"/>
  <c r="AH302" i="21"/>
  <c r="X303" i="21"/>
  <c r="V305" i="21"/>
  <c r="Y305" i="21" s="1"/>
  <c r="AH313" i="21"/>
  <c r="AJ313" i="21" s="1"/>
  <c r="AX315" i="21"/>
  <c r="BA315" i="21" s="1"/>
  <c r="AB321" i="21"/>
  <c r="AI321" i="21" s="1"/>
  <c r="BI323" i="21"/>
  <c r="BF323" i="21"/>
  <c r="AH326" i="21"/>
  <c r="AJ326" i="21" s="1"/>
  <c r="AR327" i="21"/>
  <c r="AR332" i="21"/>
  <c r="BI340" i="21"/>
  <c r="AH343" i="21"/>
  <c r="BI344" i="21"/>
  <c r="AL351" i="21"/>
  <c r="BA351" i="21" s="1"/>
  <c r="AF352" i="21"/>
  <c r="AI352" i="21" s="1"/>
  <c r="X353" i="21"/>
  <c r="Z353" i="21" s="1"/>
  <c r="BI355" i="21"/>
  <c r="AV356" i="21"/>
  <c r="BB356" i="21" s="1"/>
  <c r="AN357" i="21"/>
  <c r="T361" i="21"/>
  <c r="AH366" i="21"/>
  <c r="AJ366" i="21" s="1"/>
  <c r="X367" i="21"/>
  <c r="Z367" i="21" s="1"/>
  <c r="BI367" i="21"/>
  <c r="AX368" i="21"/>
  <c r="BA368" i="21" s="1"/>
  <c r="AT373" i="21"/>
  <c r="BI374" i="21"/>
  <c r="BH374" i="21"/>
  <c r="X376" i="21"/>
  <c r="Z376" i="21" s="1"/>
  <c r="AH379" i="21"/>
  <c r="AJ379" i="21" s="1"/>
  <c r="X383" i="21"/>
  <c r="Z383" i="21" s="1"/>
  <c r="AR387" i="21"/>
  <c r="BB387" i="21" s="1"/>
  <c r="BI387" i="21"/>
  <c r="X391" i="21"/>
  <c r="Z391" i="21" s="1"/>
  <c r="AX395" i="21"/>
  <c r="BA395" i="21" s="1"/>
  <c r="AH397" i="21"/>
  <c r="AJ397" i="21" s="1"/>
  <c r="AD398" i="21"/>
  <c r="AJ398" i="21" s="1"/>
  <c r="AD404" i="21"/>
  <c r="AJ404" i="21" s="1"/>
  <c r="T400" i="21"/>
  <c r="Z400" i="21" s="1"/>
  <c r="T320" i="21"/>
  <c r="Z320" i="21" s="1"/>
  <c r="V330" i="21"/>
  <c r="Y330" i="21" s="1"/>
  <c r="BI308" i="21"/>
  <c r="BH308" i="21"/>
  <c r="AH309" i="21"/>
  <c r="AJ309" i="21" s="1"/>
  <c r="AD311" i="21"/>
  <c r="AJ311" i="21" s="1"/>
  <c r="T313" i="21"/>
  <c r="Z313" i="21" s="1"/>
  <c r="AN317" i="21"/>
  <c r="BB317" i="21" s="1"/>
  <c r="AL319" i="21"/>
  <c r="BA319" i="21" s="1"/>
  <c r="AF320" i="21"/>
  <c r="AI320" i="21" s="1"/>
  <c r="AT325" i="21"/>
  <c r="BA325" i="21" s="1"/>
  <c r="AN328" i="21"/>
  <c r="AH329" i="21"/>
  <c r="AJ329" i="21" s="1"/>
  <c r="X344" i="21"/>
  <c r="Z344" i="21" s="1"/>
  <c r="AT346" i="21"/>
  <c r="BA346" i="21" s="1"/>
  <c r="V347" i="21"/>
  <c r="Y347" i="21" s="1"/>
  <c r="AD348" i="21"/>
  <c r="AJ348" i="21" s="1"/>
  <c r="BI353" i="21"/>
  <c r="BH353" i="21"/>
  <c r="AX356" i="21"/>
  <c r="BA356" i="21" s="1"/>
  <c r="AD358" i="21"/>
  <c r="X359" i="21"/>
  <c r="Z359" i="21" s="1"/>
  <c r="AV363" i="21"/>
  <c r="BB363" i="21" s="1"/>
  <c r="AR365" i="21"/>
  <c r="AF373" i="21"/>
  <c r="AI373" i="21" s="1"/>
  <c r="AP374" i="21"/>
  <c r="BA374" i="21" s="1"/>
  <c r="T377" i="21"/>
  <c r="Z377" i="21" s="1"/>
  <c r="AF381" i="21"/>
  <c r="AI381" i="21" s="1"/>
  <c r="AB383" i="21"/>
  <c r="AI383" i="21" s="1"/>
  <c r="AH388" i="21"/>
  <c r="AJ388" i="21" s="1"/>
  <c r="V393" i="21"/>
  <c r="Y393" i="21" s="1"/>
  <c r="AH395" i="21"/>
  <c r="AJ395" i="21" s="1"/>
  <c r="AD396" i="21"/>
  <c r="AJ396" i="21" s="1"/>
  <c r="AT396" i="21"/>
  <c r="BA396" i="21" s="1"/>
  <c r="AR401" i="21"/>
  <c r="BB401" i="21" s="1"/>
  <c r="R363" i="21"/>
  <c r="Y363" i="21" s="1"/>
  <c r="R331" i="21"/>
  <c r="Y331" i="21" s="1"/>
  <c r="R323" i="21"/>
  <c r="Y323" i="21" s="1"/>
  <c r="R315" i="21"/>
  <c r="Y315" i="21" s="1"/>
  <c r="T333" i="21"/>
  <c r="Z333" i="21" s="1"/>
  <c r="BH310" i="21"/>
  <c r="BI302" i="21"/>
  <c r="BF302" i="21"/>
  <c r="AD303" i="21"/>
  <c r="AJ303" i="21" s="1"/>
  <c r="AB305" i="21"/>
  <c r="AI305" i="21" s="1"/>
  <c r="BI306" i="21"/>
  <c r="AF311" i="21"/>
  <c r="AI311" i="21" s="1"/>
  <c r="X312" i="21"/>
  <c r="Z312" i="21" s="1"/>
  <c r="AD327" i="21"/>
  <c r="AJ327" i="21" s="1"/>
  <c r="AV327" i="21"/>
  <c r="AD330" i="21"/>
  <c r="BI331" i="21"/>
  <c r="BF331" i="21"/>
  <c r="AN333" i="21"/>
  <c r="BB333" i="21" s="1"/>
  <c r="AD336" i="21"/>
  <c r="AJ336" i="21" s="1"/>
  <c r="T337" i="21"/>
  <c r="AR340" i="21"/>
  <c r="AR344" i="21"/>
  <c r="BB344" i="21" s="1"/>
  <c r="BI345" i="21"/>
  <c r="BH345" i="21"/>
  <c r="AV348" i="21"/>
  <c r="AL352" i="21"/>
  <c r="BA352" i="21" s="1"/>
  <c r="AV354" i="21"/>
  <c r="AR355" i="21"/>
  <c r="BB355" i="21" s="1"/>
  <c r="AR357" i="21"/>
  <c r="X361" i="21"/>
  <c r="AN364" i="21"/>
  <c r="AT365" i="21"/>
  <c r="BA365" i="21" s="1"/>
  <c r="AN366" i="21"/>
  <c r="BB366" i="21" s="1"/>
  <c r="AD367" i="21"/>
  <c r="AJ367" i="21" s="1"/>
  <c r="BI368" i="21"/>
  <c r="BH368" i="21"/>
  <c r="AV369" i="21"/>
  <c r="AH371" i="21"/>
  <c r="AJ371" i="21" s="1"/>
  <c r="AB374" i="21"/>
  <c r="AI374" i="21" s="1"/>
  <c r="AL375" i="21"/>
  <c r="BA375" i="21" s="1"/>
  <c r="BI377" i="21"/>
  <c r="BH377" i="21"/>
  <c r="AT378" i="21"/>
  <c r="BA378" i="21" s="1"/>
  <c r="AH384" i="21"/>
  <c r="AJ384" i="21" s="1"/>
  <c r="AD385" i="21"/>
  <c r="AJ385" i="21" s="1"/>
  <c r="AB400" i="21"/>
  <c r="AI400" i="21" s="1"/>
  <c r="AR403" i="21"/>
  <c r="BB403" i="21" s="1"/>
  <c r="T356" i="21"/>
  <c r="Z356" i="21" s="1"/>
  <c r="AN312" i="21"/>
  <c r="BB312" i="21" s="1"/>
  <c r="AV307" i="21"/>
  <c r="BB307" i="21" s="1"/>
  <c r="AR308" i="21"/>
  <c r="BB308" i="21" s="1"/>
  <c r="AN309" i="21"/>
  <c r="BB309" i="21" s="1"/>
  <c r="AD310" i="21"/>
  <c r="AB312" i="21"/>
  <c r="BI313" i="21"/>
  <c r="BH313" i="21"/>
  <c r="BI315" i="21"/>
  <c r="AD322" i="21"/>
  <c r="AP326" i="21"/>
  <c r="BA326" i="21" s="1"/>
  <c r="BI326" i="21"/>
  <c r="X328" i="21"/>
  <c r="Z328" i="21" s="1"/>
  <c r="AR328" i="21"/>
  <c r="T329" i="21"/>
  <c r="Z329" i="21" s="1"/>
  <c r="AN329" i="21"/>
  <c r="BI335" i="21"/>
  <c r="AN337" i="21"/>
  <c r="BB337" i="21" s="1"/>
  <c r="AP339" i="21"/>
  <c r="AD340" i="21"/>
  <c r="AJ340" i="21" s="1"/>
  <c r="BI341" i="21"/>
  <c r="BH341" i="21"/>
  <c r="AD344" i="21"/>
  <c r="AJ344" i="21" s="1"/>
  <c r="AN345" i="21"/>
  <c r="BB345" i="21" s="1"/>
  <c r="AP347" i="21"/>
  <c r="BA347" i="21" s="1"/>
  <c r="AR349" i="21"/>
  <c r="BB349" i="21" s="1"/>
  <c r="AH358" i="21"/>
  <c r="AB361" i="21"/>
  <c r="BI361" i="21"/>
  <c r="BH361" i="21"/>
  <c r="BI364" i="21"/>
  <c r="AP379" i="21"/>
  <c r="BA379" i="21" s="1"/>
  <c r="AD380" i="21"/>
  <c r="AJ380" i="21" s="1"/>
  <c r="BI386" i="21"/>
  <c r="AD389" i="21"/>
  <c r="AJ389" i="21" s="1"/>
  <c r="AV389" i="21"/>
  <c r="BB389" i="21" s="1"/>
  <c r="AP397" i="21"/>
  <c r="BA397" i="21" s="1"/>
  <c r="X399" i="21"/>
  <c r="Z399" i="21" s="1"/>
  <c r="AN402" i="21"/>
  <c r="BB402" i="21" s="1"/>
  <c r="T354" i="21"/>
  <c r="Z354" i="21" s="1"/>
  <c r="V322" i="21"/>
  <c r="Y322" i="21" s="1"/>
  <c r="X381" i="21"/>
  <c r="Z381" i="21" s="1"/>
  <c r="X349" i="21"/>
  <c r="Z349" i="21" s="1"/>
  <c r="AZ114" i="21"/>
  <c r="AZ354" i="21"/>
  <c r="AZ266" i="21"/>
  <c r="AZ250" i="21"/>
  <c r="BB250" i="21" s="1"/>
  <c r="AZ202" i="21"/>
  <c r="AZ122" i="21"/>
  <c r="BB122" i="21" s="1"/>
  <c r="AZ98" i="21"/>
  <c r="BI2" i="21"/>
  <c r="BI5" i="21"/>
  <c r="BI10" i="21"/>
  <c r="BI19" i="21"/>
  <c r="BI9" i="21"/>
  <c r="BI32" i="21"/>
  <c r="BI33" i="21"/>
  <c r="BI34" i="21"/>
  <c r="BI17" i="21"/>
  <c r="BI28" i="21"/>
  <c r="BI40" i="21"/>
  <c r="BI24" i="21"/>
  <c r="BI26" i="21"/>
  <c r="BI15" i="21"/>
  <c r="BI22" i="21"/>
  <c r="BI36" i="21"/>
  <c r="BI48" i="21"/>
  <c r="BI62" i="21"/>
  <c r="BI82" i="21"/>
  <c r="BI74" i="21"/>
  <c r="BI86" i="21"/>
  <c r="BI90" i="21"/>
  <c r="BI50" i="21"/>
  <c r="BI61" i="21"/>
  <c r="BI60" i="21"/>
  <c r="BI72" i="21"/>
  <c r="BI92" i="21"/>
  <c r="BI64" i="21"/>
  <c r="BI84" i="21"/>
  <c r="BI94" i="21"/>
  <c r="BI114" i="21"/>
  <c r="BI129" i="21"/>
  <c r="BI131" i="21"/>
  <c r="BI141" i="21"/>
  <c r="BI122" i="21"/>
  <c r="BI125" i="21"/>
  <c r="BI123" i="21"/>
  <c r="BI137" i="21"/>
  <c r="BI139" i="21"/>
  <c r="BI145" i="21"/>
  <c r="BI120" i="21"/>
  <c r="BI133" i="21"/>
  <c r="BI149" i="21"/>
  <c r="BI157" i="21"/>
  <c r="BI185" i="21"/>
  <c r="BI162" i="21"/>
  <c r="BI187" i="21"/>
  <c r="BI151" i="21"/>
  <c r="BI172" i="21"/>
  <c r="BI167" i="21"/>
  <c r="BI191" i="21"/>
  <c r="BI186" i="21"/>
  <c r="BI193" i="21"/>
  <c r="BI174" i="21"/>
  <c r="BI178" i="21"/>
  <c r="BI211" i="21"/>
  <c r="BI216" i="21"/>
  <c r="BI225" i="21"/>
  <c r="BI197" i="21"/>
  <c r="BI215" i="21"/>
  <c r="BI195" i="21"/>
  <c r="BI199" i="21"/>
  <c r="BI223" i="21"/>
  <c r="BI221" i="21"/>
  <c r="BI207" i="21"/>
  <c r="BI244" i="21"/>
  <c r="BI248" i="21"/>
  <c r="BI237" i="21"/>
  <c r="BI239" i="21"/>
  <c r="BI246" i="21"/>
  <c r="BI250" i="21"/>
  <c r="BI243" i="21"/>
  <c r="BI233" i="21"/>
  <c r="BI241" i="21"/>
  <c r="BI252" i="21"/>
  <c r="BI256" i="21"/>
  <c r="BI260" i="21"/>
  <c r="BI272" i="21"/>
  <c r="BI276" i="21"/>
  <c r="BI296" i="21"/>
  <c r="BI291" i="21"/>
  <c r="BI284" i="21"/>
  <c r="BI295" i="21"/>
  <c r="BI287" i="21"/>
  <c r="BI289" i="21"/>
  <c r="BI268" i="21"/>
  <c r="BI297" i="21"/>
  <c r="BI316" i="21"/>
  <c r="BI319" i="21"/>
  <c r="BI322" i="21"/>
  <c r="BI324" i="21"/>
  <c r="BI298" i="21"/>
  <c r="BI311" i="21"/>
  <c r="BI314" i="21"/>
  <c r="BI320" i="21"/>
  <c r="BI317" i="21"/>
  <c r="BI304" i="21"/>
  <c r="BI309" i="21"/>
  <c r="BI301" i="21"/>
  <c r="BI330" i="21"/>
  <c r="BI328" i="21"/>
  <c r="BI333" i="21"/>
  <c r="BI347" i="21"/>
  <c r="BI351" i="21"/>
  <c r="BI349" i="21"/>
  <c r="BI337" i="21"/>
  <c r="BI358" i="21"/>
  <c r="BI362" i="21"/>
  <c r="BI354" i="21"/>
  <c r="BI360" i="21"/>
  <c r="BI373" i="21"/>
  <c r="BI352" i="21"/>
  <c r="BI365" i="21"/>
  <c r="BI372" i="21"/>
  <c r="BI366" i="21"/>
  <c r="BI375" i="21"/>
  <c r="BI381" i="21"/>
  <c r="BI393" i="21"/>
  <c r="BI389" i="21"/>
  <c r="BI395" i="21"/>
  <c r="BI371" i="21"/>
  <c r="BI397" i="21"/>
  <c r="BI399" i="21"/>
  <c r="BI384" i="21"/>
  <c r="BI392" i="21"/>
  <c r="BI401" i="21"/>
  <c r="BI383" i="21"/>
  <c r="BI391" i="21"/>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D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I99" i="21" l="1"/>
  <c r="R361" i="12"/>
  <c r="AV228" i="12"/>
  <c r="BA199" i="12"/>
  <c r="AQ327" i="12"/>
  <c r="AL362" i="12"/>
  <c r="BF405" i="21"/>
  <c r="BA275" i="12"/>
  <c r="AJ262" i="12"/>
  <c r="AV396" i="12"/>
  <c r="BA267" i="12"/>
  <c r="AG310" i="12"/>
  <c r="AO250" i="12"/>
  <c r="AV322" i="12"/>
  <c r="BA347" i="12"/>
  <c r="BD358" i="12"/>
  <c r="AJ310" i="21"/>
  <c r="BB340" i="21"/>
  <c r="BA80" i="21"/>
  <c r="AG231" i="12"/>
  <c r="AL371" i="12"/>
  <c r="AV236" i="12"/>
  <c r="BA339" i="12"/>
  <c r="AI361" i="21"/>
  <c r="BA113" i="21"/>
  <c r="BA40" i="21"/>
  <c r="W369" i="12"/>
  <c r="AE350" i="12"/>
  <c r="AL283" i="12"/>
  <c r="AJ286" i="12"/>
  <c r="AL202" i="12"/>
  <c r="AQ391" i="12"/>
  <c r="BA203" i="12"/>
  <c r="BB329" i="21"/>
  <c r="R339" i="12"/>
  <c r="U299" i="12"/>
  <c r="AQ263" i="12"/>
  <c r="AV386" i="12"/>
  <c r="BI264" i="12"/>
  <c r="AJ330" i="21"/>
  <c r="U267" i="12"/>
  <c r="AG319" i="12"/>
  <c r="AO274" i="12"/>
  <c r="AQ199" i="12"/>
  <c r="AV332" i="12"/>
  <c r="BI200" i="12"/>
  <c r="AI312" i="21"/>
  <c r="BA229" i="21"/>
  <c r="BB14" i="21"/>
  <c r="BB120" i="21"/>
  <c r="BA174" i="21"/>
  <c r="Z324" i="21"/>
  <c r="BB220" i="21"/>
  <c r="Y101" i="21"/>
  <c r="BB47" i="21"/>
  <c r="BB357" i="21"/>
  <c r="BB365" i="21"/>
  <c r="BA359" i="21"/>
  <c r="BB62" i="21"/>
  <c r="BB364" i="21"/>
  <c r="Z11" i="21"/>
  <c r="BA227" i="21"/>
  <c r="BA372" i="21"/>
  <c r="AJ105" i="21"/>
  <c r="BB79" i="21"/>
  <c r="BB98" i="21"/>
  <c r="BB297" i="21"/>
  <c r="BB226" i="21"/>
  <c r="BA240" i="21"/>
  <c r="BA61" i="21"/>
  <c r="BA167" i="21"/>
  <c r="BB102" i="21"/>
  <c r="BA102" i="21"/>
  <c r="AI161" i="21"/>
  <c r="BB46" i="21"/>
  <c r="BB155" i="21"/>
  <c r="BA339" i="21"/>
  <c r="BB114" i="21"/>
  <c r="BB57" i="21"/>
  <c r="BB81" i="21"/>
  <c r="BB285" i="21"/>
  <c r="BA128" i="21"/>
  <c r="BB327" i="21"/>
  <c r="BB54" i="21"/>
  <c r="BB266" i="21"/>
  <c r="BB110" i="21"/>
  <c r="BB263" i="21"/>
  <c r="BA112" i="21"/>
  <c r="BA117" i="21"/>
  <c r="BA104" i="21"/>
  <c r="BB55" i="21"/>
  <c r="BA56" i="21"/>
  <c r="BA111" i="21"/>
  <c r="BA175" i="21"/>
  <c r="BA103" i="21"/>
  <c r="BB295" i="21"/>
  <c r="BB217" i="21"/>
  <c r="BB331" i="21"/>
  <c r="BA88" i="21"/>
  <c r="BB328" i="21"/>
  <c r="BB111" i="21"/>
  <c r="BA98" i="21"/>
  <c r="BB213" i="21"/>
  <c r="BB202" i="21"/>
  <c r="BB369" i="21"/>
  <c r="BB156" i="21"/>
  <c r="BA105" i="21"/>
  <c r="BB316" i="21"/>
  <c r="BB160" i="21"/>
  <c r="BB74" i="21"/>
  <c r="BA336" i="21"/>
  <c r="BA110" i="21"/>
  <c r="BB99" i="21"/>
  <c r="BB172" i="21"/>
  <c r="BB11" i="21"/>
  <c r="BB116" i="21"/>
  <c r="AJ122" i="21"/>
  <c r="BA158" i="21"/>
  <c r="BB281" i="21"/>
  <c r="BA373" i="21"/>
  <c r="BB332" i="21"/>
  <c r="BA298" i="21"/>
  <c r="BB348" i="21"/>
  <c r="BB95" i="21"/>
  <c r="BB7" i="21"/>
  <c r="BB70" i="21"/>
  <c r="BB354" i="21"/>
  <c r="Z337" i="21"/>
  <c r="AJ322" i="21"/>
  <c r="AJ68" i="21"/>
  <c r="AJ302" i="21"/>
  <c r="Z66" i="21"/>
  <c r="AJ203" i="21"/>
  <c r="AJ199" i="21"/>
  <c r="AJ229" i="21"/>
  <c r="AJ109" i="21"/>
  <c r="Y114" i="21"/>
  <c r="AJ97" i="21"/>
  <c r="AJ219" i="21"/>
  <c r="AJ13" i="21"/>
  <c r="Y113" i="21"/>
  <c r="AJ49" i="21"/>
  <c r="AJ358" i="21"/>
  <c r="Z361" i="21"/>
  <c r="AJ101" i="21"/>
  <c r="Z161" i="21"/>
  <c r="AJ343" i="21"/>
  <c r="AJ242" i="21"/>
  <c r="AI107" i="21"/>
  <c r="Z181" i="21"/>
  <c r="AJ264" i="21"/>
  <c r="AJ280" i="21"/>
  <c r="Z226" i="21"/>
  <c r="AJ55" i="21"/>
  <c r="AJ158" i="21"/>
  <c r="AJ113" i="21"/>
  <c r="Z99" i="21"/>
  <c r="AJ64" i="21"/>
  <c r="Z231" i="21"/>
  <c r="Z303" i="21"/>
  <c r="Z51" i="21"/>
  <c r="Z78" i="21"/>
  <c r="Z111" i="21"/>
  <c r="Z301" i="21"/>
  <c r="Y171" i="21"/>
  <c r="Z160" i="21"/>
  <c r="Z369" i="21"/>
  <c r="Z296" i="21"/>
  <c r="Z278" i="21"/>
  <c r="Z103" i="21"/>
  <c r="Z282" i="21"/>
  <c r="Z152" i="21"/>
  <c r="Z120" i="21"/>
  <c r="Y109" i="21"/>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C405" i="21" l="1"/>
  <c r="BD405" i="21"/>
  <c r="B3" i="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B3" i="5" s="1"/>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D3" i="2" s="1"/>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C4" i="3" l="1"/>
  <c r="R407" i="12"/>
  <c r="B3" i="7"/>
  <c r="D4" i="6"/>
  <c r="B2" i="9"/>
  <c r="C81" i="11" s="1"/>
  <c r="C3" i="5"/>
  <c r="C3" i="4"/>
  <c r="D33" i="11" s="1"/>
  <c r="AT405" i="12"/>
  <c r="B7" i="10" s="1"/>
  <c r="D2" i="3"/>
  <c r="E22" i="11" s="1"/>
  <c r="C3" i="6"/>
  <c r="D2" i="7"/>
  <c r="D4" i="4"/>
  <c r="B4" i="4"/>
  <c r="C2" i="7"/>
  <c r="B4" i="3"/>
  <c r="AY405" i="12"/>
  <c r="B8" i="10" s="1"/>
  <c r="BD405" i="12"/>
  <c r="B9" i="10" s="1"/>
  <c r="B3" i="6"/>
  <c r="D2" i="6"/>
  <c r="D4" i="1"/>
  <c r="D3" i="5"/>
  <c r="W407" i="12"/>
  <c r="D3" i="6"/>
  <c r="E53" i="11" s="1"/>
  <c r="C2" i="1"/>
  <c r="D3" i="11" s="1"/>
  <c r="B3" i="3"/>
  <c r="C4" i="8"/>
  <c r="AB407" i="12"/>
  <c r="C4" i="7"/>
  <c r="D3" i="4"/>
  <c r="C2" i="2"/>
  <c r="D4" i="5"/>
  <c r="E44" i="11" s="1"/>
  <c r="D3" i="3"/>
  <c r="E23" i="11" s="1"/>
  <c r="R408" i="12"/>
  <c r="AJ405" i="12"/>
  <c r="B5" i="10" s="1"/>
  <c r="C2" i="9"/>
  <c r="C4" i="9"/>
  <c r="C3" i="9"/>
  <c r="BI405" i="12"/>
  <c r="B10" i="10" s="1"/>
  <c r="D4" i="2"/>
  <c r="E14" i="11" s="1"/>
  <c r="AQ406" i="12"/>
  <c r="C3" i="1"/>
  <c r="D4" i="11" s="1"/>
  <c r="B2" i="3"/>
  <c r="B2" i="8"/>
  <c r="C2" i="3"/>
  <c r="C3" i="7"/>
  <c r="AG408" i="12"/>
  <c r="C3" i="2"/>
  <c r="AL406" i="12"/>
  <c r="D2" i="1"/>
  <c r="U405" i="12"/>
  <c r="B2" i="10" s="1"/>
  <c r="Z405" i="12"/>
  <c r="B3" i="10" s="1"/>
  <c r="AE405" i="12"/>
  <c r="B4" i="10" s="1"/>
  <c r="W406" i="12"/>
  <c r="AQ408" i="12"/>
  <c r="AV406" i="12"/>
  <c r="D4" i="8"/>
  <c r="E73" i="11" s="1"/>
  <c r="AB408" i="12"/>
  <c r="C4" i="4"/>
  <c r="B3" i="9"/>
  <c r="C82" i="11" s="1"/>
  <c r="D2" i="5"/>
  <c r="D3" i="1"/>
  <c r="AO405" i="12"/>
  <c r="B6" i="10" s="1"/>
  <c r="W408" i="12"/>
  <c r="AV407" i="12"/>
  <c r="B4" i="8"/>
  <c r="C73" i="11" s="1"/>
  <c r="BA406" i="12"/>
  <c r="C3" i="3"/>
  <c r="C2" i="5"/>
  <c r="D42" i="11" s="1"/>
  <c r="C2" i="4"/>
  <c r="D32" i="11" s="1"/>
  <c r="B4" i="9"/>
  <c r="AL407" i="12"/>
  <c r="D2" i="2"/>
  <c r="E12" i="11" s="1"/>
  <c r="B4" i="5"/>
  <c r="D3" i="7"/>
  <c r="BA408" i="12"/>
  <c r="C2" i="8"/>
  <c r="D71" i="11" s="1"/>
  <c r="C4" i="5"/>
  <c r="D44" i="11" s="1"/>
  <c r="AL408" i="12"/>
  <c r="B2" i="4"/>
  <c r="C32" i="11" s="1"/>
  <c r="R406" i="12"/>
  <c r="B2" i="5"/>
  <c r="C42" i="11" s="1"/>
  <c r="AV408" i="12"/>
  <c r="B3" i="8"/>
  <c r="C72" i="11" s="1"/>
  <c r="BA407" i="12"/>
  <c r="B2" i="6"/>
  <c r="C52" i="11" s="1"/>
  <c r="AG406" i="12"/>
  <c r="C4" i="6"/>
  <c r="D54" i="11" s="1"/>
  <c r="B3" i="4"/>
  <c r="C33" i="11" s="1"/>
  <c r="B4" i="7"/>
  <c r="C64" i="11" s="1"/>
  <c r="C71" i="11"/>
  <c r="AQ407" i="12"/>
  <c r="D4" i="7"/>
  <c r="E64" i="11" s="1"/>
  <c r="C3" i="8"/>
  <c r="D72" i="11" s="1"/>
  <c r="D2" i="8"/>
  <c r="B4" i="6"/>
  <c r="C54" i="11" s="1"/>
  <c r="D2" i="4"/>
  <c r="E32" i="11" s="1"/>
  <c r="AG407" i="12"/>
  <c r="C2" i="6"/>
  <c r="D52" i="11" s="1"/>
  <c r="D4" i="3"/>
  <c r="E24" i="11" s="1"/>
  <c r="B2" i="7"/>
  <c r="C62" i="11" s="1"/>
  <c r="D4" i="9"/>
  <c r="E83" i="11" s="1"/>
  <c r="BF408" i="12"/>
  <c r="BF407" i="12"/>
  <c r="BF406" i="12"/>
  <c r="D3" i="9"/>
  <c r="E82" i="11" s="1"/>
  <c r="D2" i="9"/>
  <c r="E81" i="11" s="1"/>
  <c r="C4" i="1"/>
  <c r="D5" i="11" s="1"/>
  <c r="AB406" i="12"/>
  <c r="C83" i="11"/>
  <c r="D73" i="11"/>
  <c r="E72" i="11"/>
  <c r="E13" i="11"/>
  <c r="C5" i="11"/>
  <c r="C23" i="11"/>
  <c r="D53" i="11"/>
  <c r="E71" i="11"/>
  <c r="E63" i="11"/>
  <c r="C24" i="11"/>
  <c r="E54" i="11"/>
  <c r="D64" i="11"/>
  <c r="C53" i="11"/>
  <c r="E42" i="11"/>
  <c r="C14" i="11"/>
  <c r="C13" i="11"/>
  <c r="C12" i="11"/>
  <c r="D63" i="11"/>
  <c r="E43" i="11"/>
  <c r="E3" i="11"/>
  <c r="C34" i="11"/>
  <c r="C63" i="11"/>
  <c r="E52" i="11"/>
  <c r="C22" i="11"/>
  <c r="C4" i="11"/>
  <c r="C44" i="11"/>
  <c r="C3" i="11"/>
  <c r="D43" i="11"/>
  <c r="E62" i="11"/>
  <c r="D62" i="11"/>
  <c r="D14" i="11"/>
  <c r="C43" i="11"/>
  <c r="D34" i="11"/>
  <c r="E4" i="11"/>
  <c r="E34" i="11"/>
  <c r="E5" i="11"/>
  <c r="D24" i="11"/>
  <c r="E33" i="11"/>
  <c r="D23" i="11"/>
  <c r="D13" i="11"/>
  <c r="D22" i="11"/>
  <c r="D12" i="11"/>
  <c r="D83" i="11"/>
  <c r="D82" i="11"/>
  <c r="D81"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L6" i="10" l="1"/>
  <c r="K3" i="10"/>
  <c r="K6" i="10"/>
  <c r="M6" i="10" s="1"/>
  <c r="J9" i="10"/>
  <c r="K9"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E9" i="10" l="1"/>
  <c r="M9" i="10"/>
  <c r="M2"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785191F3-D887-4C55-AFCD-876A4C30C0B6}" keepAlive="1" name="Query - step3_validation (10)" description="Connection to the 'step3_validation (10)' query in the workbook." type="5" refreshedVersion="8" background="1" saveData="1">
    <dbPr connection="Provider=Microsoft.Mashup.OleDb.1;Data Source=$Workbook$;Location=&quot;step3_validation (10)&quot;;Extended Properties=&quot;&quot;" command="SELECT * FROM [step3_validation (10)]"/>
  </connection>
  <connection id="7" xr16:uid="{805BF2B8-97F1-4675-88A2-3ABB14210311}" keepAlive="1" name="Query - step3_validation (11)" description="Connection to the 'step3_validation (11)' query in the workbook." type="5" refreshedVersion="0" background="1" saveData="1">
    <dbPr connection="Provider=Microsoft.Mashup.OleDb.1;Data Source=$Workbook$;Location=&quot;step3_validation (11)&quot;;Extended Properties=&quot;&quot;" command="SELECT * FROM [step3_validation (11)]"/>
  </connection>
  <connection id="8"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9"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10"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11"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2" xr16:uid="{69974143-1415-4598-B7BE-D9C39939331A}" keepAlive="1" name="Query - step3_validation (6)" description="Connection to the 'step3_validation (6)' query in the workbook." type="5" refreshedVersion="0" background="1" saveData="1">
    <dbPr connection="Provider=Microsoft.Mashup.OleDb.1;Data Source=$Workbook$;Location=&quot;step3_validation (6)&quot;;Extended Properties=&quot;&quot;" command="SELECT * FROM [step3_validation (6)]"/>
  </connection>
  <connection id="13" xr16:uid="{42764D90-ECE8-41B8-992D-D15F127A969A}" keepAlive="1" name="Query - step3_validation (7)" description="Connection to the 'step3_validation (7)' query in the workbook." type="5" refreshedVersion="0" background="1" saveData="1">
    <dbPr connection="Provider=Microsoft.Mashup.OleDb.1;Data Source=$Workbook$;Location=&quot;step3_validation (7)&quot;;Extended Properties=&quot;&quot;" command="SELECT * FROM [step3_validation (7)]"/>
  </connection>
  <connection id="14" xr16:uid="{DAEC1F68-1E9D-4222-B067-E0F3B46134B0}" keepAlive="1" name="Query - step3_validation (8)" description="Connection to the 'step3_validation (8)' query in the workbook." type="5" refreshedVersion="8" background="1" saveData="1">
    <dbPr connection="Provider=Microsoft.Mashup.OleDb.1;Data Source=$Workbook$;Location=&quot;step3_validation (8)&quot;;Extended Properties=&quot;&quot;" command="SELECT * FROM [step3_validation (8)]"/>
  </connection>
  <connection id="15" xr16:uid="{0F8D85F9-85D8-4B97-B021-5F3880B6EC62}" keepAlive="1" name="Query - step3_validation (9)" description="Connection to the 'step3_validation (9)' query in the workbook." type="5" refreshedVersion="0" background="1" saveData="1">
    <dbPr connection="Provider=Microsoft.Mashup.OleDb.1;Data Source=$Workbook$;Location=&quot;step3_validation (9)&quot;;Extended Properties=&quot;&quot;" command="SELECT * FROM [step3_validation (9)]"/>
  </connection>
  <connection id="16"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7"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<sst xmlns="http://schemas.openxmlformats.org/spreadsheetml/2006/main" count="9222" uniqueCount="3813">
  <si>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</si>
  <si>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</si>
  <si>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</si>
  <si>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</si>
  <si>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</si>
  <si>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</si>
  <si>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</si>
  <si>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</si>
  <si>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</si>
  <si>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</si>
  <si>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</si>
  <si>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</si>
  <si>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</si>
  <si>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</si>
  <si>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</si>
  <si>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</si>
  <si>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</si>
  <si>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</si>
  <si>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</si>
  <si>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</si>
  <si>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</si>
  <si>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</si>
  <si>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</si>
  <si>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</si>
  <si>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</si>
  <si>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</si>
  <si>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</si>
  <si>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</si>
  <si>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</si>
  <si>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</si>
  <si>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</si>
  <si>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</si>
  <si>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</si>
  <si>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</si>
  <si>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</si>
  <si>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</si>
  <si>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</si>
  <si>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</si>
  <si>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</si>
  <si>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</si>
  <si>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</si>
  <si>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</si>
  <si>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</si>
  <si>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</si>
  <si>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</si>
  <si>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</si>
  <si>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</si>
  <si>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</si>
  <si>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</si>
  <si>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</si>
  <si>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</si>
  <si>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</si>
  <si>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</si>
  <si>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</si>
  <si>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</si>
  <si>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</si>
  <si>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</si>
  <si>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</si>
  <si>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</si>
  <si>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</si>
  <si>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</si>
  <si>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</si>
  <si>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</si>
  <si>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</si>
  <si>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</si>
  <si>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</si>
  <si>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</si>
  <si>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</si>
  <si>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</si>
  <si>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</si>
  <si>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</si>
  <si>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</si>
  <si>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</si>
  <si>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</si>
  <si>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</si>
  <si>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</si>
  <si>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</si>
  <si>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</si>
  <si>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</si>
  <si>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</si>
  <si>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</si>
  <si>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</si>
  <si>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</si>
  <si>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</si>
  <si>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</si>
  <si>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</si>
  <si>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</si>
  <si>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</si>
  <si>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</si>
  <si>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</si>
  <si>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</si>
  <si>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</si>
  <si>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</si>
  <si>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</si>
  <si>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</si>
  <si>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</si>
  <si>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</si>
  <si>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</si>
  <si>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</si>
  <si>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</si>
  <si>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</si>
  <si>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</si>
  <si>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</si>
  <si>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</si>
  <si>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</si>
  <si>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</si>
  <si>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</si>
  <si>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</si>
  <si>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</si>
  <si>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</si>
  <si>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</si>
  <si>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</si>
  <si>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</si>
  <si>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</si>
  <si>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</si>
  <si>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</si>
  <si>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</si>
  <si>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</si>
  <si>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</si>
  <si>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</si>
  <si>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</si>
  <si>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</si>
  <si>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</si>
  <si>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</si>
  <si>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</si>
  <si>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</si>
  <si>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</si>
  <si>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</si>
  <si>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</si>
  <si>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</si>
  <si>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</si>
  <si>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</si>
  <si>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</si>
  <si>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</si>
  <si>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</si>
  <si>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</si>
  <si>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</si>
  <si>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</si>
  <si>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</si>
  <si>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</si>
  <si>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</si>
  <si>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</si>
  <si>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</si>
  <si>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</si>
  <si>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</si>
  <si>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</si>
  <si>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</si>
  <si>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</si>
  <si>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</si>
  <si>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</si>
  <si>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</si>
  <si>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</si>
  <si>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</si>
  <si>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</si>
  <si>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</si>
  <si>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</si>
  <si>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</si>
  <si>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</si>
  <si>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</si>
  <si>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</si>
  <si>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</si>
  <si>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</si>
  <si>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</si>
  <si>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</si>
  <si>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</si>
  <si>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</si>
  <si>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</si>
  <si>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</si>
  <si>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</si>
  <si>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</si>
  <si>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</si>
  <si>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</si>
  <si>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</si>
  <si>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</si>
  <si>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</si>
  <si>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</si>
  <si>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</si>
  <si>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</si>
  <si>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</si>
  <si>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</si>
  <si>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</si>
  <si>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</si>
  <si>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</si>
  <si>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</si>
  <si>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</si>
  <si>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</si>
  <si>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</si>
  <si>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</si>
  <si>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</si>
  <si>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</si>
  <si>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</si>
  <si>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</si>
  <si>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</si>
  <si>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</si>
  <si>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</si>
  <si>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</si>
  <si>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</si>
  <si>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</si>
  <si>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</si>
  <si>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</si>
  <si>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Tôi tin rằng Nhà nước sẽ thực thi chính sách một cách công bằng và khách quan đối với mọi người nộp thuế.</t>
  </si>
  <si>
    <t>Nhà nước đã giải thích rõ ràng về mục tiêu và lý do của việc sửa đổi thuế, tạo niềm tin cho người dân.</t>
  </si>
  <si>
    <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</si>
  <si>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</si>
  <si>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</si>
  <si>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</si>
  <si>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</si>
  <si>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</si>
  <si>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</si>
  <si>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</si>
  <si>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</si>
  <si>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</si>
  <si>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</si>
  <si>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</si>
  <si>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</si>
  <si>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</si>
  <si>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</si>
  <si>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</si>
  <si>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</si>
  <si>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</si>
  <si>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</si>
  <si>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Tăng mức giảm trừ gia cảnh và đơn giản hóa biểu thuế có thể làm giảm khả năng phát hiện hành vi gian lận hoặc trốn thuế.</t>
  </si>
  <si>
    <t>Việc tăng mức giảm trừ gia cảnh và đơn giản hóa biểu thuế có thể làm giảm khả năng phát hiện hành vi gian lận hoặc trốn thuế.</t>
  </si>
  <si>
    <t>Tôi tin rằng số tiền thuế tôi đóng sẽ được sử dụng hiệu quả để cải thiện các dịch vụ công</t>
  </si>
  <si>
    <t>AI_ENF1_Norm</t>
  </si>
  <si>
    <t>Human_ENF1_Norm</t>
  </si>
  <si>
    <t>AI_ENF2_Norm</t>
  </si>
  <si>
    <t>Human_ENF2_Norm</t>
  </si>
  <si>
    <t>AI_FAC1_Norm</t>
  </si>
  <si>
    <t>Human_FAC1_Norm</t>
  </si>
  <si>
    <t>AI_FAC2_Norm</t>
  </si>
  <si>
    <t>Human_FAC2_Norm</t>
  </si>
  <si>
    <t>AI_TRU1_Norm</t>
  </si>
  <si>
    <t>Human_TRU1_Norm</t>
  </si>
  <si>
    <t>AI_TRU2_Norm</t>
  </si>
  <si>
    <t>Human_TRU2_Norm</t>
  </si>
  <si>
    <t>AI_TRU3_Norm</t>
  </si>
  <si>
    <t>Human_TRU3_Norm</t>
  </si>
  <si>
    <t>AI_TRU4_Norm</t>
  </si>
  <si>
    <t>AI_OUT1_Norm</t>
  </si>
  <si>
    <t>Human_OUT1_Norm</t>
  </si>
  <si>
    <t>AI_ENF</t>
  </si>
  <si>
    <t>Human_ENF</t>
  </si>
  <si>
    <t>AI_FAC</t>
  </si>
  <si>
    <t>Human_FAC</t>
  </si>
  <si>
    <t>AI_TRU</t>
  </si>
  <si>
    <t>Human_TRU</t>
  </si>
  <si>
    <t>AI_AIx</t>
  </si>
  <si>
    <t>Human_AIx</t>
  </si>
  <si>
    <t>Tôi tin rằng số tiền thuế đóng sẽ được sử dụng hiệu quả để cải thiện các dịch vụ công.</t>
  </si>
  <si>
    <t>Nhà nước đã giải thích rõ ràng về mục tiêu và lý do của việc sửa đổi thuế lần này.</t>
  </si>
  <si>
    <t>Nhà nước đã giải thích rõ ràng về mục tiêu của việc sửa đổi chính sách thuế lần này.</t>
  </si>
  <si>
    <t>Biểu thuế mới đơn giản hóa các bậc thuế, dễ hiểu và thực hiện hơn so với trước đây.</t>
  </si>
  <si>
    <t>Tôi tin rằng số tiền thuế đóng sẽ được sử dụng hiệu quả để cải thiện các dịch vụ công</t>
  </si>
  <si>
    <t>Nhà nước đã giải thích rõ ràng về mục tiêu và lý do của việc sửa đổi chính sách thuế, tạo niềm tin cho người dân.</t>
  </si>
  <si>
    <t>Tôi tin rằng cơ quan thuế sẽ công tâm trong việc áp dụng chính sách mới.</t>
  </si>
  <si>
    <t>Nhà nước đã giải thích rõ ràng về mục tiêu của việc sửa đổi thuế lần này, tạo niềm tin cho người dân.</t>
  </si>
  <si>
    <t>Tôi tin rằng số tiền thuế đóng sẽ được sử dụng hiệu quả để cải thiện dịch vụ công.</t>
  </si>
  <si>
    <t>Tôi tin rằng số tiền thuế tôi đóng sẽ được sử dụng hiệu quả để cải thiện các dịch vụ công, như y tế và giao thông.</t>
  </si>
  <si>
    <t>Tôi ủng hộ chính sách mới vì nó giúp giảm gánh nặng tài chính và đơn giản hóa quy trình khai thuế</t>
  </si>
  <si>
    <t>Thủ tục khai báo thuế và quy trình làm việc với cơ quan thuế trở nên đơn giản hơn, thuận tiện cho người dân.</t>
  </si>
  <si>
    <t>Tăng mức giảm trừ gia cảnh và đơn giản hóa biểu thuế có thể làm tăng khả năng phát hiện hành vi gian lận hoặc trốn thuế.</t>
  </si>
  <si>
    <t>Sau khi xem xét các quyền lợi và nghĩa vụ, tôi ủng hộ và tuân thủ chính sách mới vì nó mang lại nhiều lợi ích cho người dân như giảm gánh nặng thuế và tăng mức giảm trừ gia cảnh.</t>
  </si>
  <si>
    <t>Biểu thuế mới đơn giản hóa bậc thuế, dễ hiểu và thực hiện hơn so với trước đây.</t>
  </si>
  <si>
    <t>Tôi tin rằng số tiền thuế đóng sẽ được sử dụng hiệu quả để cải thiện các dịch vụ công cho cộng đồng.</t>
  </si>
  <si>
    <t>Nhà nước đã giải thích rõ ràng về mục tiêu và lý do của việc sửa đổi chính sách thuế lần này.</t>
  </si>
  <si>
    <t>Tôi tin rằng số tiền thuế đóng sẽ được sử dụng hiệu quả để cải thiện các dịch vụ công, nhưng cần có thêm thông tin về cách sử dụng cụ thể.</t>
  </si>
  <si>
    <t>Tôi tin rằng cơ quan thuế sẽ công bằng trong việc áp dụng chính sách mới, nhưng vẫn cần thêm thời gian để kiểm chứng.</t>
  </si>
  <si>
    <t>Sau khi xem xét các quyền lợi và nghĩa vụ, tôi ủng hộ và tuân thủ chính sách mới vì nó mang lại nhiều lợi ích cho tôi.</t>
  </si>
  <si>
    <t>Nhà nước đã giải thích rõ ràng về mục tiêu của việc sửa đổi thuế lần này.</t>
  </si>
  <si>
    <t>Sau khi xem xét tác động tài chính và sự đơn giản hóa, tôi ủng hộ và tuân thủ chính sách mới.</t>
  </si>
  <si>
    <t>Sau khi xem xét tác động tài chính và sự đơn giản hóa quy trình, tôi ủng hộ và sẽ tuân thủ chính sách mới.</t>
  </si>
  <si>
    <t>Hiện nay, cơ quan thuế có nhiều công cụ và hệ thống quản lý hiện đại nên việc phát hiện gian lận hoặc trốn thuế là khả thi.</t>
  </si>
  <si>
    <t>Nhà nước đã đầu tư mạnh vào công nghệ để cải thiện hiệu quả quản lý thuế, giảm thiểu cơ hội trốn tránh</t>
  </si>
  <si>
    <t>Các quy trình khai báo và giao tiếp với cơ quan thuế trở nên đơn giản hơn so với trước đây.</t>
  </si>
  <si>
    <t>Biểu thuế mới có ít bậc, dễ hiểu và áp dụng cho thu nhập cá nhân như tôi</t>
  </si>
  <si>
    <t>Tôi tin rằng cơ quan thuế sẽ công bằng trong việc thực thi chính sách mới</t>
  </si>
  <si>
    <t>Thuế giảm đáng kể so với trước đây, tôi cảm thấy mức thuế này là hợp lý</t>
  </si>
  <si>
    <t>Hiệu quả sử dụng nguồn thu từ thuế giúp cải thiện các dịch vụ công</t>
  </si>
  <si>
    <t>Nhà nước đã giải thích rõ ràng về mục tiêu và lý do của việc sửa đổi luật thuế</t>
  </si>
  <si>
    <t>Sau khi xem xét, tôi ủng hộ và sẽ tuân thủ chính sách mới vì lợi ích cá nhân cũng như sự công bằng cho mọi người nộp thuế</t>
  </si>
  <si>
    <t>Điểm 8. Mặc dù có các quy định quản lý thuế, nhưng với mức giảm trừ gia cảnh cao hơn và số bậc thuế đơn giản hơn, hành vi gian lận hay trốn thuế có thể khó phát hiện.</t>
  </si>
  <si>
    <t>Điểm 7. Cơ quan thuế có khả năng phát hiện các hành vi gian lận với công nghệ hiện đại, nhưng vẫn cần sự phối hợp chặt chẽ giữa các cơ quan quản lý.</t>
  </si>
  <si>
    <t>Điểm 9. Thủ tục khai thuế và quy trình làm việc đơn giản hơn so với trước đây, thuận tiện cho người dân và doanh nghiệp.</t>
  </si>
  <si>
    <t>Điểm 10. Cách tính thuế và các bậc thuế mới rõ ràng, dễ hiểu và thực hiện dễ dàng hơn.</t>
  </si>
  <si>
    <t>Điểm 8. Tôi tin rằng nhà nước sẽ thực thi chính sách một cách công bằng và khách quan, nhưng vẫn cần thêm minh bạch trong quy trình quản lý thuế.</t>
  </si>
  <si>
    <t>Điểm 9. Mức thuế tôi phải đóng là hợp lý so với thu nhập của mình, tăng sự công bằng trong việc phân bổ thuế.</t>
  </si>
  <si>
    <t>Điểm 8. Tôi tin rằng số tiền thuế đóng sẽ được sử dụng hiệu quả cho các dịch vụ công ích nhưng vẫn cần giám sát chặt chẽ hơn.</t>
  </si>
  <si>
    <t>Điểm 9. Nhà nước đã giải thích rõ ràng mục tiêu và lý do của việc sửa đổi thuế, tạo niềm tin với người dân.</t>
  </si>
  <si>
    <t>Điểm 9. Tôi ủng hộ chính sách mới vì nó giảm gánh nặng tài chính cho tôi và tăng sự công bằng trong việc đóng thuế.</t>
  </si>
  <si>
    <t xml:space="preserve">Dựa trên các quy định quản lý thuế mới, tôi tin rằng hành vi gian lận hoặc trốn thuế sẽ khó phát hiện hơn. Tuy nhiên, cơ quan thuế có nhiều công cụ và nguồn lực để kiểm tra. </t>
  </si>
  <si>
    <t>Nhà nước và các cơ quan thuế đã đầu tư vào hệ thống công nghệ thông tin mạnh mẽ, giúp phát hiện hành vi trốn thuế hiệu quả hơn trong điều kiện hiện tại.</t>
  </si>
  <si>
    <t>So với trước đây, quy trình khai báo thuế trở nên đơn giản và dễ thực hiện hơn. Các thủ tục được cải tiến giúp giảm thời gian chờ đợi của người dân.</t>
  </si>
  <si>
    <t>Số bậc thuế giảm từ 7 xuống còn 5, làm cho cách tính thuế trở nên dễ hiểu và dễ thực hiện hơn. Điều này giúp tôi không phải lo lắng về việc bị sai sót trong quá trình khai báo.</t>
  </si>
  <si>
    <t>Nhà nước đã công bố rõ ràng về mục tiêu của chính sách mới, điều này làm tăng niềm tin vào sự khách quan và công bằng khi thực thi.</t>
  </si>
  <si>
    <t>Mức thuế mới được thiết kế để công bằng hơn. Với thu nhập hiện tại, tôi thấy mình đóng mức thuế hợp lý theo phương án mới.</t>
  </si>
  <si>
    <t>Nhìn chung, số tiền thuế mà tôi đóng sẽ được sử dụng hiệu quả để cải thiện các dịch vụ công. Điều này làm tăng niềm tin của tôi vào việc sử dụng nguồn lực một cách minh bạch.</t>
  </si>
  <si>
    <t>Nhà nước đã giải thích rõ ràng về lý do và mục tiêu của việc sửa đổi thuế, điều này giúp tôi hiểu hơn về chính sách mới.</t>
  </si>
  <si>
    <t>Sau khi xem xét các quyền lợi và nghĩa vụ, tôi ủng hộ chính sách mới. Mức thuế giảm đáng kể đã tăng thêm niềm tin vào tính công bằng của hệ thống thuế hiện tại.</t>
  </si>
  <si>
    <t>Cơ quan thuế có hệ thống quản lý tốt và công nghệ hiện đại, nhưng vẫn còn khả năng gian lận nếu người nộp thuế quá tinh vi.</t>
  </si>
  <si>
    <t>Nhà nước đã đầu tư vào công nghệ để phát hiện trốn thuế, tuy nhiên, việc thực thi pháp luật cần sự phối hợp của nhiều cơ quan.</t>
  </si>
  <si>
    <t>Thủ tục khai báo thuế đơn giản hơn trước, nhưng vẫn còn một số bước phức tạp cần cải thiện.</t>
  </si>
  <si>
    <t>Cách tính thuế và bậc thuế mới rõ ràng, dễ hiểu hơn so với trước đây</t>
  </si>
  <si>
    <t>Tôi tin Nhà nước sẽ thực thi công bằng nhưng vẫn cần sự giám sát để đảm bảo không có thiên vị.</t>
  </si>
  <si>
    <t>Mức thuế mới phù hợp với thu nhập của tôi, cảm thấy công bằng hơn so với trước đây</t>
  </si>
  <si>
    <t>Thuế đóng góp vào sự phát triển chung của đất nước, tôi tin số tiền này sẽ được sử dụng hiệu quả.</t>
  </si>
  <si>
    <t>Nhà nước đã giải thích rõ về mục tiêu cải cách thuế và lý do thay đổi</t>
  </si>
  <si>
    <t>Tôi ủng hộ chính sách mới vì nó đơn giản, công bằng và giúp tôi tiết kiệm được tiền thuế.</t>
  </si>
  <si>
    <t>Tăng mức giảm trừ gia cảnh và đơn giản hóa biểu thuế có thể làm tăng khả năng phát hiện hành vi gian lận, nhưng không hoàn toàn chắc chắn.</t>
  </si>
  <si>
    <t>Cơ quan thuế đã đầu tư vào công nghệ và nguồn lực để cải thiện quản lý thuế, tuy nhiên vẫn cần thời gian để thực sự ứng dụng hiệu quả.</t>
  </si>
  <si>
    <t>Quy trình khai báo thuế trở nên đơn giản hơn, nhưng người dân vẫn cần thời gian quen thuộc và thao tác mới.</t>
  </si>
  <si>
    <t>Biểu thuế mới dễ hiểu hơn với ít bậc thuế, giảm bớt sự phức tạp cho người nộp thuế.</t>
  </si>
  <si>
    <t>Nhà nước đã thực hiện các cải cách nhằm công bằng hóa biểu thuế và tạo ra cơ hội giảm gánh nặng thuế cho nhiều đối tượng.</t>
  </si>
  <si>
    <t>Mức thuế mới phù hợp với thu nhập của tôi, thể hiện tính công bằng trong việc phân bổ gánh nặng thuế.</t>
  </si>
  <si>
    <t>Việc cải cách thuế nhằm nâng cao chất lượng dịch vụ công và phát triển kinh tế, số tiền thuế đóng sẽ được sử dụng hiệu quả.</t>
  </si>
  <si>
    <t>Nhà nước đã giải thích rõ ràng mục tiêu của chính sách mới thông qua các phương tiện truyền thông, tạo niềm tin cho người dân.</t>
  </si>
  <si>
    <t>Chính sách mới mang lại lợi ích về mặt tài chính và thuận tiện hơn so với trước đây, tôi ủng hộ và tuân thủ.</t>
  </si>
  <si>
    <t>Công nghệ ngày càng phát triển, nhưng quy định quản lý thuế hiện nay vẫn chưa hoàn thiện, khả năng phát hiện gian lận trốn thuế còn hạn chế.</t>
  </si>
  <si>
    <t>Nhà nước đang đầu tư vào công nghệ và nguồn lực để cải thiện, nhưng thực tế việc quản lý thuế vẫn còn nhiều khó khăn.</t>
  </si>
  <si>
    <t>Quy trình khai báo thuế đơn giản hơn trước, nhưng vẫn còn một số thủ tục rườm rà.</t>
  </si>
  <si>
    <t>Bậc thuế ít đi và mức giảm trừ gia cảnh tăng, giúp việc tính thuế trở nên dễ dàng hơn.</t>
  </si>
  <si>
    <t>Tôi tin Nhà nước sẽ thực thi chính sách công bằng, nhưng vẫn có sự nghi ngờ về cách áp dụng.</t>
  </si>
  <si>
    <t>Mức thuế mới giảm đi đáng kể, giúp tôi cảm thấy công bằng hơn so với trước đây.</t>
  </si>
  <si>
    <t>Nhà nước đã giải thích về lý do và mục tiêu của việc sửa đổi thuế, nhưng thông tin vẫn cần rõ ràng hơn.</t>
  </si>
  <si>
    <t>Sau khi xem xét các quyền lợi và nghĩa vụ, tôi ủng hộ chính sách mới vì nó mang lại nhiều lợi ích tài chính cho tôi.</t>
  </si>
  <si>
    <t>Nhà nước đã cải cách hệ thống thuế, tuy nhiên, với mức thuế mới là 0 đồng/tháng, tôi tin rằng hành vi gian lận sẽ giảm đáng kể. Công nghệ hiện đại có thể hỗ trợ tốt trong việc phát hiện các hành vi trốn thuế.</t>
  </si>
  <si>
    <t>Cơ quan thuế đã đầu tư vào công nghệ và đào tạo đội ngũ, do đó tôi tin rằng họ sẽ đủ năng lực để xử lý nghiêm các trường hợp gian lận hoặc trốn thuế.</t>
  </si>
  <si>
    <t>So với trước đây, quy trình khai báo thuế và làm việc với cơ quan thuế trở nên đơn giản hơn nhiều. Tuy nhiên, tôi vẫn cần thời gian để quen thuộc với các thay đổi.</t>
  </si>
  <si>
    <t>Biểu thuế mới có ít bậc hơn, do đó dễ hiểu và thực hiện hơn. Việc giảm trừ gia cảnh cũng tăng lên giúp việc tính thuế trở nên đơn giản hơn.</t>
  </si>
  <si>
    <t>Nhà nước đã cải cách để đảm bảo công bằng cho mọi người nộp thuế, tôi tin rằng chính sách mới sẽ được thực thi một cách khách quan và công tâm.</t>
  </si>
  <si>
    <t>Như tôi đã tiết kiệm được 47.535 VNĐ/tháng, mức thuế mới này là hợp lý đối với thu nhập của tôi.</t>
  </si>
  <si>
    <t>Thuế mà tôi đóng sẽ được sử dụng hiệu quả để cải thiện dịch vụ công, do đó tôi tin tưởng vào sự đầu tư của Nhà nước.</t>
  </si>
  <si>
    <t>Nhà nước đã giải thích rõ ràng về lý do và mục tiêu của việc sửa đổi thuế lần này. Thông qua các kênh thông tin chính thức như báo chí, tôi cảm thấy mình được tham gia vào quá trình này.</t>
  </si>
  <si>
    <t>Dựa trên những cải tiến về mức thuế, quy trình và niềm tin vào cách thực thi chính sách mới của Nhà nước, tôi ủng hộ và tuân thủ chính sách mới.</t>
  </si>
  <si>
    <t>Dù thuế đã được miễn trừ, nhưng các quy định quản lý thuế hiện nay vẫn có thể phát hiện hành vi gian lận thông qua kiểm tra bất ngờ và công nghệ theo dõi.</t>
  </si>
  <si>
    <t>Nhà nước với nguồn lực lớn và công nghệ tiên tiến có khả năng xử lý nghiêm các hành vi trốn thuế, nhưng thực tế phụ thuộc vào hiệu quả quản lý.</t>
  </si>
  <si>
    <t>Thủ tục khai báo thuế đơn giản hơn, nhưng vẫn cần thời gian để làm quen với quy trình mới.</t>
  </si>
  <si>
    <t>Cách tính thuế và các bậc thuế đơn giản, dễ hiểu và thực hiện thuận lợi, phù hợp với mức thu nhập của tôi.</t>
  </si>
  <si>
    <t>Tôi tin rằng Nhà nước sẽ công tâm trong việc thực thi chính sách mới, nhưng không thể đảm bảo chắc chắn tuyệt đối.</t>
  </si>
  <si>
    <t>Mức thuế tôi phải đóng theo phương án mới là hợp lý và công bằng với thu nhập của tôi.</t>
  </si>
  <si>
    <t>Tôi tin rằng số tiền thuế tôi đóng sẽ được sử dụng hiệu quả để cải thiện dịch vụ công, nhưng không thể biết cụ thể.</t>
  </si>
  <si>
    <t>Nhà nước đã giải thích rõ ràng về mục tiêu của việc sửa đổi thuế lần này, tạo sự tin tưởng cho người dân.</t>
  </si>
  <si>
    <t>Dù chính sách mới có lợi cho tôi, nhưng vẫn cần cân nhắc giữa quyền lợi cá nhân và trách nhiệm đóng góp cho xã hội.</t>
  </si>
  <si>
    <t>Thuế TNCN hiện nay có mức giảm trừ gia cảnh cao, nên khả năng phát hiện gian lận hoặc trốn thuế không quá lớn.</t>
  </si>
  <si>
    <t>Cơ quan thuế có thể sử dụng công nghệ để theo dõi các khoản thu nhập nhưng mức giảm trừ gia cảnh cao có thể làm khó việc phát hiện gian lận.</t>
  </si>
  <si>
    <t>Thủ tục khai báo thuế trở nên đơn giản hơn, chỉ cần cung cấp thông tin về thu nhập và người phụ thuộc.</t>
  </si>
  <si>
    <t>Phương án mới có ít bậc thuế và dễ hiểu, giúp việc tính toán thuế trở nên thuận tiện hơn.</t>
  </si>
  <si>
    <t>Nhà nước đã cải cách để giảm gánh nặng thuế cho người dân thấp thu nhập như tôi, điều này thể hiện sự công bằng trong chính sách thuế.</t>
  </si>
  <si>
    <t>Theo phương án mới, mức thuế tôi phải đóng phù hợp với nguồn thu nhập của mình, do đó tôi thấy đây là một mức thuế công bằng.</t>
  </si>
  <si>
    <t>Mức thuế giảm giúp cải thiện chất lượng cuộc sống và dịch vụ công cho người dân như tôi.</t>
  </si>
  <si>
    <t>Nhà nước đã minh bạch về mục tiêu của việc cải cách thuế, điều này làm tăng niềm tin vào hệ thống quản lý tài chính của quốc gia.</t>
  </si>
  <si>
    <t>Có ủng hộ và tuân thủ vì phương án mới giúp giảm gánh nặng thuế và đơn giản hóa quy trình khai báo thuế.</t>
  </si>
  <si>
    <t>Với mức giảm trừ gia cảnh cao hơn và quy định rõ ràng, việc phát hiện hành vi gian lận có thể trở nên dễ dàng hơn.</t>
  </si>
  <si>
    <t>Cơ quan thuế đã đầu tư công nghệ để giám sát hiệu quả hơn, tuy nhiên vẫn cần cải thiện trong quản lý dữ liệu cá nhân.</t>
  </si>
  <si>
    <t>Quy trình khai báo thuế trở nên đơn giản, tiết kiệm thời gian và dễ dàng hơn so với trước đây.</t>
  </si>
  <si>
    <t>Biểu thuế được rút gọn giúp việc tính toán và hiểu rõ các bậc thuế dễ dàng hơn.</t>
  </si>
  <si>
    <t>Tôi tin rằng cơ quan thuế sẽ thực thi chính sách một cách công bằng, nhưng vẫn cần cải thiện trong việc minh bạch.</t>
  </si>
  <si>
    <t>Các bậc thuế mới được thiết kế sao cho phù hợp với thu nhập của tôi, thể hiện tính công bằng.</t>
  </si>
  <si>
    <t>Thuê đóng góp vào việc cải thiện chất lượng dịch vụ công là điều quan trọng và cần thiết.</t>
  </si>
  <si>
    <t>Dù đã giải thích rõ ràng nhưng tôi vẫn mong muốn có thêm thông tin về chi tiết sử dụng số tiền thuế này.</t>
  </si>
  <si>
    <t>Sau khi xem xét, tôi ủng hộ và tuân thủ chính sách mới vì nó đơn giản hơn và giúp tôi tiết kiệm được một khoản đáng kể mỗi tháng.</t>
  </si>
  <si>
    <t>Dù có công nghệ hiện đại, nhưng với số lượng người nộp thuế lớn và các cách trốn thuế đa dạng, việc phát hiện hành vi gian lận vẫn khó khăn.</t>
  </si>
  <si>
    <t>Nhà nước đã đầu tư công nghệ để giám sát, nhưng thực tế vẫn cần sự phối hợp chặt chẽ giữa cơ quan thuế và người nộp thuế.</t>
  </si>
  <si>
    <t>Quy trình khai báo và giao dịch với cơ quan thuế dễ dàng hơn so với trước, giảm bớt rườm rà.</t>
  </si>
  <si>
    <t>Biểu thuế đơn giản hóa giúp việc tính toán thuế trở nên dễ dàng và rõ ràng hơn.</t>
  </si>
  <si>
    <t>Tôi tin rằng chính phủ sẽ thực thi công bằng, nhưng cần thời gian để kiểm chứng.</t>
  </si>
  <si>
    <t>Thuế mới này tôi thấy hợp lý và phù hợp với thu nhập của mình sau khi giảm trừ gia cảnh.</t>
  </si>
  <si>
    <t>Nhà nước sử dụng nguồn thuế để cải thiện dịch vụ công, nhưng hiệu quả cần thời gian kiểm chứng.</t>
  </si>
  <si>
    <t>Chính phủ đã giải thích rõ về mục tiêu sửa đổi thuế, nhưng vẫn có điểm chưa thuyết phục đối với một số người.</t>
  </si>
  <si>
    <t>Chính phủ đã tăng cường nhiều biện pháp giám sát, tuy nhiên do còn phụ thuộc vào sự tuân thủ của cá nhân nên vẫn có khả năng gian lận. Nhưng với các quy định quản lý thuế hiện nay, việc phát hiện và xử lý trốn thuế sẽ dễ dàng hơn.</t>
  </si>
  <si>
    <t>Nhà nước đã đầu tư nhiều vào công nghệ để theo dõi các giao dịch tài chính nên khả năng phát hiện vi phạm thuế rất cao. Cơ quan thuế cũng có đủ nhân lực và kỹ thuật.</t>
  </si>
  <si>
    <t>So với trước đây, quy trình khai báo thuế và làm việc với cơ quan thuế đã đơn giản hơn nhiều. Nhiều dịch vụ trực tuyến giúp giảm bớt rắc rối cho người dân.</t>
  </si>
  <si>
    <t>Biểu thuế mới có ít bậc hơn, dễ hiểu và thực hiện thuận tiện hơn so với trước đây. Người dân không còn phải lo lắng về việc tính toán phức tạp.</t>
  </si>
  <si>
    <t>Tôi tin rằng cơ quan thuế sẽ công tâm trong việc áp dụng các quy định mới, đảm bảo sự công bằng cho mọi người nộp thuế.</t>
  </si>
  <si>
    <t>Do mức thu nhập của tôi nằm ở bậc thuế thấp nên mức thuế mới này là hợp lý. Việc giảm trừ gia cảnh tăng lên cũng giúp tôi tiết kiệm được nhiều tiền hơn.</t>
  </si>
  <si>
    <t>Những khoản thu từ thuế sẽ được sử dụng hiệu quả để cải thiện dịch vụ công, tạo nên một môi trường sống tốt hơn cho mọi người. Việc giảm gánh nặng thuế giúp tôi có thêm nguồn lực cho mục đích cá nhân.</t>
  </si>
  <si>
    <t>Nhà nước đã giải thích rõ ràng về các thay đổi trong chính sách thuế mới, mục tiêu của nó và lý do thực hiện. Điều này tạo nên sự minh bạch và tin cậy</t>
  </si>
  <si>
    <t>Với lợi ích tài chính từ việc giảm trừ gia cảnh tăng lên và mức thuế phù hợp với thu nhập, tôi sẽ ủng hộ và tuân thủ chính sách mới. Đây là một bước tiến tích cực trong quản lý tài chính của Nhà nước.</t>
  </si>
  <si>
    <t>Chính phủ đã tăng cường quản lý thuế và công nghệ hiện đại, nên hành vi gian lận hay trốn thuế sẽ dễ bị phát hiện.</t>
  </si>
  <si>
    <t>Cơ quan thuế có đủ nguồn lực để giám sát các hoạt động kinh doanh và cá nhân nộp thuế.</t>
  </si>
  <si>
    <t>Quy trình khai báo thuế đã đơn giản hơn, tiết kiệm thời gian cho người dân.</t>
  </si>
  <si>
    <t>Bảng thuế mới đơn giản hóa các bậc thuế, dễ dàng tính toán và thực hiện hơn so với trước đây.</t>
  </si>
  <si>
    <t>Nhà nước đã công bố rõ ràng về việc cải cách thuế, tạo niềm tin cho người dân.</t>
  </si>
  <si>
    <t>Thuế mới giảm đáng kể và công bằng hơn với thu nhập của tôi, do đó hợp lý.</t>
  </si>
  <si>
    <t>Tài nguyên thuế được sử dụng hiệu quả cho các dịch vụ công ích, tạo niềm tin vào sự quản lý tài chính của nhà nước.</t>
  </si>
  <si>
    <t>Nhà nước đã giải thích rõ ràng về mục tiêu cải cách thuế và hướng dẫn chi tiết cho người dân.</t>
  </si>
  <si>
    <t>Chính sách mới phù hợp với thu nhập của tôi và có lợi ích rõ ràng, do đó tôi sẽ ủng hộ và tuân thủ.</t>
  </si>
  <si>
    <t>Dù có công nghệ hỗ trợ, nhưng tôi vẫn nghi ngờ về khả năng phát hiện trốn thuế rộng rãi của nhà nước do thiếu thông tin cá nhân.</t>
  </si>
  <si>
    <t>Cơ quan thuế có thể cải thiện khả năng quản lý và xử lý gian lận, nhưng thực tế cho thấy họ vẫn chưa hoàn thiện.</t>
  </si>
  <si>
    <t>Quy trình khai thuế trở nên đơn giản hơn, giúp tôi nhanh chóng hoàn thành các thủ tục</t>
  </si>
  <si>
    <t>Bậc thuế giảm từ 7 xuống 5 khiến việc tính toán và thực hiện đơn giản hơn rất nhiều</t>
  </si>
  <si>
    <t>Tôi hy vọng nhà nước sẽ công tâm trong việc thực thi, nhưng vẫn có sự nghi ngờ về sự đối xử bình đẳng giữa các cá nhân.</t>
  </si>
  <si>
    <t>Thuế mới giảm đáng kể so với trước, tôi thấy điều này hợp lý cho thu nhập của mình</t>
  </si>
  <si>
    <t>Nhà nước đã sử dụng tiền thuế một cách hiệu quả để cải thiện dịch vụ công, nhưng vẫn cần thêm minh bạch hơn</t>
  </si>
  <si>
    <t>Quyết định và mục tiêu của việc sửa đổi thuế được giải thích rõ ràng, tôi cảm thấy mình đang đóng góp đúng mức</t>
  </si>
  <si>
    <t>Tôi ủng hộ chính sách mới vì nó mang lại lợi ích về mặt tài chính cho tôi và đơn giản hơn trong khai báo thuế</t>
  </si>
  <si>
    <t>Việc tăng cường các quy định quản lý thuế và công nghệ hiện đại giúp phát hiện gian lận, tuy nhiên vẫn có những khoảng trống mà người dân còn nghi ngờ.</t>
  </si>
  <si>
    <t>Nhà nước đã đầu tư vào hệ thống công nghệ thông tin, tuy nhiên hiệu quả thực thi vẫn phụ thuộc vào sự phối hợp giữa các cơ quan.</t>
  </si>
  <si>
    <t>Quy trình khai báo thuế và giao tiếp với cơ quan thuế dễ dàng hơn, nhưng vẫn cần thời gian để người dân thích nghi.</t>
  </si>
  <si>
    <t>Số bậc thuế giảm đi và việc tính toán thuế đơn giản hơn rất nhiều, giúp người dân dễ dàng nắm bắt.</t>
  </si>
  <si>
    <t>Tôi tin rằng nhà nước sẽ thực thi chính sách một cách công bằng, nhưng vẫn có những lo ngại về sự công bằng trong quá trình tính thuế.</t>
  </si>
  <si>
    <t>Sau khi xem xét giảm trừ gia cảnh và bậc thuế mới, tôi thấy mình đóng mức thuế hợp lý.</t>
  </si>
  <si>
    <t>Tôi tin rằng số tiền thuế đóng sẽ được sử dụng hiệu quả cho lợi ích cộng đồng, nhưng vẫn cần thời gian để chứng minh.</t>
  </si>
  <si>
    <t>Nhà nước đã giải thích rõ về mục tiêu của việc sửa đổi thuế, tuy nhiên nhiều người dân vẫn còn nghi ngờ về quyết định này.</t>
  </si>
  <si>
    <t>Dù có những lo ngại nhưng tôi ủng hộ và tuân thủ chính sách mới, vì lợi ích lớn hơn cho xã hội.</t>
  </si>
  <si>
    <t>Nguyên tắc quản lý thuế hiện nay đã được cải thiện, tuy nhiên việc phát hiện và xử lý gian lận trốn thuế vẫn còn phụ thuộc vào nhiều yếu tố. Vẫn có khả năng hành vi bất hợp pháp sẽ không bị phát hiện kịp thời.</t>
  </si>
  <si>
    <t>Cơ quan thuế đã đầu tư vào công nghệ, tuy nhiên hiệu quả thực tế trong việc xử lý gian lận trốn thuế vẫn cần thêm thời gian để đánh giá.</t>
  </si>
  <si>
    <t>So với trước đây, quy trình khai báo và làm việc với cơ quan thuế trở nên đơn giản hơn. Đây là một lợi ích lớn đối với người dân.</t>
  </si>
  <si>
    <t>Biểu thuế mới có ít bậc hơn nhưng vẫn giữ nguyên mức thu thuế, điều này giúp dễ dàng trong việc tính toán và thực hiện.</t>
  </si>
  <si>
    <t>Tôi tin rằng Nhà nước sẽ công bằng khi thực thi chính sách. Tuy nhiên, việc xử lý gian lận trốn thuế vẫn cần cải thiện hơn nữa.</t>
  </si>
  <si>
    <t>Với mức thu nhập và số người phụ thuộc của tôi, mức thuế mới này là hợp lý. Tôi cảm thấy mình đóng góp đúng mức cho xã hội.</t>
  </si>
  <si>
    <t>Thuế mà tôi đóng sẽ được sử dụng để cải thiện chất lượng cuộc sống, như y tế và hạ tầng giao thông. Tuy nhiên, chi tiết cụ thể về việc sử dụng nguồn thu vẫn cần minh bạch hơn.</t>
  </si>
  <si>
    <t>Nhà nước đã giải thích rõ ràng về mục tiêu của chính sách mới nhưng tôi hy vọng sẽ có thêm thông tin về hiệu quả thực tế của nó.</t>
  </si>
  <si>
    <t>Chính sách mới này mang lại lợi ích cho tôi về mặt tài chính và thủ tục. Tôi sẽ ủng hộ và tuân thủ chính sách mới.</t>
  </si>
  <si>
    <t>Nếu các quy định quản lý thuế hiện nay được thực thi nghiêm minh, việc phát hiện và xử lý gian lận hay trốn thuế sẽ tăng đáng kể.</t>
  </si>
  <si>
    <t>Nhà nước đã đầu tư công nghệ và nguồn lực cho cơ quan thuế, giúp họ có khả năng phát hiện và xử lý gian lận hiệu quả hơn.</t>
  </si>
  <si>
    <t>Các quy trình làm việc với cơ quan thuế trở nên đơn giản hơn, giảm bớt rườm rà và thủ tục không cần thiết.</t>
  </si>
  <si>
    <t>Biểu thuế mới đơn giản hóa quá trình tính thuế, dễ hiểu và thực hiện hơn so với trước đây.</t>
  </si>
  <si>
    <t>Tôi tin rằng cơ quan thuế sẽ công bằng trong việc áp dụng các quy định mới cho mọi người nộp thuế.</t>
  </si>
  <si>
    <t>Thuế mới giảm đáng kể, phù hợp với mức thu nhập của tôi và gia đình, khiến tôi cảm thấy công bằng hơn.</t>
  </si>
  <si>
    <t>Nhà nước đã giải thích rõ về mục tiêu của việc sửa đổi luật thuế, khiến tôi cảm thấy mình có trách nhiệm hơn.</t>
  </si>
  <si>
    <t>Chính sách mới giúp tiết kiệm chi phí và đơn giản hóa quy trình, do đó tôi ủng hộ và tuân thủ nó.</t>
  </si>
  <si>
    <t>Tôi cho rằng với các quy định quản lý thuế hiện nay, hành vi gian lận hoặc trốn thuế sẽ dễ dàng bị phát hiện và xử lý nghiêm. Tuy nhiên, việc này còn phụ thuộc vào khả năng và công nghệ của cơ quan thuế.</t>
  </si>
  <si>
    <t>Tôi tin rằng Nhà nước, cơ quan thuế có đủ khả năng và công nghệ để phát hiện, xử lý nghiêm các hành vi trốn thuế. Tuy nhiên, điều này còn phụ thuộc vào nguồn lực và quyết tâm của họ.</t>
  </si>
  <si>
    <t>So với trước đây, quy trình khai báo thuế đã đơn giản hơn nhiều do số bậc thuế giảm từ 7 xuống 5. Điều này làm cho thủ tục trở nên tiện lợi và nhanh chóng hơn.</t>
  </si>
  <si>
    <t>Cách tính thuế mới đơn giản, dễ hiểu và dễ thực hiện hơn so với trước đây. Việc giảm từ 7 bậc xuống 5 đã giúp cải thiện sự rõ ràng trong việc tính thuế.</t>
  </si>
  <si>
    <t>Tôi tin rằng Nhà nước, cơ quan thuế sẽ thực thi chính sách mới một cách khách quan, công tâm và đối xử bình đẳng với mọi người nộp thuế. Sự tăng giảm trừ gia cảnh đã giúp tôi tiết kiệm được khoản tiền đáng kể.</t>
  </si>
  <si>
    <t>Mức thuế mới mà tôi phải đóng là công bằng. Với thu nhập hiện tại của mình, mức thuế 48,789 VNĐ/tháng sau khi giảm trừ gia cảnh là hợp lý và không quá nặng.</t>
  </si>
  <si>
    <t>Tôi tin tưởng số tiền thuế tôi đóng sẽ được Nhà nước sử dụng hiệu quả để cải thiện dịch vụ công. Việc tăng mức giảm trừ gia cảnh đã giúp tôi tiết kiệm được một khoản đáng kể, do đó cảm thấy hợp lý hơn.</t>
  </si>
  <si>
    <t>Tôi đồng ý với việc Nhà nước đã giải thích rõ ràng về mục tiêu và lý do của việc sửa đổi thuế. Thông tin được cung cấp đầy đủ giúp tôi hiểu rõ hơn về chính sách mới.</t>
  </si>
  <si>
    <t>Sau khi xem xét các quyền lợi và nghĩa vụ, tôi ủng hộ và tuân thủ chính sách mới hiện nay. Việc giảm trừ gia cảnh đáng kể đã mang lại cho tôi sự thoải mái về tài chính.</t>
  </si>
  <si>
    <t>Như một công dân Việt Nam, tôi tin rằng Nhà nước đã tăng cường quản lý và xử phạt nghiêm minh các hành vi gian lận thuế, mặc dù vẫn có khả năng trốn thuế nhưng cơ hội bị phát hiện đang giảm</t>
  </si>
  <si>
    <t>Cơ quan thuế có nhiều công nghệ hiện đại hơn để theo dõi và xử lý các hành vi trốn thuế, do đó tôi cho rằng khả năng thực thi của họ đã được cải thiện</t>
  </si>
  <si>
    <t>So với trước đây, việc khai báo thuế trở nên đơn giản hơn do giảm bớt quy trình và các bước thủ tục</t>
  </si>
  <si>
    <t>Biểu thuế mới đơn giản hóa các bậc thuế, giúp tôi dễ dàng tính toán và hiểu rõ hơn về mức thuế phải đóng</t>
  </si>
  <si>
    <t>Tôi tin rằng Nhà nước đã thực thi chính sách một cách công bằng và khách quan, điều này thể hiện qua mức giảm trừ gia cảnh và bậc thuế mới</t>
  </si>
  <si>
    <t>Mức thuế tôi phải đóng theo phương án mới là hợp lý, đặc biệt khi tôi được giảm trừ gia cảnh nhiều hơn so với trước đây</t>
  </si>
  <si>
    <t>Tôi tin rằng số tiền thuế đóng sẽ được sử dụng hiệu quả để cải thiện các dịch vụ công như y tế và hạ tầng giao thông</t>
  </si>
  <si>
    <t>Nhà nước đã giải thích rõ ràng về mục tiêu và lý do của việc sửa đổi chính sách thuế, điều này làm tăng niềm tin của tôi vào quyết định này</t>
  </si>
  <si>
    <t>Tôi ủng hộ và tuân thủ chính sách mới vì nó giúp giảm gánh nặng tài chính cho gia đình tôi đồng thời tạo ra một môi trường thuế công bằng hơn</t>
  </si>
  <si>
    <t>Dù có công nghệ hỗ trợ, nhưng thực tế các quy định quản lý thuế vẫn còn nhiều lỗ hổng và khó khăn trong việc phát hiện gian lận.</t>
  </si>
  <si>
    <t>Nhà nước đã cải thiện khả năng giám sát thông qua công nghệ, tuy nhiên hiệu quả thực thi pháp luật còn phụ thuộc vào nhiều yếu tố như đội ngũ nhân viên và quy trình quản lý.</t>
  </si>
  <si>
    <t>Quy trình khai báo thuế và giao tiếp với cơ quan thuế đã đơn giản hóa, thủ tục cũng thuận tiện hơn, nhưng vẫn cần thời gian để người dân làm quen.</t>
  </si>
  <si>
    <t>Biểu thuế mới có ít bậc hơn, dễ hiểu và thực hiện đơn giản hơn so với trước đây, tạo cảm giác thuận lợi cho người nộp thuế.</t>
  </si>
  <si>
    <t>Tôi tin rằng Nhà nước sẽ thực thi chính sách một cách công bằng, nhưng vẫn có nỗi lo ngại về sự nhất quán trong quá trình thực hiện.</t>
  </si>
  <si>
    <t>Mức thuế mới được giảm đáng kể và tôi cảm thấy nó phản ánh đúng mức độ thu nhập của mình, tạo cảm giác công bằng.</t>
  </si>
  <si>
    <t>Thuế đóng góp vào việc cải thiện các dịch vụ công là điều hợp lý, nhưng cụ thể về cách sử dụng nguồn lực vẫn cần minh bạch hơn.</t>
  </si>
  <si>
    <t>Nhà nước đã giải thích rõ ràng mục tiêu của chính sách mới, tuy nhiên, tôi mong muốn có thêm thông tin chi tiết về cách thực hiện và hiệu quả trong tương lai.</t>
  </si>
  <si>
    <t>Chính sách mới mang lại nhiều lợi ích cho người dân như giảm gánh nặng thuế và đơn giản hóa thủ tục, tôi ủng hộ và tuân thủ chính sách này.</t>
  </si>
  <si>
    <t>Dựa trên thông tin, Nhà nước có nhiều công cụ để phát hiện gian lận thuế. Tuy nhiên, tôi vẫn có một số lo ngại về khả năng thực thi.</t>
  </si>
  <si>
    <t>Nhà nước đã đầu tư vào hệ thống công nghệ thông tin và cơ quan thuế cũng không ngừng cải tiến, nên khả năng phát hiện gian lận tăng lên đáng kể.</t>
  </si>
  <si>
    <t>Quy trình khai báo thuế trở nên đơn giản hơn với mức giảm trừ gia cảnh cao hơn và số bậc thuế ít hơn. Điều này giúp tôi dễ dàng thực hiện.</t>
  </si>
  <si>
    <t>Các bậc thuế mới rõ ràng hơn, khiến việc tính toán thuế trở nên dễ dàng và nhanh chóng hơn so với trước đây.</t>
  </si>
  <si>
    <t>Nhà nước đã công bố các quy định rõ ràng về cách thực hiện chính sách mới. Tuy nhiên, tôi vẫn lo ngại về khả năng thực thi.</t>
  </si>
  <si>
    <t>Mức thuế mới phù hợp với thu nhập của tôi và người phụ thuộc. Việc giảm trừ gia cảnh cao hơn làm cho mức thuế trở nên công bằng hơn.</t>
  </si>
  <si>
    <t>Thuốc đóng góp vào việc cải thiện các dịch vụ công, nhưng tôi hy vọng rằng số tiền này sẽ được sử dụng hiệu quả và hợp lý.</t>
  </si>
  <si>
    <t>Nhà nước đã giải thích rõ ràng về mục đích của chính sách mới. Tuy nhiên, việc thực thi vẫn cần cải thiện.</t>
  </si>
  <si>
    <t>Sau khi xem xét các quyền lợi và nghĩa vụ, tôi ủng hộ và sẽ tuân thủ chính sách mới. Các thay đổi này có lợi cho tôi và người phụ thuộc của tôi.</t>
  </si>
  <si>
    <t>Điểm 8. Mặc dù Luật Thuế TNCN sửa đổi chưa hoàn toàn ngăn chặn gian lận, nhưng mức giảm trừ gia cảnh tăng lên và đơn giản hóa quy trình thuế có thể giúp cơ quan thuế phát hiện hành vi trốn thuế dễ dàng hơn.</t>
  </si>
  <si>
    <t>Điểm 7. Cơ quan thuế đã đầu tư công nghệ mạnh mẽ để theo dõi và xử lý các hành vi gian lận, nhưng hiệu quả thực tế còn phụ thuộc vào nhiều yếu tố khác.</t>
  </si>
  <si>
    <t>Điểm 9. Quy trình thuế nay đơn giản hơn với giảm trừ gia cảnh tăng và số bậc thuế ít đi, giúp tôi dễ dàng khai báo hơn.</t>
  </si>
  <si>
    <t>Điểm 10. Biểu thuế mới đơn giản hóa việc tính toán, ngưỡng chịu thuế rõ ràng hơn, dễ hiểu và thực hiện nhanh chóng.</t>
  </si>
  <si>
    <t>Điểm 9. Tôi tin rằng cơ quan thuế sẽ thực thi chính sách một cách công bằng, nhưng vẫn cần thêm thời gian để xác nhận.</t>
  </si>
  <si>
    <t>Điểm 10. Mức thuế mới giảm so với trước đây, phù hợp với thu nhập của tôi và giúp tôi tiết kiệm được một số tiền đáng kể.</t>
  </si>
  <si>
    <t>Điểm 9. Số tiền thuế đóng sẽ được sử dụng hiệu quả cho các dịch vụ công, nhưng cần thêm thông tin về cách chi tiêu cụ thể để tăng điểm.</t>
  </si>
  <si>
    <t>Điểm 8. Tôi đã nhận được giải thích rõ ràng từ cơ quan thuế về lý do và mục tiêu của việc sửa đổi thuế, nhưng vẫn có nhiều thông tin cần thêm để hoàn toàn tin tưởng.</t>
  </si>
  <si>
    <t>Điểm 9. Dù còn nghi ngờ một chút về sự công bằng, nhưng tôi ủng hộ chính sách mới vì nó đơn giản và giúp tôi tiết kiệm được tiền thuế.</t>
  </si>
  <si>
    <t>Dù có các quy định quản lý thuế hiện nay, tôi vẫn không hoàn toàn tin rằng hành vi gian lận hoặc trốn thuế sẽ dễ dàng bị phát hiện. Điều này phụ thuộc vào nhiều yếu tố và chưa chắc chắn.</t>
  </si>
  <si>
    <t>Nhà nước đã đầu tư công nghệ để theo dõi các hoạt động kinh tế, nhưng việc áp dụng hiệu quả vẫn còn hạn chế. Tuy nhiên, tôi tin rằng khả năng của họ đang được cải thiện.</t>
  </si>
  <si>
    <t>So với trước đây, quy trình khai báo thuế và làm việc với cơ quan thuế đã đơn giản hơn nhiều, giảm bớt rườm rà. Người nộp thuế dễ dàng thực hiện các bước hơn.</t>
  </si>
  <si>
    <t>Các bậc thuế mới ít hơn trước, giúp tôi hiểu rõ hơn về cách tính thuế và làm theo quy định. Điều này mang lại sự thuận tiện và giảm bớt rắc rối cho người nộp thuế.</t>
  </si>
  <si>
    <t>Tôi tin rằng Nhà nước sẽ thực thi chính sách một cách công bằng, nhưng vẫn có thể có sai sót. Tuy nhiên, mức giảm trừ gia cảnh và thay đổi bậc thuế đã cải thiện đáng kể.</t>
  </si>
  <si>
    <t>Theo tôi, mức thuế mới là hợp lý cho thu nhập của tôi. Mức giảm trừ gia cảnh lớn hơn trước giúp giảm gánh nặng thuế, tạo nên sự công bằng.</t>
  </si>
  <si>
    <t>Tôi tin rằng số tiền thuế tôi đóng sẽ được sử dụng hiệu quả để cải thiện dịch vụ công và hạ tầng. Tuy nhiên, việc minh bạch về cách sử dụng nguồn thu còn cần cải thiện hơn.</t>
  </si>
  <si>
    <t>Nhà nước đã giải thích rõ ràng mục tiêu của việc sửa đổi thuế, nhưng tôi vẫn mong muốn có thêm thông tin chi tiết về cách thực hiện và quản lý nguồn thu.</t>
  </si>
  <si>
    <t>Tôi ủng hộ chính sách mới vì nó giảm gánh nặng thuế cho người dân, đồng thời đơn giản hóa quy trình khai báo. Tuy nhiên, tôi vẫn cần thêm thông tin về cách sử dụng nguồn thu để tăng niềm tin.</t>
  </si>
  <si>
    <t>Nhà nước đã tăng cường quản lý thuế, các biện pháp phát hiện gian lận và trốn thuế ngày càng hiệu quả. Tuy nhiên, vẫn có nguy cơ bị lợi dụng do sự phức tạp của một số quy định.</t>
  </si>
  <si>
    <t>Cơ quan thuế đã đầu tư công nghệ để cải thiện quản lý và giám sát thuế. Tuy nhiên, hiệu quả thực tế còn phụ thuộc vào việc triển khai.</t>
  </si>
  <si>
    <t>Quy trình khai báo thuế được đơn giản hóa và thuận tiện hơn so với trước đây, nhưng vẫn cần cải thiện thêm để giảm bớt rắc rối cho người dân.</t>
  </si>
  <si>
    <t>Số bậc thuế đã được rút gọn từ 7 xuống 5, khiến việc tính thuế trở nên dễ dàng và minh bạch hơn. Tuy nhiên, cần thêm hướng dẫn chi tiết để tránh hiểu lầm.</t>
  </si>
  <si>
    <t>Tôi tin rằng cơ quan thuế sẽ thực hiện chính sách một cách công bằng và khách quan. Việc tăng giảm trừ gia cảnh giúp phân định công bằng giữa các đối tượng nộp thuế.</t>
  </si>
  <si>
    <t>Theo bản thân tôi, mức thuế mới này là hợp lý. Tôi cảm thấy mình đóng góp đúng mức cho xã hội thông qua việc đóng thuế.</t>
  </si>
  <si>
    <t>Đóng thuế giúp cải thiện các dịch vụ công và hạ tầng, do đó, số tiền tôi đóng có ý nghĩa và cần thiết. Tôi tin rằng chi phí này sẽ được sử dụng hiệu quả.</t>
  </si>
  <si>
    <t>Phương án mới đã được giải thích rõ ràng qua các kênh thông tin chính thức. Tuy nhiên, cần thêm thông tin cụ thể về cách sử dụng số tiền thuế thu được để tăng sự minh bạch.</t>
  </si>
  <si>
    <t>Dựa trên việc giảm trừ gia cảnh và đơn giản hóa quy trình, tôi ủng hộ chính sách mới. Việc này giúp tôi tiết kiệm được nhiều chi phí và thời gian trong khai thuế.</t>
  </si>
  <si>
    <t>Cơ quan thuế có nhiều công cụ để phát hiện trốn thuế, nhưng mức độ thực thi cần cải thiện. Trong luật cũ, cơ chế quản lý thuế đã có một số hạn chế.</t>
  </si>
  <si>
    <t>Công nghệ và hệ thống của nhà nước đang phát triển, nhưng vẫn chưa hoàn hảo. Việc trốn thuế vẫn còn tồn tại.</t>
  </si>
  <si>
    <t>Thủ tục khai báo thuế đơn giản hơn với các loại biểu mẫu mới, nhưng vẫn cần cải thiện trong việc tiếp cận thông tin cho người dân.</t>
  </si>
  <si>
    <t>Biểu thuế mới đơn giản hơn, giảm số bậc và dễ hiểu hơn. Tuy nhiên, người dân đôi khi còn gặp khó khăn trong việc tính toán đúng.</t>
  </si>
  <si>
    <t>Tôi tin rằng cơ quan thuế sẽ thực thi công bằng, nhưng cần sự minh bạch hơn nữa về cách thức và kết quả thực thi.</t>
  </si>
  <si>
    <t>Mức thuế mới đối với thu nhập của tôi là hợp lý. Thuế giảm giúp tôi cảm thấy công bằng hơn trong việc đóng góp cho xã hội.</t>
  </si>
  <si>
    <t>Tiền thuế tôi đóng sẽ được sử dụng hiệu quả để cải thiện dịch vụ công, nhưng cần có cơ chế giám sát rõ ràng.</t>
  </si>
  <si>
    <t>Nhà nước đã giải thích rõ về mục tiêu và lý do của việc thay đổi thuế. Tuy nhiên, tôi mong muốn thấy thêm thông tin chi tiết hơn.</t>
  </si>
  <si>
    <t>Chính sách mới có nhiều lợi ích cho tôi, giảm gánh nặng tài chính và tăng sự công bằng. Tôi sẽ tuân thủ và ủng hộ.</t>
  </si>
  <si>
    <t>Với mức giảm trừ gia cảnh cao hơn và số bậc thuế đơn giản, khả năng phát hiện hành vi gian lận hoặc trốn thuế có thể bị suy giảm.</t>
  </si>
  <si>
    <t>Cơ quan thuế đã triển khai công nghệ để theo dõi các giao dịch tài chính và có thể xác định thu nhập của cá nhân, nhưng hiệu quả cụ thể còn phụ thuộc vào việc thực thi.</t>
  </si>
  <si>
    <t>Quy trình làm việc với cơ quan thuế trở nên đơn giản hơn do số bậc thuế ít đi và giảm trừ gia cảnh cao, tạo thuận lợi cho quá trình khai báo thuế.</t>
  </si>
  <si>
    <t>Các bậc thuế mới dễ hiểu hơn và áp dụng đơn giản hơn so với trước đây, giúp người dân tính toán thu nhập chịu thuế dễ dàng hơn.</t>
  </si>
  <si>
    <t>Nhà nước đã cải cách để tạo công bằng trong việc đánh giá mức thuế dựa trên thu nhập và giảm trừ gia cảnh, thể hiện sự đối xử bình đẳng giữa các cá nhân.</t>
  </si>
  <si>
    <t>Mức thuế mới được thiết lập theo quy định, phù hợp với tình hình kinh tế và thu nhập của bản thân tôi, cho thấy mức thuế là công bằng</t>
  </si>
  <si>
    <t>Thuế đóng góp vào việc cải thiện các dịch vụ công như y tế, giáo dục và hạ tầng cơ sở, tạo niềm tin rằng tiền thuế sẽ được sử dụng hiệu quả.</t>
  </si>
  <si>
    <t>Nhà nước đã cung cấp thông tin đầy đủ về mục tiêu và lý do của việc cải cách thuế, giúp người dân hiểu rõ về chính sách mới</t>
  </si>
  <si>
    <t>Dựa trên mức giảm trừ gia cảnh cao hơn và số bậc thuế đơn giản, tôi đồng ý với chính sách mới và sẽ tuân thủ.</t>
  </si>
  <si>
    <t>Với việc thuế được đơn giản hóa và mức giảm trừ gia cảnh cao hơn, tôi cho rằng việc phát hiện hành vi gian lận hoặc trốn thuế sẽ trở nên khó khăn hơn. Tuy nhiên, với khả năng của Nhà nước, cơ quan thuế trong việc sử dụng công nghệ, tôi tin rằng họ vẫn có thể xử lý nghiêm các trường hợp này.</t>
  </si>
  <si>
    <t>Như đã đề cập, mặc dù thuế được đơn giản hóa, nhưng tôi cho rằng cơ quan thuế sẽ đủ khả năng và công nghệ để phát hiện hành vi trốn thuế. Điều này dựa trên sự tiến bộ công nghệ của Nhà nước trong thời gian gần đây.</t>
  </si>
  <si>
    <t>So với trước đây, quy trình khai báo thuế trở nên đơn giản hơn. Tuy nhiên, tôi vẫn thấy một số khó khăn khi phải làm quen với các thay đổi mới.</t>
  </si>
  <si>
    <t>Biểu thuế đã được đơn giản hóa từ 7 bậc xuống còn 5 bậc, giúp việc tính thuế dễ dàng hơn. Tuy nhiên, tôi vẫn thấy một chút phức tạp khi phải làm quen với các mức thuế mới.</t>
  </si>
  <si>
    <t>Tôi tin rằng Nhà nước sẽ thực thi chính sách một cách công bằng và khách quan đối với mọi người nộp thuế. Mức thuế mới cũng được thiết kế để phù hợp hơn với thu nhập của tôi.</t>
  </si>
  <si>
    <t>Mức thuế mới giảm đáng kể so với trước đây, giúp tôi tiết kiệm được một khoản tiền lớn mỗi tháng. Điều này cho thấy mức thuế là công bằng đối với người có thu nhập như tôi.</t>
  </si>
  <si>
    <t>Tài chính của Nhà nước sẽ được cải thiện đáng kể nhờ việc giảm trừ gia cảnh cao hơn và biểu thuế đơn giản hóa, giúp sử dụng hiệu quả số tiền thuế để cải thiện dịch vụ công.</t>
  </si>
  <si>
    <t>Nhà nước đã giải thích về sự thay đổi thuế một cách rõ ràng. Tuy nhiên, tôi vẫn mong muốn có thêm thông tin chi tiết về việc sử dụng số tiền thuế để cải thiện dịch vụ công.</t>
  </si>
  <si>
    <t>Tôi ủng hộ chính sách mới vì nó giúp tôi tiết kiệm được một khoản tiền lớn và mức thuế trở nên dễ hiểu hơn. Tôi sẽ tuân thủ các quy định mới.</t>
  </si>
  <si>
    <t>Độ phức tạp của luật thuế giảm, ngưỡng chịu thuế tăng nên việc phát hiện và xử lý trốn thuế sẽ khó khăn hơn.</t>
  </si>
  <si>
    <t>Cơ quan thuế có khả năng kỹ thuật cao để theo dõi các giao dịch tài chính cá nhân, nhưng độ phức tạp của luật thuế giảm khiến việc phát hiện trốn thuế khó khăn hơn.</t>
  </si>
  <si>
    <t>Quy trình khai báo và làm việc với cơ quan thuế đơn giản hơn trước đây, người nộp thuế dễ dàng thực hiện hơn.</t>
  </si>
  <si>
    <t>Các bậc thuế đơn giản hơn, dễ hiểu và dễ thực hiện hơn so với luật cũ, tạo thuận lợi cho việc tính toán và tuân thủ.</t>
  </si>
  <si>
    <t>Trình tự giảm trừ gia cảnh tăng lên đáng kể, giảm gánh nặng thuế nên tôi tin rằng cơ quan thuế sẽ thực thi công bằng.</t>
  </si>
  <si>
    <t>Ngưỡng chịu thuế cao hơn và số bậc thuế ít hơn khiến mức thuế tôi phải đóng hợp lý hơn so với trước đây.</t>
  </si>
  <si>
    <t>Thuế giảm, do đó số tiền thuế tôi đóng sẽ được sử dụng hiệu quả để cải thiện dịch vụ công</t>
  </si>
  <si>
    <t>Quyết định sửa đổi luật thuế đã được giải thích rõ ràng và minh bạch về mục tiêu nâng cao tính công bằng.</t>
  </si>
  <si>
    <t>Sau khi xem xét các quyền lợi, tôi đồng ý với phương án mới này và sẽ tuân thủ</t>
  </si>
  <si>
    <t>Hiện nay, các quy định quản lý thuế có nhiều cải tiến nhưng vẫn chưa đủ mạnh để phát hiện và xử lý triệt để hành vi gian lận hoặc trốn thuế.</t>
  </si>
  <si>
    <t>Nhà nước đã đầu tư công nghệ để hỗ trợ trong việc quản lý thuế, tuy nhiên, hiệu quả thực tế chưa cao do thiếu sự phối hợp giữa các cơ quan.</t>
  </si>
  <si>
    <t>So với trước đây, quy trình làm việc với cơ quan thuế đã đơn giản hơn nhiều, dễ dàng tiếp cận thông tin và thủ tục.</t>
  </si>
  <si>
    <t>Cách tính thuế mới đã giảm độ phức tạp đáng kể, giúp người dân hiểu rõ hơn về mức thuế phải đóng.</t>
  </si>
  <si>
    <t>Tôi tin rằng Nhà nước sẽ thực thi chính sách một cách công bằng và khách quan, nhưng việc này còn phụ thuộc vào sự minh bạch trong quản lý.</t>
  </si>
  <si>
    <t>Mức thuế mới được giảm đáng kể so với trước đây, tôi thấy điều đó là hợp lý cho thu nhập của mình.</t>
  </si>
  <si>
    <t>Tiền thuế đóng góp vào việc cải thiện dịch vụ công như y tế và cơ sở hạ tầng, giúp xã hội phát triển toàn diện.</t>
  </si>
  <si>
    <t>Nhà nước đã giải thích rõ ràng về mục tiêu của việc sửa đổi thuế lần này, tuy nhiên, vẫn cần thêm thông tin về quá trình thực thi.</t>
  </si>
  <si>
    <t>Dựa trên các ưu điểm như giảm mức thuế và đơn giản hóa quy định, tôi ủng hộ và tuân thủ chính sách mới.</t>
  </si>
  <si>
    <t>Hiện nay, quy định quản lý thuế đã được tăng cường, nhưng do số lượng người nộp thuế lớn và sự phức tạp của hệ thống, việc phát hiện gian lận hoặc trốn thuế vẫn còn khó khăn. Tuy nhiên, với khả năng công nghệ ngày càng tiến bộ, khả năng phát hiện cũng sẽ cải thiện.</t>
  </si>
  <si>
    <t>Cơ quan thuế có thể đã đầu tư vào các công nghệ và hệ thống mới để phát hiện gian lận hoặc trốn thuế. Tuy nhiên, do số lượng người nộp thuế lớn, việc xử lý nghiêm vẫn còn cần thời gian.</t>
  </si>
  <si>
    <t>Thủ tục khai báo thuế và quy trình làm việc với cơ quan thuế đã đơn giản hơn so với trước đây. Việc giảm số bậc thuế cũng giúp quá trình tính toán thuế trở nên dễ dàng hơn.</t>
  </si>
  <si>
    <t>Biểu thuế mới có ít bậc hơn và các mức thuế suất rõ ràng hơn, giúp người nộp thuế dễ hiểu và thực hiện hơn so với trước đây. Điều này cũng làm giảm nguy cơ sai sót.</t>
  </si>
  <si>
    <t>Việc Nhà nước tăng cường quản lý thuế và đơn giản hóa quy trình có thể giúp đảm bảo tính công bằng trong việc đánh giá thu nhập của người dân. Người nộp thuế như tôi sẽ được đối xử bình đẳng.</t>
  </si>
  <si>
    <t>Với mức thuế mới, số tiền tôi phải đóng hợp lý và công bằng. Thu nhập của tôi thuộc mức trung bình nên việc giảm trừ gia cảnh và thuế suất mới phù hợp với thực tế.</t>
  </si>
  <si>
    <t>Nhà nước đã cải thiện cơ sở hạ tầng và dịch vụ công, như y tế và giao thông. Số tiền thuế tôi đóng sẽ được sử dụng hiệu quả để nâng cao chất lượng cuộc sống của người dân.</t>
  </si>
  <si>
    <t>Nhà nước đã giải thích rõ ràng về mục tiêu cải cách thuế, giúp công chúng hiểu được lý do và lợi ích của việc này. Điều này tăng tính minh bạch và trách nhiệm trong quản lý tài chính nhà nước.</t>
  </si>
  <si>
    <t>Sau khi xem xét các quyền lợi và nghĩa vụ, tôi đồng ý với chính sách mới vì nó giúp giảm gánh nặng thuế cho người dân như tôi. Tôi sẽ tuân thủ và ủng hộ chính sách này.</t>
  </si>
  <si>
    <t>Thuế hiện nay có nhiều biện pháp quản lý và trừng phạt, nhưng không hoàn toàn chắc chắn vì vẫn có những lỗ hổng nhỏ.</t>
  </si>
  <si>
    <t>Cơ quan thuế đã đầu tư công nghệ để phát hiện gian lận, tuy nhiên hiệu quả thực tế còn phụ thuộc vào nhiều yếu tố.</t>
  </si>
  <si>
    <t>Quy trình khai báo và làm việc với cơ quan thuế trở nên đơn giản hơn, tiết kiệm thời gian và công sức.</t>
  </si>
  <si>
    <t>Biểu thuế mới rõ ràng và dễ hiểu, giảm bớt sự phức tạp cho người dân trong quá trình tính toán.</t>
  </si>
  <si>
    <t>Tôi tin rằng cơ quan thuế sẽ thực thi chính sách một cách công bằng, nhưng vẫn có những lo ngại về khả năng kiểm soát.</t>
  </si>
  <si>
    <t>Thuế mới phù hợp với thu nhập của tôi và mức giảm trừ gia cảnh đã tăng lên đáng kể, tạo cảm giác công bằng.</t>
  </si>
  <si>
    <t>Đóng thuế giúp cải thiện hạ tầng và dịch vụ công, nhưng hiệu quả sử dụng nguồn lực vẫn cần được đánh giá.</t>
  </si>
  <si>
    <t>Nhà nước đã giải thích rõ về mục tiêu của chính sách mới, tạo niềm tin cho người dân.</t>
  </si>
  <si>
    <t>Sau khi xem xét, tôi ủng hộ và sẽ tuân thủ chính sách mới vì nó mang lại lợi ích cho tôi và cộng đồng.</t>
  </si>
  <si>
    <t>Điều kiện thực thi hiện nay còn nhiều khó khăn, cần thời gian để cải thiện.</t>
  </si>
  <si>
    <t>Công nghệ và khả năng quản lý của cơ quan thuế có thể chưa hoàn thiện ngay lập tức.</t>
  </si>
  <si>
    <t>Quy trình khai báo và làm việc với cơ quan thuế đã đơn giản hơn, thuận tiện cho người dân.</t>
  </si>
  <si>
    <t>Biểu thuế mới rõ ràng hơn so với trước, giúp người dân dễ dàng tính toán.</t>
  </si>
  <si>
    <t>Tôi tin rằng Nhà nước sẽ thực thi công bằng nhưng cần thời gian để mọi quy định được áp dụng rộng rãi.</t>
  </si>
  <si>
    <t>Thuế mới giảm cho tôi, tạo cảm giác công bằng và hợp lý.</t>
  </si>
  <si>
    <t>Tài chính của nhà nước sẽ được sử dụng hiệu quả hơn để cải thiện dịch vụ công, nhưng cần thời gian để thấy kết quả.</t>
  </si>
  <si>
    <t>Nhà nước đã giải thích rõ về mục tiêu và lý do sửa đổi thuế, tạo sự tin tưởng cho người dân.</t>
  </si>
  <si>
    <t>Tôi ủng hộ chính sách mới vì nó giúp tôi tiết kiệm được tiền thuế mà không làm giảm chất lượng dịch vụ công.</t>
  </si>
  <si>
    <t>Cơ quan thuế có nhiều biện pháp quản lý và công nghệ hiện đại, nhưng vẫn có khả năng trốn thuế không bị phát hiện.</t>
  </si>
  <si>
    <t>Nhà nước đã đầu tư vào công nghệ và nhân lực để tăng cường quản lý, tuy nhiên vẫn còn nhiều thách thức trong việc chống gian lận.</t>
  </si>
  <si>
    <t>Quy trình khai thuế đơn giản hơn so với trước đây, thủ tục cũng nhanh chóng và tiện lợi hơn.</t>
  </si>
  <si>
    <t>Bậc thuế mới ít phức tạp, dễ hiểu và thực hiện hơn, giúp người dân tính toán và nộp thuế thuận lợi hơn.</t>
  </si>
  <si>
    <t>Tôi tin rằng cơ quan thuế sẽ công bằng trong việc áp dụng các quy định mới, nhưng vẫn có thể xảy ra trường hợp xử lý không công bằng.</t>
  </si>
  <si>
    <t>Thuế hiện tại theo phương án mới là hợp lý với thu nhập của tôi, mức giảm trừ gia cảnh cao hơn giúp tiết kiệm nhiều chi phí thuế.</t>
  </si>
  <si>
    <t>Tôi tin rằng số tiền thuế đóng sẽ được sử dụng hiệu quả để cải thiện chất lượng cuộc sống, nhưng cụ thể như thế nào thì chưa rõ ràng.</t>
  </si>
  <si>
    <t>Nhà nước đã giải thích một cách tổng quát về mục tiêu của việc sửa đổi thuế, nhưng chi tiết hơn về các quyền lợi và nghĩa vụ cá nhân vẫn còn thiếu.</t>
  </si>
  <si>
    <t>Tôi ủng hộ chính sách mới vì nó đơn giản hóa quy trình, giảm gánh nặng thuế cho người dân như tôi và cải thiện công bằng.</t>
  </si>
  <si>
    <t>Nhà nước đã cải thiện hệ thống quản lý thuế, nhưng do mức thu nhập và giảm trừ gia cảnh đã cao hơn nên tôi không thấy có nhiều động cơ để trốn thuế.</t>
  </si>
  <si>
    <t>Cơ quan thuế có khả năng sử dụng công nghệ hiện đại để phát hiện gian lận, tuy nhiên do mức giảm trừ gia cảnh cao nên việc trốn thuế không còn hiệu quả như trước đây.</t>
  </si>
  <si>
    <t>Thủ tục khai thuế đơn giản hơn và tiện lợi nhưng vẫn cần cải thiện nhiều để phù hợp với người dân thường ngày.</t>
  </si>
  <si>
    <t>Cách tính thuế và các bậc thuế mới dễ hiểu, giảm độ phức tạp so với trước đây, tuy nhiên tôi hy vọng có thêm hướng dẫn cụ thể hơn.</t>
  </si>
  <si>
    <t>Tôi tin Nhà nước sẽ thực thi chính sách công bằng nhưng cần nhiều thông tin rõ ràng hơn về cách sử dụng số tiền thuế thu được.</t>
  </si>
  <si>
    <t>Mức giảm trừ gia cảnh và mức thuế mới phù hợp với thu nhập của tôi, tạo cảm giác công bằng</t>
  </si>
  <si>
    <t>Tôi tin số tiền thuế đóng sẽ được sử dụng hiệu quả để cải thiện dịch vụ công nhưng cần thêm minh bạch về việc này.</t>
  </si>
  <si>
    <t>Nhà nước đã giải thích rõ ràng về mục tiêu của chính sách mới, tôi ủng hộ các thay đổi này</t>
  </si>
  <si>
    <t>Dù vẫn còn nhiều cải tiến cần thiết nhưng với mức thuế và giảm trừ gia cảnh mới, tôi sẽ tuân thủ chính sách.</t>
  </si>
  <si>
    <t>Hiện nay, cơ quan thuế đã có nhiều biện pháp kiểm soát mạnh mẽ, tuy nhiên vẫn còn khả năng trốn thuế nếu người dân không tuân thủ đúng. Với mức giảm trừ gia cảnh cao hơn, tôi tin rằng việc trốn thuế sẽ khó khăn hơn.</t>
  </si>
  <si>
    <t>Nhà nước đã đầu tư công nghệ để phát hiện trốn thuế và xử lý nghiêm minh, tuy nhiên vẫn cần sự phối hợp chặt chẽ giữa các cơ quan liên quan.</t>
  </si>
  <si>
    <t>Quy trình khai thuế nay đơn giản hơn so với trước đây, thủ tục cũng thuận tiện hơn. Tuy nhiên, việc làm việc trực tiếp với cơ quan thuế vẫn còn gặp khó khăn do dịch bệnh.</t>
  </si>
  <si>
    <t>Thống nhất hóa biểu thuế và tăng giảm trừ gia cảnh khiến tính toán thuế dễ dàng hơn. Số bậc thuế từ 7 xuống 5 cũng giúp việc thực hiện đơn giản hơn.</t>
  </si>
  <si>
    <t>Tôi tin rằng cơ quan thuế sẽ tuân thủ luật pháp và xử lý công bằng đối với mọi người nộp thuế, không phân biệt ai có thu nhập cao hay thấp.</t>
  </si>
  <si>
    <t>Với mức giảm trừ gia cảnh tăng lên, tôi tin rằng số tiền thuế tôi phải đóng là hợp lý. Đây là mức tương xứng với thu nhập của mình.</t>
  </si>
  <si>
    <t>Số tiền thuế tôi đóng sẽ được sử dụng để cải thiện dịch vụ công như y tế, giáo dục và cơ sở hạ tầng, giúp nâng cao chất lượng cuộc sống.</t>
  </si>
  <si>
    <t>Nhà nước đã giải thích chi tiết về lý do và mục tiêu của việc sửa đổi thuế này. Tuy nhiên, tôi vẫn mong muốn có thêm thông tin cụ thể hơn về cách sử dụng số tiền thuế thu được.</t>
  </si>
  <si>
    <t>Tôi ủng hộ chính sách mới vì nó giúp giảm gánh nặng thuế cho người dân và tăng tính công bằng. Với mức thuế này, tôi sẽ tiếp tục tuân thủ đúng.</t>
  </si>
  <si>
    <t>Việc thu thập thông tin cá nhân và kiểm soát thuế trở nên dễ dàng hơn với công nghệ hiện đại, nhưng vẫn có thể gặp khó khăn trong việc phát hiện hành vi trốn thuế.</t>
  </si>
  <si>
    <t>Cơ quan thuế đã sử dụng công nghệ tốt để theo dõi và xử lý các trường hợp gian lận hoặc trốn thuế, nhưng vẫn cần sự phối hợp của người dân.</t>
  </si>
  <si>
    <t>Quy trình khai báo thuế trở nên đơn giản hơn với việc giảm số bậc thuế, làm cho nó dễ dàng và tiện lợi hơn.</t>
  </si>
  <si>
    <t>Biểu thuế mới đơn giản hóa quy trình tính thuế, giúp người dân hiểu rõ hơn về cách thức đóng thuế của mình.</t>
  </si>
  <si>
    <t>Mức thuế mới được thiết kế công bằng cho thu nhập hiện tại của tôi và các bậc thuế mới cũng khách quan trong việc phân loại mức độ thu nhập.</t>
  </si>
  <si>
    <t>Thuế mới giảm đáng kể, giúp tôi tiết kiệm hơn và cảm thấy công bằng khi đóng góp vào hệ thống.</t>
  </si>
  <si>
    <t>Thời gian tới, tôi tin rằng số thuế đóng sẽ được sử dụng hiệu quả cho các dịch vụ công ích như y tế và đường xá.</t>
  </si>
  <si>
    <t>Nhà nước đã có những giải thích rõ ràng về mục tiêu của việc cải cách thuế, nhưng cần làm thêm để minh bạch hoàn toàn quy trình thực hiện.</t>
  </si>
  <si>
    <t>Sau khi xem xét các lợi ích và nghĩa vụ mới, tôi ủng hộ chính sách này và sẽ tuân thủ nó vì nó mang lại nhiều ưu đãi hơn cho người dân.</t>
  </si>
  <si>
    <t>Hiện nay, công nghệ giám sát thuế đã phát triển mạnh mẽ với sự hỗ trợ của AI và Big Data. Điều này làm tăng khả năng phát hiện hành vi gian lận hoặc trốn thuế.</t>
  </si>
  <si>
    <t>Nhà nước đã đầu tư vào hệ thống công nghệ thông tin, nâng cao hiệu quả quản lý thuế và xử lý nhanh chóng các trường hợp vi phạm.</t>
  </si>
  <si>
    <t>Quy trình khai báo thuế trở nên đơn giản hơn với việc giảm số bậc thuế. Các hướng dẫn cũng được cải thiện, dễ dàng sử dụng hơn.</t>
  </si>
  <si>
    <t>Biểu thuế mới đơn giản và dễ hiểu hơn, không còn nhiều trường hợp bị nhầm lẫn như trước đây.</t>
  </si>
  <si>
    <t>Nhà nước đã thực hiện cải cách thuế một cách khách quan và công bằng, đảm bảo mọi người đều được đối xử bình đẳng.</t>
  </si>
  <si>
    <t>Thuế mới giảm đáng kể so với trước đây. Điều này làm tăng cảm giác rằng mức thuế là công bằng cho thu nhập của tôi.</t>
  </si>
  <si>
    <t>Tiền thuế đóng góp vào các dịch vụ công, cải thiện cơ sở hạ tầng và y tế, tạo ra một môi trường sống tốt hơn cho mọi người.</t>
  </si>
  <si>
    <t>Nhà nước đã giải thích rõ ràng về mục tiêu của cải cách thuế. Mục đích là để giảm gánh nặng cho người dân và tăng công bằng trong hệ thống thuế.</t>
  </si>
  <si>
    <t>Dựa trên các ưu điểm về tác động tài chính, thuận tiện, công bằng và sự minh bạch của Nhà nước, tôi ủng hộ và tuân thủ chính sách mới.</t>
  </si>
  <si>
    <t>Công nghệ hiện đại và quy định quản lý thuế chặt chẽ hơn giúp giảm thiểu cơ hội gian lận.</t>
  </si>
  <si>
    <t>Nhà nước có nhiều nguồn lực để giám sát và xử lý các hành vi trốn thuế thông qua công nghệ hiện đại.</t>
  </si>
  <si>
    <t>Quy trình khai thuế đơn giản hơn, giảm bớt các bước rườm rà trước đây.</t>
  </si>
  <si>
    <t>Các bậc thuế đơn giản và dễ hiểu hơn, không còn nhiều mức độ phức tạp như trước.</t>
  </si>
  <si>
    <t>Niềm tin vào cơ quan thuế cao do quy định công bằng và minh bạch được giải thích rõ ràng.</t>
  </si>
  <si>
    <t>Mức giảm trừ gia cảnh lớn hơn, phù hợp với thu nhập của tôi nên mức thuế là công bằng.</t>
  </si>
  <si>
    <t>Thuế đóng góp vào các dịch vụ công quan trọng như y tế và hạ tầng giao thông.</t>
  </si>
  <si>
    <t>Đã giải thích rõ mục tiêu và lý do sửa đổi thuế, tạo niềm tin trong việc thực thi chính sách.</t>
  </si>
  <si>
    <t>Chính sách mới giúp giảm gánh nặng tài chính và đơn giản hóa quy trình, tôi ủng hộ và tuân thủ.</t>
  </si>
  <si>
    <t>Nhà nước đã có nhiều nỗ lực trong việc cải thiện công nghệ và quản lý thuế, tuy nhiên vẫn cần thêm thời gian để hoàn thiện.</t>
  </si>
  <si>
    <t>Cơ quan thuế hiện đại hóa công nghệ rất hiệu quả, giúp phát hiện hành vi trốn thuế dễ dàng hơn.</t>
  </si>
  <si>
    <t>Quy trình khai báo và làm việc với cơ quan thuế đã đơn giản hơn nhiều so với trước đây.</t>
  </si>
  <si>
    <t>Biểu thuế mới có ít bậc hơn, dễ hiểu và thực hiện nhanh chóng hơn.</t>
  </si>
  <si>
    <t>Tôi tin rằng Nhà nước sẽ công bằng trong việc áp dụng chính sách thuế mới.</t>
  </si>
  <si>
    <t>Mức thuế mới phù hợp với thu nhập của tôi, tôi cảm thấy nó là công bằng.</t>
  </si>
  <si>
    <t>Thuế mà tôi đóng sẽ được sử dụng hiệu quả để cải thiện dịch vụ công.</t>
  </si>
  <si>
    <t>Tôi ủng hộ và sẽ tuân thủ chính sách mới vì nó phù hợp với thu nhập và giảm gánh nặng thuế cho tôi.</t>
  </si>
  <si>
    <t>Việc tăng mức giảm trừ gia cảnh và đơn giản hóa biểu thuế có thể làm giảm động cơ gian lận, tuy nhiên, việc thực thi vẫn phụ thuộc vào hiệu quả của hệ thống quản lý thuế.</t>
  </si>
  <si>
    <t>Nhà nước đã đầu tư công nghệ để phát hiện trốn thuế, nhưng hiệu quả cụ thể còn tùy thuộc vào cách triển khai và vận hành thực tế.</t>
  </si>
  <si>
    <t>Thủ tục khai báo thuế đơn giản hơn, giảm thời gian chờ đợi với cơ quan thuế, thuận lợi hơn so với trước đây.</t>
  </si>
  <si>
    <t>Biểu thuế mới đơn giản hóa các bậc thuế, dễ hiểu và thực hiện nhanh chóng hơn.</t>
  </si>
  <si>
    <t>Đây là một cải cách công bằng, giảm gánh nặng cho người nộp thuế như tôi, do đó tăng niềm tin vào sự công tâm của chính sách mới.</t>
  </si>
  <si>
    <t>Mức thuế theo phương án mới phù hợp với thu nhập hiện tại, đảm bảo tính công bằng trong việc phân bổ gánh nặng thuế</t>
  </si>
  <si>
    <t>Thuế đóng góp vào các dịch vụ công, cải thiện chất lượng cuộc sống cho người dân như y tế và giao thông.</t>
  </si>
  <si>
    <t>Nhà nước đã giải thích rõ ràng về mục tiêu cải cách thuế, tuy nhiên việc minh bạch trong quản lý thu chi ngân sách vẫn cần được cải thiện</t>
  </si>
  <si>
    <t>Sau khi xem xét các quyền lợi và nghĩa vụ mới, tôi ủng hộ chính sách này vì nó giảm gánh nặng tài chính cho người dân.</t>
  </si>
  <si>
    <t>Thuế hiện nay có nhiều quy định phức tạp, nhưng với mức giảm trừ gia cảnh tăng lên và đơn giản hóa biểu thuế, việc phát hiện hành vi gian lận hoặc trốn thuế sẽ dễ dàng hơn.</t>
  </si>
  <si>
    <t>Cơ quan thuế có nhiều công cụ và nguồn lực để giám sát các hoạt động kinh doanh và cá nhân, nên khả năng phát hiện và xử lý nghiêm các hành vi trốn thuế là cao.</t>
  </si>
  <si>
    <t>Quy trình khai báo thuế và làm việc với cơ quan thuế đã đơn giản hơn so với trước đây, đặc biệt khi mức giảm trừ gia cảnh tăng lên, giúp người dân dễ dàng tuân thủ pháp luật.</t>
  </si>
  <si>
    <t>Biểu thuế mới có ít bậc hơn và đơn giản hóa các mức thu nhập chịu thuế, khiến việc tính toán thuế trở nên dễ hiểu và thực hiện nhanh chóng hơn.</t>
  </si>
  <si>
    <t>Nhà nước đã tăng mức giảm trừ gia cảnh cho bản thân và người phụ thuộc, giúp tôi tiết kiệm được một khoản tiền đáng kể. Điều này thể hiện sự công bằng trong việc phân chia gánh nặng thuế.</t>
  </si>
  <si>
    <t>Mức thuế mới mà tôi phải đóng là hợp lý với thu nhập của mình, và mức giảm trừ gia cảnh tăng lên giúp tôi tiết kiệm được nhiều tiền hơn so với trước đây.</t>
  </si>
  <si>
    <t>Thuê tôi đóng sẽ được sử dụng hiệu quả để cải thiện các dịch vụ công, từ đó tạo ra một môi trường sống tốt hơn cho người dân. Đây là lý do tôi tin tưởng số tiền thuế mình đóng.</t>
  </si>
  <si>
    <t>Nhà nước đã minh bạch về mục tiêu và nguyên nhân của việc sửa đổi thuế, giúp tôi hiểu rõ hơn về ý nghĩa của chính sách này đối với người dân.</t>
  </si>
  <si>
    <t>Sau khi xem xét các quyền lợi và nghĩa vụ mới, tôi hoàn toàn ủng hộ và tuân thủ chính sách mới, vì nó mang lại nhiều lợi ích cho tôi và gia đình.</t>
  </si>
  <si>
    <t>Tăng mức giảm trừ gia cảnh và đơn giản hóa biểu thuế có thể làm giảm cơ hội gian lận, nhưng vẫn cần sự giám sát chặt chẽ từ các cơ quan chức năng.</t>
  </si>
  <si>
    <t>Cơ sở hạ tầng công nghệ thông tin của nước nhà đang phát triển mạnh mẽ, tuy nhiên còn phụ thuộc vào việc triển khai rộng rãi trong ngành thuế.</t>
  </si>
  <si>
    <t>Quy trình làm việc với cơ quan thuế trở nên đơn giản hơn, thủ tục khai báo thuế thuận lợi hơn so với trước đây, nhờ đó giảm bớt gian nan cho người dân.</t>
  </si>
  <si>
    <t>Biểu thuế mới có ít bậc và mức thuế suất rõ ràng, dễ hiểu hơn so với trước đây, giúp việc tính toán và thực hiện đơn giản hơn.</t>
  </si>
  <si>
    <t>Nhà nước đã cố gắng tăng mức giảm trừ gia cảnh và đơn giản hóa biểu thuế, tạo sự công bằng cho mọi người nộp thuế.</t>
  </si>
  <si>
    <t>Với thu nhập hiện tại của tôi, mức thuế mới là hợp lý, đáp ứng sự công bằng trong việc đóng góp</t>
  </si>
  <si>
    <t>Tăng mức giảm trừ gia cảnh và đơn giản hóa biểu thuế có thể giúp số tiền thuế được sử dụng hiệu quả hơn để cải thiện dịch vụ công.</t>
  </si>
  <si>
    <t>Nhà nước đã giải thích rõ ràng về mục tiêu của việc sửa đổi thuế, tuy nhiên vẫn cần tăng cường minh bạch hơn nữa</t>
  </si>
  <si>
    <t>Sau khi xem xét các quyền lợi và nghĩa vụ, tôi ủng hộ chính sách mới với mức thuế giảm đáng kể so với trước đây.</t>
  </si>
  <si>
    <t>Ngoài việc tăng giảm trừ gia cảnh và đơn giản hóa biểu thuế, luật mới không cung cấp nhiều thông tin về cơ chế phát hiện trốn thuế. Tuy nhiên, với sự phát triển của công nghệ, tôi nghĩ khả năng phát hiện trốn thuế sẽ được cải thiện.</t>
  </si>
  <si>
    <t>Công nghệ ngày càng phát triển và các hệ thống quản lý thuế hiện đại có thể giúp việc phát hiện trốn thuế trở nên dễ dàng hơn. Tuy nhiên, tôi vẫn lo ngại về khả năng thực thi của chính sách mới.</t>
  </si>
  <si>
    <t>Quy trình khai thuế và làm việc với cơ quan thuế đã đơn giản hơn so với trước đây, đặc biệt là với mức giảm trừ gia cảnh cao hơn. Điều này giúp quá trình thực hiện thủ tục trở nên thuận tiện hơn.</t>
  </si>
  <si>
    <t>Biểu thuế mới có ít bậc hơn và rõ ràng hơn so với trước đây, làm cho việc tính toán thuế trở nên dễ dàng hơn. Tuy nhiên, tôi vẫn cảm thấy rằng cần thêm hướng dẫn cụ thể hơn để người dân hiểu đầy đủ.</t>
  </si>
  <si>
    <t>Tôi tin Nhà nước sẽ thực thi chính sách một cách công bằng và khách quan. Mức thuế mới dựa trên thu nhập của tôi là hợp lý, giúp giảm gánh nặng tài chính.</t>
  </si>
  <si>
    <t>Mức thuế mới được điều chỉnh phù hợp với mức thu nhập hiện tại của tôi, tạo cảm giác công bằng. Tôi tin rằng số tiền thuế đóng sẽ góp vào việc cải thiện dịch vụ công.</t>
  </si>
  <si>
    <t>Thuế đóng góp quan trọng cho ngân sách nhà nước và hỗ trợ các dịch vụ công. Với mức thuế mới, tôi tin rằng tiền của tôi đang được sử dụng hiệu quả hơn để cải thiện chất lượng cuộc sống.</t>
  </si>
  <si>
    <t>Chính phủ đã giải thích rõ về mục tiêu và lý do cho việc sửa đổi luật thuế. Tuy nhiên, có thể cần thêm thông tin chi tiết về cách sử dụng số tiền thuế để tăng sự minh bạch.</t>
  </si>
  <si>
    <t>Sau khi xem xét các quyền lợi và nghĩa vụ mới, tôi ủng hộ chính sách. Điều này không chỉ giúp giảm gánh nặng tài chính mà còn tạo niềm tin vào hệ thống thuế hiện tại.</t>
  </si>
  <si>
    <t>Cơ quan thuế đã có nhiều cải tiến công nghệ và quy định quản lý, nhưng vẫn cần thêm thời gian để thực thi hiệu quả.</t>
  </si>
  <si>
    <t>Nhà nước và cơ quan thuế có đủ nguồn lực kỹ thuật, tuy nhiên, việc phát hiện trốn thuế còn phụ thuộc vào khả năng quản lý của nhân viên.</t>
  </si>
  <si>
    <t>Thủ tục khai báo thuế đơn giản hơn trước, nhưng vẫn cần thời gian để người dân quen với quy trình mới.</t>
  </si>
  <si>
    <t>Cách tính thuế và các bậc thuế rõ ràng hơn, thuận tiện cho việc thực hiện.</t>
  </si>
  <si>
    <t>Tôi tin rằng Nhà nước sẽ công tâm trong việc quản lý thuế, song cần thêm thời gian để chứng minh.</t>
  </si>
  <si>
    <t>Thuế mới có thể coi là công bằng vì giảm trừ gia cảnh tăng mạnh và số bậc thuế đơn giản hơn.</t>
  </si>
  <si>
    <t>Tài nguyên thu được từ thuế sẽ cải thiện các dịch vụ công, nhưng cần thêm minh bạch về cách sử dụng.</t>
  </si>
  <si>
    <t>Sau khi cân nhắc các quyền lợi và nghĩa vụ mới, tôi ủng hộ và tuân thủ chính sách thuế mới.</t>
  </si>
  <si>
    <t>Với việc đơn giản hóa biểu thuế và tăng mức giảm trừ, cơ quan thuế có thể tập trung vào các trường hợp nghi ngờ hơn. Tuy nhiên, thực tế phát hiện gian lận vẫn phụ thuộc nhiều vào sự tuân thủ của người dân.</t>
  </si>
  <si>
    <t>Nhà nước và cơ quan thuế đã đầu tư công nghệ để quản lý và theo dõi thuế. Tuy nhiên, hiệu quả thực tế còn phụ thuộc vào khả năng ứng dụng công nghệ trong thực tế.</t>
  </si>
  <si>
    <t>Quy trình khai báo và làm việc với cơ quan thuế dễ dàng hơn so với trước đây. Các bước cần đi đã được đơn giản hóa, tạo thuận lợi cho người dân.</t>
  </si>
  <si>
    <t>Các bậc thuế mới đơn giản hơn, dễ hiểu và thực hiện nhanh chóng hơn. Người dân không còn cảm thấy bị rối rắm khi tính toán thuế nữa.</t>
  </si>
  <si>
    <t>Tôi tin rằng Nhà nước sẽ thực thi chính sách một cách khách quan. Việc giảm trừ gia cảnh cao hơn và số bậc thuế ít đi tạo ra sự công bằng hơn cho người dân.</t>
  </si>
  <si>
    <t>Mức thuế mới theo phương án này là hợp lý, phù hợp với thu nhập của tôi. Mức giảm trừ gia cảnh cao hơn đã làm giảm áp lực tài chính.</t>
  </si>
  <si>
    <t>Thuế tôi đóng sẽ được sử dụng hiệu quả để cải thiện các dịch vụ công. Việc tăng mức giảm trừ gia cảnh và đơn giản hóa biểu thuế giúp nâng cao chất lượng cuộc sống cho người dân.</t>
  </si>
  <si>
    <t>Nhà nước đã giải thích rõ ràng về mục đích của việc sửa đổi chính sách thuế lần này. Tuy nhiên, tôi hy vọng sẽ có thêm thông tin về cách sử dụng số tiền thuế thu được để tăng niềm tin.</t>
  </si>
  <si>
    <t>Tôi ủng hộ và tuân thủ chính sách mới. Việc giảm trừ gia cảnh cao hơn đã làm giảm áp lực tài chính cho tôi, và các quy định đơn giản hóa giúp tôi dễ dàng hơn trong việc khai báo thuế.</t>
  </si>
  <si>
    <t>Thuế TNCN mới đã đơn giản hóa quy trình, với việc giảm bậc thuế và tăng giảm trừ gia cảnh. Điều này làm giảm cơ hội cho gian lận hoặc trốn thuế.</t>
  </si>
  <si>
    <t>Cơ quan thuế có đủ công nghệ hiện đại để quản lý dữ liệu và giám sát hành vi của người nộp thuế, giảm nguy cơ gian lận.</t>
  </si>
  <si>
    <t>Thủ tục khai báo thuế đơn giản hơn với việc giảm bậc thuế, giúp thuận tiện cho người dân.</t>
  </si>
  <si>
    <t>Các bậc thuế mới rõ ràng và dễ hiểu hơn, do đó dễ thực hiện và quản lý hơn.</t>
  </si>
  <si>
    <t>Chính sách mới công bằng đối với người dân như tôi, với mức giảm trừ gia cảnh cao hơn thu nhập, nên không phải đóng thuế.</t>
  </si>
  <si>
    <t>Lãi suất và ngưỡng chịu thuế mới phù hợp với thu nhập của tôi, thể hiện sự công bằng trong việc phân phối gánh nặng thuế</t>
  </si>
  <si>
    <t>Thuế đóng góp vào các dịch vụ công như y tế và hạ tầng, tôi tin tưởng rằng số tiền thuế sẽ được sử dụng hiệu quả.</t>
  </si>
  <si>
    <t>Nhà nước đã giải thích rõ ràng về mục tiêu của việc sửa đổi chính sách thuế, tạo niềm tin cho người dân</t>
  </si>
  <si>
    <t>Tôi ủng hộ và sẽ tuân thủ chính sách mới vì nó mang lại lợi ích cho tôi mà không làm mất quyền lợi của mình.</t>
  </si>
  <si>
    <t>Nhà nước đã tăng cường quản lý và sử dụng công nghệ trong việc phát hiện gian lận thuế, do đó tôi tin rằng hành vi gian lận sẽ bị xử lý nghiêm.</t>
  </si>
  <si>
    <t>Cơ quan thuế có đủ khả năng với hệ thống quản lý mới, công nghệ thông tin tiên tiến giúp phát hiện và xử lý kịp thời các hành vi trốn thuế.</t>
  </si>
  <si>
    <t>Quy trình khai báo thuế trở nên đơn giản hơn với mức giảm trừ gia cảnh tăng, do đó thuận tiện cho người dân thực hiện.</t>
  </si>
  <si>
    <t>Biểu thuế được đơn giản hóa từ 7 bậc xuống 5 bậc, giúp việc tính toán và đóng thuế dễ dàng hơn cho người dân.</t>
  </si>
  <si>
    <t>Mức giảm trừ gia cảnh tăng và số bậc thuế giảm đi thể hiện sự công bằng trong việc áp dụng thuế cho mọi người thu nhập tương đương tôi.</t>
  </si>
  <si>
    <t>Nhìn chung, mức thuế mới có vẻ hợp lý so với thu nhập của tôi, do đó tôi thấy nó là một mức thuế công bằng.</t>
  </si>
  <si>
    <t>Thuế được đóng sẽ được sử dụng để cải thiện các dịch vụ công, như y tế và đường xá, điều này làm tăng niềm tin vào việc sử dụng tiền thuế hiệu quả.</t>
  </si>
  <si>
    <t>Nhà nước đã giải thích rõ ràng về mục đích của việc sửa đổi luật thuế, cũng như các thay đổi mang lại lợi ích cho người dân.</t>
  </si>
  <si>
    <t>Tất cả các yếu tố trên làm tăng sự ủng hộ của tôi đối với chính sách mới và tôi sẽ tuân thủ nó.</t>
  </si>
  <si>
    <t xml:space="preserve">Dựa trên quy định quản lý thuế mới, các mức giảm trừ gia cảnh và bậc thuế đã đơn giản hóa, giảm thiểu hành vi gian lận hoặc trốn thuế. </t>
  </si>
  <si>
    <t xml:space="preserve">Cơ quan thuế có khả năng sử dụng công nghệ để theo dõi thu nhập và phát hiện sai phạm thông qua các hệ thống điện tử. </t>
  </si>
  <si>
    <t xml:space="preserve">Quy trình khai báo thuế trở nên đơn giản hơn với mức giảm trừ gia cảnh cao hơn, giúp thuận tiện cho người nộp thuế. </t>
  </si>
  <si>
    <t xml:space="preserve">Biểu thuế mới có ít bậc hơn và dễ hiểu, làm tăng độ minh bạch trong quá trình tính toán thuế của tôi. </t>
  </si>
  <si>
    <t xml:space="preserve">Mức thuế mới giảm đáng kể, khiến tôi cảm thấy công bằng khi đóng góp vào hệ thống thuế. </t>
  </si>
  <si>
    <t xml:space="preserve">Lũy tiến thuế mới được thiết kế để phù hợp với thu nhập của tôi, thể hiện tính công bằng trong việc phân chia trách nhiệm thuế. </t>
  </si>
  <si>
    <t xml:space="preserve">Thuế giảm và giảm trừ gia cảnh tăng giúp cải thiện chất lượng dịch vụ công như y tế và giao thông, nâng cao niềm tin của tôi vào sự quản lý tài chính của nhà nước. </t>
  </si>
  <si>
    <t xml:space="preserve">Nhà nước đã cung cấp thông tin đầy đủ về mục tiêu và lợi ích của việc sửa đổi thuế, tăng cường tính minh bạch. </t>
  </si>
  <si>
    <t xml:space="preserve">Dựa trên các quyền lợi mới và giảm gánh nặng thuế, tôi ủng hộ và tuân thủ chính sách này. </t>
  </si>
  <si>
    <t>Tôi đồng ý với nhận định này, mặc dù mức thuế giảm nhưng cơ quan thuế vẫn có khả năng phát hiện và xử lý gian lận.</t>
  </si>
  <si>
    <t>Nhà nước đã đầu tư công nghệ để giám sát và xử lý các hành vi trốn thuế, vì vậy tôi tin rằng họ đủ khả năng thực hiện điều này.</t>
  </si>
  <si>
    <t>So với trước đây, quy trình khai báo thuế trở nên đơn giản hơn, nhưng vẫn cần thời gian để quen với các thay đổi mới.</t>
  </si>
  <si>
    <t>Đơn giản hóa biểu thuế và mức giảm trừ gia cảnh giúp tôi dễ dàng tính toán và thực hiện quy trình khai báo hơn.</t>
  </si>
  <si>
    <t>Tôi tin rằng cơ quan thuế sẽ công bằng trong việc áp dụng các quy định mới, mặc dù không hoàn toàn chắc chắn vì chưa thấy thực tế.</t>
  </si>
  <si>
    <t>Với mức thu nhập của tôi, tôi cho rằng mức thuế hiện tại là hợp lý và công bằng</t>
  </si>
  <si>
    <t>Tăng giảm trừ gia cảnh và đơn giản hóa quy trình khai báo giúp tôi cảm thấy số tiền đóng góp vào ngân sách quốc gia có ý nghĩa hơn.</t>
  </si>
  <si>
    <t>Nhà nước đã giải thích rõ về mục tiêu của việc sửa đổi thuế, nhưng vẫn cần thêm thông tin chi tiết để tôi có thể hiểu hoàn toàn</t>
  </si>
  <si>
    <t>Tôi đồng ý với chính sách mới vì nó giúp giảm gánh nặng tài chính và đơn giản hóa quy trình khai báo.</t>
  </si>
  <si>
    <t>Do mức giảm trừ gia cảnh cao hơn thu nhập nên không còn tình trạng trốn thuế, việc phát hiện và xử lý gian lận có thể giảm.</t>
  </si>
  <si>
    <t>Cơ quan thuế đã tăng cường công nghệ quản lý và giám sát nên khả năng phát hiện gian lận được cải thiện.</t>
  </si>
  <si>
    <t>Quy trình khai báo đơn giản hơn với mức giảm trừ gia cảnh cao, thủ tục làm việc với cơ quan thuế thuận tiện hơn.</t>
  </si>
  <si>
    <t>Biểu thuế đơn giản hơn với ít bậc thuế, dễ hiểu và thực hiện nhanh chóng hơn.</t>
  </si>
  <si>
    <t>Nhà nước đã cải thiện quy định để giảm gian lận, công bằng đối xử với mọi người nộp thuế.</t>
  </si>
  <si>
    <t>Thuế tôi phải đóng thấp hơn so với trước nên coi là hợp lý cho thu nhập hiện tại của tôi.</t>
  </si>
  <si>
    <t>Thuê được sử dụng để cải thiện dịch vụ công, tăng niềm tin vào việc thực hiện chính sách</t>
  </si>
  <si>
    <t>Chính sách mới giảm gian lận, đơn giản hóa quy trình, nên tôi ủng hộ và tuân thủ.</t>
  </si>
  <si>
    <t>Dù có công nghệ hiện đại, nhưng do không thay đổi nhiều về quy định quản lý thuế nên khả năng phát hiện hành vi gian lận vẫn còn thấp.</t>
  </si>
  <si>
    <t>Cơ quan thuế đã tăng cường các biện pháp giám sát và xử lý, nhưng hiệu quả phụ thuộc vào sự tuân thủ của người nộp thuế.</t>
  </si>
  <si>
    <t>Quy trình khai báo thuế trở nên đơn giản hơn với mức giảm trừ gia cảnh cao hơn, thuận lợi cho việc làm việc với cơ quan thuế.</t>
  </si>
  <si>
    <t>Bậc thuế mới đơn giản và dễ hiểu hơn so với trước đây, giúp người dân dễ dàng tính toán và thực hiện đúng.</t>
  </si>
  <si>
    <t>Tôi tin rằng cơ quan thuế sẽ thực thi chính sách công bằng cho mọi đối tượng, nhưng cần thời gian để kiểm chứng.</t>
  </si>
  <si>
    <t>Mức thuế mới phù hợp với thu nhập của tôi và tôi thấy có sự công bằng trong việc phân chia gánh nặng thuế giữa các đối tượng.</t>
  </si>
  <si>
    <t>Tài chính quốc gia sẽ được sử dụng hiệu quả hơn, nhưng hiệu quả cụ thể còn phụ thuộc vào quản lý và sử dụng nguồn ngân sách của Nhà nước.</t>
  </si>
  <si>
    <t>Nhà nước đã giải thích rõ ràng về mục tiêu cải cách thuế, nhưng cần thêm thông tin chi tiết để tôi hiểu rõ hơn.</t>
  </si>
  <si>
    <t>Tác động tài chính tích cực và quy trình đơn giản hóa thuế tạo cảm giác ủng hộ chính sách mới.</t>
  </si>
  <si>
    <t>Nếu cơ quan thuế có công nghệ và khả năng phát hiện gian lận, trốn thuế tốt hơn thì các quy định quản lý thuế mới sẽ hiệu quả hơn. Hiện tại, tôi tin rằng họ có đủ nguồn lực để làm điều đó.</t>
  </si>
  <si>
    <t>Việc sử dụng công nghệ và cải thiện khả năng phát hiện gian lận sẽ giúp xử lý nghiêm các hành vi trốn thuế. Tuy nhiên, vẫn cần thời gian để áp dụng triệt để.</t>
  </si>
  <si>
    <t>Với việc đơn giản hóa quy trình và giảm trừ gia cảnh, tôi thấy khai báo thuế trở nên thuận tiện hơn nhiều so với trước đây. Điều này giúp người dân dễ dàng tuân thủ hơn.</t>
  </si>
  <si>
    <t>Biểu thuế mới có ít bậc hơn và mức giảm trừ gia cảnh cao hơn, việc tính toán và hiểu rõ quy định trở nên dễ dàng hơn. Cách tính thuế cũng đơn giản hóa đáng kể so với trước đây.</t>
  </si>
  <si>
    <t>Nếu cơ quan thuế thực thi chính sách một cách công bằng và minh bạch, tôi sẽ tin tưởng rằng họ đang làm điều tốt cho người dân. Tuy nhiên, cần thời gian để kiểm chứng.</t>
  </si>
  <si>
    <t>Thuế theo phương án mới giảm đáng kể so với trước đây, giúp tôi cảm thấy công bằng hơn khi đóng thuế. Đây là mức phù hợp cho thu nhập của tôi và số người phụ thuộc.</t>
  </si>
  <si>
    <t>Tiết kiệm được tiền thuế có thể hỗ trợ cải thiện dịch vụ công như y tế, giáo dục và hạ tầng. Tuy nhiên, cần xem xét cách sử dụng nguồn thu này để đánh giá hiệu quả.</t>
  </si>
  <si>
    <t>Phương án mới đã được giải thích rõ ràng về mục tiêu và sự công bằng của nó. Tuy nhiên, tôi mong muốn có thêm thông tin chi tiết về cách sử dụng nguồn thuế thu được để tăng niềm tin.</t>
  </si>
  <si>
    <t>Tôi ủng hộ chính sách mới vì giảm trừ gia cảnh cao hơn và đơn giản hóa quy trình khai báo. Điều này giúp tôi thấy công bằng khi đóng thuế và thuận tiện trong quá trình thực hiện.</t>
  </si>
  <si>
    <t>Hiện nay, mặc dù có nhiều quy định quản lý thuế nhưng tôi chưa thấy hành vi gian lận bị phát hiện và xử lý nghiêm túc.</t>
  </si>
  <si>
    <t>Cơ quan thuế có công nghệ để phát hiện trốn thuế nhưng thực tế chưa đủ năng lực để quản lý hiệu quả.</t>
  </si>
  <si>
    <t>So với trước đây, quy trình khai báo thuế đã đơn giản hơn nhưng vẫn còn phức tạp đối với một số trường hợp.</t>
  </si>
  <si>
    <t>Cách tính thuế mới đơn giản hơn nhưng các bậc thuế vẫn có thể gây hiểu lầm cho người không quen thuộc.</t>
  </si>
  <si>
    <t>Tôi tin rằng Nhà nước sẽ thực thi chính sách công bằng đối với mọi người nộp thuế.</t>
  </si>
  <si>
    <t>Mức giảm trừ gia cảnh cao hơn thu nhập nên tôi không phải đóng thuế, điều này rất công bằng cho tình hình hiện tại của tôi.</t>
  </si>
  <si>
    <t>Tiền thuế đóng góp vào các dịch vụ công giúp cải thiện chất lượng cuộc sống</t>
  </si>
  <si>
    <t>Nhà nước đã giải thích rõ ràng về mục tiêu của việc sửa đổi thuế nhưng chưa làm tôi cảm thấy tin tưởng tuyệt đối.</t>
  </si>
  <si>
    <t>Tôi ủng hộ và tuân thủ chính sách mới vì giảm trừ gia cảnh cao hơn thu nhập nên không phải đóng thuế</t>
  </si>
  <si>
    <t>Với mức giảm trừ gia cảnh tăng lên, việc phát hiện hành vi gian lận hoặc trốn thuế sẽ khó khăn hơn đối với cá nhân. Tuy nhiên, cơ quan thuế có thể vẫn kiểm soát tốt thông qua công nghệ và dữ liệu.</t>
  </si>
  <si>
    <t>Nhà nước đã đầu tư vào công nghệ và nguồn lực để phát hiện gian lận thuế, cho thấy họ có khả năng xử lý nghiêm các hành vi trốn thuế.</t>
  </si>
  <si>
    <t>Quy trình khai báo thuế trở nên đơn giản hơn với ít bậc thuế, nhưng vẫn cần thời gian để người dân quen thuộc.</t>
  </si>
  <si>
    <t>Các bậc thuế mới rõ ràng và dễ hiểu hơn so với trước đây, giảm bớt rào cản cho người nộp thuế trong việc tính toán.</t>
  </si>
  <si>
    <t>Tôi tin rằng cơ quan thuế sẽ thực thi chính sách một cách công bằng, nhưng vẫn có sự lo ngại về khả năng kiểm soát gian lận.</t>
  </si>
  <si>
    <t>Thuế mới giảm đáng kể so với trước đây nên tôi cảm thấy hợp lý, góp phần cải thiện chất lượng cuộc sống của người dân.</t>
  </si>
  <si>
    <t>Tôi tin rằng số tiền thuế đóng sẽ được sử dụng hiệu quả để phục vụ cộng đồng, nhưng cần có sự minh bạch trong việc sử dụng nguồn thu</t>
  </si>
  <si>
    <t>Cơ quan thuế đã giải thích rõ ràng về mục tiêu của chính sách mới, tuy nhiên vẫn cần thêm thông tin chi tiết về cách thức thực thi.</t>
  </si>
  <si>
    <t>Dựa trên các lợi ích tài chính và sự đơn giản hóa quy trình, tôi ủng hộ và tuân thủ chính sách mới.</t>
  </si>
  <si>
    <t>Nếu thuế được quản lý chặt chẽ, việc gian lận hoặc trốn thuế sẽ bị phát hiện sớm và xử lý nghiêm. Tuy nhiên, do chưa có thông tin cụ thể về quy định mới nên mức độ thực thi còn phụ thuộc vào cơ quan thuế.</t>
  </si>
  <si>
    <t>Việc nâng cao khả năng quản lý thuế của cơ quan thuế qua công nghệ và hệ thống sẽ giúp phát hiện gian lận một cách hiệu quả. Tuy nhiên, hiệu quả thực tế phụ thuộc vào việc triển khai.</t>
  </si>
  <si>
    <t>So với trước đây, quy trình làm việc với cơ quan thuế đã đơn giản hơn, dễ tiếp cận và nhanh chóng hơn. Tuy nhiên, vẫn cần cải tiến để tối ưu hóa thêm.</t>
  </si>
  <si>
    <t>Bậc thuế mới đơn giản hơn, dễ hiểu và thực hiện thuận lợi. Điều này giúp người dân nắm bắt nhanh và chính xác các quy định thuế.</t>
  </si>
  <si>
    <t>Tôi tin rằng cơ quan thuế sẽ công tâm trong việc thực thi chính sách mới. Tuy nhiên, do còn nhiều thông tin chưa rõ ràng nên mức độ tin tưởng vẫn cần thời gian để hình thành.</t>
  </si>
  <si>
    <t>Với mức giảm trừ gia cảnh và thuế suất mới, tôi thấy mức thuế mình phải đóng là hợp lý. Điều này phản ánh sự công bằng trong việc phân bổ nguồn lực của Nhà nước.</t>
  </si>
  <si>
    <t>Tôi tin rằng số tiền thuế tôi đóng sẽ được sử dụng hiệu quả để cải thiện dịch vụ công, như y tế và hạ tầng giao thông. Việc này tăng thêm niềm tin vào sự minh bạch trong việc sử dụng ngân sách.</t>
  </si>
  <si>
    <t>Nhà nước đã giải thích rõ về mục tiêu của chính sách mới nhưng cần làm rõ hơn về cách thức thực hiện để người dân có thể hiểu và ủng hộ hơn.</t>
  </si>
  <si>
    <t>Sau khi xem xét các quyền lợi và nghĩa vụ, tôi đồng ý với chính sách thuế mới. Tuy nhiên, cần thêm thông tin và cải tiến trong thực thi để tăng cường sự ủng hộ từ người dân.</t>
  </si>
  <si>
    <t>Cơ quan thuế có nhiều biện pháp để phát hiện hành vi gian lận, tuy nhiên vẫn còn khả năng trốn thuế khó bị phát hiện.</t>
  </si>
  <si>
    <t>Việc cải cách thuế đã tăng cường công nghệ và quản lý, giảm thiểu cơ hội trốn tránh thuế.</t>
  </si>
  <si>
    <t>Thủ tục khai báo thuế trở nên đơn giản hơn so với trước đây, tiết kiệm thời gian cho người dân.</t>
  </si>
  <si>
    <t>Biểu thuế mới giảm số bậc và mức thuế suất rõ ràng hơn, dễ dàng áp dụng hơn.</t>
  </si>
  <si>
    <t>Niềm tin vào sự công bằng trong việc thực thi chính sách thuế được tăng lên do các cải cách.</t>
  </si>
  <si>
    <t>Thuế mới giảm, tiết kiệm được tiền cho người dân như tôi, tạo cảm giác công bằng.</t>
  </si>
  <si>
    <t>Cải cách thuế sẽ giúp tăng đầu tư vào các dịch vụ công quan trọng như y tế và hạ tầng.</t>
  </si>
  <si>
    <t>Nhà nước đã giải thích rõ ràng mục tiêu của cải cách, tạo sự minh bạch trong chính sách mới.</t>
  </si>
  <si>
    <t>Đồng ý ủng hộ và tuân thủ chính sách mới vì có lợi cho người dân như tôi và tăng công bằng trong việc đóng thuế.</t>
  </si>
  <si>
    <t>Nhà nước đã tăng mạnh mức giảm trừ gia cảnh, do đó việc trốn thuế trở nên khó khăn hơn. Các quy định quản lý thuế hiện tại cũng giúp phát hiện hành vi gian lận.</t>
  </si>
  <si>
    <t>Cơ quan thuế có khả năng và công nghệ để theo dõi và xử lý các trường hợp trốn thuế, đặc biệt là với mức giảm trừ gia cảnh cao hơn trước đây.</t>
  </si>
  <si>
    <t>Thủ tục khai báo thuế đơn giản hơn với việc rút gọn số bậc thuế. Điều này giúp tôi dễ dàng thực hiện hơn so với trước đây.</t>
  </si>
  <si>
    <t>Phương án mới có ít bậc thuế, do đó cách tính thuế và các mức độ chịu thuế dễ hiểu và dễ thực hiện hơn.</t>
  </si>
  <si>
    <t>Việc Nhà nước tăng giảm trừ gia cảnh cho bản thân và người phụ thuộc giúp tôi cảm thấy công bằng trong việc đóng thuế.</t>
  </si>
  <si>
    <t>Thu nhập của tôi nằm trong mức giảm trừ gia cảnh cao, do đó không phải đóng thuế. Điều này khiến tôi thấy chính sách mới là công bằng đối với thu nhập như tôi.</t>
  </si>
  <si>
    <t>Với mức giảm trừ gia cảnh cao và việc không phải đóng thuế, tôi tin rằng số tiền thuế mà tôi đóng sẽ được sử dụng hiệu quả để cải thiện dịch vụ công.</t>
  </si>
  <si>
    <t>Nhà nước đã giải thích rõ ràng về lý do và mục tiêu của việc sửa đổi luật thuế lần này, khiến tôi cảm thấy chính sách mới là minh bạch.</t>
  </si>
  <si>
    <t>Sau khi xem xét các quyền lợi và nghĩa vụ, tôi ủng hộ và sẽ tuân thủ chính sách mới hiện nay. Việc không phải đóng thuế do mức giảm trừ gia cảnh cao đã làm tăng sự công bằng.</t>
  </si>
  <si>
    <t>Hiện nay có nhiều biện pháp quản lý thuế, tuy nhiên với tình hình hiện tại tôi đánh giá mức độ thực thi còn hạn chế.</t>
  </si>
  <si>
    <t>Công nghệ và cơ sở vật chất của Nhà nước đã được cải thiện đáng kể, nhưng vẫn cần nhiều thời gian để hoàn thiện.</t>
  </si>
  <si>
    <t>So với trước đây, quy trình làm việc với cơ quan thuế đơn giản hơn, thủ tục khai báo thuận lợi hơn rất nhiều.</t>
  </si>
  <si>
    <t>Biểu thuế mới được đơn giản hóa nên dễ hiểu và thực hiện hơn, nhưng cần thêm thời gian để người dân làm quen.</t>
  </si>
  <si>
    <t>Tôi tin rằng Nhà nước sẽ cố gắng thực thi chính sách một cách công bằng, nhưng vẫn có những lo ngại về sự khách quan.</t>
  </si>
  <si>
    <t>Mức thuế mới được giảm đáng kể, tôi thấy là hợp lý với thu nhập của mình và người cùng mức độ phụ thuộc.</t>
  </si>
  <si>
    <t>Tài chính Nhà nước sẽ được sử dụng hiệu quả hơn nhờ việc cải cách thuế, cải thiện các dịch vụ công.</t>
  </si>
  <si>
    <t>Nhà nước đã giải thích rõ ràng về mục tiêu và lý do của cải cách thuế, tôi đồng ý với những thay đổi này.</t>
  </si>
  <si>
    <t>Sau khi xem xét các quyền lợi và nghĩa vụ, tôi ủng hộ chính sách mới và sẽ tuân thủ.</t>
  </si>
  <si>
    <t>Hiện nay, các quy định quản lý thuế có nhiều cải tiến kỹ thuật và công nghệ như truy cập trực tuyến, nhưng tôi vẫn lo ngại về khả năng phát hiện hành vi gian lận hoặc trốn thuế.</t>
  </si>
  <si>
    <t>Cơ quan thuế đã cải thiện đáng kể trong việc sử dụng công nghệ để quản lý thuế, nhưng hoàn toàn tin tưởng vào khả năng phát hiện và xử lý các hành vi gian lận vẫn còn hạn chế.</t>
  </si>
  <si>
    <t>So với trước đây, quy trình làm việc với cơ quan thuế đã đơn giản hơn nhiều. Việc giảm trừ gia cảnh lớn hơn giúp thủ tục khai báo trở nên dễ dàng và nhanh chóng hơn.</t>
  </si>
  <si>
    <t>Biểu thuế mới có ít bậc hơn, dễ hiểu và thực hiện thuận tiện hơn so với trước đây. Tuy nhiên, việc giảm trừ gia cảnh lớn hơn khiến tôi cảm thấy đôi chút phức tạp khi tính toán.</t>
  </si>
  <si>
    <t>Tôi tin rằng cơ quan thuế sẽ thực thi chính sách công bằng và khách quan. Sự tăng mạnh của mức giảm trừ gia cảnh cho thấy sự đối xử bình đẳng với người nộp thuế.</t>
  </si>
  <si>
    <t>Theo phương án mới, tôi chỉ cần đóng thuế ít hơn. Điều này làm tôi cảm thấy công bằng và hợp lý, đặc biệt khi so sánh với mức giảm trừ gia cảnh tăng mạnh.</t>
  </si>
  <si>
    <t>Mức thuế tôi phải đóng sẽ được sử dụng để cải thiện các dịch vụ công. Tuy nhiên, tôi hy vọng rằng khoản tiết kiệm về thuế này sẽ được tái đầu tư một cách hiệu quả.</t>
  </si>
  <si>
    <t>Nhà nước đã giải thích rõ ràng về lý do và mục tiêu của việc sửa đổi thuế, nhưng cần làm rõ hơn về quy trình sử dụng nguồn thu ngân sách từ thuế để tăng sự minh bạch.</t>
  </si>
  <si>
    <t>Tôi ủng hộ chính sách mới vì nó giúp tôi tiết kiệm được một khoản tiền đáng kể và giảm gánh nặng thuế. Tuy nhiên, tôi hy vọng rằng sẽ có thêm các cải tiến về công nghệ quản lý thuế để tăng cường hiệu quả.</t>
  </si>
  <si>
    <t>Việc tăng mức giảm trừ gia cảnh và đơn giản hóa biểu thuế có thể làm giảm cơ hội trốn thuế, nhưng thực tế xử lý các hành vi gian lận vẫn cần thời gian để cải thiện hệ thống quản lý.</t>
  </si>
  <si>
    <t>Cơ quan thuế có đủ khả năng và công nghệ để theo dõi tình hình tài chính cá nhân, nhưng hiệu quả thực hiện còn phụ thuộc vào việc triển khai và giám sát.</t>
  </si>
  <si>
    <t>Quy trình làm việc với cơ quan thuế đơn giản hơn so với trước đây, đặc biệt là về giảm trừ gia cảnh. Việc sử dụng công nghệ để khai báo thuế cũng giúp thuận tiện hơn.</t>
  </si>
  <si>
    <t>Biểu thuế mới có ít bậc hơn và mức thuế suất rõ ràng hơn, dễ dàng áp dụng hơn so với trước đây.</t>
  </si>
  <si>
    <t>Tôi tin rằng cơ quan thuế sẽ thực thi chính sách một cách công bằng, nhưng cần thêm thời gian để chứng minh sự khách quan trong việc quản lý và xử lý thuế.</t>
  </si>
  <si>
    <t>Thuế mới được giảm so với trước đây nên tôi thấy mức này là hợp lý. Mức độ công bằng phụ thuộc vào cách thực thi chính sách.</t>
  </si>
  <si>
    <t>Tiết kiệm tiền thuế có thể giúp cải thiện dịch vụ công, nhưng hiệu quả sử dụng nguồn lực còn phụ thuộc vào quản trị và giám sát của Chính phủ.</t>
  </si>
  <si>
    <t>Nhà nước đã giải thích rõ ràng về mục tiêu của việc sửa đổi thuế lần này, tuy nhiên cần thêm thông tin chi tiết để tôi có thể đánh giá hoàn toàn.</t>
  </si>
  <si>
    <t>Dù chưa hoàn toàn đồng ý, nhưng với các lợi ích tài chính và thuận tiện hơn trong quy trình khai báo thuế, tôi sẽ ủng hộ và tuân thủ chính sách mới.</t>
  </si>
  <si>
    <t>Hiện nay, các quy định quản lý thuế được cải thiện đáng kể với sự hỗ trợ của công nghệ hiện đại. Tuy nhiên, việc phát hiện và xử lý trốn thuế vẫn phụ thuộc vào hiệu quả thực thi của cơ quan thuế.</t>
  </si>
  <si>
    <t>Nhà nước đã đầu tư mạnh mẽ vào hệ thống công nghệ thông tin, giúp cho việc quản lý thuế trở nên dễ dàng và chính xác hơn. Điều này tăng cường khả năng phát hiện hành vi trốn thuế.</t>
  </si>
  <si>
    <t>Quy trình khai báo thuế đã đơn giản hóa đáng kể với mức giảm trừ gia cảnh cao hơn và số bậc thuế ít đi. Việc này làm cho quá trình làm việc với cơ quan thuế trở nên dễ dàng hơn.</t>
  </si>
  <si>
    <t>Biểu thuế mới có số bậc ít hơn và ngưỡng chịu thuế rõ ràng hơn, giúp người dân hiểu và tính toán thuế một cách dễ dàng. Điều này làm cho quy trình thuế trở nên thuận tiện hơn.</t>
  </si>
  <si>
    <t>Nhà nước đã thực hiện cải cách thuế một cách công bằng và minh bạch, điều này giúp nâng cao niềm tin của người dân vào hệ thống thuế mới. Các quy định mới có tính khách quan cao.</t>
  </si>
  <si>
    <t>Mức giảm trừ gia cảnh tăng lên đáng kể, cộng với số bậc thuế ít hơn, làm cho mức thuế tôi phải đóng trở nên công bằng và phù hợp với thu nhập của tôi. Điều này thể hiện sự minh bạch trong chính sách thuế.</t>
  </si>
  <si>
    <t>Tiết kiệm được 243.314 VNĐ/tháng từ việc giảm trừ gia cảnh và số bậc thuế ít hơn, giúp tôi cảm thấy mức thuế đóng góp của mình sẽ được sử dụng hiệu quả để cải thiện dịch vụ công.</t>
  </si>
  <si>
    <t>Nhà nước đã giải thích rõ ràng về mục tiêu và lý do của việc sửa đổi thuế lần này. Các thông tin minh bạch giúp tôi hiểu rõ hơn về chính sách mới.</t>
  </si>
  <si>
    <t>Tôi ủng hộ và tuân thủ chính sách mới vì nó mang lại nhiều lợi ích, giảm gánh nặng thuế cho người dân và đơn giản hóa quy trình khai báo thuế. Tôi tin rằng việc cải cách này sẽ giúp nâng cao hiệu quả quản lý thuế.</t>
  </si>
  <si>
    <t>Cơ quan thuế có nhiều công cụ và hệ thống để phát hiện gian lận, trốn thuế. Với mức giảm trừ gia cảnh tăng lên, việc quản lý cũng trở nên phức tạp hơn nhưng các quy định vẫn được giám sát chặt chẽ.</t>
  </si>
  <si>
    <t>Cơ quan thuế đã đầu tư công nghệ và nhân lực để phát hiện trốn thuế, tuy nhiên do sự tăng thêm của giảm trừ gia cảnh nên khả năng quản lý cần được đánh giá lại.</t>
  </si>
  <si>
    <t>Quy trình khai báo thuế trở nên đơn giản hơn, không còn nhiều bước rườm rà như trước đây. Tuy nhiên, việc áp dụng các mức thuế mới có thể gây hiểu lầm cho một số người.</t>
  </si>
  <si>
    <t>Các bậc thuế đã được đơn giản hóa từ 7 xuống còn 5, dễ dàng hơn trong việc tính toán và thực hiện. Tuy nhiên, mức thuế mới có thể gây bất ngờ cho những người không theo dõi thường xuyên.</t>
  </si>
  <si>
    <t>Nhà nước đã minh bạch về chính sách mới, tuy nhiên việc kiểm soát gian lận vẫn cần được cải thiện. Mức thuế mới phù hợp với thu nhập của tôi và giảm trừ gia cảnh tăng lên.</t>
  </si>
  <si>
    <t>Mức thuế mới là công bằng đối với tôi, giảm trừ gia cảnh đã tăng lên giúp tôi tiết kiệm được một khoản tiền đáng kể. Chính sách mới này phù hợp với thu nhập của tôi và có lợi cho người dân.</t>
  </si>
  <si>
    <t>Nhà nước đã sử dụng số thuế thu được hiệu quả để cải thiện dịch vụ công, đặc biệt là trong y tế và giao thông. Tuy nhiên, việc giám sát chi tiêu của nhà nước vẫn cần được cải thiện.</t>
  </si>
  <si>
    <t>Nhà nước đã giải thích rõ ràng về mục đích và lý do của việc sửa đổi chính sách thuế lần này. Tuy nhiên, tôi hy vọng có thêm thông tin chi tiết hơn về cách sử dụng số tiền thuế thu được.</t>
  </si>
  <si>
    <t>Tôi ủng hộ và tuân thủ chính sách mới vì nó mang lại lợi ích cho người dân như tôi. Mức thuế mới giảm đáng kể, giúp tôi có thêm nguồn lực để đầu tư vào cuộc sống.</t>
  </si>
  <si>
    <t>Hiện nay, cơ quan thuế có nhiều công cụ và nguồn lực để phát hiện hành vi gian lận hoặc trốn thuế. Tuy nhiên, hiệu quả thực thi phụ thuộc vào sự năng động của nhân viên và sự cập nhật kịp thời của hệ thống.</t>
  </si>
  <si>
    <t>Nhà nước đã đầu tư mạnh mẽ vào công nghệ để cải thiện khả năng giám sát và xử lý các hành vi trốn thuế, do đó tin rằng khả năng phát hiện sẽ tốt hơn.</t>
  </si>
  <si>
    <t>So với trước đây, thủ tục khai báo thuế và quy trình làm việc với cơ quan thuế đã đơn giản hơn. Tuy nhiên, vẫn có một số bước cần tuân thủ.</t>
  </si>
  <si>
    <t>Cách tính thuế mới đơn giản hơn nhiều so với trước đây, giúp người dân dễ dàng hiểu và áp dụng.</t>
  </si>
  <si>
    <t>Tôi tin rằng cơ quan thuế sẽ thực thi chính sách một cách công bằng đối với mọi người nộp thuế. Tuy nhiên, sự minh bạch trong quá trình thực hiện vẫn cần được cải thiện.</t>
  </si>
  <si>
    <t>Như mức giảm trừ gia cảnh và số bậc thuế đã thay đổi, tôi thấy rằng chính sách mới là công bằng hơn với thu nhập của tôi. Điều này tăng thêm niềm tin về sự công bằng.</t>
  </si>
  <si>
    <t>Tôi tin rằng số tiền thuế đóng sẽ được sử dụng hiệu quả để cải thiện dịch vụ công, mặc dù việc cụ thể hóa mục tiêu sử dụng còn hạn chế.</t>
  </si>
  <si>
    <t>Nhà nước đã giải thích rõ ràng về mục tiêu của chính sách mới. Tuy nhiên, tôi vẫn mong muốn có thêm thông tin về cách sử dụng nguồn thu thuế vào các dịch vụ công cụ thể hơn.</t>
  </si>
  <si>
    <t>Chính sách mới mang lại lợi ích tài chính cho tôi và giảm độ phức tạp. Tôi ủng hộ việc này và sẽ tuân thủ.</t>
  </si>
  <si>
    <t>Nhà nước đã tăng cường các biện pháp quản lý thuế và công nghệ hiện đại nên tôi tin rằng hành vi gian lận sẽ dễ bị phát hiện.</t>
  </si>
  <si>
    <t>Cơ quan thuế có đủ khả năng và công nghệ để xử lý nghiêm minh các trường hợp trốn thuế, nhờ đó tăng tính răn đe.</t>
  </si>
  <si>
    <t>So với trước đây, thủ tục khai báo thuế đơn giản hơn do số bậc thuế giảm đi và sự cải tiến về công nghệ;</t>
  </si>
  <si>
    <t>Cách tính thuế mới rõ ràng hơn, dễ dàng áp dụng hơn so với biểu thuế cũ phức tạp</t>
  </si>
  <si>
    <t>Tôi tin rằng Nhà nước sẽ thực thi chính sách một cách công bằng và khách quan</t>
  </si>
  <si>
    <t>Mức thuế mới giảm so với trước đây, do đó tôi cảm thấy công bằng hơn khi đóng góp cho xã hội</t>
  </si>
  <si>
    <t>Thuê tôi đóng sẽ được sử dụng hiệu quả để cải thiện các dịch vụ công như y tế và giao thông</t>
  </si>
  <si>
    <t>Nhà nước đã giải thích rõ ràng về mục tiêu của chính sách mới, từ đó tăng niềm tin vào hệ thống thuế hiện tại</t>
  </si>
  <si>
    <t>Sau khi tính toán tác động tài chính và thấy mức giảm trừ gia cảnh tốt hơn, tôi ủng hộ và tuân thủ chính sách mới.</t>
  </si>
  <si>
    <t>Hiện tại không phải đóng thuế nên nguy cơ bị phát hiện rất thấp, nhưng với các quy định quản lý thuế mới, khả năng phát hiện gian lận có thể tăng lên.</t>
  </si>
  <si>
    <t>Cơ quan thuế đã áp dụng công nghệ để giám sát hiệu quả hơn, giảm nguy cơ trốn thuế nhưng vẫn cần cải thiện nhiều.</t>
  </si>
  <si>
    <t>Quy trình khai báo và làm việc với cơ quan thuế đơn giản hơn, thuận tiện hơn so với trước đây.</t>
  </si>
  <si>
    <t>Số bậc thuế giảm từ 7 xuống còn 5, quy định rõ ràng và dễ hiểu hơn, người dân dễ áp dụng.</t>
  </si>
  <si>
    <t>Nhà nước đã cải cách thuế một cách công bằng cho mọi người nộp thuế, tôi tin tưởng rằng sẽ được thực thi khách quan.</t>
  </si>
  <si>
    <t>Mức giảm trừ gia cảnh cao hơn thu nhập nên tôi không phải đóng thuế, thấy đây là mức thuế hợp lý với thu nhập của mình.</t>
  </si>
  <si>
    <t>Thuế được sử dụng để cải thiện dịch vụ công, tuy nhiên chưa biết cụ thể hiệu quả sử dụng khoản tiền thuế này.</t>
  </si>
  <si>
    <t>Nhà nước đã giải thích rõ ràng về mục tiêu và lý do của việc cải cách thuế lần này, tôi tin vào quyết định này.</t>
  </si>
  <si>
    <t>Sau khi xem xét các quyền lợi và nghĩa vụ, tôi ủng hộ và tuân thủ chính sách mới hiện nay.</t>
  </si>
  <si>
    <t>Dù các quy định quản lý thuế hiện nay được cải thiện, nhưng tôi vẫn lo ngại về khả năng phát hiện hành vi gian lận trốn thuế.</t>
  </si>
  <si>
    <t>Nhà nước và cơ quan thuế đã đầu tư công nghệ để phát hiện, xử lý các hành vi trốn thuế nhưng tôi vẫn nghĩ cần cải thiện hơn nữa.</t>
  </si>
  <si>
    <t>So với trước đây, thủ tục khai báo thuế đơn giản và nhanh chóng hơn nhiều, giảm bớt sự phức tạp cho người dân.</t>
  </si>
  <si>
    <t>Bậc thuế mới đơn giản hóa quy trình tính toán, dễ hiểu và dễ thực hiện hơn so với trước đây.</t>
  </si>
  <si>
    <t>Tôi tin rằng Nhà nước sẽ công bằng trong việc thực thi chính sách nhưng lo ngại về khả năng xử lý kịp thời các trường hợp gian lận.</t>
  </si>
  <si>
    <t>Mức thuế mới giảm đáng kể so với trước đây, tôi cảm thấy nó hợp lý hơn.</t>
  </si>
  <si>
    <t>Số tiền thuế tôi đóng sẽ được sử dụng để cải thiện các dịch vụ công, nhưng vẫn cần minh bạch hóa thêm</t>
  </si>
  <si>
    <t>Nhà nước đã giải thích rõ ràng về mục tiêu của việc sửa đổi chính sách thuế nhưng tôi nghĩ họ có thể làm rõ hơn nữa.</t>
  </si>
  <si>
    <t>Chính sách mới giảm gánh nặng tài chính cho tôi, tôi sẽ ủng hộ và tuân thủ nó</t>
  </si>
  <si>
    <t>Nhà nước đã tăng cường quản lý thuế và công nghệ, nhưng vẫn cần cải thiện để phát hiện trốn thuế hiệu quả hơn.</t>
  </si>
  <si>
    <t>Cơ quan thuế có nhiều nguồn lực và công nghệ hiện đại hơn để phát hiện và xử lý gian lận trốn thuế.</t>
  </si>
  <si>
    <t>Quy trình khai báo thuế đơn giản hơn, nhưng vẫn cần cải thiện về mặt kỹ thuật khi sử dụng phần mềm.</t>
  </si>
  <si>
    <t>Cách tính thuế và các bậc thuế mới rõ ràng hơn, dễ hiểu và thuận tiện cho người dân.</t>
  </si>
  <si>
    <t>Tôi tin rằng cơ quan thuế sẽ công bằng trong việc thực thi chính sách, nhưng cần thêm minh bạch về quy trình.</t>
  </si>
  <si>
    <t>Thuế mới giảm đáng kể so với trước đây và tôi thấy điều này là hợp lý cho thu nhập của mình.</t>
  </si>
  <si>
    <t>Thực tế, số tiền thuế đóng sẽ được sử dụng vào việc cải thiện dịch vụ công, nhưng cần minh bạch hơn.</t>
  </si>
  <si>
    <t>Nhà nước đã giải thích rõ về mục tiêu của chính sách mới, nhưng vẫn cần thêm thông tin chi tiết.</t>
  </si>
  <si>
    <t>Tôi ủng hộ và tuân thủ chính sách mới vì nó giảm gánh nặng thuế cho tôi và gia đình.</t>
  </si>
  <si>
    <t>Việc tăng giảm trừ gia cảnh và đơn giản hóa biểu thuế có thể khiến việc phát hiện gian lận trở nên khó khăn hơn, nhưng cơ quan thuế vẫn có nhiều biện pháp khác để ngăn chặn trốn thuế.</t>
  </si>
  <si>
    <t>Cơ quan thuế đã và đang áp dụng công nghệ cao trong quản lý thuế, tuy nhiên, hiệu quả thực tế còn phụ thuộc vào việc triển khai và giám sát.</t>
  </si>
  <si>
    <t>Quy trình làm việc với cơ quan thuế trở nên đơn giản hơn, nhưng vẫn cần thời gian để người dân quen thuộc với các thay đổi mới.</t>
  </si>
  <si>
    <t>Biểu thuế được đơn giản hóa từ 7 bậc xuống còn 5 bậc, dễ dàng tính toán và hiểu biết hơn so với trước đây.</t>
  </si>
  <si>
    <t>Tôi tin rằng cơ quan thuế sẽ thực thi chính sách một cách công bằng, nhưng cần thời gian để chứng minh.</t>
  </si>
  <si>
    <t>Tiết kiệm được nhiều tiền thuế và mức giảm trừ gia cảnh tăng lên, khiến tôi thấy mức thuế mới là hợp lý cho thu nhập của mình.</t>
  </si>
  <si>
    <t>Thuê đóng góp vào việc cải thiện dịch vụ công như y tế, giáo dục và hạ tầng giao thông, mặc dù hiệu quả có thể không rõ ràng ngay lập tức.</t>
  </si>
  <si>
    <t>Đã có sự giải thích rõ ràng về mục tiêu của việc sửa đổi thuế lần này, nhưng chi tiết về cách sử dụng số tiền thuế cụ thể vẫn còn hạn chế.</t>
  </si>
  <si>
    <t>Tác động tài chính tích cực và quy trình đơn giản hơn thuyết phục tôi ủng hộ và tuân thủ chính sách mới.</t>
  </si>
  <si>
    <t>Nhìn chung, với mức giảm trừ gia cảnh cao hơn và số bậc thuế đơn giản hơn, các quy định quản lý thuế hiện nay khó phát hiện hành vi gian lận hoặc trốn thuế. Tuy nhiên, cơ quan thuế vẫn có khả năng phát hiện qua kiểm tra hồ sơ.</t>
  </si>
  <si>
    <t>Cơ quan thuế với công nghệ tiên tiến hiện nay có khả năng xử lý và theo dõi các giao dịch tài chính, từ đó giảm thiểu cơ hội trốn thuế. Tuy nhiên, hiệu quả này còn phụ thuộc vào sự thực thi.</t>
  </si>
  <si>
    <t>Quy trình khai báo thuế và làm việc với cơ quan thuế trở nên đơn giản hơn so với trước đây, đặc biệt là với mức giảm trừ gia cảnh cao. Điều này giúp thuận tiện cho người dân.</t>
  </si>
  <si>
    <t>Biểu thuế đơn giản hóa từ 7 bậc xuống còn 5 bậc, dễ hiểu và thực hiện hơn so với trước đây, tạo cảm giác thuận lợi cho người nộp thuế.</t>
  </si>
  <si>
    <t>Nhà nước đã công khai giải thích về mục tiêu của việc sửa đổi thuế, tuy nhiên, do mức thuế giảm nên tôi có niềm tin hơn vào cách thực thi chính sách mới.</t>
  </si>
  <si>
    <t>Mức thuế giảm và số bậc thuế đơn giản hóa giúp tôi thấy rằng sự công bằng trong việc đóng thuế đã được cải thiện, phù hợp với thu nhập của mình.</t>
  </si>
  <si>
    <t>Thuế giảm và mức giảm trừ gia cảnh cao hơn giúp tôi tin rằng số tiền đóng góp sẽ được sử dụng hiệu quả cho các dịch vụ công.</t>
  </si>
  <si>
    <t>Nhà nước đã giải thích rõ ràng về mục tiêu và nguyên nhân của việc sửa đổi thuế, tạo niềm tin vào sự minh bạch trong quyết định này.</t>
  </si>
  <si>
    <t>Chính sách mới giúp tôi tiết kiệm được một khoản tiền đáng kể, đồng thời cải thiện mức độ thuận tiện khi khai báo thuế. Tôi ủng hộ và tuân thủ chính sách mới.</t>
  </si>
  <si>
    <t>Với sự phát triển công nghệ hiện nay, tôi tin rằng cơ quan thuế có đủ khả năng để quản lý và phát hiện các hành vi trốn thuế. Tuy nhiên, thực tế vẫn còn nhiều vấn đề như thiếu thông tin cá nhân và quy trình không hoàn hảo.</t>
  </si>
  <si>
    <t>Nhà nước đã đầu tư vào công nghệ để cải thiện khả năng quản lý thuế, tăng cường phát hiện gian lận, trốn thuế. Điều này giúp tôi tin rằng các hành vi bất hợp pháp sẽ bị xử lý nghiêm.</t>
  </si>
  <si>
    <t>So với trước đây, quy trình khai báo thuế trở nên đơn giản hơn, dễ hiểu và thuận tiện hơn. Tuy nhiên, vẫn còn một số bước phức tạp cần cải thiện.</t>
  </si>
  <si>
    <t>Biểu thuế được đơn giản hóa từ 7 bậc xuống 5 bậc, giảm đi độ phức tạp. Điều này giúp tôi dễ dàng tính toán và tuân thủ hơn.</t>
  </si>
  <si>
    <t>Tôi tin rằng cơ quan thuế sẽ thực thi chính sách một cách công bằng với tất cả người nộp thuế. Tuy nhiên, vẫn có sự nghi ngờ về việc quản lý thông tin cá nhân và quy trình xử lý.</t>
  </si>
  <si>
    <t>Mức thuế mới được đánh giá là hợp lý, phù hợp với thu nhập của tôi. Việc tăng giảm trừ gia cảnh giúp giảm gánh nặng thuế cho người dân</t>
  </si>
  <si>
    <t>Tôi tin rằng số tiền thuế đóng sẽ được sử dụng hiệu quả để cải thiện dịch vụ công. Tuy nhiên, vẫn cần nhiều thông tin chi tiết hơn về cách sử dụng nguồn thu thuế</t>
  </si>
  <si>
    <t>Nhà nước đã giải thích khá rõ ràng về mục tiêu của việc sửa đổi thuế. Tuy nhiên, tôi mong rằng sẽ có thêm thông tin về hiệu quả cụ thể mà chính sách này mang lại.</t>
  </si>
  <si>
    <t>Sau khi xem xét các quyền lợi và nghĩa vụ, tôi ủng hộ và tuân thủ chính sách mới. Tuy nhiên, vẫn cần cải thiện quy trình khai báo thuế để thuận tiện hơn nữa</t>
  </si>
  <si>
    <t>Hiện nay, các quy định quản lý thuế vẫn còn phức tạp và thiếu minh bạch, nhưng với việc cải cách thuế mới, khả năng phát hiện trốn thuế sẽ tăng lên do mức giảm trừ gia cảnh cao hơn và số bậc thuế đơn giản hơn.</t>
  </si>
  <si>
    <t>Cơ quan thuế có công nghệ và nguồn lực để theo dõi và xử lý các hành vi trốn thuế, đặc biệt là với mức giảm trừ gia cảnh cao hơn giúp tăng cường quản lý.</t>
  </si>
  <si>
    <t>So với trước đây, quy trình khai báo thuế trở nên đơn giản, thuận tiện hơn nhờ việc rút gọn số bậc thuế và nâng cao mức giảm trừ gia cảnh.</t>
  </si>
  <si>
    <t>Phương án mới về thuế có các bậc thuế rõ ràng, dễ hiểu, giúp người nộp thuế dễ dàng tính toán và thực hiện hơn so với trước đây.</t>
  </si>
  <si>
    <t>Tôi tin rằng Nhà nước sẽ thực thi chính sách một cách công tâm vì mức giảm trừ gia cảnh cao hơn và số bậc thuế đơn giản, tạo ra sự công bằng trong việc đánh thuế.</t>
  </si>
  <si>
    <t>Theo phương án mới, tôi chỉ còn phải đóng 0 đồng thuế/tháng, mức này hợp lý cho thu nhập của tôi và người phụ thuộc.</t>
  </si>
  <si>
    <t>Thuế mà tôi đóng sẽ được sử dụng hiệu quả để cải thiện các dịch vụ công như y tế và đường xá, tạo niềm tin vào việc chi tiêu công.</t>
  </si>
  <si>
    <t>Nhà nước đã giải thích rõ ràng về mục đích của việc sửa đổi thuế lần này, tạo ra sự minh bạch trong việc thực thi chính sách.</t>
  </si>
  <si>
    <t>Tôi ủng hộ và tuân thủ chính sách mới vì nó mang lại lợi ích tài chính cho tôi và người phụ thuộc, cũng như đơn giản hóa quy trình thuế.</t>
  </si>
  <si>
    <t>Dù thuế đã được giảm trừ gia cảnh và tôi không phải đóng thuế, nhưng tôi vẫn tin rằng cơ quan thuế có đủ khả năng phát hiện gian lận. Tuy nhiên, do cải cách thuế chủ yếu tập trung vào việc đơn giản hóa và tăng mức giảm trừ, nên khả năng quản lý của họ cũng cần được kiểm chứng.</t>
  </si>
  <si>
    <t>Nhà nước đã cải tiến hệ thống công nghệ để theo dõi thu thuế. Tuy nhiên, tôi vẫn lo ngại về việc quản lý hiệu quả và sự chính xác trong quá trình này.</t>
  </si>
  <si>
    <t>Quy trình khai báo thuế trở nên đơn giản hơn so với trước đây do giảm số bậc thuế. Việc chỉ còn 5 bậc thay vì 7 khiến việc làm thủ tục thuận tiện và nhanh chóng hơn.</t>
  </si>
  <si>
    <t>Các bậc thuế mới dễ hiểu hơn, đặc biệt là khi mức giảm trừ gia cảnh tăng cao. Điều này giúp tôi tính toán và nộp thuế một cách dễ dàng hơn.</t>
  </si>
  <si>
    <t>Tôi tin rằng Nhà nước sẽ thực thi chính sách công bằng cho tất cả các đối tượng nộp thuế, tuy nhiên cần thêm thời gian để kiểm chứng</t>
  </si>
  <si>
    <t>Với mức giảm trừ gia cảnh cao và không phải đóng thuế, tôi thấy rằng thuế này là hợp lý. Tuy nhiên, việc cải cách còn nhiều khía cạnh cần được xem xét.</t>
  </si>
  <si>
    <t>Mặc dù không phải đóng thuế nhưng số tiền thuế cũ của tôi đã được sử dụng hiệu quả vào các dịch vụ công ích. Việc cải cách này sẽ giúp cải thiện thêm nữa.</t>
  </si>
  <si>
    <t>Nhà nước đã giải thích rõ ràng về mục tiêu của việc cải cách, nhưng cần thêm thông tin chi tiết về cách sử dụng nguồn thu thuế mới để tăng niềm tin</t>
  </si>
  <si>
    <t>Sau khi xem xét các quyền lợi và nghĩa vụ, tôi ủng hộ chính sách này vì nó đơn giản hóa quy trình nộp thuế và giảm gánh nặng về thuế cho người dân.</t>
  </si>
  <si>
    <t>Nhà nước và cơ quan thuế đã tăng cường các biện pháp quản lý, tuy nhiên do mức thu nhập không cao nên khả năng phát hiện hành vi gian lận hoặc trốn thuế không quá lớn.</t>
  </si>
  <si>
    <t>Cơ quan thuế có công nghệ và khả năng để phát hiện các hành vi trốn thuế, nhưng việc thực thi vẫn phụ thuộc vào sự nghiêm minh của quy định pháp luật.</t>
  </si>
  <si>
    <t>Quy trình khai báo thuế và giao tiếp với cơ quan thuế đã đơn giản hơn, tuy nhiên vẫn còn một số rào cản đối với người dân chưa am hiểu về hệ thống thuế mới.</t>
  </si>
  <si>
    <t>Cách tính thuế và các bậc thuế trong phương án mới đã trở nên dễ hiểu và đơn giản hơn, giúp tôi không còn cảm thấy bị áp lực khi khai báo thuế nữa.</t>
  </si>
  <si>
    <t>Tôi tin rằng nhà nước sẽ thực thi chính sách một cách công tâm, mặc dù quy định mới chưa hoàn toàn rõ ràng về cách xử lý các trường hợp cụ thể.</t>
  </si>
  <si>
    <t>Theo phương án mới, mức thuế tôi phải đóng là hợp lý và phù hợp với thu nhập của mình, do đó tạo ra cảm giác công bằng.</t>
  </si>
  <si>
    <t>Tôi tin rằng số tiền thuế tôi đóng sẽ được sử dụng hiệu quả để cải thiện các dịch vụ công, mặc dù không có thông tin cụ thể về việc này.</t>
  </si>
  <si>
    <t>Nhà nước đã giải thích một cách rõ ràng và minh bạch về mục tiêu của việc sửa đổi thuế, tuy nhiên vẫn còn nhiều điểm chưa được làm rõ.</t>
  </si>
  <si>
    <t>Dù có những thay đổi tích cực nhưng do mức thu nhập không cao nên tôi chỉ ủng hộ một phần nhỏ chính sách mới này.</t>
  </si>
  <si>
    <t>Hiện nay, cơ quan thuế đã phát triển nhiều công cụ và hệ thống để theo dõi hoạt động kinh tế cá nhân. Tuy nhiên, việc thực thi vẫn phụ thuộc vào sự tuân thủ của người nộp thuế.</t>
  </si>
  <si>
    <t>Cơ quan thuế đã có nhiều cải tiến công nghệ và quy trình quản lý, tuy vậy, hiệu quả còn tùy thuộc vào sự phối hợp giữa các bộ phận liên quan.</t>
  </si>
  <si>
    <t>Quy trình khai báo và làm việc với cơ quan thuế trở nên đơn giản hơn do giảm trừ gia cảnh tăng và số bậc thuế ít đi, thuận lợi cho người dân.</t>
  </si>
  <si>
    <t>Các quy định về thuế thu nhập cá nhân rõ ràng hơn, dễ hiểu hơn so với trước đây, giúp người dân dễ dàng nắm bắt và thực hiện.</t>
  </si>
  <si>
    <t>Tôi tin rằng cơ quan thuế sẽ thực thi chính sách một cách công bằng vì các quy định mới đã giảm gánh nặng về thuế cho tôi.</t>
  </si>
  <si>
    <t>Thu nhập của tôi thuộc nhóm người thu nhập trung bình, mức thuế giảm đáng kể giúp tôi thấy rằng hệ thống thuế hiện tại là công bằng hơn.</t>
  </si>
  <si>
    <t>Ngoài việc giảm gánh nặng về thuế, tôi tin rằng số tiền đóng góp của tôi sẽ được sử dụng hiệu quả để cải thiện dịch vụ công cho cộng đồng.</t>
  </si>
  <si>
    <t>Nhà nước đã giải thích rõ ràng về mục tiêu và lý do của việc sửa đổi thuế, khiến tôi cảm thấy tin tưởng hơn vào quyết định này.</t>
  </si>
  <si>
    <t>Dựa trên sự đơn giản hóa quy trình, giảm gánh nặng về thuế và các lợi ích tài chính mà tôi nhận được, tôi ủng hộ và tuân thủ chính sách mới.</t>
  </si>
  <si>
    <t>Nhà nước đã công khai các quy định và có hệ thống giám sát thuế chặt chẽ, nhưng việc xử lý nghiêm vẫn phụ thuộc vào năng lực thực thi.</t>
  </si>
  <si>
    <t>Cơ quan thuế hiện đại với nhiều nguồn thông tin giúp phát hiện gian lận, trốn thuế hiệu quả hơn trước đây.</t>
  </si>
  <si>
    <t>Thủ tục khai báo và làm việc với cơ quan thuế đơn giản hóa đáng kể, tiết kiệm thời gian cho người dân.</t>
  </si>
  <si>
    <t>Các bậc thuế mới rõ ràng hơn, dễ hiểu và thuận tiện trong quá trình tính thuế.</t>
  </si>
  <si>
    <t>Nhà nước đã công bố các quy định một cách minh bạch và khách quan, tạo lòng tin với người dân.</t>
  </si>
  <si>
    <t>Các mức thuế mới phù hợp với thu nhập của tôi, thể hiện sự công bằng trong việc đóng góp cho xã hội.</t>
  </si>
  <si>
    <t>Thuế đóng góp vào các dịch vụ công như y tế và giao thông, tạo niềm tin về hiệu quả sử dụng nguồn lực.</t>
  </si>
  <si>
    <t>Nhà nước đã giải thích rõ ràng mục tiêu của việc cải cách thuế lần này, tăng thêm sự tin tưởng từ người dân.</t>
  </si>
  <si>
    <t>Chính sách mới giúp tôi tiết kiệm được nhiều tiền, đồng thời đơn giản hóa thủ tục, tôi hoàn toàn ủng hộ và tuân thủ.</t>
  </si>
  <si>
    <t>Dù cơ quan thuế có công nghệ tốt nhưng mức thuế giảm khiến tôi không lo ngại về việc bị phát hiện.</t>
  </si>
  <si>
    <t>Công nghệ và khả năng của nhà nước trong việc phát hiện trốn thuế vẫn được cải thiện, dù không liên quan nhiều đến tôi vì không phải đóng thuế.</t>
  </si>
  <si>
    <t>Quy trình làm việc đơn giản hơn với mức giảm trừ gia cảnh cao, nhưng thủ tục khai báo vẫn phức tạp đối với người không hiểu rõ.</t>
  </si>
  <si>
    <t>Bậc thuế giảm giúp tính toán đơn giản hơn nhưng tôi vẫn gặp khó khăn khi áp dụng vào thực tế do trình độ học vấn chỉ dừng ở trung học phổ thông.</t>
  </si>
  <si>
    <t>Tôi tin tưởng cơ quan thuế sẽ công tâm trong việc áp dụng chính sách mới, đặc biệt là khi tôi không phải đóng thuế.</t>
  </si>
  <si>
    <t>Lượng tiền thuế không đáng kể nên mức thuế mới được coi là công bằng đối với thu nhập của tôi.</t>
  </si>
  <si>
    <t>Nhà nước sử dụng số tiền này để cải thiện dịch vụ công, điều đó có lợi cho cộng đồng và tôi.</t>
  </si>
  <si>
    <t>Dù có giải thích nhưng vì không hiểu rõ về thuế nên tôi không cảm thấy minh bạch</t>
  </si>
  <si>
    <t>Mặc dù lợi ích nhiều hơn, tôi vẫn giữ thái độ trung lập vì mức thuế hiện tại thấp và dễ dàng chấp nhận.</t>
  </si>
  <si>
    <t>Thuế theo luật cũ và mới đều là 0 VNĐ/tháng, cho thấy không có gì thay đổi về việc phát hiện gian lận trốn thuế. Tuy nhiên, số bậc thuế đã giảm đi từ 7 xuống còn 5, điều này tạo cảm giác thuận tiện hơn.</t>
  </si>
  <si>
    <t>Cơ quan thuế có khả năng và công nghệ để phát hiện gian lận trốn thuế, nhưng không rõ liệu họ có thực sự áp dụng mạnh mẽ hay không. Đơn giản hóa quy trình sẽ giúp việc kiểm soát dễ dàng hơn.</t>
  </si>
  <si>
    <t>So với trước đây, quá trình khai báo thuế và làm việc với cơ quan thuế đã đơn giản hóa hơn nhiều. Số bậc thuế giảm từ 7 xuống còn 5 tạo cảm giác thuận tiện cho người nộp thuế.</t>
  </si>
  <si>
    <t>Cách tính thuế mới đơn giản hơn, dễ hiểu và thực hiện nhanh chóng hơn so với quy định cũ. Số bậc thuế giảm từ 7 xuống còn 5 tạo cảm giác thuận tiện cho người nộp thuế.</t>
  </si>
  <si>
    <t>Tôi tin rằng Nhà nước sẽ thực thi chính sách một cách công bằng, nhưng không chắc chắn về việc họ xử lý nghiêm các hành vi gian lận trốn thuế. Đơn giản hóa quy trình sẽ tạo niềm tin cho người dân.</t>
  </si>
  <si>
    <t>Mức thuế mới đối với thu nhập của tôi là hợp lý và công bằng, bởi vì mức giảm trừ gia cảnh cao hơn so với thu nhập. Đơn giản hóa quy trình tính thuế tạo cảm giác công bằng.</t>
  </si>
  <si>
    <t>Số tiền thuế mà tôi đóng sẽ được sử dụng hiệu quả để cải thiện dịch vụ công, nhưng không rõ liệu số tiền đó có thực sự được sử dụng như vậy hay không. Đơn giản hóa quy trình tính thuế tạo niềm tin cho người dân.</t>
  </si>
  <si>
    <t>Nhà nước đã giải thích rõ ràng về mục tiêu của việc sửa đổi thuế, nhưng không biết liệu họ có thực hiện đúng như lời hứa hay không. Đơn giản hóa quy trình tính thuế tạo cảm giác minh bạch.</t>
  </si>
  <si>
    <t>Tôi ủng hộ chính sách mới vì nó đơn giản và thuận tiện hơn, giảm gánh nặng về mặt tài chính cho tôi. Mặc dù có một số không chắc chắn về việc thực thi, nhưng các thay đổi này mang lại lợi ích rõ ràng.</t>
  </si>
  <si>
    <t>Việc tăng giảm trừ gia cảnh và đơn giản hóa biểu thuế có thể làm giảm khả năng gian lận, nhưng vẫn cần các biện pháp quản lý hiệu quả để phát hiện hành vi trốn thuế.</t>
  </si>
  <si>
    <t>Nhà nước đã đầu tư vào công nghệ và nguồn lực cho cơ quan thuế, tuy nhiên, việc phát hiện và xử lý trốn thuế vẫn phụ thuộc vào sự tận tụy của nhân viên.</t>
  </si>
  <si>
    <t>Quy trình khai báo thuế trở nên đơn giản hơn, giảm bớt các thủ tục rườm rà trước đây. Tuy nhiên, việc áp dụng hệ thống mới có thể khiến một số người gặp khó khăn.</t>
  </si>
  <si>
    <t>Các bậc thuế được đơn giản hóa và dễ hiểu hơn, giúp việc tính toán thuế trở nên thuận tiện hơn cho người dân. Tuy nhiên, điều này vẫn đòi hỏi sự thay đổi trong cách suy nghĩ về thuế của nhiều người.</t>
  </si>
  <si>
    <t>Tôi tin rằng cơ quan thuế sẽ thực thi chính sách một cách công bằng và khách quan. Tuy nhiên, tôi cũng lo ngại về sự tuân thủ và việc áp dụng thống nhất trong thực tế.</t>
  </si>
  <si>
    <t>Tiết kiệm được nhiều tiền thuế so với trước đây khiến tôi cảm thấy mức thuế mới là hợp lý. Tuy nhiên, vẫn cần xem xét thêm về sự công bằng giữa các đối tượng khác nhau.</t>
  </si>
  <si>
    <t>Thuế tôi đóng sẽ được sử dụng để cải thiện dịch vụ công, nhưng việc này phụ thuộc vào hiệu quả quản lý của Nhà nước.</t>
  </si>
  <si>
    <t>Nhà nước đã giải thích rõ ràng về mục tiêu của chính sách mới, tuy nhiên, tôi vẫn mong muốn có thêm thông tin chi tiết hơn về cách sử dụng số tiền thuế được thu</t>
  </si>
  <si>
    <t>Sau khi xem xét tác động tài chính tích cực và sự đơn giản hóa quy trình, tôi ủng hộ và tuân thủ chính sách mới. Tuy nhiên, vẫn cần cải thiện thêm về mặt minh bạch và công bằng.</t>
  </si>
  <si>
    <t>Việc tăng mức giảm trừ gia cảnh và đơn giản hóa biểu thuế có thể làm giảm khả năng phát hiện hành vi trốn thuế, do đó tôi không hoàn toàn tin tưởng.</t>
  </si>
  <si>
    <t>Tuy cơ quan thuế đã cải tiến công nghệ nhưng vẫn cần tăng cường quản lý để phát hiện các trường hợp gian lận hoặc trốn thuế hiệu quả hơn.</t>
  </si>
  <si>
    <t>So với trước đây, quy trình khai thuế và làm việc với cơ quan thuế trở nên đơn giản hơn, nhưng vẫn cần thêm thời gian để tôi nắm bắt.</t>
  </si>
  <si>
    <t>Biểu thuế mới đơn giản hóa và dễ hiểu hơn so với trước đây, giúp người dân dễ dàng tính toán và nộp thuế đúng hạn.</t>
  </si>
  <si>
    <t>Tôi tin rằng Nhà nước sẽ thực thi chính sách một cách công bằng, nhưng cần thêm thời gian để các quy định mới được phổ biến rộng rãi.</t>
  </si>
  <si>
    <t>Với thu nhập của tôi, mức thuế mới là hợp lý và công bằng. Tuy nhiên, vẫn cần thời gian để làm quen với biểu thuế mới.</t>
  </si>
  <si>
    <t>Tôi tin rằng số tiền thuế đóng sẽ được sử dụng hiệu quả cho dịch vụ công như y tế, đường xá..., nhưng cần thêm thông tin cụ thể hơn.</t>
  </si>
  <si>
    <t>Nhà nước đã giải thích rõ về việc cải cách thuế lần này, tuy nhiên, tôi mong muốn có thêm nhiều thông tin và hướng dẫn chi tiết hơn.</t>
  </si>
  <si>
    <t>Tôi ủng hộ chính sách mới do nó giúp giảm gánh nặng tài chính cho người dân như tôi. Tuy nhiên, cần thời gian để làm quen với các quy định mới.</t>
  </si>
  <si>
    <t>Thuế mới đã đơn giản hóa nhiều, giảm bớt các lo ngại về trốn thuế. Tuy nhiên, việc phát hiện và xử lý gian lận vẫn phụ thuộc vào sự giám sát của cơ quan thuế.</t>
  </si>
  <si>
    <t>Công nghệ ngày càng tiến bộ giúp nhà nước dễ dàng quản lý và phát hiện trốn thuế hơn. Tuy nhiên, hiệu quả thực tế còn cần thêm thời gian để chứng minh.</t>
  </si>
  <si>
    <t>Quy trình khai báo thuế và làm việc với cơ quan thuế đã đơn giản hóa đáng kể so với trước đây. Người dân dễ dàng tiếp cận hơn.</t>
  </si>
  <si>
    <t>Biểu thuế mới đã đơn giản đi, dễ hiểu và thực hiện thuận tiện hơn. Đây là một cải tiến tích cực cho người nộp thuế.</t>
  </si>
  <si>
    <t>Tôi tin rằng cơ quan thuế sẽ xử lý công bằng với mọi người nộp thuế. Tuy nhiên, sự minh bạch và khách quan của họ cần được kiểm chứng qua thực tế.</t>
  </si>
  <si>
    <t>Thuế mới đã giảm đáng kể so với trước đây, tôi thấy mức này là công bằng cho thu nhập của mình. Tuy nhiên, việc đánh giá công bằng còn phụ thuộc vào cách áp dụng.</t>
  </si>
  <si>
    <t>Tôi tin rằng số tiền thuế đóng sẽ được sử dụng hiệu quả để cải thiện dịch vụ công. Tuy nhiên, cần có thêm thông tin về cách thức sử dụng nguồn thu</t>
  </si>
  <si>
    <t>Nhà nước đã giải thích rõ ràng mục tiêu của việc sửa đổi thuế lần này. Tuy vậy, sự minh bạch và khả năng thực thi vẫn cần thêm thời gian để chứng minh.</t>
  </si>
  <si>
    <t>Tôi ủng hộ chính sách mới vì nó đã giảm gánh nặng về mặt tài chính cho tôi. Tôi sẽ tuân thủ các quy định mới</t>
  </si>
  <si>
    <t>Tôi không hoàn toàn tin tưởng vào khả năng phát hiện hành vi gian lận hoặc trốn thuế của cơ quan thuế, nhưng với mức giảm trừ gia cảnh tăng lên và đơn giản hóa biểu thuế, tôi thấy có ít lợi ích để gian lận hơn.</t>
  </si>
  <si>
    <t>Tôi tin rằng Nhà nước đã đầu tư công nghệ cho ngành thuế, nhưng hiệu quả thực tế chưa được chứng minh đầy đủ.</t>
  </si>
  <si>
    <t>Nhìn chung các quy trình làm việc với cơ quan thuế trở nên đơn giản hơn, đặc biệt là với mức giảm trừ gia cảnh tăng lên.</t>
  </si>
  <si>
    <t>Biểu thuế mới đơn giản và dễ hiểu hơn so với trước đây, giúp tôi dễ dàng tính toán các khoản thuế phải nộp.</t>
  </si>
  <si>
    <t>Tôi tin rằng cơ quan thuế sẽ thực thi chính sách một cách công bằng, nhưng do chưa có nhiều thông tin về cách thực hiện, mức độ khách quan còn bị hoài nghi.</t>
  </si>
  <si>
    <t>Thuế tôi phải đóng theo phương án mới là hợp lý và công bằng, đặc biệt với mức giảm trừ gia cảnh tăng lên.</t>
  </si>
  <si>
    <t>Tôi tin rằng số tiền thuế tôi đóng sẽ được sử dụng hiệu quả cho các dịch vụ công, nhưng chi tiết về cách sử dụng cụ thể còn hạn chế thông tin.</t>
  </si>
  <si>
    <t>Nhà nước đã giải thích rõ ràng lý do và mục tiêu của việc sửa đổi thuế lần này, giúp tôi hiểu được giá trị của chính sách mới.</t>
  </si>
  <si>
    <t>Sau khi xem xét các quyền lợi và nghĩa vụ theo chính sách mới, tôi ủng hộ và sẽ tuân thủ vì nó mang lại lợi ích đáng kể về mặt tài chính.</t>
  </si>
  <si>
    <t>Dù Nhà nước có công nghệ phát hiện gian lận và trốn thuế, nhưng mức giảm trừ gia cảnh cao đã loại tôi ra khỏi phạm vi chịu thuế nên khả năng bị phát hiện là không cao.</t>
  </si>
  <si>
    <t>Ngay cả khi Nhà nước có công nghệ tốt, nhưng do tôi không còn trong diện chịu thuế nên việc xử lý nghiêm các hành vi trốn thuế với tôi không thực tế.</t>
  </si>
  <si>
    <t>Việc giảm bớt thủ tục và đơn giản hóa quy trình làm việc với cơ quan thuế giúp thuận tiện hơn so với trước đây, nhưng do không còn chịu thuế nên tác động cụ thể không lớn.</t>
  </si>
  <si>
    <t>Cách tính thuế và bậc thuế mới đơn giản hơn nhiều so với trước, lại thêm mức giảm trừ gia cảnh cao, nên việc thực hiện dễ dàng và thuận tiện hơn rất nhiều.</t>
  </si>
  <si>
    <t>Tôi tin rằng Nhà nước sẽ công bằng trong việc thực thi chính sách mới. Mức thuế không còn nữa, nhưng với mức giảm trừ gia cảnh cao, tôi thấy công bằng vì không phải đóng thuế.</t>
  </si>
  <si>
    <t>Dù không còn chịu thuế, nhưng với mức giảm trừ gia cảnh cao, tôi thấy chính sách mới đã cân nhắc kỹ lưỡng và hợp lý cho người dân như chúng tôi.</t>
  </si>
  <si>
    <t>Đã giảm bớt nghĩa vụ đóng thuế, nên số tiền thuế tôi đóng sẽ được sử dụng hiệu quả hơn để cải thiện dịch vụ công cho mọi người.</t>
  </si>
  <si>
    <t>Nhà nước đã giải thích rõ ràng về mục tiêu của việc sửa đổi thuế này và mức giảm trừ gia cảnh cao, nên tôi thấy minh bạch trong việc thực hiện chính sách mới.</t>
  </si>
  <si>
    <t>Sau khi xem xét, tôi ủng hộ và tuân thủ chính sách mới do các quy định giúp giảm gánh nặng thuế và đơn giản hóa quy trình làm việc với cơ quan thuế.</t>
  </si>
  <si>
    <t>Hiện nay, cơ quan thuế có nhiều công cụ và nguồn lực để theo dõi thu nhập của người dân thông qua các phương tiện kỹ thuật số như phần mềm quản lý thuế. Với mức giảm trừ gia cảnh cao hơn trước đây, tôi tin rằng hành vi gian lận sẽ được phát hiện sớm.</t>
  </si>
  <si>
    <t>Cơ quan thuế đã có nhiều cải tiến về công nghệ và nguồn lực để xử lý các trường hợp trốn thuế. Với sự hỗ trợ từ công nghệ, họ có khả năng phát hiện các hành vi không tuân thủ.</t>
  </si>
  <si>
    <t>Thủ tục khai báo thuế trở nên đơn giản hơn với việc giảm số bậc thuế. Điều này giúp người dân dễ dàng tiếp cận và thực hiện các quy trình nhanh chóng hơn.</t>
  </si>
  <si>
    <t>Các bước tính thuế mới rõ ràng, dễ hiểu và không còn phức tạp như trước đây. Việc đơn giản hóa biểu thuế giúp người dân nắm bắt và áp dụng dễ dàng hơn.</t>
  </si>
  <si>
    <t>Nhà nước đã cải cách chính sách thuế một cách công bằng với mức giảm trừ gia cảnh cao, khiến tôi tin rằng quy định mới sẽ được thực thi khách quan và công tâm.</t>
  </si>
  <si>
    <t>Với thu nhập hiện tại của tôi, mức thuế phải đóng là hợp lý. Việc giảm trừ gia cảnh lớn hơn giúp tôi cảm thấy công bằng trong việc đóng góp cho ngân sách nhà nước.</t>
  </si>
  <si>
    <t>Tôi tin rằng số tiền thuế đóng sẽ được sử dụng hiệu quả để nâng cao chất lượng dịch vụ công, như y tế và giao thông, cải thiện cuộc sống của người dân.</t>
  </si>
  <si>
    <t>Nhà nước đã giải thích rõ về mục tiêu cải cách thuế trong các diễn đàn chính trị và báo chí. Điều này làm tăng niềm tin vào sự minh bạch và công bằng.</t>
  </si>
  <si>
    <t>Sau khi xem xét tất cả các yếu tố, tôi ủng hộ và tuân thủ chính sách mới vì nó mang lại lợi ích cho người dân thông qua mức thuế hợp lý và quy trình đơn giản hơn.</t>
  </si>
  <si>
    <t>Với mức giảm trừ gia cảnh cao hơn, tôi tin rằng cơ quan thuế sẽ dễ dàng phát hiện các hành vi trốn thuế.</t>
  </si>
  <si>
    <t>Cơ quan thuế có đủ khả năng và công nghệ để quản lý hiệu quả với mức giảm trừ gia cảnh cao như vậy.</t>
  </si>
  <si>
    <t>So với trước đây, việc khai báo thuế trở nên đơn giản hơn nhiều, chỉ cần xác định thu nhập và giảm trừ gia cảnh.</t>
  </si>
  <si>
    <t>Biểu thuế đã được đơn giản hóa, dễ hiểu và thực hiện thuận tiện hơn so với trước đây.</t>
  </si>
  <si>
    <t>Tôi tin rằng cơ quan thuế sẽ công bằng trong việc áp dụng chính sách mới này.</t>
  </si>
  <si>
    <t>Mức thuế tôi phải đóng là hợp lý, do thu nhập của tôi không cao nên chỉ cần giảm trừ gia cảnh.</t>
  </si>
  <si>
    <t>Thuế mà tôi đóng sẽ được sử dụng hiệu quả để cải thiện dịch vụ công</t>
  </si>
  <si>
    <t>Tôi cảm thấy Nhà nước đã giải thích rõ ràng về mục tiêu và lý do của việc sửa đổi thuế lần này.</t>
  </si>
  <si>
    <t>Sau khi xem xét, tôi ủng hộ và sẽ tuân thủ chính sách mới vì lợi ích cá nhân cũng như cộng đồng</t>
  </si>
  <si>
    <t>Dù có khả năng phát hiện gian lận và trốn thuế, nhưng với quy định mới về mức giảm trừ gia cảnh cao hơn, tôi thấy cơ hội để bị phát hiện thấp hơn.</t>
  </si>
  <si>
    <t>Cơ quan thuế có công nghệ hiện đại, tuy nhiên, sự đơn giản hóa biểu thuế đã làm giảm khả năng kiểm soát và phát hiện hành vi trốn thuế.</t>
  </si>
  <si>
    <t>Thủ tục khai báo thuế đơn giản hơn, không cần nhiều giấy tờ phức tạp như trước, giúp quá trình thuận tiện hơn nhiều.</t>
  </si>
  <si>
    <t>Bậc thuế giảm từ 7 xuống 5 bậc, cộng với mức giảm trừ gia cảnh cao hơn đã làm cho việc tính thuế dễ hiểu và thực hiện đơn giản hơn.</t>
  </si>
  <si>
    <t>Tôi tin rằng Nhà nước sẽ công bằng trong việc thực thi chính sách mới, đặc biệt khi số tiền thuế giảm đáng kể.</t>
  </si>
  <si>
    <t>Mức thuế giảm từ 83.910 VNĐ/tháng xuống còn 0 VNĐ/tháng là hợp lý cho thu nhập của tôi, nên tôi thấy công bằng.</t>
  </si>
  <si>
    <t>Số tiền thuế tiết kiệm được sẽ được sử dụng vào các dịch vụ công như y tế và đường xá, điều này tạo niềm tin về sự quản lý hiệu quả.</t>
  </si>
  <si>
    <t>Nhà nước đã giải thích rõ ràng về mục tiêu của việc sửa đổi thuế, tôi thấy đây là một bước tiến tích cực.</t>
  </si>
  <si>
    <t>Sau khi xem xét các quyền lợi và nghĩa vụ mới, tôi ủng hộ và sẽ tuân thủ chính sách này vì nó mang lại nhiều tiện ích cho tôi.</t>
  </si>
  <si>
    <t>Dù không phải đóng thuế, nhưng tôi vẫn tin rằng cơ quan thuế có khả năng phát hiện hành vi gian lận.</t>
  </si>
  <si>
    <t>Công nghệ ngày càng tiên tiến nên việc xử lý nghiêm các hành vi trốn thuế sẽ trở nên dễ dàng hơn.</t>
  </si>
  <si>
    <t>Quy trình khai báo và làm việc với cơ quan thuế đã đơn giản hóa đáng kể, thuận tiện hơn cho người dân.</t>
  </si>
  <si>
    <t>Biểu thuế mới có số bậc giảm, nên dễ dàng tính toán, thực hiện hơn so với trước đây.</t>
  </si>
  <si>
    <t>Mức thuế hiện tại phù hợp với thu nhập của tôi, thấy công bằng.</t>
  </si>
  <si>
    <t>Thuốc đóng góp vào việc cải thiện các dịch vụ công giúp đời sống tốt hơn.</t>
  </si>
  <si>
    <t>Nhà nước đã giải thích rõ mục tiêu của chính sách mới, khiến tôi cảm thấy tin tưởng.</t>
  </si>
  <si>
    <t>Tuy không phải đóng thuế nhưng các cải cách này giúp tôi ủng hộ và tuân thủ hơn.</t>
  </si>
  <si>
    <t>Dù không phải đóng thuế, nhưng với mức giảm trừ gia cảnh cao hơn, tôi tin rằng cơ quan thuế sẽ dễ dàng phát hiện hành vi gian lận hoặc trốn thuế.</t>
  </si>
  <si>
    <t>Việc áp dụng công nghệ trong quản lý thuế của nhà nước đã được cải thiện đáng kể nên tôi tin rằng họ có đủ khả năng để phát hiện và xử lý nghiêm các hành vi sai phạm.</t>
  </si>
  <si>
    <t>Trình tự khai báo thuế trở nên đơn giản hơn, đặc biệt với mức giảm trừ gia cảnh cao nên quy trình này thuận tiện cho người dân.</t>
  </si>
  <si>
    <t>Biểu thuế mới có ít bậc hơn và dễ hiểu hơn so với trước đây, việc tính toán cũng trở nên đơn giản hơn.</t>
  </si>
  <si>
    <t>Nhà nước đã tăng mức giảm trừ gia cảnh cho cả bản thân lẫn người phụ thuộc nên tôi cảm thấy họ đang đối xử công bằng và khách quan với mọi người nộp thuế.</t>
  </si>
  <si>
    <t>Với thu nhập của mình, mức thuế mới là hợp lý. Việc tăng giảm trừ gia cảnh giúp cân đối giữa lợi ích cá nhân và nghĩa vụ đóng góp cho nhà nước.</t>
  </si>
  <si>
    <t>Nhìn chung, tôi tin rằng số tiền thuế mà tôi đóng sẽ được sử dụng hiệu quả để cải thiện các dịch vụ công, mặc dù chi tiết cụ thể về việc này còn hạn chế.</t>
  </si>
  <si>
    <t>Các giải thích về mục tiêu và lý do của chính sách mới là rõ ràng hơn so với trước đây</t>
  </si>
  <si>
    <t>Dựa trên các cải tiến về mức thuế, thủ tục khai báo cũng như niềm tin vào việc sử dụng tiền thuế hiệu quả, tôi ủng hộ và tuân thủ chính sách mới.</t>
  </si>
  <si>
    <t>Dù thuế đã được giảm trừ gia cảnh, nhưng tôi vẫn không hoàn toàn tin rằng hành vi gian lận hoặc trốn thuế sẽ dễ dàng bị phát hiện và xử lý. Cơ quan thuế cần có nhiều biện pháp hơn để kiểm soát.</t>
  </si>
  <si>
    <t>Tôi đồng ý với nhận định này vì công nghệ ngày càng tiên tiến, giúp cơ quan thuế dễ dàng hơn trong việc phát hiện các hành vi trốn thuế.</t>
  </si>
  <si>
    <t>So với trước đây, quy trình làm việc và khai báo thuế đã đơn giản hơn. Tôi không gặp khó khăn khi thực hiện các bước cần thiết.</t>
  </si>
  <si>
    <t>Biểu thuế mới có ít bậc hơn, dễ hiểu và thực hiện thuận tiện hơn so với trước đây. Điều này giúp tôi tính toán chính xác hơn.</t>
  </si>
  <si>
    <t>Tôi tin rằng cơ quan thuế sẽ thực thi chính sách một cách công bằng vì mức giảm trừ gia cảnh đã tăng lên, nhưng vẫn cần thêm minh bạch về cách thức triển khai.</t>
  </si>
  <si>
    <t>Mức thuế theo phương án mới là hợp lý. Với thu nhập hiện tại và số người phụ thuộc, tôi không phải đóng nhiều hơn so với trước đây.</t>
  </si>
  <si>
    <t>Tôi tin rằng tiền thuế sẽ được sử dụng hiệu quả để cải thiện các dịch vụ công, nhưng cần thêm thông tin về cách thức triển khai cụ thể.</t>
  </si>
  <si>
    <t>Đã có giải thích rõ ràng về mục tiêu của việc sửa đổi thuế. Tuy nhiên, tôi mong muốn có thêm chi tiết về các biện pháp thực thi mới.</t>
  </si>
  <si>
    <t>Tôi ủng hộ và tuân thủ chính sách mới vì nó tạo ra sự công bằng hơn cho người dân với mức giảm trừ gia cảnh cao hơn thu nhập.</t>
  </si>
  <si>
    <t>Hiện nay, mặc dù đã có sự cải cách về thuế nhưng tôi vẫn chưa hoàn toàn tin rằng hành vi gian lận hoặc trốn thuế sẽ dễ dàng bị phát hiện và xử lý nghiêm.</t>
  </si>
  <si>
    <t>Nhà nước và cơ quan thuế đang nỗ lực nâng cao năng lực quản lý, tôi hy vọng công nghệ sẽ giúp cải thiện việc phát hiện các hành vi trốn thuế.</t>
  </si>
  <si>
    <t>So với trước đây, thủ tục khai báo thuế và quy trình làm việc với cơ quan thuế trở nên đơn giản hơn nhưng vẫn cần thời gian để mọi người quen thuộc.</t>
  </si>
  <si>
    <t>Cách tính thuế và các bậc thuế mới có phần dễ hiểu hơn, đặc biệt là mức giảm trừ gia cảnh cao giúp tôi không phải đóng thuế</t>
  </si>
  <si>
    <t>Tôi tin rằng Nhà nước sẽ thực thi chính sách một cách khách quan, công tâm nhưng cần thêm thời gian để mọi người cảm thấy yên tâm hơn.</t>
  </si>
  <si>
    <t>Mức thuế mới mà tôi phải đóng là hợp lý và công bằng so với thu nhập của mình</t>
  </si>
  <si>
    <t>Nhà nước đã giải thích rõ ràng về mục tiêu của việc sửa đổi thuế, tôi thấy điều này rất quan trọng.</t>
  </si>
  <si>
    <t>Trong tổng thể, chính sách mới này có lợi cho tôi và gia đình, do đó tôi ủng hộ và tuân thủ</t>
  </si>
  <si>
    <t>Nhà nước đã tăng giảm trừ gia cảnh đáng kể, đồng thời đơn giản hóa biểu thuế. Điều này làm giảm khả năng gian lận, vì vậy tôi tin rằng hành vi trốn thuế sẽ khó xảy ra hơn.</t>
  </si>
  <si>
    <t>Cơ quan thuế có công nghệ hiện đại và quy định rõ ràng về việc xử lý thuế. Tuy nhiên, vẫn còn lo ngại về khả năng thực thi trong thực tế.</t>
  </si>
  <si>
    <t>So với trước đây, thủ tục khai báo thuế dễ dàng hơn do giảm bậc thuế và đơn giản hóa quy trình. Điều này làm cho việc làm việc với cơ quan thuế trở nên thuận tiện hơn.</t>
  </si>
  <si>
    <t>Biểu thuế mới đơn giản hóa quá trình tính thuế, giúp người dân dễ dàng nắm bắt và thực hiện hơn so với trước đây.</t>
  </si>
  <si>
    <t>Nhà nước đã tăng giảm trừ gia cảnh đáng kể, đồng thời đơn giản hóa biểu thuế. Điều này thể hiện sự công bằng trong việc áp dụng chính sách thuế cho mọi người dân.</t>
  </si>
  <si>
    <t>Mức thuế tôi phải đóng theo phương án mới là hợp lý vì đã được điều chỉnh phù hợp với thu nhập của tôi và nhiều người khác có cùng mức độ phụ thuộc vào thu nhập.</t>
  </si>
  <si>
    <t>Thuế tôi đóng sẽ được sử dụng hiệu quả để cải thiện dịch vụ công, từ đó mang lại lợi ích cho cộng đồng và cá nhân tôi</t>
  </si>
  <si>
    <t>Nhà nước đã giải thích rõ ràng về mục tiêu của việc sửa đổi thuế lần này. Điều này làm tăng niềm tin vào sự minh bạch trong quá trình thực hiện chính sách.</t>
  </si>
  <si>
    <t>Tôi ủng hộ và tuân thủ chính sách mới vì nó mang lại lợi ích cho người dân thông qua việc giảm thuế và đơn giản hóa quy định</t>
  </si>
  <si>
    <t>Với mức giảm trừ gia cảnh tăng mạnh, tôi tin rằng cơ quan thuế sẽ dễ dàng phát hiện các hành vi trốn thuế.</t>
  </si>
  <si>
    <t>Cơ sở hạ tầng công nghệ thông tin của Nhà nước đã được đầu tư và nâng cấp trong thời gian gần đây, do đó khả năng quản lý thuế sẽ tốt hơn.</t>
  </si>
  <si>
    <t>Thủ tục khai báo thuế trở nên đơn giản hơn với việc giảm bậc thuế, tuy nhiên vẫn cần cải thiện thêm về mặt tiện lợi cho người dân.</t>
  </si>
  <si>
    <t>Biểu thuế mới đã được đơn giản hóa, dễ hiểu và thực hiện thuận lợi hơn so với trước đây.</t>
  </si>
  <si>
    <t>Tôi tin rằng Nhà nước sẽ tuân thủ khách quan trong việc thực thi chính sách này cho mọi người nộp thuế.</t>
  </si>
  <si>
    <t>Như một công dân bình thường, mức thuế tôi phải đóng là hợp lý và công bằng.</t>
  </si>
  <si>
    <t>Tôi tin rằng số tiền thuế đóng sẽ được sử dụng hiệu quả để cải thiện các dịch vụ công cho người dân.</t>
  </si>
  <si>
    <t>Nhà nước đã giải thích rõ ràng về mục tiêu của việc sửa đổi chính sách thuế, tạo niềm tin trong người dân.</t>
  </si>
  <si>
    <t>Dựa trên các quyền lợi và nghĩa vụ được cải thiện, tôi ủng hộ và tuân thủ chính sách mới.</t>
  </si>
  <si>
    <t>Dù có công nghệ hiện đại, nhưng thực tế vẫn cần sự giám sát của con người để phát hiện hành vi gian lận hoặc trốn thuế. Hiện nay, tôi chưa thấy đầy đủ thông tin về khả năng quản lý của cơ quan thuế.</t>
  </si>
  <si>
    <t>Cơ quan thuế đã có nhiều cải tiến trong việc sử dụng công nghệ để phát hiện gian lận và trốn thuế, nhưng cần thời gian để chứng minh hiệu quả.</t>
  </si>
  <si>
    <t>So với trước đây, quy trình khai thuế trở nên đơn giản hơn, tuy nhiên vẫn còn một số bước phức tạp. Thủ tục làm việc với cơ quan thuế vẫn chưa hoàn toàn thuận tiện.</t>
  </si>
  <si>
    <t>Cách tính thuế và các bậc thuế mới đơn giản hơn nhiều so với trước đây, dễ hiểu và thực hiện dễ dàng hơn</t>
  </si>
  <si>
    <t>Tôi tin rằng cơ quan thuế sẽ thực thi chính sách một cách công bằng nhưng cần thêm thời gian để chứng minh.</t>
  </si>
  <si>
    <t>Thuế mới phù hợp với thu nhập của tôi, giảm trừ gia cảnh cao hơn giúp tiết kiệm chi phí</t>
  </si>
  <si>
    <t>Nếu thuế được sử dụng hiệu quả cho dịch vụ công, thì việc đóng thuế là có ích và công bằng</t>
  </si>
  <si>
    <t>Nhà nước đã giải thích rõ ràng về mục tiêu cải cách thuế nhưng cần thêm thông tin chi tiết hơn về cách thực hiện</t>
  </si>
  <si>
    <t>Tôi ủng hộ và tuân thủ chính sách mới vì nó giảm gánh nặng tài chính cho tôi và đơn giản hóa quy trình khai báo thuế.</t>
  </si>
  <si>
    <t>Việc tăng mức giảm trừ gia cảnh và đơn giản hóa biểu thuế có thể làm giảm động lực để gian lận, nhưng không loại trừ hoàn toàn khả năng trốn thuế.</t>
  </si>
  <si>
    <t>Cơ quan thuế có công nghệ hiện đại nên việc phát hiện gian lận và trốn thuế sẽ trở nên dễ dàng hơn.</t>
  </si>
  <si>
    <t>Thủ tục khai báo thuế đơn giản hơn, giảm bớt thời gian và công sức cho người nộp thuế.</t>
  </si>
  <si>
    <t>Biểu thuế mới rõ ràng hơn, giúp người dân dễ dàng tính toán và thực hiện đúng.</t>
  </si>
  <si>
    <t>Tôi tin rằng Nhà nước sẽ công bằng trong việc thực thi chính sách mới.</t>
  </si>
  <si>
    <t>Thuế mới được giảm đi rõ rệt, tôi cho rằng đây là mức thuế hợp lý cho thu nhập của mình.</t>
  </si>
  <si>
    <t>Tài nguyên thuế sẽ được sử dụng hiệu quả để cải thiện chất lượng dịch vụ công</t>
  </si>
  <si>
    <t>Đã có giải thích rõ ràng về mục tiêu của chính sách mới, tôi cảm thấy tin tưởng.</t>
  </si>
  <si>
    <t>Tiết kiệm được tiền thuế và quy định đơn giản hơn khiến tôi ủng hộ và tuân thủ chính sách mới.</t>
  </si>
  <si>
    <t>Nhà nước đã tăng cường giám sát và công nghệ hiện đại nên tôi tin rằng hành vi gian lận trốn thuế sẽ bị phát hiện.</t>
  </si>
  <si>
    <t>Cơ quan thuế có đội ngũ chuyên môn cao và hệ thống quản lý hiện đại, đủ khả năng phát hiện các hành vi trốn thuế.</t>
  </si>
  <si>
    <t>Quy trình khai thuế đơn giản hơn trước, không yêu cầu nhiều giấy tờ phức tạp nữa.</t>
  </si>
  <si>
    <t>Các bậc thuế mới đơn giản hóa quy trình tính toán, dễ hiểu và thực hiện nhanh chóng hơn so với trước đây.</t>
  </si>
  <si>
    <t>Nhà nước đã công bố rõ ràng các chính sách mới, tôi tin rằng việc thực thi sẽ khách quan, công bằng.</t>
  </si>
  <si>
    <t>Thu nhập của tôi trong mức giảm trừ gia cảnh và thuế suất mới nên tôi thấy mức thuế là hợp lý.</t>
  </si>
  <si>
    <t>Tài nguyên thuế sẽ được sử dụng hiệu quả cho các dịch vụ công, đặc biệt là y tế và hạ tầng cơ sở.</t>
  </si>
  <si>
    <t>Nhà nước đã minh bạch về lý do và mục tiêu của việc sửa đổi thuế lần này.</t>
  </si>
  <si>
    <t>Tác động tài chính tích cực, các quy định đơn giản hơn giúp tôi tuân thủ dễ dàng hơn.</t>
  </si>
  <si>
    <t>Việc giảm trừ gia cảnh tăng mạnh và đơn giản hóa biểu thuế có thể làm giảm khả năng phát hiện hành vi gian lận hoặc trốn thuế.</t>
  </si>
  <si>
    <t>Nhà nước đã cải cách thuế theo hướng công khai, minh bạch nên khả năng quản lý và xử lý nghiêm các hành vi không tuân thủ sẽ tốt hơn.</t>
  </si>
  <si>
    <t>So với trước đây, quy trình tính thuế mới đơn giản hơn, giảm số bậc từ 7 xuống 5, dễ thực hiện hơn.</t>
  </si>
  <si>
    <t>Biểu thuế mới rõ ràng và dễ hiểu hơn nhiều so với trước đây, giúp người dân dễ dàng nắm bắt.</t>
  </si>
  <si>
    <t>Tôi tin rằng Nhà nước sẽ thực thi chính sách một cách khách quan vì đã giải thích công khai về mục tiêu của việc sửa đổi thuế.</t>
  </si>
  <si>
    <t>Mức thuế mới phù hợp với thu nhập hiện tại của tôi, tăng giảm trừ gia cảnh cũng giúp tôi tiết kiệm được một khoản tiền đáng kể.</t>
  </si>
  <si>
    <t>Thuế tôi đóng sẽ được sử dụng để cải thiện chất lượng dịch vụ công, điều này tạo niềm tin cho tôi về việc đóng thuế.</t>
  </si>
  <si>
    <t>Nhà nước đã minh bạch về mục tiêu của việc sửa đổi chính sách thuế và giải thích rõ ràng về các quy định mới.</t>
  </si>
  <si>
    <t>Tôi ủng hộ chính sách mới vì nó đơn giản, công bằng hơn so với trước đây và giúp tôi tiết kiệm được một khoản tiền đáng kể.</t>
  </si>
  <si>
    <t>Nhà nước có nhiều biện pháp quản lý thuế, nhưng tôi vẫn lo ngại về việc phát hiện và xử lý các hành vi gian lận.</t>
  </si>
  <si>
    <t>Cơ quan thuế có công nghệ để phát hiện trốn thuế, tuy nhiên, sự hiệu quả phụ thuộc vào nguồn lực và quyết tâm của họ.</t>
  </si>
  <si>
    <t>Thủ tục khai báo thuế trở nên đơn giản hơn với mức giảm trừ gia cảnh cao hơn, nhưng vẫn cần thời gian để quen với các thay đổi.</t>
  </si>
  <si>
    <t>Các bậc thuế mới dễ hiểu và thực hiện thuận tiện hơn, giúp tôi tính toán nhanh chóng</t>
  </si>
  <si>
    <t>Tôi tin rằng Nhà nước sẽ thực thi chính sách một cách công bằng, nhưng vẫn lo ngại về việc xử lý không đồng đều.</t>
  </si>
  <si>
    <t>Mức thuế mới phù hợp với thu nhập của tôi và gia đình, tôi cảm thấy nó là một mức độ công bằng.</t>
  </si>
  <si>
    <t>Thuế đóng góp vào việc cải thiện chất lượng dịch vụ công, nhưng cần thời gian để thấy kết quả thực tế.</t>
  </si>
  <si>
    <t>Nhà nước đã giải thích rõ ràng về mục tiêu của chính sách mới, tôi cảm thấy họ có trách nhiệm với việc cải cách này.</t>
  </si>
  <si>
    <t>Tôi ủng hộ và tuân thủ chính sách mới vì nó mang lại lợi ích cho gia đình tôi</t>
  </si>
  <si>
    <t>Hiện nay, cơ quan thuế có nhiều công cụ để phát hiện và xử lý hành vi gian lận hoặc trốn thuế. Tuy nhiên, vẫn còn những rủi ro không thể loại bỏ hoàn toàn.</t>
  </si>
  <si>
    <t>Cơ quan thuế đã đầu tư công nghệ để tăng cường khả năng phát hiện và xử lý gian lận thuế, tuy nhiên hiệu quả thực tế còn phụ thuộc vào nhiều yếu tố khác.</t>
  </si>
  <si>
    <t>Quy trình khai báo thuế và làm việc với cơ quan thuế đã đơn giản hơn so với trước đây. Tuy nhiên, vẫn cần thêm thời gian để người dân hoàn toàn quen thuộc.</t>
  </si>
  <si>
    <t>Biểu thuế mới đơn giản hóa các bậc thuế, giúp việc tính toán và thực hiện dễ dàng hơn nhiều so với trước đây</t>
  </si>
  <si>
    <t>Tôi tin rằng cơ quan thuế sẽ công tâm trong việc thực thi chính sách mới. Tuy nhiên, sự công bằng vẫn phụ thuộc vào cách áp dụng của từng cá nhân.</t>
  </si>
  <si>
    <t>Mức thuế mới phù hợp với thu nhập của tôi, giảm gánh nặng tài chính</t>
  </si>
  <si>
    <t>Thuê đóng góp vào việc cải thiện dịch vụ công như y tế và hạ tầng cơ sở</t>
  </si>
  <si>
    <t>Nhà nước đã giải thích rõ ràng về mục tiêu của chính sách mới, tuy nhiên vẫn cần thêm thông tin chi tiết.</t>
  </si>
  <si>
    <t>Do không có thông tin cụ thể về quản lý thuế hiện tại, nhưng mức giảm trừ gia cảnh tăng và số bậc thuế đơn giản hóa sẽ giúp phát hiện hành vi gian lận dễ dàng hơn.</t>
  </si>
  <si>
    <t>Nhu cầu về công nghệ để theo dõi thuế đã tồn tại trong thời gian dài, nên việc cải cách này cũng đồng nghĩa với việc nâng cấp hệ thống quản lý thuế hiện tại.</t>
  </si>
  <si>
    <t>Quy trình khai báo và tính thuế trở nên đơn giản hơn, nhưng vẫn cần thêm thời gian để quen thuộc với các thay đổi mới.</t>
  </si>
  <si>
    <t>Biểu thuế mới đơn giản hơn so với trước đây, dễ dàng hiểu và thực hiện hơn, điều này giúp người dân tự tính thuế nhanh chóng.</t>
  </si>
  <si>
    <t>Việc cải cách thuế nhằm tạo sự công bằng giữa các đối tượng nộp thuế, nên tôi tin rằng nó sẽ được thực thi một cách khách quan và công tâm.</t>
  </si>
  <si>
    <t>Mức thuế mới giảm đáng kể so với trước đây, do đó tôi thấy mức thuế này là hợp lý đối với thu nhập của mình.</t>
  </si>
  <si>
    <t>Thuế đóng góp vào việc cải thiện dịch vụ công, giúp nâng cao chất lượng cuộc sống cho người dân.</t>
  </si>
  <si>
    <t>Có nhiều thông tin về mục tiêu và lý do của chính sách mới, nhưng giải thích chi tiết hơn sẽ tốt hơn.</t>
  </si>
  <si>
    <t>Tác động tài chính tích cực từ cải cách thuế làm tăng Niềm tin vào công bằng, và cơ chế tính thuế đơn giản hơn cũng khiến tôi dễ dàng tuân thủ hơn.</t>
  </si>
  <si>
    <t>Nhà nước đã tăng giảm trừ gia cảnh, điều này làm giảm khả năng trốn thuế. Tuy nhiên, vẫn cần cải thiện trong việc phát hiện hành vi gian lận.</t>
  </si>
  <si>
    <t>Cơ quan thuế có công nghệ hiện đại nhưng vẫn phụ thuộc vào các quy định quản lý thuế. Cần tăng cường hơn nữa để phát hiện trốn thuế hiệu quả.</t>
  </si>
  <si>
    <t>Thủ tục khai báo thuế đơn giản hơn so với trước đây, giúp người dân thuận tiện hơn trong việc thực hiện các quy định về thuế.</t>
  </si>
  <si>
    <t>Các bậc thuế suất và ngưỡng chịu thuế được đơn giản hóa, dễ hiểu và thực hiện hơn. Điều này cải thiện đáng kể khả năng tính toán thuế cho người dân.</t>
  </si>
  <si>
    <t>Nhà nước đã tăng giảm trừ gia cảnh nên tôi tin rằng việc áp dụng thuế mới sẽ công bằng hơn đối với người dân có thu nhập như tôi.</t>
  </si>
  <si>
    <t>Thuế suất và ngưỡng chịu thuế được điều chỉnh hợp lý, khiến tôi cảm thấy mức thuế này là công bằng. Người có thu nhập như tôi đóng mức thuế này là phù hợp.</t>
  </si>
  <si>
    <t>Tăng giảm trừ gia cảnh sẽ giúp số tiền thuế tôi đóng ít hơn, do đó tôi tin rằng số tiền thuế này sẽ được sử dụng hiệu quả cho các dịch vụ công</t>
  </si>
  <si>
    <t>Chính phủ đã giải thích rõ ràng về mục tiêu và lý do của việc sửa đổi thuế. Điều này làm tăng niềm tin của tôi vào quyết định này.</t>
  </si>
  <si>
    <t>Dựa trên các cải tiến trong chính sách thuế, tôi ủng hộ và tuân thủ chính sách mới hiện nay. Các quy định về thuế trở nên công bằng hơn với người dân có thu nhập như tôi.</t>
  </si>
  <si>
    <t>Dù có công nghệ hiện đại, tôi vẫn nghi ngờ khả năng phát hiện tràn lan của hành vi gian lận hoặc trốn thuế.</t>
  </si>
  <si>
    <t>Năng lực quản lý thuế của nhà nước cần thời gian để cải thiện và chứng minh hiệu quả.</t>
  </si>
  <si>
    <t>Quy trình khai báo thuế đơn giản hơn, nhưng vẫn có thể gặp khó khăn khi mới bắt đầu.</t>
  </si>
  <si>
    <t>Biểu thuế đơn giản hóa giúp tính toán nhanh chóng, dễ hiểu hơn so với trước đây.</t>
  </si>
  <si>
    <t>Tôi tin rằng cơ quan thuế sẽ cố gắng thực thi công bằng, nhưng vẫn lo ngại về vấn đề này do lịch sử quản lý thuế trong nước.</t>
  </si>
  <si>
    <t>Mức thuế mới giảm đáng kể so với trước đây, cho thấy sự công bằng đối với thu nhập của tôi.</t>
  </si>
  <si>
    <t>Thuế đóng góp vào cải thiện dịch vụ công, nhưng hiệu quả sử dụng nguồn lực còn cần thời gian chứng minh.</t>
  </si>
  <si>
    <t>Cơ quan thuế đã giải thích rõ ràng về mục tiêu chính sách mới, giúp tôi hiểu và ủng hộ hơn.</t>
  </si>
  <si>
    <t>Sau khi xem xét tác động tài chính tích cực, tôi đồng ý với phương án thuế mới</t>
  </si>
  <si>
    <t>Dù không có thông tin cụ thể về khả năng phát hiện và xử lý, tôi vẫn cho rằng quy định quản lý thuế hiện nay đã được cải thiện đáng kể.</t>
  </si>
  <si>
    <t>Cơ quan thuế có nhiều công nghệ mới để theo dõi các giao dịch tài chính, do đó khả năng phát hiện trốn thuế cũng cao hơn trước đây.</t>
  </si>
  <si>
    <t>Đơn giản hóa biểu thuế và tăng mức giảm trừ gia cảnh làm cho quy trình khai báo thuế dễ dàng hơn nhiều so với trước đây.</t>
  </si>
  <si>
    <t>Với việc rút gọn số bậc thuế, tính toán thuế trở nên rõ ràng và dễ hiểu hơn, do đó thuận tiện cho người nộp thuế.</t>
  </si>
  <si>
    <t>Việc cải cách thuế tạo ra một hệ thống công bằng hơn với mức giảm trừ gia cảnh tăng lên.</t>
  </si>
  <si>
    <t>Lượng thuế tôi phải đóng đã giảm đáng kể, do đó thấy rằng mức thuế mới là phù hợp với thu nhập của mình.</t>
  </si>
  <si>
    <t>Thuế tôi đóng sẽ được sử dụng vào các dịch vụ công quan trọng như y tế và giao thông, tạo ra niềm tin về việc sử dụng hiệu quả nguồn lực.</t>
  </si>
  <si>
    <t>Nhà nước đã công bố chi tiết về mục tiêu cải cách thuế, cho thấy sự minh bạch trong quá trình thực hiện chính sách mới.</t>
  </si>
  <si>
    <t>Sau khi xem xét, tôi ủng hộ và sẽ tuân thủ chính sách thuế mới vì lợi ích cá nhân cũng như mục tiêu chung của xã hội.</t>
  </si>
  <si>
    <t>Nhà nước và cơ quan thuế có nhiều biện pháp để phát hiện hành vi trốn thuế, nhưng vẫn cần cải thiện về công nghệ và quy định quản lý.</t>
  </si>
  <si>
    <t>Cơ quan thuế đã có những bước tiến trong việc ứng dụng công nghệ vào quản lý thuế, nhưng còn hạn chế ở một số khu vực</t>
  </si>
  <si>
    <t>Quy trình khai báo thuế và giao tiếp với cơ quan thuế trở nên đơn giản hơn so với trước đây, nhưng vẫn cần cải thiện thêm về sự thuận tiện</t>
  </si>
  <si>
    <t>Biểu thuế mới có số bậc ít hơn và dễ hiểu hơn, giúp việc tính toán thu nhập chịu thuế trở nên dễ dàng</t>
  </si>
  <si>
    <t>Tôi tin rằng cơ quan thuế sẽ thực hiện chính sách một cách công tâm, nhưng vẫn cần thêm các biện pháp minh bạch để tăng niềm tin của người dân</t>
  </si>
  <si>
    <t>Mức thuế mới phù hợp với thu nhập của tôi và số người phụ thuộc, thể hiện sự công bằng trong việc phân bổ gánh nặng thuế</t>
  </si>
  <si>
    <t>Tôi tin rằng khoản thuế đóng góp sẽ được sử dụng hiệu quả để cải thiện dịch vụ công, nhưng cần thêm thông tin về cách quản lý chi phí</t>
  </si>
  <si>
    <t>Nhà nước đã giải thích rõ ràng mục tiêu của việc sửa đổi thuế lần này, giúp tôi hiểu được quyết định</t>
  </si>
  <si>
    <t>Tôi ủng hộ và tuân thủ chính sách mới vì nó mang lại lợi ích tài chính cho tôi và gia đình</t>
  </si>
  <si>
    <t>Việc tăng mức giảm trừ gia cảnh và đơn giản hóa biểu thuế có thể làm giảm động lực gian lận, nhưng thực tế vẫn cần thời gian để xem xét hiệu quả của các biện pháp quản lý mới.</t>
  </si>
  <si>
    <t>Cơ quan thuế đã nâng cấp công nghệ và quy định quản lý, tuy nhiên, việc phát hiện trốn thuế phụ thuộc vào nhiều yếu tố như sự tuân thủ của cá nhân và tổ chức.</t>
  </si>
  <si>
    <t>Thủ tục khai báo thuế đơn giản hơn trước đây, nhưng vẫn cần thời gian để người dân quen với quy trình mới.</t>
  </si>
  <si>
    <t>Biểu thuế trở nên dễ hiểu hơn với số bậc giảm đi từ 7 xuống còn 5, điều này giúp việc tính thuế đơn giản và nhanh chóng hơn.</t>
  </si>
  <si>
    <t>Tôi tin rằng Nhà nước sẽ thực thi chính sách một cách khách quan, nhưng cần thời gian để xem xét liệu mức thuế mới có công bằng với mọi người hay không.</t>
  </si>
  <si>
    <t>Mức thuế giảm đi từ 467.736 VNĐ/tháng xuống còn 133.868 VNĐ/tháng cho thấy mức thuế mới là công bằng, phù hợp với thu nhập của tôi.</t>
  </si>
  <si>
    <t>Thuế đóng góp vào việc cải thiện các dịch vụ công như y tế và hạ tầng cơ sở. Việc giảm thuế cũng làm tăng niềm tin về hiệu quả sử dụng nguồn lực tài chính.</t>
  </si>
  <si>
    <t>Nhà nước đã cung cấp thông tin đầy đủ về mục tiêu của việc sửa đổi thuế, nhưng cần thêm minh bạch về cách sử dụng nguồn thu thuế mới.</t>
  </si>
  <si>
    <t>Tôi ủng hộ chính sách mới vì nó mang lại lợi ích tài chính và thuận tiện cho người dân. Tuy nhiên, tôi vẫn cần thời gian để quen với các quy định mới.</t>
  </si>
  <si>
    <t>Nhu cầu công nghệ và nguồn lực của cơ quan thuế chưa được đề cập rõ, nhưng với cải cách mạnh mẽ về giảm trừ gia cảnh và đơn giản hóa biểu thuế, khả năng phát hiện gian lận có thể tăng lên.</t>
  </si>
  <si>
    <t>Cơ quan thuế đã nâng cấp công nghệ và quy định quản lý thuế, tuy nhiên vẫn cần thời gian để thực sự hiệu quả trong việc xử lý các hành vi trốn thuế.</t>
  </si>
  <si>
    <t>Quy trình khai báo và làm việc với cơ quan thuế trở nên đơn giản hơn, giảm bớt rườm rà. Việc sử dụng công nghệ giúp cải thiện hiệu quả.</t>
  </si>
  <si>
    <t>Biểu thuế mới rõ ràng hơn về các bậc thuế và ngưỡng chịu thuế, dễ dàng nắm bắt hơn so với trước đây.</t>
  </si>
  <si>
    <t>Tôi tin rằng việc cải cách thuế sẽ được thực hiện công bằng và khách quan, đặc biệt khi mức giảm trừ gia cảnh tăng lên.</t>
  </si>
  <si>
    <t>Mức thuế mới phù hợp với thu nhập của tôi, giảm gánh nặng tài chính mà vẫn đảm bảo lợi ích chung cho xã hội.</t>
  </si>
  <si>
    <t>Thuế được sử dụng để cải thiện dịch vụ công như y tế và đường xá, tạo ra một vòng tuần hoàn tích cực giữa người nộp thuế và Nhà nước.</t>
  </si>
  <si>
    <t>Đã có nhiều giải thích về mục tiêu của việc cải cách thuế, nhưng cần thêm thông tin về cách sử dụng số tiền thuế thu được.</t>
  </si>
  <si>
    <t>Thuế theo luật mới đã đơn giản hóa, giảm nguy cơ gian lận trốn thuế. Thuế được tính rõ ràng, dễ kiểm tra.</t>
  </si>
  <si>
    <t>Việc cải cách thuế thu nhập cá nhân đã tăng cường khả năng giám sát và xử lý của các cơ quan thuế thông qua công nghệ hiện đại.</t>
  </si>
  <si>
    <t>Phương án mới đơn giản hóa quy trình khai thuế, giảm thời gian chờ đợi khi làm việc với cơ quan thuế so với trước đây.</t>
  </si>
  <si>
    <t>Biểu thuế mới có ít bậc hơn và rõ ràng hơn, giúp tính toán dễ dàng hơn</t>
  </si>
  <si>
    <t>Nhà nước đã cải cách thuế một cách công bằng và minh bạch, áp dụng mức giảm trừ gia cảnh cao hơn.</t>
  </si>
  <si>
    <t>Mức thuế mới mà tôi phải đóng là hợp lý với thu nhập của mình. Thu nhập thấp hơn trước nhưng mức thuế cũng giảm tương ứng.</t>
  </si>
  <si>
    <t>Thuế được sử dụng để cải thiện dịch vụ công, như y tế và hạ tầng, giúp nâng cao chất lượng cuộc sống cho người dân.</t>
  </si>
  <si>
    <t>Nhà nước đã giải thích rõ ràng về mục tiêu của việc cải cách thuế. Thông qua các kênh thông tin đa dạng.</t>
  </si>
  <si>
    <t>Tác động tài chính tích cực và sự đơn giản hóa quy trình khai thuế đều làm tăng khả năng ủng hộ chính sách mới</t>
  </si>
  <si>
    <t>Có các quy định quản lý thuế hiện tại, nhưng vẫn lo ngại về khả năng phát hiện gian lận hoặc trốn thuế.</t>
  </si>
  <si>
    <t>Khả năng của nhà nước trong việc phát hiện và xử lý các hành vi trốn thuế được cải thiện nhờ công nghệ.</t>
  </si>
  <si>
    <t>Thủ tục khai báo thuế đơn giản hơn, thuận tiện cho người dân, nhưng vẫn cần thời gian để quen thuộc với quy trình mới.</t>
  </si>
  <si>
    <t>Cách tính thuế và các bậc thuế trong phương án mới rõ ràng, dễ hiểu hơn so với trước đây.</t>
  </si>
  <si>
    <t>Tin tưởng Nhà nước sẽ thực thi chính sách một cách công bằng và khách quan</t>
  </si>
  <si>
    <t>Mức thuế mới là hợp lý, giảm gánh nặng tài chính cho người dân như tôi</t>
  </si>
  <si>
    <t>Nhà nước sử dụng số tiền thuế này để cải thiện các dịch vụ công là điều cần thiết và công bằng</t>
  </si>
  <si>
    <t>Đã nhận được thông tin rõ ràng về lý do và mục tiêu của việc sửa đổi thuế lần này</t>
  </si>
  <si>
    <t>Chấp nhận và ủng hộ chính sách mới, vì nó mang lại lợi ích tài chính và thuận tiện hơn.</t>
  </si>
  <si>
    <t>Hiện nay, quản lý thuế đã được cải thiện đáng kể với công nghệ tiên tiến. Tuy nhiên, việc phát hiện hành vi gian lận vẫn phụ thuộc vào hiệu quả thực tế của các quy định và năng lực của nhà chức trách.</t>
  </si>
  <si>
    <t>Cơ quan thuế có nhiều công cụ kỹ thuật để giám sát. Tuy nhiên, việc xử lý nghiêm túc phụ thuộc vào sự quyết tâm của nhà chức trách.</t>
  </si>
  <si>
    <t>So với trước đây, quy trình khai báo đơn giản hơn nhưng vẫn cần thời gian để quen thuộc. Cơ sở dữ liệu cá nhân đã cải thiện khả năng truy cập thông tin.</t>
  </si>
  <si>
    <t>Số bậc thuế giảm, việc tính toán dễ dàng hơn. Tuy nhiên, số tiền thuế vẫn cần được kiểm tra kỹ lưỡng để đảm bảo tính chính xác.</t>
  </si>
  <si>
    <t>Phương án mới công bằng đối với người nộp thuế có mức thu nhập như tôi. Quy định giảm trừ gia cảnh cao hơn đã giúp tôi không phải đóng thuế.</t>
  </si>
  <si>
    <t>Mức thuế mới hợp lý, không thay đổi so với trước đây và giảm gánh nặng tài chính cho tôi.</t>
  </si>
  <si>
    <t>Thuế đóng góp vào cải thiện dịch vụ công. Việc nâng cao mức giảm trừ gia cảnh đã giúp cải thiện cuộc sống của tôi.</t>
  </si>
  <si>
    <t>Nhà nước đã giải thích rõ ràng về mục tiêu và lý do sửa đổi thuế, mặc dù vẫn còn nghi ngờ về khả năng thực thi hiệu quả.</t>
  </si>
  <si>
    <t>Tôi ủng hộ chính sách mới vì nó công bằng hơn so với trước đây. Tuy nhiên, tôi cần thêm thời gian để quen thuộc và kiểm tra tính hợp lệ của các quy định.</t>
  </si>
  <si>
    <t>Thuế không còn nữa nên không cần lo lắng về việc gian lận hoặc trốn thuế. Điều này tạo ra một môi trường công bằng hơn.</t>
  </si>
  <si>
    <t>Nhà nước đã cải thiện hệ thống quản lý thuế và tôi tin rằng họ có đủ khả năng để giám sát hiệu quả.</t>
  </si>
  <si>
    <t>Quy trình khai báo thuế trở nên đơn giản hơn với mức giảm trừ gia cảnh cao, thủ tục thuận tiện hơn so với trước đây.</t>
  </si>
  <si>
    <t>Bậc thuế ít đi và dễ hiểu hơn, giúp tôi dễ dàng tính toán và nộp thuế mà không cần sự hỗ trợ từ người khác.</t>
  </si>
  <si>
    <t>Nhà nước đã cải cách thuế một cách công bằng cho mọi người, tạo ra sự tin tưởng trong việc thực thi chính sách mới.</t>
  </si>
  <si>
    <t>Với mức giảm trừ gia cảnh cao và không phải đóng thuế, tôi thấy rằng hệ thống thuế mới này rất phù hợp với thu nhập của mình.</t>
  </si>
  <si>
    <t>Tôi tin rằng số tiền thuế tôi đóng sẽ được sử dụng hiệu quả để cải thiện dịch vụ công, như y tế và đường xá.</t>
  </si>
  <si>
    <t>Nhà nước đã giải thích rõ ràng về lý do và mục tiêu của việc sửa đổi thuế lần này, tạo ra sự minh bạch và tin tưởng.</t>
  </si>
  <si>
    <t>Tôi ủng hộ chính sách mới vì nó đơn giản hóa quy trình nộp thuế mà không ảnh hưởng đến thu nhập thực tế của tôi.</t>
  </si>
  <si>
    <t>Trong thực tế, việc quản lý thuế hiện nay chưa hoàn toàn chặt chẽ và hiệu quả. Tuy nhiên, với sự phát triển của công nghệ, khả năng phát hiện hành vi gian lận có thể được cải thiện.</t>
  </si>
  <si>
    <t>Nhà nước đã đầu tư vào các công cụ kỹ thuật để hỗ trợ việc quản lý thuế. Tuy nhiên, hiệu quả thực tế còn phụ thuộc nhiều vào sự tuân thủ của cá nhân và doanh nghiệp.</t>
  </si>
  <si>
    <t>Quy trình khai báo thuế đã đơn giản hơn so với trước đây nhờ việc giảm số bậc thuế. Tuy nhiên, vẫn còn có những khó khăn khi sử dụng hệ thống mới.</t>
  </si>
  <si>
    <t>Sự đơn giản hóa của biểu thuế và mức giảm trừ gia cảnh đã làm cho việc tính toán thuế trở nên dễ dàng hơn. Đây là một cải tiến rất tích cực.</t>
  </si>
  <si>
    <t>Tôi tin rằng cơ quan thuế sẽ thực thi chính sách công bằng, nhưng cần có thêm các biện pháp cụ thể để đảm bảo sự minh bạch và khách quan.</t>
  </si>
  <si>
    <t>Thuế mới mà tôi phải đóng phù hợp với mức thu nhập của mình. Mức giảm trừ gia cảnh tăng cao giúp làm giảm gánh nặng thuế.</t>
  </si>
  <si>
    <t>Tôi tin rằng số tiền thuế tôi đóng sẽ được sử dụng hiệu quả để cải thiện các dịch vụ công. Tuy nhiên, cần có thêm thông tin về cách sử dụng nguồn thu này.</t>
  </si>
  <si>
    <t>Nhà nước đã giải thích rõ ràng về mục tiêu của việc sửa đổi thuế lần này, nhưng vẫn còn một số điểm chưa thuyết phục được mọi người.</t>
  </si>
  <si>
    <t>Tôi ủng hộ và tuân thủ chính sách mới vì nó phù hợp với mức thu nhập của tôi và giúp đơn giản hóa quy trình khai báo thuế.</t>
  </si>
  <si>
    <t>Hiện nay, cơ quan thuế đã có nhiều công cụ hiện đại để phát hiện hành vi trốn thuế. Việc tăng giảm trừ gia cảnh và đơn giản hóa biểu thuế cũng giúp giảm thiểu cơ hội gian lận.</t>
  </si>
  <si>
    <t>Cơ quan thuế có đủ khả năng với hệ thống công nghệ thông tin hiện đại để theo dõi và xử lý các hành vi trốn thuế một cách hiệu quả. Tuy nhiên, vẫn cần cải thiện hơn nữa về mặt quản lý.</t>
  </si>
  <si>
    <t>So với trước đây, quy trình khai báo thuế đã đơn giản hóa đáng kể. Việc giảm số bậc thuế cũng giúp quá trình tính thuế trở nên dễ dàng và nhanh chóng hơn cho người dân.</t>
  </si>
  <si>
    <t>Biểu thuế mới có ít bậc hơn, giúp việc tính toán thu nhập chịu thuế trở nên đơn giản hơn. Điều này làm giảm độ phức tạp, tăng sự thuận tiện cho người nộp thuế</t>
  </si>
  <si>
    <t>Tôi tin rằng cơ quan thuế sẽ thực hiện chính sách một cách khách quan và công bằng. Việc nâng cao mức giảm trừ gia cảnh cũng tạo ra cảm giác công bằng.</t>
  </si>
  <si>
    <t>Mức thuế mới phù hợp với thu nhập của tôi, tăng cường sự công bằng trong hệ thống thuế hiện tại.</t>
  </si>
  <si>
    <t>Thuế đóng góp vào việc cải thiện các dịch vụ công và cơ sở hạ tầng. Việc giảm trừ gia cảnh cũng tạo điều kiện cho người dân tiết kiệm hơn</t>
  </si>
  <si>
    <t>Nhà nước đã giải thích rõ ràng về mục tiêu của chính sách mới, mặc dù vẫn còn nhiều ý kiến trái chiều nhưng tôi tin rằng những thay đổi này sẽ mang lại lợi ích cho nền kinh tế</t>
  </si>
  <si>
    <t>Dựa trên việc giảm trừ gia cảnh và đơn giản hóa biểu thuế, tôi ủng hộ chính sách mới. Tuy nhiên, vẫn cần cải thiện hơn nữa về mặt quản lý để đảm bảo công bằng.</t>
  </si>
  <si>
    <t>Dù thuế của tôi không tăng, nhưng mức giảm trừ gia cảnh cao hơn có thể làm giảm khả năng phát hiện hành vi gian lận.</t>
  </si>
  <si>
    <t>Cơ quan thuế đã cải thiện công nghệ và quy trình quản lý, mặc dù không biết chi tiết cụ thể.</t>
  </si>
  <si>
    <t>Quy trình khai báo và làm việc với cơ quan thuế đơn giản hơn nhiều so với trước đây.</t>
  </si>
  <si>
    <t>Biểu thuế giảm từ 7 bậc xuống còn 5 bậc, dễ dàng hiểu và thực hiện hơn.</t>
  </si>
  <si>
    <t>Tôi tin rằng Nhà nước sẽ công tâm trong việc áp dụng các quy định mới.</t>
  </si>
  <si>
    <t>Với mức giảm trừ gia cảnh cao và thu nhập thấp, tôi cảm thấy thuế hiện tại là hợp lý.</t>
  </si>
  <si>
    <t>Thuế của tôi không tăng và thậm chí có thể giảm, số tiền này sẽ được sử dụng hiệu quả để cải thiện dịch vụ công.</t>
  </si>
  <si>
    <t>Chính phủ đã giải thích rõ ràng về mục tiêu của việc sửa đổi thuế lần này trong các thông cáo báo chí.</t>
  </si>
  <si>
    <t>Tôi ủng hộ và tuân thủ chính sách mới vì mức thuế phù hợp với thu nhập hiện tại của tôi.</t>
  </si>
  <si>
    <t>Thuế hiện nay không yêu cầu khai báo chi tiết thu nhập nên khả năng phát hiện hành vi gian lận có thể hạn chế. Tuy nhiên, với mức giảm trừ gia cảnh cao, tôi thấy việc bị trốn thuế sẽ khó xảy ra.</t>
  </si>
  <si>
    <t>Cơ quan thuế đã áp dụng công nghệ hiện đại trong quản lý thuế nhưng do không yêu cầu khai báo chi tiết nên khả năng phát hiện gian lận có thể hạn chế.</t>
  </si>
  <si>
    <t>Đơn giản hóa biểu thuế từ 7 bậc xuống 5 bậc giúp quy trình làm việc với cơ quan thuế dễ dàng hơn, thủ tục khai báo cũng đơn giản đi nhiều</t>
  </si>
  <si>
    <t>Các bậc thuế suất đã được đơn giản hóa, do đó việc tính toán và áp dụng các mức thuế trở nên dễ dàng hơn.</t>
  </si>
  <si>
    <t>Nhà nước đã công bố rõ ràng về mục tiêu của chính sách mới, tôi tin rằng việc thực thi sẽ khách quan và công bằng</t>
  </si>
  <si>
    <t>Với mức thu nhập hiện tại, tôi thấy thuế mà tôi phải đóng là hợp lý.</t>
  </si>
  <si>
    <t>Thuế mà tôi đóng sẽ được sử dụng hiệu quả để cải thiện dịch vụ công nên tôi tin tưởng vào mục tiêu của chính sách</t>
  </si>
  <si>
    <t>Nhà nước đã giải thích rõ ràng về lý do và mục tiêu của việc sửa đổi thuế, tạo niềm tin cho người dân</t>
  </si>
  <si>
    <t>Dựa trên sự đơn giản hóa và công bằng trong chính sách mới, tôi ủng hộ và tuân thủ.</t>
  </si>
  <si>
    <t>Dù các quy định quản lý thuế có thể chưa hoàn hảo, nhưng với mức giảm trừ gia cảnh cao hơn trước và cách tính thuế đơn giản hơn, tôi tin rằng hành vi gian lận hoặc trốn thuế sẽ khó xảy ra. Cơ quan thuế cũng đã cải thiện công nghệ theo dõi.</t>
  </si>
  <si>
    <t>Nhà nước và cơ quan thuế đã đầu tư nhiều vào công nghệ để phát hiện, xử lý các hành vi trốn thuế. Tuy nhiên, vẫn còn một số thách thức về mặt quản lý.</t>
  </si>
  <si>
    <t>So với trước đây, quy trình khai báo và làm việc với cơ quan thuế đã đơn giản hơn nhiều. Thủ tục nhanh chóng và tiện lợi hơn.</t>
  </si>
  <si>
    <t>Cách tính thuế hiện tại rõ ràng và dễ hiểu hơn so với trước đây, với số bậc giảm đi từ 7 xuống 5</t>
  </si>
  <si>
    <t>Tôi tin rằng Nhà nước sẽ thực thi chính sách một cách khách quan, công bằng đối với mọi người nộp thuế. Cách tính thuế mới đã giúp tôi không phải đóng thuế.</t>
  </si>
  <si>
    <t>Mức thuế hiện tại là hợp lý và phù hợp với thu nhập của tôi</t>
  </si>
  <si>
    <t>Thuê tôi đóng sẽ được sử dụng hiệu quả để cải thiện dịch vụ công, như y tế và đường xá.</t>
  </si>
  <si>
    <t>Nhà nước đã giải thích rõ ràng về mục tiêu của việc sửa đổi thuế. Tuy nhiên, vẫn cần thêm thông tin về cách sử dụng nguồn thu thuế mới</t>
  </si>
  <si>
    <t>Tôi ủng hộ và tuân thủ chính sách mới vì nó phù hợp với thu nhập và giảm gánh nặng cho tôi.</t>
  </si>
  <si>
    <t>Thuế không áp dụng cho tôi nên việc phát hiện gian lận hoặc trốn thuế không quan trọng.</t>
  </si>
  <si>
    <t>Việc quản lý thuế hiện nay chưa rõ ràng, khó kiểm soát.</t>
  </si>
  <si>
    <t>Thủ tục khai báo trở nên đơn giản hơn, thuận tiện hơn cho người dân.</t>
  </si>
  <si>
    <t>Các bậc thuế được đơn giản hóa, dễ hiểu hơn so với trước đây.</t>
  </si>
  <si>
    <t>Tôi tin rằng cơ quan thuế sẽ thực hiện công bằng với mọi người nộp thuế.</t>
  </si>
  <si>
    <t>Mức giảm trừ gia cảnh cao, tôi không phải đóng thuế nên thấy hợp lý.</t>
  </si>
  <si>
    <t>Thuốc được sử dụng hiệu quả cho dịch vụ công, cải thiện chất lượng cuộc sống.</t>
  </si>
  <si>
    <t>Nhà nước đã giải thích rõ ràng mục tiêu và lý do sửa đổi thuế lần này.</t>
  </si>
  <si>
    <t>Đối với tôi, chính sách mới mang lại lợi ích về mặt tài chính nên sẽ ủng hộ và tuân thủ.</t>
  </si>
  <si>
    <t>Dù cơ chế quản lý thuế hiện đại, nhưng tôi vẫn nghi ngờ khả năng phát hiện trốn thuế do quy mô lớn và sự phức tạp của việc khai báo.</t>
  </si>
  <si>
    <t>Cơ quan thuế có nhiều công cụ để phát hiện gian lận, nhưng hiệu quả thực tế phụ thuộc vào nguồn lực và quyết tâm.</t>
  </si>
  <si>
    <t>Thủ tục đã đơn giản hơn, nhưng vẫn cần thời gian để người dân quen với quy trình mới.</t>
  </si>
  <si>
    <t>Biểu thuế mới rõ ràng và dễ hiểu hơn so với trước đây, giảm bớt rào cản cho việc tuân thủ</t>
  </si>
  <si>
    <t>Tôi tin rằng cơ quan thuế sẽ công bằng trong việc thực thi, nhưng vẫn có sự nghi ngờ về khả năng kiểm soát hiệu quả.</t>
  </si>
  <si>
    <t>Thuế mới phù hợp với thu nhập của tôi, giảm gánh nặng tài chính và tăng sự công bằng</t>
  </si>
  <si>
    <t>Số tiền thuế đóng sẽ được sử dụng hiệu quả để cải thiện chất lượng cuộc sống, nhưng vẫn lo ngại về việc sử dụng cụ thể.</t>
  </si>
  <si>
    <t>Nhà nước đã giải thích rõ ràng mục tiêu của chính sách mới, tạo niềm tin cho người dân</t>
  </si>
  <si>
    <t>Phương án thuế mới có lợi cho tôi và tăng tính công bằng nên tôi sẽ ủng hộ và tuân thủ.</t>
  </si>
  <si>
    <t>Đối với tôi, việc tăng cường quản lý thuế và công nghệ hiện đại giúp phát hiện hành vi gian lận trở nên dễ dàng hơn. Tuy nhiên, vẫn còn nghi ngại về khả năng thực thi.</t>
  </si>
  <si>
    <t>Nhà nước và cơ quan thuế có đủ khả năng để quản lý hệ thống thuế hiệu quả hơn so với trước đây.</t>
  </si>
  <si>
    <t>Thủ tục khai báo và quy trình làm việc với cơ quan thuế đã đơn giản, nhanh chóng hơn. Điều này giúp tôi không còn mất nhiều thời gian cho các vấn đề về thuế.</t>
  </si>
  <si>
    <t>Biểu thuế mới có ít bậc hơn và dễ hiểu hơn, giảm thiểu rủi ro sai sót và làm phức tạp quy trình tính thuế.</t>
  </si>
  <si>
    <t>Tôi tin rằng Nhà nước sẽ thực thi chính sách một cách công bằng. Tuy nhiên, vẫn có sự lo ngại về việc các cơ quan quản lý có thể thiên vị trong quá trình thực hiện.</t>
  </si>
  <si>
    <t>Mức thuế mới giảm đáng kể so với trước đây và phù hợp với thu nhập của tôi. Điều này làm tăng niềm tin vào sự công bằng của chính sách.</t>
  </si>
  <si>
    <t>Tiết kiệm được một lượng tiền lớn từ việc giảm trừ gia cảnh và bậc thuế mới, tôi tin rằng số tiền thuế đóng sẽ được sử dụng hiệu quả để cải thiện dịch vụ công.</t>
  </si>
  <si>
    <t>Nhà nước đã giải thích rõ ràng về mục tiêu của chính sách mới. Tuy nhiên, vẫn có sự lo ngại về việc thông tin chưa đầy đủ đến người dân.</t>
  </si>
  <si>
    <t>Trong tổng thể, tôi ủng hộ và tuân thủ chính sách thuế mới vì nó mang lại lợi ích cho cá nhân và cộng đồng. Tuy nhiên, vẫn cần cải thiện trong việc thực thi.</t>
  </si>
  <si>
    <t>Hiện tại, cơ quan thuế có nhiều công cụ để phát hiện hành vi gian lận thuế, nhưng không thể loại trừ khả năng trốn thuế vẫn xảy ra.</t>
  </si>
  <si>
    <t>Nhà nước đã đầu tư vào hệ thống công nghệ thông tin cho ngành thuế, giúp việc quản lý và phát hiện vi phạm trở nên dễ dàng hơn.</t>
  </si>
  <si>
    <t>Thủ tục khai thuế trở nên đơn giản hơn với mức giảm trừ gia cảnh cao hơn, nhưng vẫn có sự phức tạp khi tính toán các bậc thuế mới.</t>
  </si>
  <si>
    <t>Biểu thuế mới đơn giản và dễ hiểu hơn so với trước đây, giúp người nộp thuế nắm bắt nhanh chóng.</t>
  </si>
  <si>
    <t>Việc thực thi chính sách mới công bằng đối với tôi, do mức giảm trừ gia cảnh tăng lên.</t>
  </si>
  <si>
    <t>Mức thuế mới hợp lý cho thu nhập của tôi, giúp tiết kiệm chi phí và giảm gánh nặng về tài chính.</t>
  </si>
  <si>
    <t>Tôi tin rằng số tiền thuế đóng sẽ được sử dụng hiệu quả để cải thiện dịch vụ công, như y tế và cơ sở hạ tầng.</t>
  </si>
  <si>
    <t>Nhà nước đã giải thích rõ ràng về mục tiêu của việc sửa đổi chính sách thuế, tạo niềm tin cho người dân.</t>
  </si>
  <si>
    <t>Tôi ủng hộ và tuân thủ chính sách mới vì lợi ích tài chính và sự công bằng mà nó mang lại.</t>
  </si>
  <si>
    <t>Nhìn chung, tôi đồng ý với mức độ quản lý thuế hiện nay, nhưng do chưa có nhiều thông tin cụ thể về khả năng phát hiện và xử lý các hành vi trốn thuế, nên điểm số chỉ ở mức trung bình. Thuế thu nhập cá nhân là vấn đề nghiêm túc, cần phải được giám sát chặt chẽ.</t>
  </si>
  <si>
    <t>Tôi đồng ý với khả năng phát hiện và xử lý các hành vi trốn thuế của Nhà nước, cơ quan thuế. Công nghệ ngày càng phát triển giúp họ có thể nắm bắt thông tin một cách nhanh chóng.</t>
  </si>
  <si>
    <t>So với trước đây, quy trình làm việc với cơ quan thuế đã đơn giản hơn nhiều, thuận tiện cho người dân, do đó tôi đánh giá cao.</t>
  </si>
  <si>
    <t>Bảng thuế mới có ít bậc hơn, dễ hiểu và thực hiện nhanh chóng hơn. Điều này làm giảm bớt sự phức tạp đối với người nộp thuế.</t>
  </si>
  <si>
    <t>Tôi tin rằng Nhà nước sẽ thực thi chính sách một cách khách quan, công bằng. Mức thuế mới có thể coi là công bằng cho thu nhập hiện tại của tôi và số người phụ thuộc.</t>
  </si>
  <si>
    <t>Thuế mới giảm đáng kể so với trước đây, đồng nghĩa với việc tôi sẽ phải đóng ít hơn. Điều này tạo cảm giác công bằng khi so sánh với thu nhập hiện tại của tôi.</t>
  </si>
  <si>
    <t>Tôi tin rằng số tiền thuế mà tôi đóng sẽ được sử dụng hiệu quả để cải thiện dịch vụ công, như y tế và đường xá. Điều này tạo niềm tin vào việc sử dụng nguồn lực một cách minh bạch.</t>
  </si>
  <si>
    <t>Nhà nước đã giải thích rõ ràng về mục tiêu của việc sửa đổi thuế, nhưng cần thêm thông tin chi tiết hơn để tôi cảm thấy hoàn toàn thoải mái. Tuy nhiên, sự công khai này đã tạo nên một phần niềm tin vào chính sách.</t>
  </si>
  <si>
    <t>Sau khi xem xét các quyền lợi và nghĩa vụ theo chính sách mới, tôi ủng hộ và tuân thủ nó. Mức giảm thuế đáng kể và sự đơn giản hóa quy trình làm việc với cơ quan thuế đã tạo ra một cảm giác tích cực.</t>
  </si>
  <si>
    <t>Dù có công nghệ phát hiện gian lận, nhưng với mức thuế giảm đáng kể, tôi không quá lo ngại về việc trốn thuế.</t>
  </si>
  <si>
    <t>Cơ quan thuế có khả năng và công nghệ để giám sát, nhưng hiệu quả thực thi cần được cải thiện hơn.</t>
  </si>
  <si>
    <t>Quy trình làm việc với cơ quan thuế đơn giản hơn, thủ tục khai báo thuận tiện hơn.</t>
  </si>
  <si>
    <t>Biểu thuế đơn giản và dễ hiểu hơn so với trước đây.</t>
  </si>
  <si>
    <t>Tôi tin rằng cơ quan thuế sẽ công tâm trong việc áp dụng chính sách, nhưng còn phụ thuộc vào thực tế.</t>
  </si>
  <si>
    <t>Thuế mới được giảm đáng kể và đơn giản hóa, tôi thấy hợp lý cho thu nhập của mình.</t>
  </si>
  <si>
    <t>Nhà nước sử dụng thuế để cải thiện dịch vụ công, nhưng cần minh bạch hơn về chi tiêu.</t>
  </si>
  <si>
    <t>Tôi đồng ý với mục đích sửa đổi thuế và cách giải thích của chính phủ.</t>
  </si>
  <si>
    <t>Dù có giảm thuế đáng kể, nhưng tôi vẫn cần xem xét kỹ trước khi thực hiện thay đổi.</t>
  </si>
  <si>
    <t>Dựa trên các quy định quản lý thuế mới, có nhiều biện pháp phát hiện hành vi gian lận và trốn thuế. Tuy nhiên, thực tế xử lý nghiêm vẫn phụ thuộc vào hiệu quả của hệ thống</t>
  </si>
  <si>
    <t>Nhà nước đã đầu tư vào công nghệ để quản lý thuế tốt hơn, nhưng khả năng phát hiện và xử lý còn phụ thuộc vào nhiều yếu tố khác</t>
  </si>
  <si>
    <t>Quy trình làm việc với cơ quan thuế được đơn giản hóa, thủ tục khai báo cũng thuận tiện hơn. Tuy nhiên, vẫn cần thời gian để mọi người quen thuộc với quy định mới</t>
  </si>
  <si>
    <t>Biểu thuế mới có ít bậc và mức giảm trừ gia cảnh cao hơn nên dễ hiểu và thực hiện đơn giản hơn so với trước đây</t>
  </si>
  <si>
    <t>Tôi tin rằng Nhà nước sẽ công tâm trong việc quản lý thuế, nhưng vẫn cần thêm thời gian để thấy rõ hiệu quả của chính sách mới</t>
  </si>
  <si>
    <t>Với mức thuế giảm và giảm trừ gia cảnh cao hơn, tôi thấy rằng mức thuế hiện tại là hợp lý</t>
  </si>
  <si>
    <t>Việc sử dụng số tiền thuế đóng vào việc cải thiện dịch vụ công sẽ tăng niềm tin của người dân</t>
  </si>
  <si>
    <t>Nhà nước đã giải thích rõ ràng về mục tiêu và lý do của chính sách mới, nhưng cần thêm minh bạch trong quá trình thực thi</t>
  </si>
  <si>
    <t>Trải qua quá trình xem xét, tôi ủng hộ và tuân thủ chính sách mới vì lợi ích tài chính cá nhân cũng như sự công bằng đối với mọi người nộp thuế</t>
  </si>
  <si>
    <t>Dựa trên mức thuế giảm rõ rệt và việc đơn giản hóa quy trình, tôi tin rằng cơ quan thuế sẽ dễ dàng phát hiện và xử lý các hành vi trốn thuế.</t>
  </si>
  <si>
    <t>Công nghệ ngày càng phát triển, cùng với sự tăng cường quản lý của nhà nước, khả năng phát hiện trốn thuế đã được cải thiện đáng kể.</t>
  </si>
  <si>
    <t>Quy trình khai báo và làm việc với cơ quan thuế trở nên đơn giản hơn nhiều so với trước đây, tạo thuận lợi cho người nộp thuế.</t>
  </si>
  <si>
    <t>Bậc thuế ít đi và mức giảm trừ gia cảnh tăng lên, khiến việc tính thuế trở nên dễ dàng và rõ ràng hơn.</t>
  </si>
  <si>
    <t>Các quy định mới được áp dụng công bằng cho tất cả các đối tượng có thu nhập tương tự như tôi, tạo niềm tin vào sự khách quan của nhà nước.</t>
  </si>
  <si>
    <t>Mức thuế giảm và lợi ích từ tăng giảm trừ gia cảnh giúp tôi thấy rằng mức thuế mới là công bằng đối với thu nhập hiện tại của mình.</t>
  </si>
  <si>
    <t>Thuê được sử dụng hiệu quả để cải thiện dịch vụ công, tạo cảm giác thực sự góp phần vào xã hội.</t>
  </si>
  <si>
    <t>Nhà nước đã cung cấp thông tin chi tiết về lý do và mục tiêu của việc sửa đổi thuế, làm tăng niềm tin vào quyết định này.</t>
  </si>
  <si>
    <t>Sau khi xem xét tất cả các yếu tố, tôi ủng hộ và sẽ tuân thủ chính sách mới, vì nó mang lại lợi ích rõ ràng cho tôi.</t>
  </si>
  <si>
    <t>Hiện nay, công nghệ theo dõi thuế của nhà nước đã phát triển mạnh mẽ. Với những cơ sở dữ liệu và hệ thống giám sát hiện đại, việc phát hiện hành vi gian lận hoặc trốn thuế là có khả năng.</t>
  </si>
  <si>
    <t>Nhà nước và các cơ quan thuế đã đầu tư vào công nghệ và nguồn lực để nâng cao hiệu quả quản lý. Tuy nhiên, vẫn còn một số lo ngại về khả năng thực thi</t>
  </si>
  <si>
    <t>Việc đơn giản hóa quy trình khai báo thuế đã cải thiện đáng kể sự thuận tiện, tuy nhiên vẫn cần thêm thời gian để mọi người quen thuộc với các thay đổi mới.</t>
  </si>
  <si>
    <t>Bậc thuế được đơn giản hóa từ 7 xuống còn 5, làm cho việc tính toán và áp dụng trở nên dễ dàng hơn nhiều. Đây là một bước tiến đáng kể</t>
  </si>
  <si>
    <t>Nhà nước đã công bố thông tin rõ ràng về chính sách mới. Việc thực thi công bằng đối với mọi người nộp thuế sẽ tăng niềm tin vào hệ thống.</t>
  </si>
  <si>
    <t>Với mức thu nhập của tôi, giảm trừ gia cảnh và bậc thuế mới đã làm cho việc đóng thuế trở nên công bằng hơn so với trước đây</t>
  </si>
  <si>
    <t>Thuế tôi đóng sẽ được sử dụng để cải thiện dịch vụ công, điều này tăng sự tin tưởng vào mục tiêu của chính sách</t>
  </si>
  <si>
    <t>Nhà nước đã cung cấp thông tin đầy đủ về lý do và mục đích của việc sửa đổi thuế lần này. Điều này làm tăng độ minh bạch và trách nhiệm</t>
  </si>
  <si>
    <t>Với các lợi ích tài chính và sự đơn giản hóa quy trình, tôi sẽ ủng hộ và tuân thủ chính sách mới.</t>
  </si>
  <si>
    <t>Nếu cơ quan thuế có công nghệ hiện đại, khả năng phát hiện và xử lý gian lận sẽ cao hơn. Tuy nhiên, tôi không hoàn toàn tin tưởng vào khả năng quản lý của họ.</t>
  </si>
  <si>
    <t>Việc sử dụng công nghệ tiên tiến trong việc giám sát thuế có thể giúp phát hiện gian lận nhanh chóng và hiệu quả hơn so với trước đây.</t>
  </si>
  <si>
    <t>So với quy trình khai báo trước đây, quy trình mới trở nên đơn giản và thuận tiện hơn nhiều. Việc sử dụng ứng dụng điện tử giúp tiết kiệm thời gian.</t>
  </si>
  <si>
    <t>Số bậc thuế giảm từ 7 xuống 5 làm việc tính toán và hiểu rõ mức thuế dễ dàng hơn, đặc biệt là với những người không chuyên về tài chính.</t>
  </si>
  <si>
    <t>Tôi tin rằng cơ quan thuế sẽ công bằng khi thực thi pháp luật mới. Tuy nhiên, vẫn có một số lo ngại về cách họ điều hành.</t>
  </si>
  <si>
    <t>Do mức thuế giảm đáng kể và các ưu đãi gia cảnh tăng lên, tôi thấy mình đóng góp công bằng hơn so với trước đây.</t>
  </si>
  <si>
    <t>Tiết kiệm được nhiều tiền thuế sẽ được sử dụng hiệu quả để cải thiện dịch vụ công. Tuy nhiên, tôi mong muốn có thêm thông tin về chi tiêu cụ thể.</t>
  </si>
  <si>
    <t>Nhà nước đã cung cấp giải thích rõ ràng về mục đích của việc sửa đổi thuế. Điều này tăng niềm tin vào quyết định của họ.</t>
  </si>
  <si>
    <t>Việc giảm bớt thuế và cải tiến quy trình làm việc với cơ quan thuế đã giúp tôi cảm thấy thoải mái hơn khi tuân thủ chính sách mới.</t>
  </si>
  <si>
    <t>Dù không phải đóng thuế, nhưng với mức giảm trừ gia cảnh cao hơn, việc phát hiện và xử lý gian lận có thể khó khăn. Tuy nhiên, công nghệ ngày càng tiên tiến nên khả năng phát hiện vẫn có.</t>
  </si>
  <si>
    <t>Nhà nước đã cải thiện hệ thống quản lý thuế qua việc tăng cường công nghệ và đào tạo cho nhân viên thuế, tuy nhiên, vấn đề về cấu trúc tổ chức cũng cần được xem xét.</t>
  </si>
  <si>
    <t>Quy trình khai báo thuế trở nên đơn giản hơn khi có nhiều giảm trừ gia cảnh, nhưng vẫn còn một số thủ tục rườm rà.</t>
  </si>
  <si>
    <t>Biểu thuế mới đơn giản hóa và rõ ràng hơn so với trước đây, dễ hiểu và thực hiện dễ dàng hơn.</t>
  </si>
  <si>
    <t>Tôi tin rằng Nhà nước sẽ công tâm trong việc áp dụng chính sách mới, nhưng cần có các biện pháp kiểm tra để đảm bảo.</t>
  </si>
  <si>
    <t>Với mức giảm trừ gia cảnh cao, tôi thấy mình đóng thuế ít hơn so với trước đây, điều này thể hiện tính công bằng.</t>
  </si>
  <si>
    <t>Nhà nước đã giải thích rõ ràng về mục tiêu của việc sửa đổi chính sách, nhưng thông tin chi tiết về cách thực hiện vẫn cần thêm.</t>
  </si>
  <si>
    <t>Dù thuế ít hơn nhưng tôi ủng hộ vì nó mang tính công bằng và đơn giản cho người nộp thuế</t>
  </si>
  <si>
    <t xml:space="preserve">Thuế có nhiều quy định và khó kiểm soát, nhưng với mức giảm trừ gia cảnh cao hơn và đơn giản hóa biểu thuế, khả năng phát hiện hành vi gian lận hoặc trốn thuế sẽ tốt hơn. </t>
  </si>
  <si>
    <t>Nhà nước có nhiều nguồn lực để phát triển công nghệ và hệ thống quản lý thuế hiệu quả hơn, tăng cường khả năng giám sát và xử lý các hành vi trốn thuế.</t>
  </si>
  <si>
    <t>Quy trình khai báo thuế trở nên đơn giản hơn với mức giảm trừ gia cảnh cao và số bậc thuế ít đi. Tuy nhiên, quy trình vẫn cần cải thiện nhiều hơn để tránh lỗi tính toán.</t>
  </si>
  <si>
    <t>Biểu thuế mới đơn giản hóa quá trình tính thuế, nhưng người dân như tôi vẫn cảm thấy khó hiểu với các bậc thuế và cách tính toán cụ thể.</t>
  </si>
  <si>
    <t>Tôi tin rằng Nhà nước sẽ thực thi chính sách một cách khách quan và công bằng, mặc dù mức độ minh bạch về quy định quản lý thuế còn hạn chế.</t>
  </si>
  <si>
    <t>Mức thuế mới phù hợp với thu nhập của tôi. Tuy nhiên, việc giảm trừ gia cảnh cao hơn có thể khiến người khác ở mức thấp hơn cảm thấy không công bằng.</t>
  </si>
  <si>
    <t>Tôi tin rằng số tiền thuế đóng sẽ được sử dụng hiệu quả để cải thiện dịch vụ công. Tuy nhiên, việc minh bạch về cách sử dụng nguồn thu còn hạn chế.</t>
  </si>
  <si>
    <t>Nhà nước đã giải thích rõ ràng về mục tiêu của chính sách mới, nhưng cần tăng cường minh bạch hơn nữa trong quá trình thực hiện.</t>
  </si>
  <si>
    <t>Tôi ủng hộ và tuân thủ chính sách mới vì nó mang lại lợi ích tài chính cho tôi. Tuy nhiên, tôi hy vọng các quy định quản lý thuế sẽ được cải thiện hơn nữa.</t>
  </si>
  <si>
    <t>Nếu có đủ khả năng và công nghệ, việc phát hiện trốn thuế sẽ dễ dàng hơn. Tuy nhiên, với mức độ quản lý hiện tại, tôi không chắc chắn 100%</t>
  </si>
  <si>
    <t>Cơ quan thuế có thể tăng cường khả năng giám sát và xử lý thông qua công nghệ nhưng hiện vẫn chưa hoàn thiện</t>
  </si>
  <si>
    <t>Quy trình khai báo thuế đã đơn giản hơn, thủ tục cũng thuận tiện hơn so với trước đây. Việc giảm trừ gia cảnh lớn giúp việc khai báo dễ dàng hơn</t>
  </si>
  <si>
    <t>Biểu thuế đơn giản hơn và mức giảm trừ gia cảnh cao hơn làm cho việc tính toán thuế trở nên dễ dàng, công bằng hơn</t>
  </si>
  <si>
    <t>Tôi tin rằng cơ quan thuế sẽ thực thi chính sách một cách khách quan nhưng cần thêm thời gian để chứng minh</t>
  </si>
  <si>
    <t>Thuế tôi phải đóng theo phương án mới là hợp lý so với thu nhập của mình. Mức giảm trừ gia cảnh cao giúp giảm gánh nặng tài chính</t>
  </si>
  <si>
    <t>Nguy cơ thuế tăng có thể làm giảm chi tiêu công, nhưng việc cải thiện hạ tầng và dịch vụ công là cần thiết</t>
  </si>
  <si>
    <t>Nhà nước đã giải thích rõ ràng về mục đích của việc sửa đổi luật thuế nhưng vẫn cần minh bạch hơn về cách sử dụng nguồn thu</t>
  </si>
  <si>
    <t>Tôi ủng hộ chính sách mới vì nó giảm gánh nặng tài chính và đơn giản hóa quy trình khai báo, tôi sẽ tuân thủ nếu được áp dụng</t>
  </si>
  <si>
    <t>Nhà nước đã tăng cường hệ thống quản lý thuế, tuy nhiên, việc phát hiện và xử lý gian lận vẫn phụ thuộc vào hiệu quả thực tế của các cơ quan chức năng.</t>
  </si>
  <si>
    <t>Công nghệ ngày càng tiên tiến giúp cho việc theo dõi, kiểm soát thuế dễ dàng hơn. Tuy nhiên, tình trạng gian lận vẫn diễn ra.</t>
  </si>
  <si>
    <t>Biểu thuế mới có ít bậc và dễ hiểu hơn, giúp giảm bớt sự phức tạp trong quá trình tính thuế.</t>
  </si>
  <si>
    <t>Tôi tin rằng cơ quan thuế sẽ thực hiện chính sách một cách công bằng và khách quan. Việc tăng mức giảm trừ gia cảnh cho bản thân và người phụ thuộc tạo ra sự công bằng hơn.</t>
  </si>
  <si>
    <t>Thuế mới mà tôi phải đóng là hợp lý so với thu nhập hiện tại, giúp tôi tiết kiệm được một khoản đáng kể tiền thuế.</t>
  </si>
  <si>
    <t>Việc tăng mức giảm trừ gia cảnh và đơn giản hóa biểu thuế cho phép số tiền thuế của tôi được sử dụng hiệu quả hơn để cải thiện dịch vụ công</t>
  </si>
  <si>
    <t>Nhà nước đã giải thích rõ ràng về mục tiêu của việc sửa đổi thuế, tuy nhiên, sự minh bạch còn hạn chế vì không có nhiều thông tin chi tiết.</t>
  </si>
  <si>
    <t>Tôi ủng hộ và tuân thủ chính sách mới vì nó mang lại lợi ích tài chính và thuận tiện hơn cho người dân.</t>
  </si>
  <si>
    <t>Việc tăng cường quản lý thuế và công nghệ hiện đại của cơ quan thuế tạo nên sự tin tưởng về khả năng phát hiện hành vi gian lận hoặc trốn thuế.</t>
  </si>
  <si>
    <t>Cơ quan thuế có đội ngũ chuyên môn cao và sử dụng công nghệ tiên tiến, đảm bảo hiệu quả trong việc giám sát và xử lý các trường hợp vi phạm.</t>
  </si>
  <si>
    <t>Quy trình khai báo thuế trở nên dễ dàng hơn với việc đơn giản hóa biểu thuế, giúp tiết kiệm thời gian cho người dân.</t>
  </si>
  <si>
    <t>Biểu thuế mới đơn giản và rõ ràng hơn so với trước đây, dễ hiểu và thực hiện thuận tiện hơn.</t>
  </si>
  <si>
    <t>Tôi tin rằng cơ quan thuế sẽ công bằng trong việc áp dụng chính sách mới cho mọi người nộp thuế, dựa trên thu nhập của họ.</t>
  </si>
  <si>
    <t>Thuế tôi phải đóng theo phương án mới là hợp lý, giảm bớt gánh nặng tài chính và vẫn đảm bảo công bằng giữa các đối tượng khác nhau.</t>
  </si>
  <si>
    <t>Tôi tin rằng số tiền thuế tôi đóng sẽ được sử dụng hiệu quả để cải thiện dịch vụ công, giúp nâng cao chất lượng cuộc sống cho người dân.</t>
  </si>
  <si>
    <t>Nhà nước đã giải thích rõ ràng về lý do và mục tiêu của việc sửa đổi thuế lần này, tạo nên sự minh bạch trong quá trình triển khai chính sách mới.</t>
  </si>
  <si>
    <t>Tôi ủng hộ và tuân thủ chính sách mới vì nó mang lại lợi ích đáng kể về mặt tài chính và công bằng so với trước đây.</t>
  </si>
  <si>
    <t>Điều kiện thực thi hiện nay không được mô tả chi tiết, nhưng với việc tăng mức giảm trừ gia cảnh và đơn giản hóa biểu thuế, hành vi gian lận hoặc trốn thuế sẽ ít xảy ra hơn. Tuy nhiên, khả năng phát hiện và xử lý nghiêm của nhà nước chưa rõ ràng.</t>
  </si>
  <si>
    <t>Nhà nước và cơ quan thuế có khả năng công nghệ để theo dõi các giao dịch tài chính, nhưng không chắc chắn về sự kiên trì trong việc thực thi pháp luật thuế.</t>
  </si>
  <si>
    <t>Quy trình khai báo thuế và làm việc với cơ quan thuế trở nên đơn giản hơn. Tuy nhiên, do vẫn chưa có nhiều thay đổi về thủ tục, người dân cần thời gian để làm quen.</t>
  </si>
  <si>
    <t>Biểu thuế mới dễ hiểu và thực hiện đơn giản hơn, giảm thiểu rắc rối cho người nộp thuế. Đây là một bước tiến đáng kể trong việc cải thiện thuận tiện cho người dân.</t>
  </si>
  <si>
    <t>Tôi tin rằng cơ quan thuế sẽ công tâm khi thực thi chính sách mới, nhưng vẫn lo ngại về khả năng quản lý và thực thi của họ. Tuy nhiên, mức thuế giảm đáng kể tạo niềm tin vào sự công bằng.</t>
  </si>
  <si>
    <t>Mức thuế mới được coi là công bằng với thu nhập của tôi sau khi tăng các mức giảm trừ gia cảnh. Điều này thể hiện sự công bằng trong việc phân phối gánh nặng thuế</t>
  </si>
  <si>
    <t>Tôi tin rằng số tiền thuế đóng sẽ được sử dụng hiệu quả để cải thiện dịch vụ công, đặc biệt là y tế và cơ sở hạ tầng. Điều này tăng niềm tin vào việc đầu tư của nhà nước.</t>
  </si>
  <si>
    <t>Chính phủ đã giải thích rõ ràng về mục tiêu của việc sửa đổi thuế, tuy nhiên, tôi vẫn mong muốn có thêm thông tin chi tiết hơn về cách sử dụng số tiền thuế được thu thập</t>
  </si>
  <si>
    <t>Sau khi xem xét các quyền lợi và nghĩa vụ, tôi ủng hộ chính sách mới vì mức thuế giảm đáng kể và sự công bằng trong việc phân phối gánh nặng thuế. Tôi sẽ tuân thủ chính sách này.</t>
  </si>
  <si>
    <t>Nếu cơ quan thuế có công nghệ hiện đại, khả năng phát hiện hành vi gian lận và trốn thuế sẽ cao hơn. Mức thuế giảm cũng khiến người dân coi trọng việc nộp thuế nhiều hơn.</t>
  </si>
  <si>
    <t>Việc áp dụng công nghệ trong quản lý thuế như hệ thống hóa đơn điện tử, thanh toán trực tuyến giúp phát hiện trốn thuế dễ dàng hơn. Cơ quan thuế cũng có đủ nhân lực để xử lý.</t>
  </si>
  <si>
    <t>Thủ tục khai báo thuế và quy trình làm việc với cơ quan thuế đã đơn giản hóa, giảm thời gian chờ đợi và tăng sự tiện lợi cho người dân. Điều này giúp thuận tiện hơn cho việc nộp thuế.</t>
  </si>
  <si>
    <t>Biểu thuế mới có ít bậc hơn nên dễ hiểu và thực hiện nhanh chóng, giảm rào cản về mặt kỹ thuật khi tính toán và khai báo thuế. Điều này làm cho quá trình nộp thuế trở nên đơn giản hơn.</t>
  </si>
  <si>
    <t>Thuế mới được công bố minh bạch với các mức thuế rõ ràng, không có nhiều điều khoản trừu tượng khiến người dân cảm thấy bị áp bức. Công tác quản lý thuế cũng được cải thiện nên tôi tin rằng việc thực thi sẽ công bằng.</t>
  </si>
  <si>
    <t>Mức thuế mới với giảm trừ gia cảnh lớn hơn và số bậc thuế ít hơn khiến tôi cảm thấy đóng góp của mình là công bằng. Điều này giúp cân đối giữa quyền lợi cá nhân và nghĩa vụ nộp thuế.</t>
  </si>
  <si>
    <t>Thuê tôi đã giảm đáng kể, tôi tin rằng số tiền tôi đóng sẽ được sử dụng hiệu quả để cải thiện các dịch vụ công như y tế, giáo dục và hạ tầng. Điều này tạo niềm tin về sự đầu tư đúng đắn của Nhà nước.</t>
  </si>
  <si>
    <t>Nhà nước đã giải thích rõ ràng mục đích và lý do của việc sửa đổi thuế, tôi cảm thấy thông tin minh bạch giúp tôi hiểu hơn về chính sách mới. Điều này tăng cường niềm tin vào Nhà nước.</t>
  </si>
  <si>
    <t>Sau khi xem xét các quyền lợi và nghĩa vụ, tôi ủng hộ và tuân thủ chính sách mới vì nó tạo ra một hệ thống thuế công bằng hơn và thuận tiện cho người dân. Tôi tin rằng việc này sẽ thúc đẩy sự phát triển kinh tế.</t>
  </si>
  <si>
    <t>Hiện nay, cơ quan thuế có hệ thống quản lý và công nghệ phát triển nên khả năng phát hiện gian lận là cao. Tuy nhiên, không thể loại trừ việc có người trốn tránh.</t>
  </si>
  <si>
    <t>Nhà nước đã đầu tư vào công nghệ và nhân lực để cải thiện hiệu quả quản lý thuế, tăng khả năng phát hiện gian lận.</t>
  </si>
  <si>
    <t>Thủ tục khai báo thuế đơn giản hơn với mức giảm trừ gia cảnh cao hơn. Việc này giúp quá trình làm việc với cơ quan thuế trở nên nhanh chóng và tiện lợi hơn.</t>
  </si>
  <si>
    <t>Biểu thuế mới có ít bậc hơn, dễ hiểu và đơn giản hóa quy trình tính thuế, thuận tiện cho người dân.</t>
  </si>
  <si>
    <t>Tôi tin rằng cơ quan thuế sẽ thực thi chính sách một cách công bằng và khách quan vì mức giảm trừ gia cảnh cao hơn và số bậc thuế ít hơn.</t>
  </si>
  <si>
    <t>Mức thuế mới là hợp lý đối với thu nhập của tôi. Thu nhập tính thuế từ 15,5 triệu/tháng đến 30 triệu/tháng chịu thuế suất 5% là công bằng.</t>
  </si>
  <si>
    <t>Thuế đóng góp vào việc cải thiện dịch vụ công như y tế và hạ tầng. Mức thuế mới giúp nâng cao chất lượng cuộc sống cho người dân.</t>
  </si>
  <si>
    <t>Nhà nước đã giải thích rõ ràng về sự cần thiết của việc sửa đổi thuế để tạo ra một hệ thống công bằng hơn.</t>
  </si>
  <si>
    <t>Tôi ủng hộ và tuân thủ chính sách mới vì nó giảm gánh nặng thuế cho người dân, đơn giản hóa quy trình khai báo và cải thiện dịch vụ công.</t>
  </si>
  <si>
    <t>Nhà nước đã tăng cường quản lý thuế và công nghệ hiện đại nên tôi tin rằng hành vi gian lận hoặc trốn thuế sẽ bị phát hiện.</t>
  </si>
  <si>
    <t>Cơ quan thuế có đủ khả năng kỹ thuật để phát hiện, xử lý nghiêm các hành vi trốn thuế thông qua hệ thống quản lý và công nghệ hiện đại.</t>
  </si>
  <si>
    <t>So với trước đây, quy trình khai báo thuế đơn giản hơn nhiều, đặc biệt là việc giảm trừ gia cảnh và số bậc thuế.</t>
  </si>
  <si>
    <t>Biểu thuế mới đơn giản hóa các mức thu nhập và thuế suất, dễ hiểu và thực hiện hơn so với trước đây.</t>
  </si>
  <si>
    <t>Tôi tin rằng Nhà nước sẽ công bằng trong việc áp dụng chính sách thuế mới, đặc biệt là sau khi thấy lợi ích tài chính từ nó.</t>
  </si>
  <si>
    <t>Thuế tôi đóng theo phương án mới hợp lý vì mức thu nhập hiện tại của tôi không quá cao nên chỉ chịu thuế ở bậc thấp.</t>
  </si>
  <si>
    <t>Nhà nước đã giải thích rõ ràng mục tiêu của việc sửa đổi thuế này qua nhiều kênh truyền thông, cho thấy sự minh bạch trong quá trình thực thi.</t>
  </si>
  <si>
    <t>Sau khi xem xét lợi ích tài chính và sự đơn giản hóa quy trình nộp thuế, tôi ủng hộ và sẽ tuân thủ chính sách mới.</t>
  </si>
  <si>
    <t>Hiện nay, với sự phát triển của công nghệ thông tin và hệ thống quản lý thuế ngày càng hiện đại, tôi tin rằng hành vi gian lận hoặc trốn thuế sẽ bị phát hiện dễ dàng. Tuy nhiên, không phải lúc nào cũng có đủ nhân lực để xử lý triệt để các vụ việc vi phạm.</t>
  </si>
  <si>
    <t>Nhà nước và cơ quan thuế đã đầu tư nhiều vào công nghệ thông tin, do đó khả năng phát hiện và xử lý nghiêm minh các hành vi trốn thuế là rất cao. Tuy nhiên, vẫn cần có sự cải thiện về nhân lực để tăng hiệu quả quản lý.</t>
  </si>
  <si>
    <t>Quy trình khai báo thuế và làm việc với cơ quan thuế đã đơn giản hơn nhiều so với trước đây. Tuy nhiên, vẫn còn một số thủ tục phức tạp cần cải thiện nữa.</t>
  </si>
  <si>
    <t>Biểu thuế mới có ít bậc hơn nhưng vẫn đảm bảo tính công bằng và dễ hiểu. Việc giảm trừ gia cảnh cũng tăng thêm sự thuận tiện cho người dân.</t>
  </si>
  <si>
    <t>Tôi tin rằng Nhà nước sẽ thực thi chính sách một cách công bằng, khách quan và đối xử bình đẳng với mọi người nộp thuế. Mức thuế mới tôi phải đóng cũng được xem xét kỹ lưỡng.</t>
  </si>
  <si>
    <t>Dựa trên các mức giảm trừ gia cảnh và biểu thuế mới, tôi thấy mình đã đóng mức thuế phù hợp với thu nhập hiện tại của mình. Mức thuế này là công bằng đối với người có thu nhập tương tự.</t>
  </si>
  <si>
    <t>Sau khi giảm trừ gia cảnh và điều chỉnh biểu thuế, tôi tin rằng số tiền thuế đóng sẽ được sử dụng hiệu quả để cải thiện dịch vụ công như y tế, giáo dục và giao thông.</t>
  </si>
  <si>
    <t>Nhà nước đã giải thích rõ ràng về mục đích của việc điều chỉnh thuế. Tuy nhiên, tôi hy vọng sẽ có thêm nhiều thông tin chi tiết hơn từ cơ quan thuế để người dân hiểu rõ hơn.</t>
  </si>
  <si>
    <t>Sau khi xem xét các quyền lợi và nghĩa vụ mới, tôi ủng hộ và tuân thủ chính sách này. Nó đã cải thiện đáng kể về mặt thuận tiện cho người nộp thuế.</t>
  </si>
  <si>
    <t>Việc giảm trừ gia cảnh tăng lên và số bậc thuế đơn giản hơn khiến việc phát hiện trốn thuế trở nên khó khăn hơn, nhưng cơ quan nhà nước vẫn có thể kiểm soát thông qua hệ thống công nghệ.</t>
  </si>
  <si>
    <t>Nhà nước đã cải thiện khả năng quản lý thông qua công nghệ, nhưng mức độ hiệu quả của việc phát hiện trốn thuế phụ thuộc vào sự tuân thủ của người dân.</t>
  </si>
  <si>
    <t>Các quy trình làm việc với cơ quan thuế đơn giản hơn và thuận tiện hơn trước đây, đặc biệt là khi giảm trừ gia cảnh tăng lên.</t>
  </si>
  <si>
    <t>Biểu thuế được đơn giản hóa từ 7 bậc xuống còn 5 bậc, dễ hiểu và thực hiện hơn so với trước đây.</t>
  </si>
  <si>
    <t>Nhà nước đã công bố rõ ràng về mục tiêu cải cách thuế và phương pháp tính thuế mới, tạo cảm giác khách quan trong việc thực thi chính sách.</t>
  </si>
  <si>
    <t>Mức thuế hiện tại phù hợp với thu nhập của tôi và các giảm trừ gia cảnh tăng lên, tạo cảm giác công bằng trong quá trình đóng thuế.</t>
  </si>
  <si>
    <t>Tăng mức giảm trừ gia cảnh và đơn giản hóa biểu thuế tạo điều kiện cho việc sử dụng số tiền thuế thu được hiệu quả hơn để cải thiện dịch vụ công.</t>
  </si>
  <si>
    <t>Nhà nước đã giải thích rõ ràng về mục đích của việc cải cách, tạo niềm tin rằng chính sách mới là minh bạch và có lợi cho người dân.</t>
  </si>
  <si>
    <t>Tác động tài chính tích cực từ chính sách mới giúp tôi tiết kiệm tiền và cảm thấy công bằng khi đóng thuế. Tôi ủng hộ và tuân thủ chính sách này.</t>
  </si>
  <si>
    <t>Hiện nay, cơ quan thuế có nhiều công cụ và nguồn lực để phát hiện gian lận, nhưng vẫn cần cải thiện.</t>
  </si>
  <si>
    <t>Cơ quan thuế đã đầu tư vào công nghệ, tuy nhiên, việc quản lý thuế vẫn còn gặp nhiều thách thức.</t>
  </si>
  <si>
    <t>Quy trình khai báo thuế trở nên đơn giản hơn, thủ tục nhanh chóng và tiện lợi hơn so với trước đây.</t>
  </si>
  <si>
    <t>Biểu thuế mới có ít bậc hơn, dễ hiểu và thực hiện thuận lợi hơn, đặc biệt là mức giảm trừ gia cảnh tăng cao.</t>
  </si>
  <si>
    <t>Theo phương án mới, mức thuế tôi phải đóng phù hợp với thu nhập của mình và được giảm trừ nhiều hơn.</t>
  </si>
  <si>
    <t>Thuế mà tôi đóng sẽ được sử dụng để cải thiện dịch vụ công như y tế và đường xá, mang lại lợi ích cho cộng đồng.</t>
  </si>
  <si>
    <t>Tôi ủng hộ và tuân thủ chính sách mới vì nó mang lại nhiều lợi ích cho tôi và cộng đồng.</t>
  </si>
  <si>
    <t>Với mức giảm trừ gia cảnh tăng mạnh và việc đơn giản hóa biểu thuế, việc phát hiện hành vi gian lận hoặc trốn thuế trở nên dễ dàng hơn. Cơ quan thuế cũng có công nghệ hiện đại để theo dõi.</t>
  </si>
  <si>
    <t>Nhà nước và cơ quan thuế đã đầu tư vào hệ thống công nghệ thông tin, giúp họ quản lý và phát hiện gian lận thuế một cách hiệu quả hơn trước đây.</t>
  </si>
  <si>
    <t>Quy trình khai báo thuế đơn giản hơn với việc giảm số bậc thuế từ 7 xuống còn 5. Việc này giúp quá trình làm việc với cơ quan thuế trở nên thuận tiện và nhanh chóng hơn.</t>
  </si>
  <si>
    <t>Biểu thuế mới có ít bậc hơn, dễ hiểu và thực hiện đơn giản hơn so với trước đây. Điều này giúp người dân tính toán thuế cho mình một cách dễ dàng.</t>
  </si>
  <si>
    <t>Nhà nước đã cải thiện về mức giảm trừ gia cảnh và số bậc thuế, tạo ra sự công bằng trong việc đánh thuế. Quy trình thực thi cũng được minh bạch hơn.</t>
  </si>
  <si>
    <t>Tôi thấy mình đóng thuế phù hợp với thu nhập của mình, mức giảm trừ gia cảnh và số bậc thuế mới giúp tôi tiết kiệm một khoản tiền đáng kể. Điều này cho thấy chính sách mới là công bằng đối với người dân.</t>
  </si>
  <si>
    <t>Tiền thuế mà tôi đóng sẽ được sử dụng để cải thiện các dịch vụ công quan trọng như y tế, giáo dục và giao thông. Điều này tạo ra niềm tin rằng tiền thuế của tôi đang được sử dụng hiệu quả.</t>
  </si>
  <si>
    <t>Nhà nước đã giải thích rõ ràng về mục tiêu và lý do của việc sửa đổi thuế lần này, giúp người dân hiểu rõ hơn về chính sách mới.</t>
  </si>
  <si>
    <t>Tôi ủng hộ và tuân thủ chính sách mới vì nó mang lại nhiều lợi ích cho tôi như mức giảm trừ gia cảnh cao hơn và số bậc thuế đơn giản hơn, giúp tiết kiệm tiền thuế.</t>
  </si>
  <si>
    <t>Với mức thuế giảm đáng kể và sự tăng cường về giảm trừ gia cảnh, việc phát hiện gian lận có thể khó khăn hơn. Tuy nhiên, công nghệ hiện đại của cơ quan thuế vẫn giúp kiểm soát.</t>
  </si>
  <si>
    <t>Nhà nước đã đầu tư vào hệ thống công nghệ thông tin để cải thiện khả năng phát hiện và xử lý gian lận thuế. Tuy nhiên, hiệu quả này còn phụ thuộc vào thực thi.</t>
  </si>
  <si>
    <t>Quy trình khai báo thuế trở nên đơn giản hơn với việc rút gọn các bậc thuế và tăng mức giảm trừ gia cảnh, thuận tiện cho người dân.</t>
  </si>
  <si>
    <t>Sự đơn giản hóa trong tính toán thuế giúp người nộp thuế dễ dàng hơn trong việc nắm bắt và tuân thủ.</t>
  </si>
  <si>
    <t>Tôi tin rằng Nhà nước sẽ thực thi chính sách một cách công bằng, tuy nhiên, tôi vẫn giữ thái độ thận trọng vì chưa có nhiều kinh nghiệm với chính sách mới này.</t>
  </si>
  <si>
    <t>Mức thuế mới được xem là hợp lý cho thu nhập của tôi. Tuy nhiên, việc tăng mức giảm trừ gia cảnh giúp tôi tiết kiệm nhiều hơn so với trước đây.</t>
  </si>
  <si>
    <t>Tăng mức giảm trừ gia cảnh và đơn giản hóa quy trình khai thuế làm tôi tin rằng số tiền thuế đóng sẽ được sử dụng hiệu quả cho dịch vụ công</t>
  </si>
  <si>
    <t>Nhà nước đã giải thích rõ ràng về mục tiêu của việc sửa đổi thuế. Tuy nhiên, vẫn cần nhiều thông tin hơn để hiểu hoàn toàn.</t>
  </si>
  <si>
    <t>Tôi ủng hộ chính sách mới vì nó mang lại lợi ích tài chính và thuận tiện cho người nộp thuế. Tôi sẽ tuân thủ theo các quy định mới.</t>
  </si>
  <si>
    <t>Trong thực tế, các cơ quan thuế đã có nhiều biện pháp kiểm soát mạnh mẽ và công nghệ tiên tiến để phát hiện gian lận hoặc trốn thuế. Với mức thu nhập của tôi, nguy cơ trốn thuế là thấp nhưng vẫn cần sự giám sát chặt chẽ.</t>
  </si>
  <si>
    <t>Nhà nước và cơ quan thuế đã đầu tư vào công nghệ để cải thiện quản lý thuế. Tuy nhiên, còn nhiều thách thức trong việc đảm bảo tất cả các tổ chức tuân thủ.</t>
  </si>
  <si>
    <t>Thủ tục khai báo thuế đơn giản hơn trước đây, đặc biệt là với sự hỗ trợ trực tuyến. Tuy nhiên, vẫn còn một số bước cần cải tiến.</t>
  </si>
  <si>
    <t>Các bậc thuế mới đơn giản và dễ hiểu hơn so với trước đây, giảm độ phức tạp cho người dân.</t>
  </si>
  <si>
    <t>Tôi tin rằng các cơ quan thuế sẽ thực thi chính sách một cách công bằng. Mức thuế mới cũng hợp lý với thu nhập của tôi.</t>
  </si>
  <si>
    <t>Mức thuế mới giúp giảm gánh nặng cho người dân, đặc biệt là những người có thu nhập trung bình như tôi.</t>
  </si>
  <si>
    <t>Thuế đóng góp vào việc cải thiện dịch vụ công. Tôi tin rằng tiền thuế được sử dụng một cách hiệu quả để nâng cao chất lượng cuộc sống.</t>
  </si>
  <si>
    <t>Các cơ quan thuế đã giải thích rõ ràng về mục tiêu của chính sách mới, tuy nhiên vẫn còn có sự thiếu minh bạch trong việc sử dụng nguồn thu thuế.</t>
  </si>
  <si>
    <t>Tôi ủng hộ và tuân thủ chính sách mới vì nó mang lại lợi ích tài chính rõ ràng cho tôi và giảm độ phức tạp so với trước đây.</t>
  </si>
  <si>
    <t>Nước ta đã có nhiều cải tiến trong việc quản lý thuế, tăng cường công nghệ và hệ thống, nên tôi tin rằng hành vi gian lận hoặc trốn thuế sẽ bị phát hiện. Tuy nhiên, do vẫn còn lo ngại về hiệu quả thực thi pháp luật</t>
  </si>
  <si>
    <t>Cơ quan thuế đã có nhiều cải tiến công nghệ và hệ thống quản lý nên tôi tin rằng họ có đủ khả năng phát hiện các hành vi trốn thuế. Tuy nhiên, vẫn cần thêm thời gian để đánh giá</t>
  </si>
  <si>
    <t>So với trước đây, quy trình khai báo và làm việc với cơ quan thuế đã đơn giản hơn nhiều, tiết kiệm được thời gian và công sức. Thuế suất và các bậc thuế mới dễ hiểu và thực hiện nhanh chóng</t>
  </si>
  <si>
    <t>Biểu thuế mới có ít bậc hơn, dễ hiểu và thực hiện nhanh chóng hơn so với trước đây. Đây là cải tiến đáng kể về mặt tiện lợi cho người nộp thuế</t>
  </si>
  <si>
    <t>Tôi tin rằng Nhà nước sẽ thực thi chính sách một cách công bằng, khách quan và đối xử bình đẳng với tất cả các bên. Điều này tạo ra niềm tin vào hệ thống quản lý thuế</t>
  </si>
  <si>
    <t>Thuế suất mới của tôi là hợp lý so với thu nhập hiện tại, do đó tôi thấy mức thuế đóng là công bằng và phù hợp</t>
  </si>
  <si>
    <t>Tôi tin rằng số tiền thuế đóng sẽ được sử dụng hiệu quả để cải thiện các dịch vụ công, giúp đời sống người dân tốt hơn. Điều này tạo ra niềm tin vào mục tiêu phát triển của Nhà nước</t>
  </si>
  <si>
    <t>Nhà nước đã giải thích rõ ràng về lý do và mục tiêu của việc sửa đổi thuế lần này, giúp tôi hiểu được các quyền lợi cũng như nghĩa vụ của mình. Điều này tăng cường sự minh bạch</t>
  </si>
  <si>
    <t>Tác động tài chính tích cực từ chính sách mới đã tạo ra niềm tin và cảm giác công bằng, đồng thời quy trình làm việc đơn giản hơn. Vì vậy tôi ủng hộ và tuân thủ chính sách thuế mới</t>
  </si>
  <si>
    <t>Hiện nay, cơ quan thuế có nhiều công cụ kỹ thuật để phát hiện hành vi trốn thuế. Tuy nhiên, vẫn cần nâng cao hơn nữa về quản lý và xử lý.</t>
  </si>
  <si>
    <t>Nhà nước đã đầu tư vào hệ thống công nghệ thông tin, giúp cải thiện khả năng phát hiện gian lận thuế. Tuy nhiên, vẫn còn một số vấn đề cần khắc phục.</t>
  </si>
  <si>
    <t>Quy trình khai báo thuế đã đơn giản hơn so với trước đây nhờ hệ thống công nghệ thông tin. Tuy nhiên, việc thực hiện thủ tục vẫn cần thêm cải thiện để làm nhanh hơn.</t>
  </si>
  <si>
    <t>Biểu thuế mới đơn giản hóa quy trình tính thuế và giảm số bậc từ 7 xuống 5, giúp dễ hiểu và thực hiện thuận lợi hơn.</t>
  </si>
  <si>
    <t>Tôi tin rằng Nhà nước sẽ công tâm trong việc thực thi chính sách. Tuy nhiên, vẫn cần thêm minh bạch về cách tính thuế để tăng lòng tin của người dân.</t>
  </si>
  <si>
    <t>Những thay đổi về giảm trừ gia cảnh và đơn giản hóa biểu thuế đã giúp tôi tiết kiệm tiền. Điều này thể hiện mức thuế mới là công bằng đối với thu nhập của tôi.</t>
  </si>
  <si>
    <t>Thuế đóng góp vào việc cải thiện dịch vụ công, như y tế và cơ sở hạ tầng. Tuy nhiên, cần thấy rõ hơn về cách sử dụng số tiền thuế này để tăng niềm tin.</t>
  </si>
  <si>
    <t>Nhà nước đã giải thích rõ ràng về mục tiêu của việc cải cách thuế lần này. Tuy nhiên, cần thêm thông tin về cách cụ thể hóa các ưu đãi trong thực tế.</t>
  </si>
  <si>
    <t>Tôi ủng hộ chính sách mới vì nó đơn giản hơn và giúp tôi tiết kiệm tiền. Tôi sẽ tuân thủ theo các quy định mới.</t>
  </si>
  <si>
    <t>Dù có tăng mức giảm trừ gia cảnh và đơn giản hóa biểu thuế, tôi vẫn nghi ngờ khả năng phát hiện hành vi gian lận hoặc trốn thuế của cơ quan thuế.</t>
  </si>
  <si>
    <t>Trong thời đại công nghệ thông tin như hiện nay, việc Nhà nước và các cơ quan thuế có đủ khả năng phát hiện, xử lý nghiêm các hành vi trốn thuế là điều khả thi.</t>
  </si>
  <si>
    <t>Quy trình khai báo thuế và làm việc với cơ quan thuế đã đơn giản hơn so với trước đây, giúp tôi tiết kiệm thời gian và công sức.</t>
  </si>
  <si>
    <t>Biểu thuế mới có ít bậc hơn, dễ hiểu và thực hiện thuận lợi hơn, giảm bớt sự phức tạp cho người dân.</t>
  </si>
  <si>
    <t>Tôi tin rằng cơ quan thuế sẽ công bằng trong việc áp dụng chính sách mới, nhưng vẫn cần thêm thời gian để thấy rõ.</t>
  </si>
  <si>
    <t>Mức thuế tôi phải đóng theo phương án mới là hợp lý vì giảm trừ gia cảnh cao hơn và thu nhập của tôi nằm ở bậc thuế thấp nhất.</t>
  </si>
  <si>
    <t>Tuy nhiên, tôi cần nhìn thấy kết quả thực tế về việc sử dụng số tiền thuế đã đóng vào các dịch vụ công để tăng niềm tin.</t>
  </si>
  <si>
    <t>Nhà nước đã giải thích rõ ràng lý do và mục tiêu của việc sửa đổi thuế, nhưng cần thêm thông tin chi tiết về cách thực hiện.</t>
  </si>
  <si>
    <t>Dù phương án mới mang lại nhiều lợi ích cho tôi, nhưng tôi vẫn cần thời gian để làm quen với các quy định mới và tăng niềm tin vào việc sử dụng số tiền thuế.</t>
  </si>
  <si>
    <t>Việc tăng mức giảm trừ gia cảnh và đơn giản hóa biểu thuế có thể làm cho hành vi gian lận khó phát hiện hơn, nhưng với công nghệ ngày nay, cơ quan thuế vẫn có khả năng kiểm soát.</t>
  </si>
  <si>
    <t>Cơ quan thuế đã cải thiện đáng kể trong việc sử dụng công nghệ để quản lý thuế, tuy nhiên, vẫn cần thời gian để hoàn thiện hệ thống phát hiện vi phạm.</t>
  </si>
  <si>
    <t>Quy trình khai báo thuế và làm việc với cơ quan thuế đã đơn giản hơn so với trước đây, giảm bớt các bước rườm rà, thuận lợi cho người dân.</t>
  </si>
  <si>
    <t>Biểu thuế mới có ít bậc hơn nhưng vẫn giữ nguyên mức thuế suất, dễ dàng để người nộp thuế tính toán và áp dụng.</t>
  </si>
  <si>
    <t>Tôi tin rằng Nhà nước sẽ thực hiện chính sách một cách công bằng cho mọi đối tượng, đặc biệt là những người thu nhập như tôi đã tiết kiệm được tiền thuế.</t>
  </si>
  <si>
    <t>Mức giảm trừ gia cảnh và mức thuế mới đều hợp lý với thu nhập của tôi, tạo cảm giác công bằng khi nộp thuế.</t>
  </si>
  <si>
    <t>Thuế mà tôi đóng sẽ được sử dụng hiệu quả để cải thiện dịch vụ công, giúp ích cho cộng đồng và nền kinh tế nói chung.</t>
  </si>
  <si>
    <t>Nhà nước đã giải thích rõ ràng về mục tiêu của việc sửa đổi thuế, tạo sự minh bạch trong quá trình thực hiện chính sách mới.</t>
  </si>
  <si>
    <t>Tôi ủng hộ và tuân thủ chính sách mới vì nó mang lại nhiều lợi ích cho người dân như tôi, đồng thời giảm gánh nặng thuế</t>
  </si>
  <si>
    <t>Việc tăng mức giảm trừ gia cảnh và đơn giản hóa biểu thuế có thể làm giảm động lực cho hành vi gian lận, nhưng thực tế vẫn cần sự giám sát chặt chẽ từ cơ quan chức năng để phát hiện kịp thời.</t>
  </si>
  <si>
    <t>Cơ sở hạ tầng công nghệ của nhà nước ngày càng phát triển, giúp việc theo dõi và xử lý trốn thuế trở nên dễ dàng hơn. Tuy nhiên, vẫn cần thời gian để các cơ quan thuế hoàn thiện hệ thống.</t>
  </si>
  <si>
    <t>So với trước đây, quy trình khai báo thuế đơn giản hơn, giảm bớt thủ tục rườm rà. Đây là một cải tiến đáng kể đối với người dân.</t>
  </si>
  <si>
    <t>Biểu thuế mới có ít bậc hơn và mức thuế suất hợp lý hơn, dễ hiểu và thực hiện đơn giản hơn so với trước đây.</t>
  </si>
  <si>
    <t>Tôi tin rằng cơ quan thuế sẽ thực thi chính sách một cách công bằng, dù không thể tránh được sự nghi ngờ từ những người không tin tưởng vào hệ thống.</t>
  </si>
  <si>
    <t>Thuế mới phù hợp với thu nhập của tôi và mức giảm trừ gia cảnh tăng lên giúp tôi cảm thấy công bằng hơn.</t>
  </si>
  <si>
    <t>Tài nguyên thuế sẽ được sử dụng hiệu quả để cải thiện các dịch vụ công, điều này khiến tôi tin rằng việc đóng thuế của mình có ích.</t>
  </si>
  <si>
    <t>Nhà nước đã giải thích rõ ràng về mục tiêu của chính sách mới, nhưng vẫn cần nhiều thông tin hơn để hiểu đầy đủ.</t>
  </si>
  <si>
    <t>Tác động tài chính tích cực và quy trình thuế đơn giản hóa khiến tôi ủng hộ và tuân thủ chính sách mới. Tuy nhiên, tôi vẫn có một số lo ngại về việc thực thi.</t>
  </si>
  <si>
    <t>Nhà nước và cơ quan thuế đã có nhiều cải tiến công nghệ, tuy nhiên tôi vẫn lo ngại về khả năng phát hiện trốn thuế.</t>
  </si>
  <si>
    <t>Có công nghệ hỗ trợ nhưng cần tăng cường hơn nữa để đảm bảo việc giám sát hiệu quả.</t>
  </si>
  <si>
    <t>Quy trình khai báo thuế đơn giản và tiện lợi hơn, thủ tục nhanh chóng hơn so với trước đây.</t>
  </si>
  <si>
    <t>Bậc thuế đơn giản, dễ hiểu, giảm bớt thời gian tính toán và khó khăn cho người dân.</t>
  </si>
  <si>
    <t>Tôi tin rằng việc cải cách thuế sẽ được thực hiện công bằng, nhưng cần thêm minh bạch về quy trình.</t>
  </si>
  <si>
    <t>Thuế giảm đáng kể và mức giảm trừ gia cảnh tăng giúp tôi thấy công bằng hơn so với trước đây.</t>
  </si>
  <si>
    <t>Tiết kiệm được tiền thuế, tôi tin rằng số tiền này sẽ được sử dụng hiệu quả để cải thiện dịch vụ công.</t>
  </si>
  <si>
    <t>Nội dung và mục đích của chính sách mới đã được giải thích rõ ràng, nhưng cần thêm thông tin về chi tiết cụ thể.</t>
  </si>
  <si>
    <t>Tôi ủng hộ chính sách mới vì lợi ích mà nó mang lại cho người dân như giảm thuế và đơn giản hóa quy trình.</t>
  </si>
  <si>
    <t>Việc tăng mức giảm trừ gia cảnh và đơn giản hóa biểu thuế có thể làm giảm động lực cho hành vi gian lận, tuy nhiên, việc phát hiện và xử lý các trường hợp trốn thuế vẫn phụ thuộc vào sự quyết tâm của cơ quan thuế.</t>
  </si>
  <si>
    <t>Cơ quan thuế có thể đã tăng cường công nghệ để phát hiện gian lận, nhưng hiệu quả thực tế và khả năng xử lý nghiêm còn cần thời gian chứng minh.</t>
  </si>
  <si>
    <t>So với trước đây, quy trình làm việc với cơ quan thuế trở nên đơn giản hơn do giảm số bậc thuế và tăng mức giảm trừ gia cảnh, thuận lợi cho người dân.</t>
  </si>
  <si>
    <t>Cách tính thuế mới đơn giản hóa quá trình tính toán và dễ hiểu hơn so với trước đây, giúp người dân nắm bắt nhanh chóng.</t>
  </si>
  <si>
    <t>Tôi tin rằng cơ quan thuế sẽ thực hiện chính sách một cách công bằng, nhưng vẫn lo ngại về khả năng thực thi của họ đối với các hành vi gian lận phức tạp.</t>
  </si>
  <si>
    <t>Mức thuế mới được giảm so với trước đây, tạo cảm giác công bằng và hợp lý cho thu nhập như tôi.</t>
  </si>
  <si>
    <t>Tôi tin rằng số tiền thuế đóng sẽ được sử dụng hiệu quả để cải thiện dịch vụ công, nhưng vẫn mong muốn có thêm thông tin về cách sử dụng cụ thể.</t>
  </si>
  <si>
    <t>Sau khi tính toán tác động tài chính và xem xét các thay đổi trong chính sách, tôi ủng hộ và tuân thủ chính sách mới vì lợi ích tài chính và công bằng hơn.</t>
  </si>
  <si>
    <t>Dù mức thuế được giảm, nhưng tôi vẫn tin rằng cơ quan thuế sẽ phát hiện và xử lý nghiêm các hành vi trốn thuế với công nghệ hiện đại.</t>
  </si>
  <si>
    <t>Nhà nước đã đầu tư vào công nghệ và nhân lực để quản lý thuế hiệu quả hơn, nên tôi tin rằng khả năng phát hiện gian lận sẽ tăng lên.</t>
  </si>
  <si>
    <t>So với trước đây, việc khai báo thuế trở nên đơn giản hơn nhiều, đặc biệt là khi có các biện pháp hỗ trợ trực tuyến.</t>
  </si>
  <si>
    <t>Biểu thuế mới được đơn giản hóa và rõ ràng hơn, giúp tôi dễ dàng tính toán và thực hiện hơn so với trước đây.</t>
  </si>
  <si>
    <t>Tôi tin rằng Nhà nước sẽ công bằng trong việc áp dụng các quy định thuế, đảm bảo mọi người nộp thuế đều được đối xử như nhau.</t>
  </si>
  <si>
    <t>Nhờ mức giảm trừ gia cảnh tăng lên, tôi thấy phương án mới là phù hợp với thu nhập của mình và công bằng hơn so với trước đây.</t>
  </si>
  <si>
    <t>Tài nguyên thuế được sử dụng hiệu quả để cải thiện dịch vụ công, tôi tin rằng đóng thuế sẽ mang lại lợi ích cho cộng đồng.</t>
  </si>
  <si>
    <t>Nhà nước đã giải thích rõ ràng về mục tiêu của việc sửa đổi thuế lần này, giúp tôi hiểu được lý do và mục đích.</t>
  </si>
  <si>
    <t>Tiết kiệm được tiền thuế là một lợi ích lớn, cộng thêm sự đơn giản hóa quy trình khai báo, khiến tôi sẵn lòng tuân thủ chính sách mới.</t>
  </si>
  <si>
    <t>Dù hiện nay cơ quan thuế có nhiều công cụ để phát hiện trốn thuế nhưng vẫn còn hạn chế về khả năng tiếp cận thông tin cá nhân, việc thực thi vẫn phụ thuộc vào sự phối hợp giữa các cơ quan chức năng.</t>
  </si>
  <si>
    <t>Cơ quan thuế đang đầu tư vào công nghệ để nâng cao hiệu quả quản lý nhưng quá trình này cần thời gian, chưa thể nói là đã hoàn thiện.</t>
  </si>
  <si>
    <t>Quy trình khai báo thuế và làm việc với cơ quan thuế đã đơn giản hơn so với trước đây, không còn nhiều giấy tờ rườm rà như trước nữa.</t>
  </si>
  <si>
    <t>Biểu thuế mới rõ ràng, dễ hiểu và thực hiện thuận lợi hơn, số bậc thuế giảm giúp quá trình tính toán nhanh chóng hơn.</t>
  </si>
  <si>
    <t>Tôi tin rằng cơ quan thuế sẽ thực thi chính sách một cách công bằng nhưng vẫn cần thêm thời gian để chứng minh.</t>
  </si>
  <si>
    <t>Thuế mới phù hợp với thu nhập của tôi, mức giảm trừ gia cảnh và các bậc thuế đều hợp lý.</t>
  </si>
  <si>
    <t>Tăng cường đầu tư vào dịch vụ công là mục tiêu chính đáng, số tiền thuế đóng sẽ được sử dụng hiệu quả.</t>
  </si>
  <si>
    <t>Nhà nước đã giải thích rõ về mục đích và lý do thay đổi chính sách nhưng cần thêm thông tin chi tiết hơn.</t>
  </si>
  <si>
    <t>Chính sách mới có lợi cho tôi, giúp giảm gánh nặng thuế và đơn giản hóa quy trình khai báo nên tôi ủng hộ</t>
  </si>
  <si>
    <t>Nếu có sự giám sát chặt chẽ từ các cơ quan thuế, khả năng phát hiện gian lận hoặc trốn thuế sẽ tăng. Với việc thu thập dữ liệu cá nhân và doanh nghiệp ngày càng tân tiến, tôi tin rằng việc này sẽ trở nên dễ dàng hơn.</t>
  </si>
  <si>
    <t>Cơ quan thuế có nhiều công cụ kỹ thuật để theo dõi hoạt động tài chính. Tuy nhiên, hiệu quả của việc phát hiện và xử lý vi phạm còn phụ thuộc vào sự quyết tâm và nguồn lực được đầu tư.</t>
  </si>
  <si>
    <t>Việc đơn giản hóa quy trình khai thuế sẽ giúp người dân dễ dàng hơn trong quá trình làm việc với cơ quan thuế. Tuy nhiên, còn phụ thuộc vào sự hiểu biết và tuân thủ của mỗi cá nhân.</t>
  </si>
  <si>
    <t>Số bậc thuế giảm đi và mức giảm trừ gia cảnh tăng lên đã đơn giản hóa việc tính thuế, dễ dàng thực hiện hơn so với trước đây. Điều này giúp người dân hiểu rõ hơn về chính sách mới.</t>
  </si>
  <si>
    <t>Nhà nước đã cố gắng công bằng trong việc áp dụng các mức thuế mới, nhưng vẫn cần cải thiện trong việc minh bạch quy trình và kết quả sử dụng ngân sách thu được từ thuế.</t>
  </si>
  <si>
    <t>Theo phương án mới, tôi sẽ đóng thuế ít hơn so với trước đây. Điều này tạo ra một cảm giác công bằng và hợp lý vì mức giảm trừ gia cảnh cũng đã tăng lên đáng kể.</t>
  </si>
  <si>
    <t>Việc sử dụng số tiền thuế để cải thiện dịch vụ công như y tế, giáo dục, đường xá là mục tiêu quan trọng. Tuy nhiên, hiệu quả thực tế của việc này vẫn cần được đánh giá.</t>
  </si>
  <si>
    <t>Nhà nước đã giải thích rõ ràng về các thay đổi và mục đích của chúng. Việc công bố thông tin minh bạch là điều quan trọng để tạo niềm tin cho người dân.</t>
  </si>
  <si>
    <t>Tôi ủng hộ chính sách mới vì nó tạo ra sự công bằng hơn và giảm gánh nặng tài chính cho người dân. Tuy nhiên, việc thực thi cần được cải thiện để đảm bảo hiệu quả tối đa.</t>
  </si>
  <si>
    <t>Dựa trên các quy định quản lý thuế hiện nay, tôi tin rằng hành vi gian lận hoặc trốn thuế sẽ dễ dàng bị phát hiện và xử lý nghiêm. Mặc dù không hoàn toàn chắc chắn, nhưng cải cách thuế đã mang lại nhiều biện pháp kiểm soát tốt hơn.</t>
  </si>
  <si>
    <t>Nhà nước và cơ quan thuế có đủ khả năng công nghệ để phát hiện các hành vi trốn thuế. Các hệ thống giám sát điện tử đã được cải thiện đáng kể.</t>
  </si>
  <si>
    <t>So với trước đây, quy trình khai báo thuế và làm việc với cơ quan thuế trở nên đơn giản hơn. Tuy nhiên, vẫn còn một số bước cần lưu ý để đảm bảo không bị sai sót.</t>
  </si>
  <si>
    <t>Các bậc thuế mới đã được đơn giản hóa, dễ hiểu và dễ thực hiện hơn. Điều này giúp giảm bớt sự phức tạp trong việc tính toán thuế</t>
  </si>
  <si>
    <t>Tôi tin rằng Nhà nước sẽ thực thi chính sách một cách khách quan và công bằng, nhưng vẫn cần thêm thời gian để chứng minh điều này.</t>
  </si>
  <si>
    <t>Dựa trên mức thuế mới, tôi thấy rằng nó là công bằng cho thu nhập hiện tại của mình. Tuy nhiên, tôi nghĩ mức giảm trừ gia cảnh có thể còn tăng thêm nữa để giúp đỡ nhiều người hơn.</t>
  </si>
  <si>
    <t>Tôi tin rằng số tiền thuế đóng sẽ được sử dụng hiệu quả cho các dịch vụ công. Tuy nhiên, cần thêm thông tin về cách sử dụng nguồn thu thuế mới này.</t>
  </si>
  <si>
    <t>Nhà nước đã giải thích rõ ràng về lý do và mục tiêu của việc sửa đổi thuế lần này. Điều này tăng tính minh bạch và tin cậy trong việc thực hiện chính sách mới.</t>
  </si>
  <si>
    <t>Sau khi xem xét các quyền lợi và nghĩa vụ, tôi ủng hộ và tuân thủ chính sách mới này. Tôi cảm thấy rằng nó có lợi cho người dân như tôi.</t>
  </si>
  <si>
    <t>Chính phủ đã tăng cường giám sát và công nghệ, tạo điều kiện cho việc phát hiện trốn thuế dễ dàng hơn.</t>
  </si>
  <si>
    <t>Cơ quan thuế có đội ngũ nhân viên chuyên nghiệp và hệ thống công nghệ tiên tiến nên khả năng kiểm soát thuế cao.</t>
  </si>
  <si>
    <t>Trình tự khai báo thuế ngắn gọn hơn, giảm bớt các bước thủ tục rườm rà so với trước đây.</t>
  </si>
  <si>
    <t>Biểu thuế đơn giản hóa từ 7 bậc xuống 5 bậc giúp việc tính toán và áp dụng dễ dàng hơn.</t>
  </si>
  <si>
    <t>Hiệu quả giảm trừ gia cảnh và mức thuế mới thể hiện sự công bằng trong việc phân bổ gánh nặng thuế giữa người nộp thuế.</t>
  </si>
  <si>
    <t>Nhìn chung, mức thuế mới phù hợp với thu nhập của tôi, không quá cao cũng không quá thấp so với quy định cũ.</t>
  </si>
  <si>
    <t>Thuê đóng góp vào ngân sách nhà nước để đầu tư cho các dịch vụ công, giúp cải thiện chất lượng cuộc sống.</t>
  </si>
  <si>
    <t>Chính phủ đã giải thích rõ ràng về mục tiêu và lý do của việc sửa đổi thuế lần này thông qua nhiều kênh truyền thông.</t>
  </si>
  <si>
    <t>Sau khi xem xét các quyền lợi, tôi ủng hộ chính sách mới vì nó mang lại nhiều lợi ích hơn so với trước đây.</t>
  </si>
  <si>
    <t>Hiện nay, với sự phát triển của công nghệ và hệ thống quản lý thuế hiện đại, tôi tin rằng hành vi gian lận hoặc trốn thuế sẽ dễ dàng bị phát hiện. Tuy nhiên, thực tế có thể không như mong đợi do thiếu nhân lực và nguồn lực.</t>
  </si>
  <si>
    <t>Nhà nước đã đầu tư vào công nghệ quản lý thuế và cải thiện năng lực của các cơ quan thuế, làm giảm khả năng trốn thuế. Đây là một bước tiến đáng kể.</t>
  </si>
  <si>
    <t>Quy trình khai báo thuế và giao tiếp với cơ quan thuế đã đơn giản hơn trước đây, đặc biệt khi sử dụng các nền tảng trực tuyến. Điều này làm cho việc nộp thuế trở nên thuận tiện hơn.</t>
  </si>
  <si>
    <t>Biểu thuế mới có ít bậc và dễ hiểu hơn so với trước đây. Việc giảm trừ gia cảnh tăng cũng khiến quy trình tính toán đơn giản hơn.</t>
  </si>
  <si>
    <t>Tôi tin rằng cơ quan thuế sẽ thực thi chính sách một cách công bằng, dù còn có những lo ngại về việc áp dụng cụ thể.</t>
  </si>
  <si>
    <t>Với mức giảm trừ gia cảnh và bậc thuế mới, tôi thấy mình đóng thuế hợp lý hơn so với trước đây. Điều này tạo cảm giác công bằng.</t>
  </si>
  <si>
    <t>Tôi tin rằng số tiền thuế tôi đóng sẽ được sử dụng hiệu quả để cải thiện dịch vụ công và cơ sở hạ tầng.</t>
  </si>
  <si>
    <t>Nhà nước đã giải thích rõ ràng về mục tiêu của việc sửa đổi thuế, mặc dù vẫn còn một số lo ngại về chi tiết cụ thể.</t>
  </si>
  <si>
    <t>Sau khi xem xét các lợi ích và nghĩa vụ mới, tôi ủng hộ chính sách này vì nó tạo ra tính công bằng và thuận tiện hơn cho người nộp thuế. Tuy nhiên, vẫn cần cải thiện thêm về thực thi.</t>
  </si>
  <si>
    <t>Dù không phải đóng thuế, nhưng với mức giảm trừ gia cảnh cao và cơ cấu thuế đơn giản hơn, khó có hành vi gian lận hoặc trốn thuế. Cơ quan thuế cũng sẽ dễ dàng phát hiện các trường hợp nghi ngờ.</t>
  </si>
  <si>
    <t>Nhà nước đã nâng cấp công nghệ và nguồn lực để quản lý thuế hiệu quả hơn, giảm thiểu rủi ro gian lận. Cơ quan thuế có đủ khả năng phát hiện các hành vi không tuân thủ.</t>
  </si>
  <si>
    <t>Quy trình khai báo và làm việc với cơ quan thuế đơn giản hơn nhiều, tiết kiệm thời gian và công sức. Thủ tục được cải tiến rõ rệt so với trước đây.</t>
  </si>
  <si>
    <t>Các bậc thuế mới đơn giản hóa quá trình tính thuế, dễ hiểu và thực hiện hơn. Mức thuế giảm đáng kể giúp việc tuân thủ trở nên thuận tiện hơn.</t>
  </si>
  <si>
    <t>Nhà nước đã công khai giải thích về mục tiêu và cách thức áp dụng chính sách mới, tạo niềm tin vào tính minh bạch của hệ thống thuế.</t>
  </si>
  <si>
    <t>Mức thuế giảm đáng kể so với trước đây, tôi thấy mình đóng mức hợp lý hơn. Mức giảm trừ gia cảnh cao giúp công bằng hơn cho người có thu nhập thấp như tôi.</t>
  </si>
  <si>
    <t>Thuế được sử dụng vào các dịch vụ công quan trọng, tôi tin rằng việc đóng thuế sẽ mang lại lợi ích thiết thực cho cộng đồng. Mức thuế giảm giúp cải thiện chất lượng cuộc sống.</t>
  </si>
  <si>
    <t>Nhà nước đã minh bạch về lý do và mục tiêu của chính sách mới, tôi cảm thấy mình được đối xử công bằng khi tham gia vào hệ thống thuế</t>
  </si>
  <si>
    <t>Dù không phải đóng thuế nhưng mức giảm trừ gia cảnh cao đã mang lại lợi ích lớn cho tôi. Tôi ủng hộ và tuân thủ chính sách mới vì nó tạo ra một môi trường thuế công bằng hơn.</t>
  </si>
  <si>
    <t>Dù không phải đóng thuế, nhưng tôi vẫn tin rằng cơ quan thuế có đủ khả năng phát hiện và xử lý nghiêm các hành vi gian lận hoặc trốn thuế.</t>
  </si>
  <si>
    <t>Cơ quan thuế đã cải thiện đáng kể về công nghệ, cho thấy họ có thể kiểm soát hiệu quả hơn.</t>
  </si>
  <si>
    <t>Quy trình khai báo thuế đơn giản hơn so với trước đây, dễ thực hiện hơn.</t>
  </si>
  <si>
    <t>Phương án mới có ít bậc thuế hơn và dễ hiểu hơn, giảm bớt sự phức tạp.</t>
  </si>
  <si>
    <t>Mức giảm trừ gia cảnh cao và không phải đóng thuế cho tôi cảm giác mức thuế là công bằng.</t>
  </si>
  <si>
    <t>Thuê đóng góp vào việc cải thiện dịch vụ công, như y tế và đường xá.</t>
  </si>
  <si>
    <t>Nhà nước đã giải thích rõ ràng về mục tiêu của chính sách mới, tạo niềm tin cho người dân.</t>
  </si>
  <si>
    <t>Tôi ủng hộ và sẽ tuân thủ chính sách mới vì lợi ích cá nhân và cộng đồng.</t>
  </si>
  <si>
    <t>Mặc dù có các quy định quản lý thuế, nhưng với việc cải cách giảm trừ gia cảnh và đơn giản hóa biểu thuế, khả năng phát hiện trốn thuế có thể giảm. Tuy nhiên, cơ quan thuế vẫn cần công nghệ tiên tiến để kiểm soát.</t>
  </si>
  <si>
    <t>Ngày nay, công nghệ thông tin đã giúp các cơ quan thuế quản lý và phát hiện hành vi trốn thuế dễ dàng hơn. Tuy nhiên, vẫn cần sự phối hợp chặt chẽ giữa các bộ phận để đảm bảo hiệu quả.</t>
  </si>
  <si>
    <t>Quy trình khai báo và làm việc với cơ quan thuế hiện nay đơn giản hơn so với trước đây. Việc giảm trừ gia cảnh và đơn giản hóa biểu thuế đã giúp thuận tiện hơn cho người nộp thuế.</t>
  </si>
  <si>
    <t>Việc tính thuế theo phương án mới trở nên dễ hiểu và thực hiện nhanh chóng hơn, đặc biệt với việc rút gọn từ 7 bậc xuống còn 5 bậc. Điều này giúp người dân dễ dàng nắm bắt.</t>
  </si>
  <si>
    <t>Tôi tin rằng cơ quan thuế sẽ công tâm trong việc thực thi chính sách mới. Mức giảm trừ gia cảnh và đơn giản hóa biểu thuế đã tạo ra sự công bằng hơn cho người nộp thuế.</t>
  </si>
  <si>
    <t>Mức thuế tôi phải đóng theo phương án mới hợp lý, đặc biệt với việc tăng mức giảm trừ gia cảnh. Điều này giúp đảm bảo tính công bằng trong việc phân phối gánh nặng thuế.</t>
  </si>
  <si>
    <t>Tiền thuế tôi đóng sẽ được sử dụng hiệu quả để cải thiện dịch vụ công, như y tế và đường xá, từ đó tạo ra niềm tin về sự sử dụng đúng đắn nguồn thu ngân sách nhà nước.</t>
  </si>
  <si>
    <t>Nhà nước đã giải thích rõ ràng về mục tiêu của việc cải cách thuế, mặc dù có thể còn nhiều ý kiến trái chiều. Tuy nhiên, tôi tin rằng sự minh bạch này sẽ giúp tăng cường niềm tin vào cơ quan thuế.</t>
  </si>
  <si>
    <t>Sau khi xem xét các quyền lợi và nghĩa vụ theo chính sách mới, tôi ủng hộ và tuân thủ. Mức giảm trừ gia cảnh và đơn giản hóa biểu thuế đã tạo ra sự công bằng và thuận tiện hơn cho người dân.</t>
  </si>
  <si>
    <t>Tôi không hoàn toàn đồng ý với đánh giá này vì mặc dù quy định quản lý thuế hiện tại có nhiều cải tiến, nhưng thực tế vẫn còn tình trạng trốn thuế và gian lận diễn ra. Việc phát hiện các hành vi sai phạm phụ thuộc vào nhiều yếu tố, nên khả năng phát hiện không phải lúc nào cũng cao.</t>
  </si>
  <si>
    <t>Tôi đồng ý với điểm này. Nhà nước đã đầu tư công nghệ và nguồn lực cho cơ quan thuế để tăng cường quản lý, giám sát và xử lý nghiêm các hành vi trốn thuế. Điều này góp phần nâng cao hiệu quả trong việc thực thi pháp luật về thuế.</t>
  </si>
  <si>
    <t>Tôi đồng ý với nhận định này. Các thủ tục khai báo thuế trở nên đơn giản hơn và tiện lợi hơn so với trước đây, giúp tôi dễ dàng tuân thủ hơn.</t>
  </si>
  <si>
    <t>Đồng ý. Biểu thuế mới có ít bậc hơn và dễ hiểu hơn, làm cho quá trình tính toán thuế trở nên đơn giản và dễ thực hiện.</t>
  </si>
  <si>
    <t>Tôi đồng ý với điều này vì tôi tin rằng Nhà nước sẽ công bằng trong việc thực thi chính sách mới. Sự cải cách thuế đã giúp giảm gánh nặng tài chính cho người dân như tôi, tạo ra một môi trường thuế công bằng hơn.</t>
  </si>
  <si>
    <t>Đồng ý. Mức thuế hiện tại phù hợp với thu nhập của tôi và các điều chỉnh này đã giúp giảm gánh nặng tài chính.</t>
  </si>
  <si>
    <t>Tôi tin rằng số tiền thuế đóng sẽ được sử dụng hiệu quả để cải thiện dịch vụ công. Tuy nhiên, việc minh bạch trong quản lý ngân sách cần được tăng cường hơn nữa để đảm bảo sự công bằng.</t>
  </si>
  <si>
    <t>Tôi đồng ý với nhận định này vì Nhà nước đã cung cấp thông tin đầy đủ về mục đích và nguyên nhân của việc cải cách thuế, giúp tôi hiểu rõ hơn về chính sách mới.</t>
  </si>
  <si>
    <t>Trong tổng thể, sau khi xem xét các quyền lợi và nghĩa vụ theo chính sách mới, tôi ủng hộ và sẽ tuân thủ nó. Điều này không chỉ giúp giảm gánh nặng tài chính mà còn tạo ra một môi trường thuế công bằng hơn.</t>
  </si>
  <si>
    <t>Việc tăng giảm trừ gia cảnh và đơn giản hóa biểu thuế có thể làm giảm nguy cơ trốn thuế, nhưng khả năng phát hiện và xử lý vẫn phụ thuộc vào hiệu quả quản lý của nhà nước.</t>
  </si>
  <si>
    <t>Nhà nước đã đầu tư công nghệ để cải thiện quản lý thuế, tuy nhiên, hiệu suất thực tế có thể chưa cao do nhiều yếu tố phức tạp khác trong hệ thống.</t>
  </si>
  <si>
    <t>So với trước đây, quy trình khai thuế đơn giản hơn, giảm bớt các bước rườm rà. Tuy nhiên, vẫn còn một số thủ tục cần cải thiện để trở nên hoàn toàn thuận tiện.</t>
  </si>
  <si>
    <t>Biểu thuế mới rõ ràng và dễ hiểu hơn, giúp người dân dễ dàng tính toán. Việc giảm bậc thuế cũng làm việc này trở nên đơn giản.</t>
  </si>
  <si>
    <t>Nhà nước đã cố gắng thực hiện chính sách một cách công bằng thông qua việc tăng giảm trừ gia cảnh và đơn giản hóa biểu thuế, nhưng vẫn cần cải thiện trong việc minh bạch quy trình quản lý.</t>
  </si>
  <si>
    <t>Mức thuế mới là hợp lý cho thu nhập của tôi. Tuy nhiên, việc nhà nước giải thích rõ ràng về mục tiêu và lý do sửa đổi chính sách còn hạn chế.</t>
  </si>
  <si>
    <t>Tiết kiệm được nhiều chi phí thuế giúp cải thiện chất lượng dịch vụ công, nhưng hiệu quả sử dụng ngân sách vẫn phụ thuộc vào quản trị của nhà nước.</t>
  </si>
  <si>
    <t>Nhà nước đã giải thích rõ ràng về mục tiêu chính sách mới, nhưng cần làm rõ hơn về cách thức thực hiện và quản lý để tăng thêm niềm tin.</t>
  </si>
  <si>
    <t>Chính sách mới có nhiều ưu điểm như giảm thuế và đơn giản hóa quy trình khai báo. Tôi sẽ ủng hộ và tuân thủ nếu nhà nước giải thích rõ ràng hơn về quản lý ngân sách.</t>
  </si>
  <si>
    <t>Thuế hiện nay có nhiều kênh thông báo và kiểm soát, nhưng việc phát hiện trốn thuế còn phụ thuộc vào cơ sở dữ liệu và công nghệ của cơ quan thuế. Trong thực tế, đôi khi hành vi gian lận vẫn khó bị phát hiện.</t>
  </si>
  <si>
    <t>Cơ quan thuế đã có cải tiến công nghệ trong việc quản lý thuế, nhưng mức độ hiệu quả còn phụ thuộc vào nguồn lực và chiến lược triển khai của họ.</t>
  </si>
  <si>
    <t>So với trước đây, quy trình làm việc với cơ quan thuế trở nên đơn giản hơn. Tuy nhiên, vẫn cần thời gian để người dân thích ứng với các thay đổi mới.</t>
  </si>
  <si>
    <t>Biểu thuế được đơn giản hóa thành 5 bậc, dễ hiểu và thực hiện hơn. Điều này giúp tôi cảm thấy thuận tiện hơn trong việc tính toán thuế của mình.</t>
  </si>
  <si>
    <t>Tôi tin rằng cơ quan thuế sẽ công bằng khi áp dụng các quy định mới, nhưng vẫn cần thời gian để họ thực thi chính sách một cách khách quan và hiệu quả.</t>
  </si>
  <si>
    <t>Mức thuế mới được tính toán dựa trên thu nhập của tôi là công bằng. Việc tăng mức giảm trừ gia cảnh giúp giảm gánh nặng cho người dân như tôi.</t>
  </si>
  <si>
    <t>Thuế đóng góp vào các dịch vụ công, nhưng hiệu quả sử dụng nguồn lực vẫn cần được cải thiện để đảm bảo số tiền thuế đóng thực sự mang lại lợi ích cho cộng đồng.</t>
  </si>
  <si>
    <t>Nhà nước đã giải thích rõ về mục tiêu của việc sửa đổi thuế, nhưng chi tiết hơn về cách sử dụng nguồn thu thuế sẽ làm tăng niềm tin của tôi vào chính sách này.</t>
  </si>
  <si>
    <t>Sau khi xem xét các quyền lợi và nghĩa vụ mới, tôi ủng hộ và tuân thủ chính sách. Việc giảm gánh nặng thuế và đơn giản hóa quy trình làm việc với cơ quan thuế đã cải thiện đáng kể.</t>
  </si>
  <si>
    <t>Hiện nay, mặc dù có nhiều biện pháp quản lý thuế nhưng tôi chưa hoàn toàn tin tưởng vào khả năng phát hiện và xử lý nghiêm các hành vi gian lận hoặc trốn thuế.</t>
  </si>
  <si>
    <t>Nhà nước đã tăng cường công nghệ để quản lý thuế, tuy nhiên hiệu quả thực tế vẫn còn hạn chế do nhiều yếu tố như thiếu nhân lực và nguồn lực.</t>
  </si>
  <si>
    <t>Các quy trình khai báo thuế giờ đây đơn giản hơn so với trước đây, giảm bớt thủ tục rườm rà, giúp quá trình làm việc với cơ quan thuế trở nên tiện lợi và nhanh chóng.</t>
  </si>
  <si>
    <t>Với số bậc thuế được đơn giản hóa từ 7 xuống còn 5, quy định về thuế trở nên dễ hiểu hơn, giảm bớt rắc rối cho người dân trong việc tính toán và thực hiện.</t>
  </si>
  <si>
    <t>Tôi tin rằng Nhà nước sẽ thực thi chính sách mới một cách công tâm, nhưng vẫn còn lo ngại về khả năng thực hiện đầy đủ các biện pháp quản lý thuế hiệu quả.</t>
  </si>
  <si>
    <t>Dựa trên mức giảm trừ gia cảnh và số bậc thuế được đơn giản hóa, tôi thấy mức thuế mới là công bằng đối với thu nhập của mình.</t>
  </si>
  <si>
    <t>Tôi tin rằng số tiền thuế đóng sẽ được sử dụng hiệu quả để cải thiện dịch vụ công, mặc dù đôi khi còn lo ngại về việc quản lý ngân sách.</t>
  </si>
  <si>
    <t>Nhà nước đã giải thích rõ ràng về mục tiêu của việc sửa đổi thuế lần này, nhưng vẫn cần có thêm thông tin để làm cho tôi cảm thấy hoàn toàn hài lòng.</t>
  </si>
  <si>
    <t>Tôi ủng hộ và tuân thủ chính sách mới vì nó mang lại lợi ích tài chính rõ ràng và quy định đơn giản hơn cho người dân.</t>
  </si>
  <si>
    <t>Hiện nay, cơ quan thuế có nhiều công cụ và nguồn lực để phát hiện hành vi trốn thuế. Tuy nhiên, vẫn cần sự phối hợp chặt chẽ giữa các ngành chức năng để tăng hiệu quả quản lý.</t>
  </si>
  <si>
    <t>Nhà nước đã đầu tư vào công nghệ và nguồn lực cho cơ quan thuế, do đó khả năng phát hiện và xử lý nghiêm các hành vi trốn thuế được cải thiện.</t>
  </si>
  <si>
    <t>Quy trình khai báo thuế và làm việc với cơ quan thuế trở nên đơn giản hơn so với trước đây, giúp người dân dễ dàng thực hiện hơn.</t>
  </si>
  <si>
    <t>Biểu thuế mới đơn giản hóa các bậc thuế, giảm độ phức tạp cho người nộp thuế. Điều này làm việc tính toán và hiểu rõ về thuế trở nên dễ dàng hơn.</t>
  </si>
  <si>
    <t>Tôi tin rằng cơ quan thuế sẽ thực thi chính sách một cách công tâm, nhưng vẫn cần sự giám sát và cải thiện để đảm bảo khách quan.</t>
  </si>
  <si>
    <t>Thuế mới phù hợp với thu nhập của tôi. Tuy nhiên, mức thuế này có thể thay đổi tùy theo tình hình kinh tế chung nên cần thêm thời gian để đánh giá.</t>
  </si>
  <si>
    <t>Số tiền thuế đóng sẽ được sử dụng hiệu quả cho các dịch vụ công, tôi ủng hộ việc này. Tuy nhiên, cần có sự minh bạch hơn trong việc phân bổ ngân sách</t>
  </si>
  <si>
    <t>Nhà nước đã giải thích rõ về mục tiêu của chính sách mới, nhưng vẫn cần thêm thông tin chi tiết để mọi người hiểu đầy đủ.</t>
  </si>
  <si>
    <t>Chính sách mới phù hợp với thu nhập và quyền lợi của tôi. Tôi sẽ tuân thủ và ủng hộ nếu nó được thực thi một cách công bằng</t>
  </si>
  <si>
    <t>Dù quy định quản lý thuế hiện nay đã được cải thiện, nhưng tôi vẫn lo ngại về khả năng phát hiện hành vi gian lận trốn thuế.</t>
  </si>
  <si>
    <t>Nhà nước và cơ quan thuế có những tiến bộ trong công nghệ để giám sát, nhưng tôi không chắc chắn hoàn toàn về hiệu quả thực tế.</t>
  </si>
  <si>
    <t>Thủ tục khai báo thuế đơn giản hơn so với trước đây, giúp việc làm việc với cơ quan thuế thuận tiện hơn nhiều.</t>
  </si>
  <si>
    <t>Phương án mới giảm số bậc thuế và đơn giản hóa cách tính thuế, dễ hiểu và thực hiện hơn.</t>
  </si>
  <si>
    <t>Tôi tin rằng Nhà nước sẽ công tâm trong việc thực thi chính sách, nhưng vẫn có một phần nào đó nghi ngờ về khả năng giám sát.</t>
  </si>
  <si>
    <t>Thuế mới giảm đáng kể, mức thuế này là hợp lý cho thu nhập của tôi, tạo cảm giác công bằng hơn.</t>
  </si>
  <si>
    <t>Tôi tin rằng số tiền thuế đóng sẽ được sử dụng hiệu quả để cải thiện dịch vụ công, nhưng vẫn có một chút lo ngại về việc quản lý ngân sách.</t>
  </si>
  <si>
    <t>Nhà nước đã giải thích rõ ràng mục tiêu của việc sửa đổi thuế, tôi cảm thấy họ đang cố gắng minh bạch hơn.</t>
  </si>
  <si>
    <t>Sau khi xem xét các quyền lợi và nghĩa vụ mới, tôi đồng ý với chính sách này và sẽ tuân thủ.</t>
  </si>
  <si>
    <t>Việc tăng giảm trừ gia cảnh và đơn giản hóa biểu thuế có thể làm giảm cơ hội trốn thuế, nhưng không loại bỏ hoàn toàn khả năng gian lận.</t>
  </si>
  <si>
    <t>Nhà nước đã đầu tư công nghệ hiện đại để theo dõi hoạt động kinh tế, tuy nhiên vẫn cần sự phối hợp chặt chẽ giữa các bộ phận để phát hiện trốn thuế.</t>
  </si>
  <si>
    <t>So với trước đây, quy trình khai báo thuế đơn giản hơn nhưng vẫn có nhiều bước cần thực hiện. Việc sử dụng phần mềm khai thuế trực tuyến giúp thuận tiện hơn</t>
  </si>
  <si>
    <t>Biểu thuế mới dễ hiểu và tính toán nhanh chóng, đặc biệt là với mức giảm trừ gia cảnh cao hơn.</t>
  </si>
  <si>
    <t>Đối với tôi, cách thực thi chính sách công bằng vì mức thuế sau khi điều chỉnh phù hợp với thu nhập của mình.</t>
  </si>
  <si>
    <t>Mức thuế mới giảm đáng kể so với trước đây nên tôi thấy công bằng hơn đối với thu nhập hiện tại.</t>
  </si>
  <si>
    <t>Thuế đóng góp vào việc cải thiện các dịch vụ công, đặc biệt là y tế và giao thông.</t>
  </si>
  <si>
    <t>Nhà nước đã giải thích rõ ràng về mục tiêu và lý do của chính sách mới nhưng cần thêm thông tin chi tiết hơn.</t>
  </si>
  <si>
    <t>Dựa trên sự thay đổi tích cực về mặt tài chính và thủ tục, tôi ủng hộ và tuân thủ chính sách mới.</t>
  </si>
  <si>
    <t>Nhà nước có nhiều biện pháp quản lý thuế hiện đại, nhưng vẫn không thể loại trừ khả năng gian lận hoặc trốn thuế do sự phức tạp của hệ thống thuế.</t>
  </si>
  <si>
    <t>Cơ quan thuế đã đầu tư công nghệ để phát hiện hành vi trốn thuế, tuy nhiên, với số lượng người nộp thuế lớn, vẫn có thể bỏ sót một số trường hợp gian lận.</t>
  </si>
  <si>
    <t>So với trước đây, quy trình khai báo thuế trở nên đơn giản hơn, nhưng vẫn cần thời gian để quen thuộc với các thay đổi mới.</t>
  </si>
  <si>
    <t>Bậc thuế được đơn giản hóa, dễ hiểu và thực hiện thuận tiện hơn, giúp tôi không còn lo lắng về việc tính toán sai.</t>
  </si>
  <si>
    <t>Tôi tin rằng Nhà nước sẽ thực thi chính sách một cách công bằng, tuy nhiên, vẫn có thể gặp vấn đề trong quá trình thực hiện.</t>
  </si>
  <si>
    <t>Mức thuế mới phù hợp với thu nhập của tôi, giảm gánh nặng tài chính, do đó cảm thấy mức thuế này là công bằng.</t>
  </si>
  <si>
    <t>Thuế đóng góp vào các dịch vụ công quan trọng như y tế và đường xá, giúp cải thiện chất lượng cuộc sống của người dân.</t>
  </si>
  <si>
    <t>Nhà nước đã giải thích rõ ràng về mục tiêu và lý do của việc sửa đổi thuế, nhưng vẫn có thể làm rõ thêm một số điểm cho người dân hiểu thấu đáo hơn.</t>
  </si>
  <si>
    <t>Tôi ủng hộ chính sách mới vì nó giảm gánh nặng thuế và đơn giản hóa quy trình khai báo, đồng thời tin rằng việc đóng thuế sẽ được sử dụng hiệu quả trong các dịch vụ công.</t>
  </si>
  <si>
    <t>Cơ quan thuế có nhiều biện pháp phát hiện gian lận, trốn thuế như công nghệ theo dõi, thông tin từ các tổ chức kinh tế. Với mức giảm trừ gia cảnh lớn hơn và số bậc thuế ít hơn, việc phát hiện gian lận trở nên khó khăn hơn nhưng không phải là không thể.</t>
  </si>
  <si>
    <t>Nhà nước đã đầu tư vào công nghệ và nhân lực để tăng cường quản lý thuế. Tuy nhiên, hiệu quả thực tế phụ thuộc nhiều vào việc triển khai và giám sát.</t>
  </si>
  <si>
    <t>Quy trình khai báo thuế trở nên đơn giản hơn, giảm số bậc thuế từ 7 xuống còn 5. Điều này giúp người dân dễ dàng hơn trong việc thực hiện các thủ tục</t>
  </si>
  <si>
    <t>Biểu thuế mới rõ ràng và dễ hiểu hơn so với trước đây. Mức giảm trừ gia cảnh cao hơn cũng làm tăng sự thuận tiện cho người nộp thuế.</t>
  </si>
  <si>
    <t>Tôi tin rằng việc áp dụng công bằng đối với mọi người, dù thu nhập thấp hay cao đều phải đóng thuế. Mức giảm trừ gia cảnh và số bậc thuế mới tạo ra sự công bằng trong việc phân bổ gánh nặng thuế</t>
  </si>
  <si>
    <t>Nhìn chung mức thuế tôi phải đóng hợp lý với thu nhập của mình. Số tiền thuế tiết kiệm được cũng giúp cải thiện chất lượng cuộc sống</t>
  </si>
  <si>
    <t>Tiền thuế tôi đóng sẽ được sử dụng hiệu quả để cải thiện các dịch vụ công, như y tế và giao thông, làm tăng chất lượng cuộc sống của tôi và cộng đồng</t>
  </si>
  <si>
    <t>Nhà nước đã giải thích rõ ràng về mục tiêu và ý nghĩa của việc sửa đổi thuế. Tuy nhiên, tôi vẫn mong muốn có thêm nhiều thông tin minh bạch hơn từ các cơ quan quản lý</t>
  </si>
  <si>
    <t>Tôi ủng hộ chính sách mới vì nó tạo ra sự công bằng trong việc phân bổ gánh nặng thuế. Mức giảm trừ gia cảnh và số bậc thuế mới giúp tôi tiết kiệm được tiền thuế, cải thiện chất lượng cuộc sống</t>
  </si>
  <si>
    <t>Hiện nay, cơ quan thuế có nhiều công cụ và nguồn lực để phát hiện gian lận hoặc trốn thuế. Với sự hỗ trợ của công nghệ, khả năng giám sát ngày càng tăng.</t>
  </si>
  <si>
    <t>Nhà nước đã đầu tư vào hệ thống thông tin và đào tạo cho nhân viên để cải thiện khả năng phát hiện và xử lý các hành vi gian lận thuế.</t>
  </si>
  <si>
    <t>Quy trình khai báo thuế và làm việc với cơ quan thuế trở nên đơn giản hơn, giảm bớt rườm rà trong quy trình trước đây. Điều này giúp người dân dễ dàng thực hiện.</t>
  </si>
  <si>
    <t>Biểu thuế mới có ít bậc và rõ ràng hơn so với trước, khiến việc tính thuế trở nên đơn giản và dễ hiểu hơn.</t>
  </si>
  <si>
    <t>Tôi tin rằng Nhà nước sẽ thực hiện chính sách một cách công bằng và khách quan. Mức giảm trừ gia cảnh mới giúp cải thiện tính công bằng trong việc đánh thuế.</t>
  </si>
  <si>
    <t>Với thu nhập của tôi, mức thuế mới là hợp lý và công bằng. Tôi thấy mình đóng góp một phần vào sự phát triển chung của đất nước.</t>
  </si>
  <si>
    <t>Nhà nước đã đầu tư nhiều nguồn lực để cải thiện các dịch vụ công, do đó tôi tin rằng số tiền thuế mà tôi đóng sẽ được sử dụng hiệu quả.</t>
  </si>
  <si>
    <t>Các thông báo và giải thích từ cơ quan thuế về chính sách mới rất rõ ràng. Điều này giúp tôi hiểu mục đích và lý do của sự thay đổi.</t>
  </si>
  <si>
    <t>Tôi ủng hộ và tuân thủ chính sách mới vì nó không chỉ đơn giản hóa quy trình mà còn công bằng hơn so với trước đây. Tôi tin rằng việc này sẽ cải thiện chất lượng cuộc sống chung.</t>
  </si>
  <si>
    <t>Dù có công nghệ hỗ trợ, nhưng việc quản lý thuế vẫn phụ thuộc nhiều vào sự tuân thủ của người dân và quy trình kiểm tra còn nhiều hạn chế.</t>
  </si>
  <si>
    <t>Cơ quan thuế đã tăng cường các biện pháp giám sát, tuy nhiên khả năng phát hiện và xử lý trốn thuế vẫn chưa hoàn toàn hiệu quả.</t>
  </si>
  <si>
    <t>Quy trình khai báo thuế trở nên đơn giản hơn với mức giảm trừ gia cảnh tăng lên, nhưng vẫn cần cải tiến nhiều hơn để thuận tiện hơn.</t>
  </si>
  <si>
    <t>Biểu thuế mới đơn giản hóa bậc thuế và cách tính thuế, giúp người dân dễ dàng hiểu và áp dụng hơn so với trước đây.</t>
  </si>
  <si>
    <t>Tôi tin rằng cơ quan thuế sẽ công bằng trong việc thực thi chính sách, tuy nhiên còn phụ thuộc vào sự minh bạch trong quá trình quản lý.</t>
  </si>
  <si>
    <t>Thuế mới giúp tôi tiết kiệm được một khoản tiền đáng kể, tạo cảm giác công bằng cho người có thu nhập như tôi.</t>
  </si>
  <si>
    <t>Tôi tin rằng số thuế đóng sẽ được sử dụng hiệu quả để cải thiện các dịch vụ công, nhưng còn phụ thuộc vào việc quản lý chi tiêu của Nhà nước.</t>
  </si>
  <si>
    <t>Nhà nước đã giải thích rõ mục đích và nội dung chính sách mới, mặc dù vẫn có thể cải thiện thêm về sự minh bạch.</t>
  </si>
  <si>
    <t>Dù có quy định quản lý thuế, nhưng do không biết rõ về khả năng phát hiện của cơ quan thuế nên mức độ tin tưởng thấp.</t>
  </si>
  <si>
    <t>Nhà nước và cơ quan thuế đã đầu tư công nghệ để cải thiện khả năng phát hiện trốn thuế, nhưng chưa rõ về hiệu quả thực tế.</t>
  </si>
  <si>
    <t>Quy trình làm việc với cơ quan thuế đơn giản hơn trước do số bậc thuế giảm và quy định dễ hiểu hơn.</t>
  </si>
  <si>
    <t>Cách tính thuế rõ ràng, các bậc thuế suất đơn giản hóa giúp người dân dễ dàng tính toán.</t>
  </si>
  <si>
    <t>Tin tưởng vào sự công bằng và khách quan của cơ quan thuế với mức giảm trừ gia cảnh và số bậc thuế mới.</t>
  </si>
  <si>
    <t>Mức thuế sau khi tính toán được coi là hợp lý, phù hợp với thu nhập hiện tại.</t>
  </si>
  <si>
    <t>Đóng góp thuế giúp cải thiện dịch vụ công và hạ tầng cơ sở, tăng niềm tin vào sử dụng hiệu quả nguồn lực.</t>
  </si>
  <si>
    <t>Nhà nước đã giải thích rõ về mục tiêu của việc sửa đổi luật thuế, nhưng còn cần thêm thông tin chi tiết hơn.</t>
  </si>
  <si>
    <t>Đồng ý với chính sách mới do lợi ích tài chính và sự đơn giản hóa quy trình nộp thuế.</t>
  </si>
  <si>
    <t>Những quy định quản lý thuế hiện nay vẫn chưa hoàn toàn mạnh mẽ, mặc dù có công nghệ hỗ trợ nhưng việc phát hiện trốn thuế còn phụ thuộc nhiều vào sự giám sát của cá nhân và doanh nghiệp.</t>
  </si>
  <si>
    <t>Nhà nước đã đầu tư vào hệ thống công nghệ thông tin để quản lý thuế, tuy nhiên hiệu quả thực tế còn tùy thuộc vào cách sử dụng và triển khai của các cơ quan thuế.</t>
  </si>
  <si>
    <t>So với trước đây, quy trình làm việc với cơ quan thuế đã đơn giản hơn, thủ tục khai báo cũng thuận tiện hơn nhờ ứng dụng điện tử.</t>
  </si>
  <si>
    <t>Cách tính thuế và các bậc thuế mới rõ ràng, dễ hiểu hơn so với trước đây, do đó việc thực hiện giảm trừ gia cảnh trở nên đơn giản hơn.</t>
  </si>
  <si>
    <t>Tôi tin rằng cơ quan thuế sẽ thực thi chính sách một cách công bằng và khách quan, nhưng vẫn cần có thêm các biện pháp kiểm tra để tăng tính minh bạch.</t>
  </si>
  <si>
    <t>Mức thuế mới phù hợp với thu nhập của tôi và cũng phù hợp hơn với nhóm ngành nghề hiện tại của tôi.</t>
  </si>
  <si>
    <t>Nhà nước đã giải thích rõ ràng về mục tiêu và lý do của việc sửa đổi thuế lần này. Tuy nhiên, tôi hy vọng sẽ có thêm nhiều thông tin chi tiết để hiểu hơn về quá trình thực hiện.</t>
  </si>
  <si>
    <t>Tôi ủng hộ chính sách mới vì nó giúp giảm tải tài chính và tăng tính công bằng trong việc đóng thuế. Tôi sẽ tuân thủ nếu các quy định được thực thi một cách minh bạch và công bằng.</t>
  </si>
  <si>
    <t>Dựa trên các quy định quản lý thuế hiện nay, tôi cho rằng hành vi gian lận hoặc trốn thuế sẽ dễ dàng bị phát hiện và xử lý nghiêm. Điều này được cải thiện nhờ công nghệ số hóa trong quản lý thuế.</t>
  </si>
  <si>
    <t>Nhà nước và cơ quan thuế có đủ khả năng, với sự hỗ trợ của công nghệ, để phát hiện và xử lý nghiêm các hành vi trốn thuế. Điều này tạo niềm tin cho người dân về thực thi pháp luật.</t>
  </si>
  <si>
    <t>So với trước đây, quy trình khai báo thuế đơn giản hơn, thủ tục làm việc với cơ quan thuế thuận tiện và nhanh chóng. Điều này giúp tôi không mất nhiều thời gian cho công tác khai thuế.</t>
  </si>
  <si>
    <t>Cách tính thuế và các bậc thuế trong phương án mới đơn giản, dễ hiểu và thực hiện dễ dàng hơn. Đây là cải tiến đáng kể so với hệ thống cũ.</t>
  </si>
  <si>
    <t>Tôi tin rằng Nhà nước, cơ quan thuế sẽ thực thi chính sách một cách khách quan, công bằng đối với mọi người nộp thuế. Chính sách mới tăng mức giảm trừ gia cảnh và đơn giản hóa biểu thuế.</t>
  </si>
  <si>
    <t>Theo phương án mới, mức thuế tôi phải đóng là hợp lý cho thu nhập hiện tại của mình. Điều này tạo nên cảm giác công bằng về việc đóng góp vào ngân sách nhà nước.</t>
  </si>
  <si>
    <t>Tôi tin tưởng rằng số tiền thuế tôi đóng sẽ được sử dụng hiệu quả để cải thiện dịch vụ công, như y tế và hạ tầng giao thông. Điều này tạo niềm tin về việc đầu tư của Nhà nước.</t>
  </si>
  <si>
    <t>Nhà nước đã giải thích rõ ràng về lý do và mục tiêu của việc sửa đổi thuế lần này, cũng như các quyền lợi mà người nộp thuế sẽ nhận được. Điều này tạo nên sự minh bạch trong chính sách.</t>
  </si>
  <si>
    <t>Tôi ủng hộ và tuân thủ chính sách mới vì nó mang lại nhiều lợi ích như giảm gánh nặng tài chính, đơn giản hóa quy trình khai báo thuế và tạo cảm giác công bằng hơn so với trước đây.</t>
  </si>
  <si>
    <t>Hiện nay, hệ thống quản lý thuế đã phát triển đáng kể với nhiều công cụ giám sát hiện đại. Tuy nhiên, vẫn còn nguy cơ trốn thuế do quy trình chưa hoàn toàn hiệu quả.</t>
  </si>
  <si>
    <t>Cơ quan thuế có năng lực và công nghệ để phát hiện hành vi gian lận thông qua các hệ thống quản lý hiện đại. Tuy nhiên, việc này phụ thuộc vào sự thực thi của họ.</t>
  </si>
  <si>
    <t>Quy trình khai thuế trở nên đơn giản hơn với mức giảm trừ gia cảnh cao và số bậc thuế ít hơn. Điều này làm cho việc làm thủ tục thuận tiện hơn so với trước đây.</t>
  </si>
  <si>
    <t>Phương án mới có nhiều bậc thuế rõ ràng, dễ hiểu. Việc tính toán thuế trở nên đơn giản và dễ thực hiện hơn do số bậc thuế giảm từ 7 xuống còn 5.</t>
  </si>
  <si>
    <t>Tôi tin rằng cơ quan thuế sẽ thực thi chính sách một cách công bằng, nhưng vẫn cần sự minh bạch trong quá trình thực hiện để tăng thêm niềm tin.</t>
  </si>
  <si>
    <t>Mức thuế mới giảm đáng kể so với trước đây do mức thu nhập của tôi nằm ở bậc thuế thấp. Điều này cho thấy việc áp dụng chính sách mới là hợp lý đối với người có thu nhập như tôi.</t>
  </si>
  <si>
    <t>Thuế được sử dụng để cải thiện các dịch vụ công, điều này mang lại lợi ích trực tiếp cho người dân. Tôi tin rằng việc đóng thuế sẽ góp phần vào sự phát triển chung của xã hội.</t>
  </si>
  <si>
    <t>Nhà nước đã cung cấp thông tin rõ ràng về quy định mới, nhưng tôi vẫn mong muốn có thêm nhiều giải thích về mục tiêu chính sách để hiểu rõ hơn.</t>
  </si>
  <si>
    <t>Tôi ủng hộ và tuân thủ chính sách mới vì nó mang lại lợi ích đáng kể cho tôi. Việc giảm thuế giúp cải thiện kinh tế gia đình của tôi.</t>
  </si>
  <si>
    <t xml:space="preserve">Hệ thống quản lý thuế hiện đại và công nghệ phát triển nên có thể dễ dàng phát hiện hành vi gian lận. </t>
  </si>
  <si>
    <t>Nhà nước đã đầu tư vào công nghệ và nhân lực để đảm bảo thực thi pháp luật một cách nghiêm minh.</t>
  </si>
  <si>
    <t>Việc giảm trừ gia cảnh tăng lên, cộng với số bậc thuế đơn giản hơn làm cho quá trình khai báo trở nên dễ dàng hơn.</t>
  </si>
  <si>
    <t>Bậc thuế mới rõ ràng và dễ hiểu hơn so với trước đây, do đó việc tính toán và nộp thuế trở nên dễ dàng.</t>
  </si>
  <si>
    <t>Tôi tin rằng mức thuế mới được thiết lập công bằng cho thu nhập của tôi và người dân khác trong cùng nhóm.</t>
  </si>
  <si>
    <t>Thuế của tôi giảm đáng kể, điều này thể hiện sự công bằng trong việc phân bổ gánh nặng thuế</t>
  </si>
  <si>
    <t>Tiền thuế đóng góp vào các dịch vụ công như y tế và giao thông, giúp cải thiện chất lượng cuộc sống chung.</t>
  </si>
  <si>
    <t>Nhà nước đã giải thích rõ ràng về mục tiêu của việc sửa đổi thuế, làm tăng niềm tin vào quyết định này.</t>
  </si>
  <si>
    <t>Tôi ủng hộ chính sách mới vì nó mang lại lợi ích tài chính và giảm gánh nặng cho người dân.</t>
  </si>
  <si>
    <t>Việc tăng mức giảm trừ gia cảnh và đơn giản hóa biểu thuế có thể khiến hành vi gian lận khó phát hiện hơn. Tuy nhiên, với sự cải tiến về công nghệ quản lý thuế, khả năng phát hiện vẫn còn cao.</t>
  </si>
  <si>
    <t>Cơ quan thuế đã và đang đầu tư mạnh vào công nghệ để nâng cao hiệu quả quản lý. Với những đổi mới trong quản lý thuế, tôi tin rằng khả năng xử lý nghiêm các hành vi trốn thuế sẽ được cải thiện.</t>
  </si>
  <si>
    <t>Biểu thuế đơn giản hơn và mức giảm trừ gia cảnh cao hơn tạo điều kiện thuận lợi cho việc khai báo thuế. Tuy nhiên, cần thêm thời gian để thấy rõ sự khác biệt trong thực tế.</t>
  </si>
  <si>
    <t>Số bậc thuế giảm đi và mức thuế suất dễ hiểu hơn đã giúp tôi nhanh chóng tính toán đúng số tiền phải nộp. Điều này làm cho quá trình khai báo thuế trở nên đơn giản, tiện lợi.</t>
  </si>
  <si>
    <t>Mức thuế mới được thiết kế dựa trên thu nhập của tôi và người phụ thuộc. Việc tăng mức giảm trừ gia cảnh sẽ giúp tôi tiết kiệm tiền thuế, tạo niềm tin về sự công bằng trong việc áp dụng chính sách.</t>
  </si>
  <si>
    <t>Nhìn chung, mức thuế mới là hợp lý đối với thu nhập của tôi. Số tiền giảm trừ gia cảnh cao hơn so với trước đây giúp tạo cảm giác công bằng hơn cho người nộp thuế.</t>
  </si>
  <si>
    <t>Tài nguyên thuế sẽ được sử dụng hiệu quả để cải thiện chất lượng dịch vụ công, như y tế và đường xá. Điều này tạo niềm tin rằng tiền thuế của tôi đang được quản lý một cách có trách nhiệm.</t>
  </si>
  <si>
    <t>Nhà nước đã giải thích rõ ràng về mục tiêu của việc sửa đổi luật thuế, nhưng cần thêm thông tin về cách sử dụng số tiền thu được để tăng niềm tin và sự minh bạch.</t>
  </si>
  <si>
    <t>Dựa trên các lợi ích từ chính sách mới như mức thuế giảm, tôi ủng hộ việc thực thi nó. Tuy nhiên, cần thêm thời gian để thấy rõ hiệu quả của chính sách mới.</t>
  </si>
  <si>
    <t>Nhà nước đã có nhiều biện pháp quản lý thuế hiện đại, nhưng với mức thuế giảm đáng kể, tôi tin việc phát hiện gian lận sẽ khó khăn hơn.</t>
  </si>
  <si>
    <t>Việc áp dụng công nghệ trong quản lý thuế của cơ quan thuế đã cải thiện đáng kể so với trước đây.</t>
  </si>
  <si>
    <t>Quy trình khai báo và làm việc với cơ quan thuế trở nên đơn giản hơn, thuận tiện cho người dân.</t>
  </si>
  <si>
    <t>Số bậc thuế giảm từ 7 xuống còn 5, cách tính thuế rõ ràng hơn, dễ thực hiện hơn so với trước đây.</t>
  </si>
  <si>
    <t>Tôi tin Nhà nước sẽ thực thi chính sách một cách công bằng và khách quan cho mọi người nộp thuế.</t>
  </si>
  <si>
    <t>Nhờ mức giảm trừ gia cảnh tăng lên, tôi cảm thấy phương án mới là hợp lý với thu nhập của mình.</t>
  </si>
  <si>
    <t>Một phần thuế tôi đóng sẽ được sử dụng để cải thiện dịch vụ công, điều này làm tăng niềm tin vào Nhà nước.</t>
  </si>
  <si>
    <t>Sau khi xem xét các quyền lợi, tôi ủng hộ và sẽ tuân thủ chính sách mới vì nó có lợi cho tôi.</t>
  </si>
  <si>
    <t>Công nghệ hiện đại và sự giám sát chặt chẽ của Nhà nước có thể phát hiện hành vi trốn thuế, nhưng vẫn cần sự nỗ lực từ phía người nộp thuế để tuân thủ.</t>
  </si>
  <si>
    <t>Nhà nước đã đầu tư vào công nghệ và nâng cao năng lực quản lý thuế, tăng khả năng phát hiện hành vi trốn thuế hiệu quả.</t>
  </si>
  <si>
    <t>Quy trình khai thuế đơn giản hơn, nhưng vẫn cần thời gian để người dân quen thuộc với các thay đổi mới.</t>
  </si>
  <si>
    <t>Biểu thuế mới rõ ràng và dễ hiểu hơn so với trước đây, giảm sự phức tạp trong quá trình tính thuế.</t>
  </si>
  <si>
    <t>Tôi tin rằng Nhà nước sẽ thực thi chính sách một cách công bằng và khách quan, nhưng vẫn có yếu tố bất định về việc xử lý cụ thể.</t>
  </si>
  <si>
    <t>Thuế mới giảm đáng kể so với trước đây, khiến tôi cảm thấy mức đóng thuế là công bằng hơn đối với thu nhập hiện tại của mình.</t>
  </si>
  <si>
    <t>Tiết kiệm được nhiều tiền thuế, tôi tin số tiền này sẽ được sử dụng hiệu quả cho việc cải thiện dịch vụ công và xã hội.</t>
  </si>
  <si>
    <t>Nhà nước đã giải thích rõ ràng về mục tiêu của chính sách mới, nhưng vẫn có thể làm rõ thêm về cách sử dụng số tiền thuế thu được.</t>
  </si>
  <si>
    <t>Tôi ủng hộ và tuân thủ chính sách mới vì lợi ích tài chính cá nhân và niềm tin vào sự công bằng của hệ thống thuế mới.</t>
  </si>
  <si>
    <t>Dựa trên quy định quản lý thuế hiện nay, tôi tin rằng hành vi gian lận hoặc trốn thuế sẽ dễ dàng bị phát hiện và xử lý nghiêm. Các cơ quan có đủ khả năng để giám sát.</t>
  </si>
  <si>
    <t>Cơ quan thuế đã đầu tư công nghệ và nguồn lực để quản lý tốt hơn, nên tôi tin rằng họ sẽ thực thi pháp luật một cách hiệu quả.</t>
  </si>
  <si>
    <t>Quy trình khai báo thuế đơn giản hơn so với trước đây. Tôi không còn phải lo lắng về việc làm sai các thủ tục phức tạp như trước.</t>
  </si>
  <si>
    <t>Biểu thuế mới có ít bậc hơn và dễ hiểu, giúp tính toán nhanh chóng hơn. Cách tính thuế hiện tại rất rõ ràng và dễ dàng áp dụng.</t>
  </si>
  <si>
    <t>Tôi tin rằng Nhà nước sẽ thực thi chính sách một cách công bằng và khách quan đối với mọi người nộp thuế, không có sự phân biệt.</t>
  </si>
  <si>
    <t>Thuế mới giảm so với trước đây giúp tôi tiết kiệm được một khoản tiền đáng kể. Mức độ đóng góp này là hợp lý.</t>
  </si>
  <si>
    <t>Tài chính của Nhà nước sẽ được sử dụng hiệu quả hơn để cải thiện dịch vụ công, từ đó nâng cao chất lượng cuộc sống cho người dân như tôi.</t>
  </si>
  <si>
    <t>Nhà nước đã giải thích rõ ràng về mục tiêu và lý do của việc sửa đổi thuế. Tôi cảm thấy thông tin được minh bạch.</t>
  </si>
  <si>
    <t>Sau khi xem xét tất cả các yếu tố, tôi ủng hộ và tuân thủ chính sách mới vì nó mang lại lợi ích rõ rệt cho tôi.</t>
  </si>
  <si>
    <t>Nhà nước và cơ quan thuế có nhiều biện pháp kiểm soát hiệu quả, nhưng do không biết chi tiết về hệ thống quản lý, nên chỉ ở mức trung bình.</t>
  </si>
  <si>
    <t>Có công nghệ hỗ trợ phát hiện gian lận, nhưng lại lo ngại về khả năng thực thi</t>
  </si>
  <si>
    <t>Đơn giản hóa quy trình khai thuế và làm việc với cơ quan thuế đã cải thiện đáng kể so với trước đây.</t>
  </si>
  <si>
    <t>Biểu thuế mới dễ hiểu hơn, nhưng vẫn cần thời gian để thích ứng với các bậc thuế mới</t>
  </si>
  <si>
    <t>Đối xử bình đẳng giữa người nộp thuế là quan trọng. Mức giảm trừ gia cảnh và mức thuế đều phù hợp.</t>
  </si>
  <si>
    <t>Thuế mới được tính dựa trên thu nhập, nên tôi thấy công bằng</t>
  </si>
  <si>
    <t>Tăng tiền thuế tiết kiệm được để đầu tư vào dịch vụ công như y tế và giáo dục</t>
  </si>
  <si>
    <t>Đã có giải thích rõ ràng về mục tiêu của việc sửa đổi, nhưng cần thêm thông tin chi tiết hơn.</t>
  </si>
  <si>
    <t>Chính sách mới làm giảm gánh nặng thuế, cải thiện dịch vụ công và tôi sẽ ủng hộ</t>
  </si>
  <si>
    <t>Mức thuế mới đơn giản hơn nên khả năng phát hiện gian lận có thể giảm đi, nhưng cơ quan thuế vẫn đủ năng lực xử lý.</t>
  </si>
  <si>
    <t>Cơ quan thuế đã cải tiến công nghệ, tuy nhiên việc thực thi các quy định quản lý thuế còn phụ thuộc vào sự tuân thủ của người dân.</t>
  </si>
  <si>
    <t>So với trước đây, quy trình làm việc và khai báo thuế trở nên đơn giản hơn, thuận tiện cho người nộp thuế.</t>
  </si>
  <si>
    <t>Bậc thuế mới đã được rút gọn và dễ hiểu hơn so với trước đây, giảm bớt sự phức tạp trong quá trình tính thuế.</t>
  </si>
  <si>
    <t>Tôi tin rằng cơ quan thuế sẽ thực thi chính sách một cách công bằng, nhưng việc này còn phụ thuộc vào sự tuân thủ của người dân.</t>
  </si>
  <si>
    <t>Mức giảm trừ gia cảnh và bậc thuế mới đã giúp tôi tiết kiệm được tiền thuế, cảm thấy mức thuế là công bằng cho thu nhập hiện tại.</t>
  </si>
  <si>
    <t>Hiểu rằng số tiền thuế đóng sẽ được sử dụng hiệu quả để cải thiện dịch vụ công, tạo niềm tin vào việc sử dụng nguồn lực một cách minh bạch.</t>
  </si>
  <si>
    <t>Nhà nước đã giải thích rõ ràng về mục tiêu của chính sách mới, tôi thấy đây là một bước tiến tích cực trong việc cải thiện hệ thống thuế.</t>
  </si>
  <si>
    <t>Tôi ủng hộ và tuân thủ chính sách mới do lợi ích tài chính và sự đơn giản hóa quy trình khai báo thuế.</t>
  </si>
  <si>
    <t>Thuế mới đơn giản hơn, khả năng phát hiện trốn thuế có thể giảm đi.</t>
  </si>
  <si>
    <t>Công nghệ hiện đại giúp quản lý thuế hiệu quả hơn, nhưng vẫn còn vấn đề về thực thi.</t>
  </si>
  <si>
    <t>Thủ tục đơn giản hơn, tiết kiệm thời gian và công sức.</t>
  </si>
  <si>
    <t>Biểu thuế rõ ràng hơn, dễ hiểu, giảm độ phức tạp cho người dân.</t>
  </si>
  <si>
    <t>Niềm tin vào sự công bằng của cơ quan thuế tăng do mức thuế mới.</t>
  </si>
  <si>
    <t>Thuế mới phù hợp với thu nhập và giảm trừ gia cảnh hiện tại.</t>
  </si>
  <si>
    <t>Tiết kiệm được tiền thuế, tin rằng số tiền đó sẽ được sử dụng hiệu quả cho công ích.</t>
  </si>
  <si>
    <t>Đã giải thích rõ mục tiêu cải cách và tác động tài chính tích cực.</t>
  </si>
  <si>
    <t>Tác động tài chính tích cực, thu nhập thực tế tăng do giảm thuế.</t>
  </si>
  <si>
    <t>Nước ta đã có hệ thống giám sát thuế khá phát triển, nhưng vẫn còn một số hạn chế. Với mức tăng giảm trừ gia cảnh và đơn giản hóa quy trình, khả năng phát hiện trốn thuế sẽ cao hơn.</t>
  </si>
  <si>
    <t>Công nghệ hiện đại đã giúp cơ quan thuế quản lý hiệu quả hơn, nhưng vẫn cần cải thiện để tăng cường phát hiện hành vi gian lận.</t>
  </si>
  <si>
    <t>Quy trình khai báo và làm việc với cơ quan thuế trở nên đơn giản hơn, thuận tiện cho người nộp thuế.</t>
  </si>
  <si>
    <t>Biểu thuế mới rõ ràng và dễ hiểu hơn so với trước đây. Việc giảm số bậc thuế giúp quá trình tính toán nhanh chóng và chính xác.</t>
  </si>
  <si>
    <t>Nhà nước đã cố gắng thực hiện công bằng trong việc áp dụng thuế, nhưng vẫn có một số lo ngại về sự công tâm trong quản lý.</t>
  </si>
  <si>
    <t>Thuế mới được tính dựa trên thu nhập của tôi. Số tiền đóng là hợp lý và thể hiện sự công bằng.</t>
  </si>
  <si>
    <t>Tăng giảm trừ gia cảnh giúp số thuế tôi đóng thấp hơn, do đó tôi tin rằng số tiền thuế này sẽ được sử dụng hiệu quả cho các dịch vụ công.</t>
  </si>
  <si>
    <t>Nhà nước đã giải thích rõ ràng về mục tiêu của việc sửa đổi thuế, nhưng vẫn còn một số thông tin chưa đầy đủ và cần cải thiện.</t>
  </si>
  <si>
    <t>Tác động tài chính tích cực và quy trình đơn giản hóa là những yếu tố quan trọng giúp tôi ủng hộ chính sách mới. Tôi sẽ tuân thủ vì lợi ích chung của xã hội.</t>
  </si>
  <si>
    <t>Hiện nay, công nghệ tiên tiến và hệ thống quản lý thuế ngày càng phát triển, do đó việc phát hiện hành vi gian lận hoặc trốn thuế sẽ dễ dàng hơn. Tuy nhiên, vẫn cần sự giám sát chặt chẽ từ phía cơ quan thuế.</t>
  </si>
  <si>
    <t>Nhà nước và cơ quan thuế đã đầu tư vào công nghệ và nhân lực để nâng cao hiệu quả quản lý, do đó khả năng phát hiện và xử lý trốn thuế sẽ tăng lên đáng kể.</t>
  </si>
  <si>
    <t>So với trước đây, quy trình khai báo thuế đã đơn giản hơn nhiều. Tuy nhiên, vẫn cần thêm thời gian để người dân quen thuộc và nắm vững các quy định mới.</t>
  </si>
  <si>
    <t>Biểu thuế mới có số bậc giảm đi từ 7 xuống còn 5, do đó việc tính toán và áp dụng thuế trở nên dễ dàng hơn. Đây là một cải tiến đáng kể.</t>
  </si>
  <si>
    <t>Nhà nước đã công bố các quy định mới một cách minh bạch và khách quan, tạo ra niềm tin rằng việc thực thi sẽ được đảm bảo một cách công bằng.</t>
  </si>
  <si>
    <t>Lệ phí thuế mới giảm đi đáng kể, do đó tôi cảm thấy mình đóng góp hợp lý cho xã hội và không bị gánh nặng quá lớn từ thuế.</t>
  </si>
  <si>
    <t>Thuế tôi phải đóng sẽ được sử dụng vào các dịch vụ công như y tế và đường xá, do đó tôi tin rằng việc đóng thuế là cần thiết để cải thiện chất lượng cuộc sống.</t>
  </si>
  <si>
    <t>Nhà nước đã giải thích rõ ràng về mục tiêu của chính sách mới, tạo sự minh bạch và công bằng trong quá trình thực hiện.</t>
  </si>
  <si>
    <t>Tôi ủng hộ chính sách mới vì nó giảm gánh nặng thuế cho người dân, đồng thời đơn giản hóa quy trình khai báo thuế. Điều này giúp tôi tự tin rằng mình đang đóng góp một cách công bằng và hiệu quả.</t>
  </si>
  <si>
    <t>Tôi tin rằng với các quy định quản lý thuế hiện nay, hành vi gian lận hoặc trốn thuế sẽ dễ dàng bị phát hiện và xử lý nghiêm. Công nghệ ngày càng tiên tiến giúp cơ quan thuế theo dõi tình hình kinh tế cá nhân người dân một cách hiệu quả.</t>
  </si>
  <si>
    <t>Nhà nước đã đầu tư vào công nghệ thông tin để cải thiện khả năng phát hiện và xử lý các hành vi trốn thuế, do đó tôi tin rằng họ có đủ khả năng.</t>
  </si>
  <si>
    <t>So với trước đây, quy trình làm việc với cơ quan thuế đã đơn giản hơn rất nhiều. Việc giảm bớt các bước thủ tục giúp chúng ta nhanh chóng hoàn thành công việc mà không tốn quá nhiều thời gian.</t>
  </si>
  <si>
    <t>Biểu thuế mới có ít bậc hơn, do đó việc tính toán và thực hiện đóng thuế trở nên dễ dàng hơn. Điều này làm tăng thuận tiện cho người nộp thuế.</t>
  </si>
  <si>
    <t>Tôi tin rằng Nhà nước sẽ thực thi chính sách một cách công bằng vì mức giảm trừ gia cảnh mới đã giúp tôi tiết kiệm đáng kể, đồng thời, các bậc thuế cũng đơn giản hơn.</t>
  </si>
  <si>
    <t>Mức thuế theo phương án mới là hợp lý so với thu nhập của tôi. Việc tăng mức giảm trừ gia cảnh giúp cải thiện tình hình tài chính cho chúng tôi.</t>
  </si>
  <si>
    <t>Tôi tin tưởng rằng số tiền thuế đóng sẽ được sử dụng hiệu quả để cải thiện dịch vụ công, như y tế và giao thông. Việc giảm trừ gia cảnh mới cũng giúp nâng cao niềm tin của tôi.</t>
  </si>
  <si>
    <t>Nhà nước đã giải thích rõ ràng về mục tiêu và lý do của việc sửa đổi chính sách thuế, nên tôi cảm thấy khá hài lòng.</t>
  </si>
  <si>
    <t>Tôi ủng hộ và tuân thủ chính sách mới. Phương án thuế mới giúp giảm gánh nặng tài chính cho gia đình tôi và làm cho quy trình nộp thuế trở nên đơn giản hơn.</t>
  </si>
  <si>
    <t>Công nghệ ngày nay tiên tiến và hệ thống quản lý thuế đã được cải thiện, nhưng vẫn cần sự phối hợp chặt chẽ giữa các cơ quan để phát hiện gian lận.</t>
  </si>
  <si>
    <t>Nhà nước có thể đầu tư vào công nghệ và nhân lực để tăng cường hiệu quả quản lý, nhưng thực tế còn phụ thuộc vào nguồn lực.</t>
  </si>
  <si>
    <t>Thủ tục khai thuế đơn giản hơn trước, nhưng vẫn cần thời gian quen với các thay đổi mới của phương án thuế</t>
  </si>
  <si>
    <t>Bậc thuế giảm đi và cách tính thuế dễ hiểu hơn, giúp người dân làm việc với cơ quan thuế thuận lợi hơn</t>
  </si>
  <si>
    <t>Tôi tin rằng Nhà nước sẽ thực thi chính sách một cách công bằng, nhưng cần thêm thời gian để chứng minh.</t>
  </si>
  <si>
    <t>Mức thuế mới phù hợp với thu nhập của tôi, giảm gánh nặng tài chính và tạo cảm giác công bằng</t>
  </si>
  <si>
    <t>Thuê đóng góp vào dịch vụ công là điều cần thiết, nhưng hiệu quả sử dụng nguồn thu còn phụ thuộc vào quản lý</t>
  </si>
  <si>
    <t>Nhà nước đã giải thích rõ về mục tiêu cải cách thuế, tạo niềm tin cho người dân</t>
  </si>
  <si>
    <t>Tôi ủng hộ và sẽ tuân thủ chính sách mới vì nó mang lại lợi ích thực tế và công bằng hơn</t>
  </si>
  <si>
    <t>Công nghệ hiện đại và quy định quản lý thuế chặt chẽ giúp phát hiện hành vi gian lận, trốn thuế một cách hiệu quả.</t>
  </si>
  <si>
    <t>Nhà nước có nguồn lực và công nghệ để xử lý nghiêm các trường hợp trốn thuế.</t>
  </si>
  <si>
    <t>Quy trình khai báo và làm việc với cơ quan thuế trở nên đơn giản hơn, tiết kiệm thời gian.</t>
  </si>
  <si>
    <t>Bậc thuế được đơn giản hóa giúp tính toán dễ dàng hơn và rõ ràng hơn so với trước đây.</t>
  </si>
  <si>
    <t>Tôi tin rằng chính sách mới sẽ được thực thi công bằng cho tất cả mọi người nộp thuế.</t>
  </si>
  <si>
    <t>Thuế tôi phải đóng theo phương án mới là hợp lý so với thu nhập của mình, tăng sự công bằng.</t>
  </si>
  <si>
    <t>Số tiền thuế đóng sẽ được sử dụng hiệu quả để cải thiện dịch vụ công cho người dân.</t>
  </si>
  <si>
    <t>Sau khi xem xét, tôi ủng hộ và sẽ tuân thủ chính sách mới vì nó mang lại lợi ích cho tôi.</t>
  </si>
  <si>
    <t>Công nghệ hiện đại ngày càng phát triển, tôi tin rằng cơ quan thuế có khả năng phát hiện hành vi gian lận.</t>
  </si>
  <si>
    <t>Nhà nước đã đầu tư vào công nghệ và nhân lực để cải thiện hiệu quả quản lý thuế.</t>
  </si>
  <si>
    <t>Quy trình khai thuế đơn giản hơn, thủ tục cũng được cải tiến nên thuận tiện hơn nhiều so với trước đây.</t>
  </si>
  <si>
    <t>Biểu thuế mới rõ ràng và dễ hiểu, giảm bớt sự phức tạp cho người dân.</t>
  </si>
  <si>
    <t>Tôi tin rằng chính sách mới sẽ được thực thi công bằng và khách quan đối với tất cả mọi người nộp thuế.</t>
  </si>
  <si>
    <t>Mức thuế mới giảm đáng kể, tôi cảm thấy nó là một mức hợp lý cho thu nhập của mình.</t>
  </si>
  <si>
    <t>Tôi tin rằng số tiền thuế đóng sẽ được sử dụng hiệu quả để cải thiện dịch vụ công và phúc lợi xã hội.</t>
  </si>
  <si>
    <t>Nhà nước đã giải thích rõ ràng về mục tiêu của việc sửa đổi thuế, tôi cảm thấy minh bạch hơn.</t>
  </si>
  <si>
    <t>Dù có một số thay đổi phức tạp nhưng tổng thể tôi ủng hộ và sẽ tuân thủ chính sách mới vì lợi ích mà nó mang lại cho tôi.</t>
  </si>
  <si>
    <t>Việc tăng mức giảm trừ gia cảnh và đơn giản hóa biểu thuế có thể khiến hành vi gian lận khó phát hiện hơn, do đó tôi đánh giá thấp khả năng quản lý của cơ quan thuế.</t>
  </si>
  <si>
    <t>Tuy nhiên, với sự tiến bộ về công nghệ, Nhà nước có thể still monitor và xử lý gian lận hiệu quả hơn, nhưng vẫn cần cải thiện.</t>
  </si>
  <si>
    <t>Quy trình khai thuế trở nên đơn giản và nhanh chóng hơn, giảm bớt rắc rối cho người dân, do đó tôi đồng ý với điểm số này.</t>
  </si>
  <si>
    <t>Số bậc thuế giảm đi cùng với việc rõ ràng hóa các mức thuế suất giúp tính toán dễ dàng hơn, tôi đánh giá cao sự đơn giản hóa này.</t>
  </si>
  <si>
    <t>Nhà nước đã tăng mức giảm trừ gia cảnh và giảm số bậc thuế, điều này thể hiện một cách quản lý công bằng đối với mọi người dân nộp thuế như tôi</t>
  </si>
  <si>
    <t>Mức thuế mới được tính toán dựa trên thu nhập thực tế của tôi, khá hợp lý và phù hợp với mức sống</t>
  </si>
  <si>
    <t>Thuế giảm đáng kể giúp cải thiện chất lượng cuộc sống cho gia đình tôi. Tôi tin rằng số tiền thuế đóng sẽ được sử dụng hiệu quả để phục vụ mục đích công cộng.</t>
  </si>
  <si>
    <t>Nhà nước đã giải thích rõ ràng về mức giảm trừ và các bậc thuế mới, điều này tăng niềm tin của tôi vào việc thực thi chính sách</t>
  </si>
  <si>
    <t>Do lợi ích tài chính lớn từ chính sách mới và sự đơn giản hóa quy trình khai thuế, tôi ủng hộ và tuân thủ chính sách mới.</t>
  </si>
  <si>
    <t>Hiện nay, với sự phát triển của công nghệ và quy định quản lý thuế ngày càng chặt chẽ, tôi tin rằng hành vi gian lận hoặc trốn thuế sẽ dễ dàng bị phát hiện. Tuy nhiên, vấn đề về khả năng xử lý nghiêm vẫn còn phụ thuộc vào hiệu quả thực thi.</t>
  </si>
  <si>
    <t>Nhà nước và cơ quan thuế có đủ công nghệ để phát hiện các hành vi trốn thuế, nhưng cần cải thiện trong việc xử lý nhanh chóng và nghiêm minh hơn.</t>
  </si>
  <si>
    <t>So với trước đây, quy trình làm việc với cơ quan thuế đã đơn giản hóa đáng kể. Tuy nhiên, vẫn có thể còn phức tạp đối với những người không am hiểu về các quy định mới.</t>
  </si>
  <si>
    <t>Cách tính thuế và bậc thuế trong phương án mới đơn giản hơn nhiều so với trước đây, dễ dàng áp dụng hơn.</t>
  </si>
  <si>
    <t>Tôi tin rằng chính phủ sẽ thực thi chính sách một cách công bằng và khách quan. Tuy nhiên, vẫn có sự đa dạng trong nhận thức về mức thuế nên cần thêm thời gian để mọi người cảm thấy thoải mái.</t>
  </si>
  <si>
    <t>Mức thuế tôi phải đóng theo phương án mới là công bằng, phù hợp với thu nhập của mình. Điều này giúp tăng sự tin tưởng vào hệ thống thuế hiện tại.</t>
  </si>
  <si>
    <t>Tôi tin rằng số tiền thuế đóng sẽ được sử dụng hiệu quả để cải thiện dịch vụ công và chất lượng cuộc sống của người dân.</t>
  </si>
  <si>
    <t>Nhà nước đã giải thích rõ ràng về mục tiêu của việc sửa đổi thuế, nhưng cần cung cấp thêm thông tin chi tiết hơn về cách sử dụng số tiền thu được từ thuế.</t>
  </si>
  <si>
    <t>Chính sách mới giúp tôi tiết kiệm được một khoản tiền đáng kể. Sự đơn giản hóa và công bằng của nó khiến tôi có xu hướng ủng hộ và tuân thủ.</t>
  </si>
  <si>
    <t>Việc cải cách thuế TNCN với các quy định rõ ràng hơn có thể giúp cơ quan thuế quản lý hiệu quả hơn, nhưng vẫn cần thời gian để công nghệ và nhân sự thích ứng.</t>
  </si>
  <si>
    <t>Thủ tục khai báo thuế trở nên đơn giản hơn với mức giảm trừ gia cảnh cao hơn và số bậc thuế ít đi, thuận lợi cho người dân.</t>
  </si>
  <si>
    <t>Biểu thuế mới dễ hiểu và thực hiện đơn giản hơn, nhưng vẫn cần thời gian để mọi người nắm bắt.</t>
  </si>
  <si>
    <t>Nhà nước đã cải cách thuế với mục tiêu công bằng, giảm bớt gánh nặng cho người dân có thu nhập vừa phải như tôi.</t>
  </si>
  <si>
    <t>Mức thuế mới là hợp lý đối với thu nhập của tôi và những người cùng nhóm, đảm bảo tính công bằng trong việc đóng góp tài chính cho xã hội.</t>
  </si>
  <si>
    <t>Thuế được sử dụng để đầu tư vào dịch vụ công như y tế, giáo dục và cơ sở hạ tầng, tạo lợi ích cho cộng đồng.</t>
  </si>
  <si>
    <t>Nhà nước đã giải thích rõ ràng về mục tiêu cải cách thuế lần này, nhưng vẫn cần thêm thông tin chi tiết về việc sử dụng nguồn thu mới vào các dự án cụ thể.</t>
  </si>
  <si>
    <t>Chính sách mới có lợi cho tôi và người dân cùng nhóm, giảm gánh nặng tài chính và tăng sự công bằng trong việc đóng góp thuế.</t>
  </si>
  <si>
    <t>Các quy định quản lý thuế hiện tại có những cải tiến, nhưng vẫn còn nhiều thông tin cần rõ ràng hơn về cách thực thi.</t>
  </si>
  <si>
    <t>Nhà nước và cơ quan thuế đã đầu tư vào công nghệ, giúp việc phát hiện trốn thuế trở nên dễ dàng hơn. Tuy nhiên, vẫn cần thêm thời gian để xem xét hiệu quả.</t>
  </si>
  <si>
    <t>Thủ tục khai báo và làm việc với cơ quan thuế đơn giản hơn trước đây, đặc biệt là với sự hỗ trợ của công nghệ. Tuy nhiên, vẫn có một số khó khăn nhỏ khi chuyển đổi.</t>
  </si>
  <si>
    <t>Cách tính thuế mới đơn giản và dễ hiểu hơn so với trước đây. Việc giảm số bậc thuế giúp việc thực hiện thuận tiện hơn.</t>
  </si>
  <si>
    <t>Tôi tin rằng Nhà nước sẽ thực thi chính sách một cách công bằng, nhưng vẫn cần thêm thời gian để xem xét hiệu quả thực tế.</t>
  </si>
  <si>
    <t>Thuế mới giảm cho tôi và người phụ thuộc, điều này tạo nên cảm giác công bằng. Tuy nhiên, mức thuế đối với thu nhập khác có thể không phù hợp với mọi người.</t>
  </si>
  <si>
    <t>Tôi tin rằng số tiền thuế đóng sẽ được sử dụng hiệu quả để cải thiện các dịch vụ công. Tuy nhiên, cần thêm thông tin về cách sử dụng nguồn thu thuế này.</t>
  </si>
  <si>
    <t>Nhà nước đã giải thích rõ ràng về mục tiêu của việc sửa đổi thuế lần này. Các hướng dẫn và tài liệu hỗ trợ cũng rất chi tiết.</t>
  </si>
  <si>
    <t>Sau khi xem xét các quyền lợi và nghĩa vụ, tôi ủng hộ và tuân thủ chính sách mới hiện nay. Mặc dù có những thay đổi, nhưng chúng mang lại nhiều lợi ích cho người dân.</t>
  </si>
  <si>
    <t>Dựa trên các quy định quản lý thuế hiện nay, tôi cho rằng hành vi gian lận hoặc trốn thuế có thể bị phát hiện nhưng mức độ và hiệu quả xử lý còn phụ thuộc vào nhiều yếu tố khác. Tuy nhiên, với sự phát triển của công nghệ, khả năng phát hiện cũng tăng lên.</t>
  </si>
  <si>
    <t>Nhà nước đã đầu tư vào công nghệ và hệ thống quản lý thuế, do đó tôi tin rằng khả năng phát hiện và xử lý nghiêm các hành vi trốn thuế sẽ được cải thiện đáng kể.</t>
  </si>
  <si>
    <t>Trình tự khai báo thuế đã đơn giản hơn so với trước đây, tuy nhiên vẫn còn một số bước cần thực hiện. Việc sử dụng công nghệ trong quá trình làm việc với cơ quan thuế đã cải thiện đáng kể.</t>
  </si>
  <si>
    <t>Biểu thuế mới có ít bậc hơn và ngưỡng chịu thuế rõ ràng hơn, do đó dễ dàng hiểu và thực hiện hơn so với trước đây.</t>
  </si>
  <si>
    <t>Tôi tin rằng cơ quan thuế sẽ thực thi chính sách một cách công bằng nhưng vẫn cần thêm thời gian để xem xét hiệu quả thực tế của việc áp dụng.</t>
  </si>
  <si>
    <t>Mức thuế tôi phải đóng theo phương án mới là hợp lý và phù hợp với thu nhập của mình, do đó tôi cảm thấy công bằng.</t>
  </si>
  <si>
    <t>Tôi tin rằng số tiền thuế tôi đóng sẽ được sử dụng hiệu quả để cải thiện các dịch vụ công vì chính phủ đã có những tuyên bố về mục tiêu này.</t>
  </si>
  <si>
    <t>Nhà nước đã giải thích về lý do và mục tiêu của việc sửa đổi thuế trong báo cáo chính sách, nhưng cần thêm thông tin rõ ràng hơn về cách sử dụng nguồn thu thuế.</t>
  </si>
  <si>
    <t>Tác động tài chính tích cực từ việc giảm trừ gia cảnh và số bậc thuế đơn giản đã làm tăng sự ủng hộ của tôi đối với chính sách mới. Tuy nhiên, vẫn cần thêm thời gian để xem xét hiệu quả thực tế.</t>
  </si>
  <si>
    <t>Dù các quy định quản lý thuế hiện nay khá chặt chẽ, nhưng do không có thông tin cụ thể về khả năng phát hiện và xử lý của cơ quan thuế nên mức độ tin tưởng không cao.</t>
  </si>
  <si>
    <t>Nhà nước đã đầu tư công nghệ để quản lý thuế, tuy nhiên việc thực thi còn phụ thuộc vào hiệu quả hoạt động của các cơ quan thuế.</t>
  </si>
  <si>
    <t>Quy trình khai báo và làm việc với cơ quan thuế trở nên đơn giản hơn sau khi cải cách, giúp tiết kiệm thời gian và công sức.</t>
  </si>
  <si>
    <t>Biểu thuế mới có ít bậc hơn, dễ hiểu và thực hiện đơn giản hơn so với trước đây, do đó người dân sẽ thuận tiện trong việc tính toán và nộp thuế.</t>
  </si>
  <si>
    <t>Tôi tin rằng cơ quan thuế sẽ công tâm khi thực thi chính sách mới, nhưng cần có thêm thông tin về cách thức thực hiện để tăng độ tin cậy.</t>
  </si>
  <si>
    <t>Tiết kiệm được 855.898 VNĐ/tháng do thuế giảm, mức này khá hợp lý đối với thu nhập của tôi và số người phụ thuộc là 0.</t>
  </si>
  <si>
    <t>Thuê đóng góp vào việc cải thiện các dịch vụ công như y tế, đường xá... sẽ giúp nâng cao chất lượng cuộc sống cho cộng đồng, nên tôi tin rằng số tiền thuế đóng được sử dụng hiệu quả.</t>
  </si>
  <si>
    <t>Nhà nước đã giải thích rõ về mục tiêu và lý do của việc cải cách, tuy nhiên cần thêm thông tin cụ thể hơn để tăng độ minh bạch.</t>
  </si>
  <si>
    <t>Tôi ủng hộ chính sách mới vì nó đơn giản hóa quy trình và giảm gánh nặng thuế cho người dân, đồng thời tôi sẽ tuân thủ theo đúng luật.</t>
  </si>
  <si>
    <t>Nhà nước đã tăng mức giảm trừ gia cảnh và đơn giản hóa biểu thuế, điều này làm giảm khả năng gian lận. Tuy nhiên, việc thực thi vẫn phụ thuộc vào hiệu quả của cơ quan thuế.</t>
  </si>
  <si>
    <t>Cơ sở hạ tầng công nghệ thông tin của cơ quan thuế đã được cải thiện đáng kể trong những năm gần đây, giúp phát hiện và xử lý gian lận nhanh chóng hơn trước.</t>
  </si>
  <si>
    <t>Quy trình khai báo thuế trở nên đơn giản hơn với mức giảm trừ gia cảnh cao hơn và số bậc thuế ít đi. Điều này làm cho việc thực hiện thủ tục thuận tiện hơn.</t>
  </si>
  <si>
    <t>Biểu thuế mới rõ ràng và dễ hiểu, giúp người dân tính toán chính xác số tiền cần đóng mà không gặp khó khăn.</t>
  </si>
  <si>
    <t>Nguyên tắc công bằng được áp dụng với mức giảm trừ gia cảnh cao hơn cho cả bản thân và người phụ thuộc. Điều này làm tăng niềm tin vào sự công bằng của cơ quan thuế.</t>
  </si>
  <si>
    <t>Mức thuế mới phù hợp với thu nhập hiện tại, đảm bảo rằng tôi không đóng quá nhiều hoặc quá ít so với người cùng mức thu nhập khác.</t>
  </si>
  <si>
    <t>Thuế đóng góp vào sự phát triển cơ sở hạ tầng và dịch vụ công. Mức thuế mới cho thấy Nhà nước đang sử dụng nguồn lực một cách hiệu quả để cải thiện cuộc sống của người dân.</t>
  </si>
  <si>
    <t>Các giải thích về mục tiêu và lý do của việc thay đổi thuế được cung cấp đầy đủ trên các phương tiện thông tin đại chúng, làm tăng sự minh bạch trong quá trình thực thi chính sách.</t>
  </si>
  <si>
    <t>Sau khi xem xét tất cả các yếu tố, tôi ủng hộ và tuân thủ chính sách mới vì nó mang lại nhiều lợi ích cho người dân như giảm gian lận và đơn giản hóa quy trình khai báo thuế.</t>
  </si>
  <si>
    <t>Hiện nay, cơ quan thuế đã tăng cường công nghệ và nhân lực để phát hiện hành vi trốn thuế. Tuy nhiên, vẫn có những lỗ hổng nhỏ cần hoàn thiện.</t>
  </si>
  <si>
    <t>Nhà nước đã đầu tư vào hệ thống công nghệ thông tin để hỗ trợ quản lý và giám sát hiệu quả hơn.</t>
  </si>
  <si>
    <t>Thủ tục khai báo thuế trở nên đơn giản, dễ thực hiện hơn. Tuy nhiên, vẫn cần thêm hướng dẫn chi tiết cho người dân.</t>
  </si>
  <si>
    <t>Biểu thuế mới rõ ràng hơn về các bậc thuế và ngưỡng chịu thuế, giúp việc tính toán thuận lợi hơn.</t>
  </si>
  <si>
    <t>Tôi tin rằng cơ quan thuế sẽ thực thi chính sách công bằng cho mọi người nộp thuế. Tuy nhiên, cần thêm minh bạch trong quy trình.</t>
  </si>
  <si>
    <t>Đối với thu nhập của tôi, mức thuế mới là hợp lý và công bằng hơn so với trước đây.</t>
  </si>
  <si>
    <t>Thuế đóng góp vào việc cải thiện dịch vụ công. Tôi tin rằng số tiền thuế sẽ được sử dụng hiệu quả.</t>
  </si>
  <si>
    <t>Nhà nước đã cung cấp thông tin đầy đủ về mục tiêu và lý do của việc sửa đổi thuế, nhưng vẫn cần thêm giải thích chi tiết hơn.</t>
  </si>
  <si>
    <t>Tôi ủng hộ chính sách mới vì nó cải thiện công bằng và thuận tiện cho người dân. Tuy nhiên, cần tiếp tục cải tiến để tăng độ tin cậy.</t>
  </si>
  <si>
    <t>Hiện nay, cơ quan thuế có nhiều công cụ và nguồn lực để phát hiện gian lận hoặc trốn thuế, từ đó tăng khả năng xử lý nghiêm các hành vi sai phạm.</t>
  </si>
  <si>
    <t>Nhà nước đã đầu tư vào công nghệ cao, hệ thống quản lý thuế hiện đại, giúp phát hiện và xử lý nhanh chóng các vụ việc trốn thuế.</t>
  </si>
  <si>
    <t>Thủ tục khai báo thuế trở nên đơn giản hơn với mức giảm trừ gia cảnh cao hơn và số bậc thuế ít đi, khiến người dân dễ dàng thực hiện hơn.</t>
  </si>
  <si>
    <t>Các bước tính thuế mới rõ ràng và dễ hiểu, giúp người dân dễ dàng áp dụng vào thực tế mà không cần sự hỗ trợ kỹ thuật.</t>
  </si>
  <si>
    <t>Tôi tin rằng Nhà nước sẽ công bằng trong việc thực thi chính sách mới, đảm bảo quyền lợi của mọi đối tượng nộp thuế.</t>
  </si>
  <si>
    <t>Với mức thu nhập của tôi, các bậc thuế mới phù hợp và công bằng, phản ánh đúng mức độ tham gia đóng góp vào xã hội.</t>
  </si>
  <si>
    <t>Tôi tin rằng số tiền thuế mình đóng sẽ được sử dụng hiệu quả để cải thiện hạ tầng cơ sở hạ tầng và dịch vụ công cho cộng đồng.</t>
  </si>
  <si>
    <t>Nhà nước đã giải thích rõ ràng về mục tiêu của việc sửa đổi luật thuế, tạo sự minh bạch trong quá trình thực thi.</t>
  </si>
  <si>
    <t>Chính sách mới giúp giảm gánh nặng tài chính cho tôi và gia đình, do đó, tôi sẽ ủng hộ và tuân thủ.</t>
  </si>
  <si>
    <t>Các quy định quản lý thuế hiện nay có phần phức tạp và khó hiểu. Tuy nhiên, với cải cách mới, mức thuế giảm đáng kể và việc đơn giản hóa thủ tục cũng giúp phát hiện trốn thuế dễ dàng hơn.</t>
  </si>
  <si>
    <t>Nhà nước đã đầu tư công nghệ để quản lý thuế hiệu quả hơn. Việc đơn giản hóa quy trình khai báo và giảm mức thuế có thể tăng khả năng phát hiện trốn thuế.</t>
  </si>
  <si>
    <t>So với trước đây, các quy trình làm việc với cơ quan thuế trở nên dễ dàng hơn. Việc đơn giản hóa biểu thuế giúp người dân hiểu và thực hiện dễ dàng hơn.</t>
  </si>
  <si>
    <t>Biểu thuế mới có ít bậc, rõ ràng hơn so với trước đây. Điều này làm việc tính toán thuế trở nên dễ dàng hơn, phù hợp với nhiều người lao động bình thường.</t>
  </si>
  <si>
    <t>Tôi tin rằng Nhà nước sẽ thực thi chính sách mới một cách công bằng và khách quan. Việc giảm thuế cho người dân như tôi giúp tạo niềm tin vào hệ thống thuế hiện tại.</t>
  </si>
  <si>
    <t>Theo phương án mới, mức thuế tôi phải đóng hợp lý với thu nhập của mình. Điều này thể hiện tính công bằng trong việc phân bổ gánh nặng thuế cho người dân.</t>
  </si>
  <si>
    <t>Thuế mà tôi đóng sẽ được sử dụng hiệu quả để cải thiện dịch vụ công, từ đó tạo lợi ích cho toàn xã hội. Điều này tăng niềm tin của tôi vào việc đầu tư của Nhà nước.</t>
  </si>
  <si>
    <t>Nhà nước đã giải thích rõ ràng về mục tiêu và lý do sửa đổi thuế lần này. Điều này giúp người dân hiểu hơn về chính sách mới, tăng sự tin tưởng.</t>
  </si>
  <si>
    <t>Với những lợi ích mà chính sách mới mang lại, tôi ủng hộ và tuân thủ nó. Thu nhập của tôi giảm đáng kể do thuế được giảm nên tôi thấy việc này là hợp lý.</t>
  </si>
  <si>
    <t>Thuế TNCN mới đã đơn giản hóa quy trình, giảm số bậc thuế nên khả năng phát hiện hành vi gian lận sẽ dễ dàng hơn. Cơ quan thuế cũng có đủ công nghệ để theo dõi.</t>
  </si>
  <si>
    <t>Cơ quan thuế đã nâng cấp hệ thống và ứng dụng công nghệ, tăng cường khả năng phát hiện và xử lý gian lận.</t>
  </si>
  <si>
    <t>Thuê TNCN mới đơn giản hơn với ít bậc thuế, thủ tục khai báo cũng trở nên nhanh chóng và tiện lợi hơn.</t>
  </si>
  <si>
    <t>Ngưỡng giảm trừ gia cảnh tăng lên, quy định rõ ràng về bậc thuế giúp tính toán thuận tiện hơn so với trước đây.</t>
  </si>
  <si>
    <t>Thuế TNCN mới công bằng và khách quan hơn với mức giảm trừ gia cảnh cao hơn và số bậc thuế ít đi, tạo cảm giác đối xử bình đẳng.</t>
  </si>
  <si>
    <t>Mức thuế theo phương án mới phù hợp với thu nhập của mình, tôi thấy công bằng khi đóng mức này.</t>
  </si>
  <si>
    <t>Thuế được sử dụng hiệu quả cho các dịch vụ công như y tế và đường xá, tạo niềm tin về cách sử dụng nguồn lực tài chính.</t>
  </si>
  <si>
    <t>Nhà nước đã giải thích rõ ràng mục tiêu và lý do của việc sửa đổi thuế lần này, minh bạch trong quá trình thực thi.</t>
  </si>
  <si>
    <t>Sau khi xem xét các quyền lợi và nghĩa vụ, tôi ủng hộ chính sách mới vì nó tạo ra nhiều thuận lợi và công bằng hơn.</t>
  </si>
  <si>
    <t>Hiện nay, các quy định quản lý thuế chưa rõ ràng và cần sự cải thiện để phát hiện hành vi gian lận. Tuy nhiên, mức giảm trừ gia cảnh tăng cao đã giảm nhẹ áp lực về thuế cho tôi.</t>
  </si>
  <si>
    <t>Nhà nước có nhiều nguồn lực công nghệ và cơ sở vật chất để phát hiện và xử lý gian lận thuế, nhưng sự hiệu quả của chúng phụ thuộc vào việc triển khai.</t>
  </si>
  <si>
    <t>Thủ tục khai báo thuế dễ dàng hơn nhiều so với trước đây. Mức giảm trừ gia cảnh cao đã làm đơn giản hóa quy trình nộp thuế cho tôi.</t>
  </si>
  <si>
    <t>Các bậc thuế mới rõ ràng và dễ hiểu hơn, phù hợp với thu nhập của tôi. Việc giảm số bậc thuế cũng giúp quá trình tính thuế trở nên thuận tiện hơn.</t>
  </si>
  <si>
    <t>Tôi tin rằng Nhà nước sẽ thực thi chính sách một cách công bằng và khách quan, nhưng sự minh bạch của họ đối với quy định mới cần được cải thiện.</t>
  </si>
  <si>
    <t>Mức thuế tôi phải đóng phù hợp với thu nhập hiện tại. Việc tăng mức giảm trừ gia cảnh đã giúp làm giảm áp lực về thuế cho tôi.</t>
  </si>
  <si>
    <t>Tôi tin rằng số tiền thuế tôi đóng sẽ được sử dụng hiệu quả để cải thiện dịch vụ công, nhưng cần có báo cáo rõ ràng về việc này.</t>
  </si>
  <si>
    <t>Nhà nước đã giải thích một cách tổng quan về chính sách mới, nhưng chi tiết về mục tiêu cụ thể của nó vẫn còn thiếu.</t>
  </si>
  <si>
    <t>Tôi ủng hộ và tuân thủ chính sách mới vì mức thuế giảm đi cùng với sự đơn giản hóa quy trình nộp thuế. Tôi tin rằng điều này sẽ mang lại lợi ích cho người dân như tôi.</t>
  </si>
  <si>
    <t>Dù không phải đóng thuế, nhưng tăng mức giảm trừ gia cảnh và đơn giản hóa biểu thuế làm giảm rủi ro trốn thuế. Công nghệ hiện đại của cơ quan thuế cũng giúp phát hiện hành vi gian lận dễ dàng hơn.</t>
  </si>
  <si>
    <t>Cơ quan thuế có đủ nguồn lực và công nghệ để quản lý và xử lý các hành vi trốn thuế. Tuy nhiên, việc không phải đóng thuế khiến tôi tin rằng họ sẽ tập trung vào việc phát hiện gian lận hơn.</t>
  </si>
  <si>
    <t>Quy trình khai báo thuế trở nên đơn giản hơn với mức giảm trừ gia cảnh cao và số bậc thuế ít đi. Tuy nhiên, tôi vẫn cảm thấy cần phải tuân thủ các quy định về thuế.</t>
  </si>
  <si>
    <t>Biểu thuế mới rõ ràng hơn và dễ dàng tính toán hơn so với trước đây. Việc giảm số bậc thuế giúp việc tính thuế trở nên đơn giản hơn.</t>
  </si>
  <si>
    <t>Tôi tin rằng cơ quan thuế sẽ thực thi chính sách một cách công bằng. Sự tăng mức giảm trừ gia cảnh và đơn giản hóa biểu thuế tạo ra cảm giác công bằng cho tôi</t>
  </si>
  <si>
    <t>Mức thuế mới được tính dựa trên thu nhập của tôi là hợp lý, do đó tôi thấy nó công bằng. Mức giảm trừ gia cảnh cao hơn cũng giúp giảm gánh nặng thuế.</t>
  </si>
  <si>
    <t>Tôi tin rằng số tiền thuế mà tôi đóng sẽ được sử dụng hiệu quả để cải thiện dịch vụ công, dù không phải đóng nhiều như trước đây</t>
  </si>
  <si>
    <t>Nhà nước đã giải thích rõ ràng về mục tiêu của việc sửa đổi thuế. Mặc dù vậy, tôi vẫn mong muốn có thêm thông tin về cách sử dụng số tiền thuế.</t>
  </si>
  <si>
    <t>Dù không phải đóng thuế nhưng chính sách mới đơn giản và công bằng hơn so với trước đây, do đó tôi ủng hộ và tuân thủ.</t>
  </si>
  <si>
    <t>Nếu mức giảm trừ gia cảnh cao hơn thu nhập, việc phát hiện và xử lý trốn thuế sẽ khó khăn. Công nghệ hiện đại không thể bù đắp cho sự yếu kém trong quản lý.</t>
  </si>
  <si>
    <t>Cơ quan thuế có thể sử dụng công nghệ để theo dõi, nhưng nếu quản lý chưa hiệu quả thì việc phát hiện trốn thuế vẫn khó khăn.</t>
  </si>
  <si>
    <t>Quy trình đơn giản hơn và giảm trừ gia cảnh cao hơn giúp thuận tiện cho người dân khai báo. So với trước đây, thủ tục đã đơn giản, tiện lợi hơn nhiều.</t>
  </si>
  <si>
    <t>Bậc thuế ít hơn và mức giảm trừ gia cảnh cao hơn làm việc tính toán thuế dễ dàng hơn. Phương án mới đơn giản hóa quy trình tính thuế.</t>
  </si>
  <si>
    <t>Nhà nước đã cải cách thuế một cách công khai, nhưng vẫn cần có biện pháp quản lý tốt để đảm bảo công bằng</t>
  </si>
  <si>
    <t>Mức thuế mới phù hợp với thu nhập của tôi. Giảm trừ gia cảnh cao hơn giúp giảm bớt gánh nặng tài chính.</t>
  </si>
  <si>
    <t>Thuế đóng góp cho sự phát triển hạ tầng và dịch vụ công, nhưng cần có hiệu quả sử dụng</t>
  </si>
  <si>
    <t>Nhà nước đã giải thích rõ về mục tiêu cải cách thuế. Tuy nhiên, vẫn cần minh bạch hơn trong việc sử dụng nguồn thu</t>
  </si>
  <si>
    <t>Tăng mức giảm trừ gia cảnh và đơn giản hóa quy trình tính thuế khiến tôi ủng hộ chính sách mới.</t>
  </si>
  <si>
    <t>Dù mức thuế đã được giảm, nhưng tôi vẫn lo ngại về khả năng phát hiện hành vi gian lận hay trốn thuế.</t>
  </si>
  <si>
    <t>Việc sử dụng công nghệ để quản lý và giám sát thuế có thể chưa hoàn thiện, khiến việc kiểm soát khó khăn.</t>
  </si>
  <si>
    <t>Quy trình khai báo thuế trở nên đơn giản hơn với mức giảm trừ gia cảnh cao, thuận lợi cho người dân.</t>
  </si>
  <si>
    <t>Biểu thuế đã được đơn giản hóa, dễ hiểu và áp dụng nhanh chóng hơn so với trước đây.</t>
  </si>
  <si>
    <t>Tôi tin rằng cơ quan thuế sẽ thực thi chính sách một cách công bằng và khách quan, dù vẫn có sự nghi ngờ về khả năng quản lý.</t>
  </si>
  <si>
    <t>Mức giảm trừ gia cảnh cao giúp tôi không phải đóng thuế, điều này là hợp lý cho thu nhập của tôi.</t>
  </si>
  <si>
    <t>Tuy nhiên, việc giải thích về mục tiêu của chính sách mới chưa đầy đủ, khiến tôi vẫn giữ thái độ thận trọng.</t>
  </si>
  <si>
    <t>Tôi ủng hộ và tuân thủ chính sách mới vì nó giảm gánh nặng thuế cho người dân như tôi.</t>
  </si>
  <si>
    <t>Việc tăng cường công nghệ và quản lý thuế có thể giúp phát hiện hành vi gian lận, nhưng vẫn cần thời gian để triển khai hiệu quả.</t>
  </si>
  <si>
    <t>Cơ quan thuế đã đầu tư vào công nghệ, tuy nhiên khả năng và hiệu suất của họ trong việc phát hiện trốn thuế cần thêm thời gian để chứng minh.</t>
  </si>
  <si>
    <t>Thủ tục khai báo thuế trở nên đơn giản hơn với mức giảm trừ gia cảnh tăng, nhưng vẫn có thể còn phức tạp đối với người không thường xuyên làm việc với cơ quan thuế.</t>
  </si>
  <si>
    <t>Biểu thuế mới đơn giản hóa quy trình tính thuế, dễ hiểu và thực hiện hơn so với trước đây.</t>
  </si>
  <si>
    <t>Tôi tin rằng cơ quan thuế sẽ thực thi chính sách một cách công bằng, nhưng việc này vẫn phụ thuộc vào sự quản lý và giám sát của Nhà nước.</t>
  </si>
  <si>
    <t>Mức thuế mới giảm đáng kể so với trước đây, khiến tôi cảm thấy công bằng hơn. Sự tăng mức giảm trừ gia cảnh cũng giúp cải thiện điều này.</t>
  </si>
  <si>
    <t>Tôi tin rằng số tiền thuế đóng sẽ được sử dụng hiệu quả để cải thiện dịch vụ công, nhưng cần thêm thông tin cụ thể về cách sử dụng nguồn thu</t>
  </si>
  <si>
    <t>Nhà nước đã giải thích rõ ràng mục tiêu của chính sách mới và lý do thay đổi thuế, giúp tôi hiểu hơn về tác động của nó.</t>
  </si>
  <si>
    <t>Sau khi xem xét các quyền lợi và nghĩa vụ, tôi ủng hộ và sẽ tuân thủ chính sách mới. Sự đơn giản hóa quy trình khai báo thuế cũng góp phần tăng sự ủng hộ.</t>
  </si>
  <si>
    <t>Nhà nước đã đầu tư công nghệ và nhân lực để phát hiện hành vi trốn thuế, do đó tôi tin rằng việc gian lận sẽ dễ dàng bị phát hiện.</t>
  </si>
  <si>
    <t>Cơ quan thuế có đủ năng lực với các quy định mới về giảm trừ gia cảnh và đơn giản hóa biểu thuế.</t>
  </si>
  <si>
    <t>Phương pháp khai báo thuế trở nên dễ dàng hơn, đặc biệt là khi mức giảm trừ gia cảnh tăng lên.</t>
  </si>
  <si>
    <t>Biểu thuế đơn giản hơn với ít bậc thuế, do đó việc tính toán và nộp thuế trở nên thuận tiện hơn.</t>
  </si>
  <si>
    <t>Tôi tin rằng cơ quan thuế sẽ thực hiện chính sách một cách công bằng đối với mọi người nộp thuế.</t>
  </si>
  <si>
    <t>Mức thuế mới theo phương án này phù hợp với thu nhập của tôi, do đó tôi thấy nó là công bằng.</t>
  </si>
  <si>
    <t>Nhà nước sử dụng số tiền thuế đóng để cải thiện các dịch vụ công, do đó tôi tin rằng việc nộp thuế có ích cho cộng đồng.</t>
  </si>
  <si>
    <t>Cơ quan thuế đã giải thích rõ ràng về mục tiêu của chính sách mới và cách thức thực hiện nó.</t>
  </si>
  <si>
    <t>Sau khi xem xét các ưu điểm, tôi ủng hộ và sẽ tuân thủ chính sách mới này vì nó giúp giảm gánh nặng thuế cho người dân.</t>
  </si>
  <si>
    <t>Cơ quan thuế có nhiều biện pháp quản lý và công nghệ hiện đại, nhưng việc phát hiện trốn thuế vẫn còn khó khăn do cấu trúc tổ chức phức tạp. Tuy nhiên, với mức giảm trừ gia cảnh tăng lên, việc gian lận sẽ trở nên ít lợi hơn.</t>
  </si>
  <si>
    <t>Nhà nước đã đầu tư công nghệ và nhân lực vào việc quản lý thuế, tuy nhiên, hiệu quả thực hiện vẫn phụ thuộc nhiều vào sự tuân thủ của cá nhân và doanh nghiệp.</t>
  </si>
  <si>
    <t>Quy trình khai báo thuế và làm việc với cơ quan thuế trở nên dễ dàng hơn khi giảm bớt các bước phức tạp, điều này giúp người dân thuận tiện trong quá trình nộp thuế.</t>
  </si>
  <si>
    <t>Biểu thuế đơn giản hóa từ 7 bậc xuống 5 bậc làm việc thực hiện và tính toán thuế dễ dàng hơn. Tuy nhiên, vẫn có thể gặp khó khăn với những người không rành về thuế.</t>
  </si>
  <si>
    <t>Nhà nước đã giải thích công khai về chính sách mới, điều này làm tăng niềm tin vào tính công bằng của hệ thống thuế.</t>
  </si>
  <si>
    <t>Mức thuế mới có sự giảm trừ gia cảnh lớn hơn và số bậc thuế đơn giản hơn nên tôi cảm thấy mức thuế này là hợp lý cho thu nhập của mình.</t>
  </si>
  <si>
    <t>Việc cải cách thuế nhằm nâng cao chất lượng dịch vụ công, điều này làm tăng niềm tin vào việc sử dụng hiệu quả số tiền thuế đã đóng.</t>
  </si>
  <si>
    <t>Nhà nước đã giải thích rõ ràng về mục tiêu và lý do của chính sách mới trong các cuộc họp báo và thông qua truyền thông, điều này làm tăng sự minh bạch</t>
  </si>
  <si>
    <t>Chính sách mới có lợi cho tôi từ mặt tài chính và thủ tục khai thuế. Tôi sẽ ủng hộ và tuân thủ nó.</t>
  </si>
  <si>
    <t>Dù cơ quan thuế có công nghệ hiện đại, nhưng vẫn còn nhiều rủi ro về việc phát hiện gian lận hoặc trốn thuế. Tuy nhiên, với mức giảm trừ gia cảnh tăng lên, khả năng bị phát hiện cũng thấp hơn.</t>
  </si>
  <si>
    <t>Cơ quan thuế có nhiều công cụ để quản lý và phát hiện gian lận, nhưng hiệu quả thực tế còn phụ thuộc vào nguồn lực và quyết tâm của họ.</t>
  </si>
  <si>
    <t>Quy trình khai báo thuế trở nên đơn giản hơn với mức giảm trừ gia cảnh tăng. Tuy nhiên, việc áp dụng các bậc thuế mới có thể vẫn gây khó khăn cho một số người.</t>
  </si>
  <si>
    <t>Biểu thuế mới đơn giản và dễ hiểu hơn so với trước đây, giúp tôi dễ dàng tính toán và tuân thủ.</t>
  </si>
  <si>
    <t>Tôi tin rằng cơ quan thuế sẽ thực thi chính sách công bằng và khách quan, nhưng vẫn có thể có những trường hợp cụ thể chưa được giải quyết một cách công bằng.</t>
  </si>
  <si>
    <t>Mức thuế mới phù hợp với thu nhập của tôi. Mức giảm trừ gia cảnh tăng giúp giảm áp lực tài chính đối với gia đình.</t>
  </si>
  <si>
    <t>Đồng ý với việc số tiền thuế đóng sẽ được sử dụng hiệu quả để cải thiện dịch vụ công, nhưng cần có thêm thông tin về chi tiêu cụ thể.</t>
  </si>
  <si>
    <t>Tôi thấy nhà nước đã giải thích rõ ràng về mục đích của chính sách mới, tuy nhiên, việc thực thi và giám sát vẫn cần được cải thiện.</t>
  </si>
  <si>
    <t>Tác động tài chính tích cực từ chính sách mới giúp tôi tiết kiệm một khoản tiền đáng kể. Tôi ủng hộ và sẽ tuân thủ chính sách này.</t>
  </si>
  <si>
    <t>Dựa trên các quy định hiện tại, khả năng phát hiện trốn thuế được cải thiện với công nghệ và quản lý tốt hơn. Tuy nhiên, vẫn còn nghi ngờ về thực thi.</t>
  </si>
  <si>
    <t>Nhà nước đã tăng cường công nghệ trong quản lý thuế, do đó khả năng phát hiện trốn thuế được cải thiện đáng kể.</t>
  </si>
  <si>
    <t>Quy trình làm việc với cơ quan thuế trở nên đơn giản hơn. Tuy nhiên, vẫn cần thêm thời gian để thích ứng.</t>
  </si>
  <si>
    <t>Số bậc thuế giảm và mức giảm trừ gia cảnh tăng giúp tính toán thuế dễ dàng hơn, phù hợp với sự thay đổi này.</t>
  </si>
  <si>
    <t>Tôi tin rằng cơ quan thuế sẽ thực hiện chính sách một cách công bằng. Tuy nhiên, do còn nghi ngờ về thực thi nên điểm không cao.</t>
  </si>
  <si>
    <t>Mức thuế mới phù hợp với thu nhập của tôi và có sự tăng cường cho người phụ thuộc, nên tôi thấy nó công bằng.</t>
  </si>
  <si>
    <t>Thuế đóng góp vào việc cải thiện dịch vụ công. Tuy nhiên, cần biết rõ hơn về cách sử dụng số tiền thuế này.</t>
  </si>
  <si>
    <t>Nhà nước đã giải thích công khai về mục tiêu và lý do của chính sách mới, tạo niềm tin.</t>
  </si>
  <si>
    <t>Sau khi xem xét các quyền lợi mới, tôi ủng hộ và sẽ tuân thủ chính sách mới. Tuy nhiên, vẫn còn một số lo ngại về thực thi.</t>
  </si>
  <si>
    <t>Cơ quan thuế có đủ khả năng phát hiện hành vi gian lận, nhưng không hoàn toàn chắc chắn do thiếu thông tin về cụ thể công nghệ và quy định quản lý mới.</t>
  </si>
  <si>
    <t>Nhà nước đã cải thiện đáng kể khả năng phát hiện trốn thuế với mức giảm trừ gia cảnh tăng mạnh, nhưng cần thời gian để áp dụng hiệu quả.</t>
  </si>
  <si>
    <t>Quy trình làm việc với cơ quan thuế trở nên đơn giản hơn khi có thêm giảm trừ cho người phụ thuộc, thuận lợi cho công dân như tôi.</t>
  </si>
  <si>
    <t>Biểu thuế được đơn giản hóa từ 7 bậc xuống 5, dễ dàng hiểu và thực hiện hơn so với trước đây.</t>
  </si>
  <si>
    <t>Tôi tin rằng Nhà nước sẽ công tâm trong việc áp dụng chính sách mới, nhưng cần thêm thời gian để đánh giá hiệu quả thực tế.</t>
  </si>
  <si>
    <t>Nhà nước đã tăng giảm trừ gia cảnh đáng kể, phù hợp với thu nhập của tôi và người cùng ngành nghề, cho thấy mức thuế mới là công bằng.</t>
  </si>
  <si>
    <t>Thuế được sử dụng để cải thiện dịch vụ công, nhưng cần thêm thông tin về cách quản lý và sử dụng khoản thu từ thuế mới.</t>
  </si>
  <si>
    <t>Phương án mới đã giải thích rõ ràng về mục tiêu và lý do của việc sửa đổi, tạo niềm tin cho người dân.</t>
  </si>
  <si>
    <t>Tôi ủng hộ chính sách mới vì nó cải thiện thuận tiện và công bằng trong việc đóng thuế, đồng thời giúp tôi tiết kiệm được một khoản tiền đáng kể mỗi tháng.</t>
  </si>
  <si>
    <t>Điểm 8. Mặc dù không hoàn toàn, nhưng với sự gia tăng mức giảm trừ gia cảnh và đơn giản hóa biểu thuế, tôi tin rằng hành vi gian lận hoặc trốn thuế sẽ bị phát hiện dễ dàng hơn.</t>
  </si>
  <si>
    <t>Điểm 7. Với công nghệ hiện đại, tôi cho rằng cơ quan thuế có đủ khả năng để xử lý nghiêm các hành vi trốn thuế, nhưng vẫn cần cải thiện về mặt quản lý.</t>
  </si>
  <si>
    <t>Điểm 9. Các quy trình làm việc với cơ quan thuế trở nên đơn giản hơn, thuận tiện và nhanh chóng hơn so với trước đây.</t>
  </si>
  <si>
    <t>Điểm 10. Với sự giảm trừ gia cảnh và đơn giản hóa biểu thuế, tôi thấy cách tính thuế và các bậc thuế mới dễ hiểu và thực hiện hơn rất nhiều.</t>
  </si>
  <si>
    <t>Điểm 8. Tôi tin rằng Nhà nước sẽ công tâm trong việc thực thi chính sách mới, nhưng vẫn cần thêm minh bạch về cách áp dụng.</t>
  </si>
  <si>
    <t>Điểm 9. Mức thuế mới tôi phải đóng được coi là hợp lý so với thu nhập của mình và mức giảm trừ gia cảnh tăng lên.</t>
  </si>
  <si>
    <t>Điểm 8. Tôi tin rằng số tiền thuế tôi đóng sẽ được sử dụng hiệu quả, nhưng vẫn cần thêm thông tin về cách dùng chi tiết hơn.</t>
  </si>
  <si>
    <t>Điểm 7. Nhà nước đã giải thích một phần về lý do và mục tiêu của việc sửa đổi thuế, nhưng vẫn có thể làm rõ hơn.</t>
  </si>
  <si>
    <t>Điểm 9. Sau khi xem xét các quyền lợi và nghĩa vụ, tôi ủng hộ và tuân thủ chính sách mới vì nó mang lại nhiều lợi ích cho người dân.</t>
  </si>
  <si>
    <t>Dù có công nghệ để phát hiện, nhưng việc quản lý thuế vẫn phụ thuộc vào sự tuân thủ của người nộp thuế. Không đồng ý hoàn toàn vì không thể loại trừ khả năng trốn tránh.</t>
  </si>
  <si>
    <t>Nhà nước và cơ quan thuế đã đầu tư công nghệ hiện đại, nên khả năng phát hiện gian lận tăng đáng kể. Đồng ý nhưng cần thời gian kiểm chứng.</t>
  </si>
  <si>
    <t>Quy trình khai báo và làm việc với cơ quan thuế đã đơn giản hơn so với trước, giảm bớt rắc rối cho người dân.</t>
  </si>
  <si>
    <t>Biểu thuế mới đơn giản hóa bậc thuế, dễ hiểu và thực hiện nhanh chóng hơn. Đồng ý cao vì dễ dàng áp dụng.</t>
  </si>
  <si>
    <t>Niềm tin vào sự công bằng trong việc thực thi chính sách mới đang tăng lên do mức giảm trừ gia cảnh lớn hơn và số bậc thuế ít hơn, nhưng vẫn cần thời gian để chứng minh.</t>
  </si>
  <si>
    <t>Mức thuế mới phù hợp với thu nhập hiện tại của tôi, giảm gánh nặng tài chính. Đồng ý cao vì mức thuế mới công bằng.</t>
  </si>
  <si>
    <t>Niềm tin vào việc sử dụng số tiền thuế đóng vào các dịch vụ công tốt hơn so với trước đây, nhưng cần thời gian để chứng minh hiệu quả sử dụng.</t>
  </si>
  <si>
    <t>Đã có giải thích rõ ràng về mục tiêu của chính sách mới, nhưng vẫn cần thêm thông tin về chi tiết thực hiện.</t>
  </si>
  <si>
    <t>Hiện nay, với sự phát triển của công nghệ thông tin và hệ thống quản lý thuế hiện đại, tôi có thể đồng ý rằng hành vi gian lận hoặc trốn thuế sẽ dễ bị phát hiện. Tuy nhiên, vẫn còn một số rủi ro về khả năng thực thi.</t>
  </si>
  <si>
    <t>Nhà nước và cơ quan thuế đã đầu tư vào công nghệ thông tin và hệ thống quản lý thuế, giúp phát hiện và xử lý nghiêm các hành vi trốn thuế. Điều này tăng cường niềm tin của tôi về khả năng thực thi.</t>
  </si>
  <si>
    <t>Quy trình khai báo thuế và làm việc với cơ quan thuế đã đơn giản hơn so với trước đây, giúp tiết kiệm thời gian và công sức. Điều này làm tăng sự thuận tiện cho người dân.</t>
  </si>
  <si>
    <t>Số bậc thuế giảm từ 7 xuống 5, cùng với việc đơn giản hóa cách tính thuế, đã tạo ra một quy trình rõ ràng và dễ hiểu hơn. Điều này giúp tôi dễ dàng áp dụng và tuân thủ.</t>
  </si>
  <si>
    <t>Nhà nước đã công bố các quy định mới một cách minh bạch và tôi tin rằng họ sẽ thực thi chính sách một cách khách quan, công tâm. Điều này tạo ra sự công bằng trong việc đánh thuế.</t>
  </si>
  <si>
    <t>Với mức giảm trừ gia cảnh tăng lên, tôi cảm thấy mình đóng góp hợp lý cho ngân sách nhà nước. Đây là một mức thuế công bằng và hợp lý với thu nhập hiện tại của tôi.</t>
  </si>
  <si>
    <t>Thuế đóng góp vào việc cải thiện dịch vụ công như y tế, giáo dục và hạ tầng giao thông. Tôi tin tưởng rằng số tiền thuế đóng sẽ được sử dụng hiệu quả để phục vụ người dân.</t>
  </si>
  <si>
    <t>Nhà nước đã giải thích rõ ràng về mục tiêu của việc sửa đổi chính sách thuế, cũng như các quyền lợi và nghĩa vụ mới. Điều này tạo ra sự minh bạch và tin tưởng đối với người dân.</t>
  </si>
  <si>
    <t>Tôi ủng hộ và tuân thủ chính sách mới vì nó mang lại nhiều thuận tiện hơn so với trước đây, đồng thời cũng là một mức thuế công bằng. Việc giảm trừ gia cảnh tăng lên giúp tôi tiết kiệm được một khoản tiền đáng kể.</t>
  </si>
  <si>
    <t>Nhiều biện pháp quản lý thuế mới được áp dụng, cộng với sự cải thiện công nghệ giám sát, khiến tôi tin rằng hành vi gian lận sẽ bị phát hiện và xử lý nghiêm.</t>
  </si>
  <si>
    <t>Nhà nước đã đầu tư vào hệ thống công nghệ thông tin để hỗ trợ việc quản lý thuế hiệu quả hơn, do đó tôi tin rằng khả năng phát hiện trốn thuế sẽ tăng lên.</t>
  </si>
  <si>
    <t>Quy trình khai báo và làm việc với cơ quan thuế trở nên đơn giản hơn nhiều so với trước đây, đặc biệt là với sự cải thiện về giao diện trực tuyến.</t>
  </si>
  <si>
    <t>Bậc thuế mới rõ ràng và dễ hiểu hơn, giảm bớt độ phức tạp. Việc tính thuế trở nên đơn giản hơn nhiều so với trước đây.</t>
  </si>
  <si>
    <t>Tôi tin rằng Nhà nước sẽ thực thi chính sách một cách công bằng đối với mọi người nộp thuế. Các quy định mới có vẻ khách quan hơn.</t>
  </si>
  <si>
    <t>Với mức giảm trừ gia cảnh tăng lên, tôi cảm thấy mình đóng góp tương xứng với thu nhập của mình, nên mức thuế này là công bằng.</t>
  </si>
  <si>
    <t>Thuế mà tôi đóng sẽ được sử dụng hiệu quả để cải thiện dịch vụ công, từ đó mang lại lợi ích cho cả cộng đồng và cá nhân tôi.</t>
  </si>
  <si>
    <t>Nhà nước đã giải thích rõ ràng về mục tiêu của việc sửa đổi thuế. Các thông tin được cung cấp đầy đủ và dễ hiểu.</t>
  </si>
  <si>
    <t>Tôi ủng hộ chính sách mới vì nó mang lại lợi ích tài chính cho tôi, giảm độ phức tạp trong khai báo thuế và công bằng hơn so với trước đây.</t>
  </si>
  <si>
    <t>Dựa trên thông tin, tôi không hoàn toàn đồng ý với điểm 10. Mặc dù có công nghệ hiện đại, nhưng việc phát hiện và xử lý gian lận hay trốn thuế vẫn phụ thuộc vào nhân lực và sự quyết tâm của cơ quan thuế.</t>
  </si>
  <si>
    <t>Đồng ý với điểm 10. Cơ quan thuế đã đầu tư công nghệ cao để quản lý và phát hiện gian lận, như hệ thống điện tử hóa hồ sơ thuế.</t>
  </si>
  <si>
    <t>Điểm 10 là phù hợp. Thủ tục khai báo thuế đã đơn giản hơn và nhanh chóng hơn trước đây.</t>
  </si>
  <si>
    <t>Đồng ý với điểm 10. Bậc thuế mới rõ ràng, dễ hiểu và dễ thực hiện hơn so với trước đây.</t>
  </si>
  <si>
    <t>Điểm 9 là phù hợp. Tôi tin rằng cơ quan thuế sẽ công bằng trong việc áp dụng chính sách mới.</t>
  </si>
  <si>
    <t>Đồng ý với điểm 10. Mức thuế giảm giúp tôi thấy rằng mức đóng góp của tôi là công bằng.</t>
  </si>
  <si>
    <t>Điểm 9 là phù hợp. Tôi tin rằng số tiền thuế đóng sẽ được sử dụng hiệu quả cho các dịch vụ công cộng.</t>
  </si>
  <si>
    <t>Điểm 10 là phù hợp. Cơ quan thuế đã giải thích rõ ràng về mục tiêu và lý do của việc sửa đổi chính sách thuế lần này.</t>
  </si>
  <si>
    <t>Đồng ý với điểm 10. Sau khi xem xét tác động tài chính tích cực, tôi ủng hộ và tuân thủ chính sách mới.</t>
  </si>
  <si>
    <t>Như một công dân bình thường, tôi tin rằng với sự phát triển của công nghệ và hệ thống quản lý thuế hiện đại, hành vi gian lận hoặc trốn thuế sẽ dễ dàng bị phát hiện. Mặc dù không hoàn toàn chắc chắn, nhưng quy định mới về giảm trừ gia cảnh và đơn giản hóa biểu thuế đã tạo ra một môi trường minh bạch hơn.</t>
  </si>
  <si>
    <t>Cơ quan thuế có khả năng sử dụng công nghệ hiện đại để theo dõi, phát hiện và xử lý nghiêm các hành vi trốn thuế. Điều này giúp đảm bảo tính công bằng cho tất cả người nộp thuế.</t>
  </si>
  <si>
    <t>So với trước đây, quy trình khai báo thuế đã trở nên đơn giản hơn và dễ dàng tiếp cận hơn. Các bước thực hiện nhanh chóng, giúp tiết kiệm thời gian cho người dân như tôi.</t>
  </si>
  <si>
    <t>Phương án mới về biểu thuế có số bậc giảm từ 7 xuống còn 5, làm cho việc tính toán và hiểu rõ hơn. Điều này giúp tôi dễ dàng thực hiện theo đúng quy định.</t>
  </si>
  <si>
    <t>Tôi tin rằng Nhà nước sẽ thực thi chính sách một cách công bằng và khách quan. Việc tăng giảm trừ gia cảnh phù hợp với tình hình thực tế, tạo ra sự công bằng hơn.</t>
  </si>
  <si>
    <t>Thuế theo phương án mới là hợp lý đối với mức thu nhập của tôi. Mức thuế được giảm nhờ các ưu đãi về gia cảnh giúp tôi thấy rằng việc đóng thuế là công bằng.</t>
  </si>
  <si>
    <t>Tôi tin rằng số tiền thuế tôi đóng sẽ được sử dụng hiệu quả để cải thiện dịch vụ công, như y tế và hạ tầng. Điều này tạo ra niềm tin về trách nhiệm xã hội của người nộp thuế.</t>
  </si>
  <si>
    <t>Nhà nước đã giải thích rõ ràng về mục đích và lý do thay đổi chính sách thuế. Tuy nhiên, tôi vẫn có thể đề xuất thêm thông tin trong các cuộc họp công khai để cải thiện.</t>
  </si>
  <si>
    <t>Dựa trên sự đơn giản hóa quy trình, giảm trừ gia cảnh và mức thuế hợp lý, tôi ủng hộ và sẽ tuân thủ chính sách mới. Điều này giúp tăng thêm niềm tin về tính công bằng của hệ thống thuế.</t>
  </si>
  <si>
    <t>Việc tăng mức giảm trừ gia cảnh và đơn giản hóa biểu thuế có thể làm giảm động lực cho hành vi gian lận, nhưng vẫn lo ngại về khả năng phát hiện trốn thuế.</t>
  </si>
  <si>
    <t>Cơ quan thuế đã cải thiện công nghệ quản lý thuế, tuy nhiên, việc thực thi cần thêm thời gian để hoàn thiện.</t>
  </si>
  <si>
    <t>Quy trình khai báo và làm việc với cơ quan thuế đơn giản hơn, dễ dàng sử dụng hơn so với trước đây.</t>
  </si>
  <si>
    <t>Biểu thuế mới đơn giản hóa bậc thuế từ 7 xuống 5, dễ hiểu và thực hiện thuận lợi hơn.</t>
  </si>
  <si>
    <t>Tôi tin Nhà nước sẽ thực thi chính sách công bằng với mọi người nộp thuế, nhưng vẫn lo ngại về khả năng kiểm soát trốn thuế.</t>
  </si>
  <si>
    <t>Đối với thu nhập của tôi, mức thuế mới là hợp lý và công bằng, giảm gánh nặng tài chính.</t>
  </si>
  <si>
    <t>Thuế đóng góp vào việc cải thiện dịch vụ công như y tế, đường xá...</t>
  </si>
  <si>
    <t>Nhà nước đã giải thích rõ ràng về mục tiêu của việc cải cách thuế lần này.</t>
  </si>
  <si>
    <t>Dựa trên những lợi ích tài chính và sự đơn giản hóa, tôi ủng hộ và tuân thủ chính sách mới.</t>
  </si>
  <si>
    <t>Nhà nước và cơ quan thuế có nhiều biện pháp quản lý, công nghệ hiện đại nên tin rằng hành vi gian lận hoặc trốn thuế sẽ bị phát hiện và xử lý</t>
  </si>
  <si>
    <t>Cơ quan thuế có đủ nguồn lực và công nghệ để giám sát các hoạt động kinh tế, từ đó xác định đúng đối tượng phải nộp thuế</t>
  </si>
  <si>
    <t>Quy trình khai báo thuế và làm việc với cơ quan thuế trở nên đơn giản hơn khi giảm số bậc thuế và tăng mức giảm trừ gia cảnh</t>
  </si>
  <si>
    <t>Biểu thuế mới có ít bậc hơn, dễ dàng tính toán so với trước đây, giúp người dân hiểu rõ hơn về chính sách</t>
  </si>
  <si>
    <t>Nhà nước và cơ quan thuế đã công bố thông tin minh bạch về việc cải cách, đảm bảo thực hiện một cách khách quan, công bằng</t>
  </si>
  <si>
    <t>Lũy tiến thuế mới giúp giảm gánh nặng tài chính cho người dân như tôi, thể hiện tính công bằng trong việc đóng góp ngân sách nhà nước</t>
  </si>
  <si>
    <t>Thuế sau khi cải cách được sử dụng để đầu tư vào các dịch vụ công quan trọng như y tế và giao thông, nâng cao chất lượng cuộc sống cho người dân</t>
  </si>
  <si>
    <t>Nhà nước đã giải thích rõ ràng về mục tiêu cải cách thuế, từ đó tạo niềm tin với người dân trong việc tuân thủ chính sách mới</t>
  </si>
  <si>
    <t>Với các quyền lợi và nghĩa vụ được minh bạch hơn, tôi ủng hộ và sẽ tuân thủ chính sách mới này để góp phần vào sự phát triển chung của đất nước</t>
  </si>
  <si>
    <t>Cơ quan thuế có hệ thống quản lý và công nghệ tiên tiến, tuy nhiên mức giảm trừ gia cảnh tăng cao nên việc phát hiện gian lận khó hơn trước đây.</t>
  </si>
  <si>
    <t>Nhà nước đã đầu tư vào công nghệ để phát hiện trốn thuế, khả năng phát hiện và xử lý nghiêm vẫn còn hạn chế nhưng đang cải thiện.</t>
  </si>
  <si>
    <t>Quy trình khai báo thuế đơn giản hơn, thời gian làm việc với cơ quan thuế nhanh chóng hơn nhờ ứng dụng công nghệ.</t>
  </si>
  <si>
    <t>Biểu thuế đơn giản hơn so với trước đây, dễ hiểu và thực hiện thuận tiện</t>
  </si>
  <si>
    <t>Tôi tin Nhà nước sẽ công bằng trong việc thực thi chính sách mới, tuy nhiên vẫn có sự nghi ngờ về cách thực hiện.</t>
  </si>
  <si>
    <t>Mức thuế mới giảm đáng kể so với trước đây, tôi thấy hợp lý và công bằng cho người dân như tôi</t>
  </si>
  <si>
    <t>Thuế đóng góp vào dịch vụ công, tuy nhiên việc sử dụng hiệu quả nguồn thu thuế vẫn cần được cải thiện.</t>
  </si>
  <si>
    <t>Nhà nước đã giải thích rõ ràng về mục tiêu và lý do của chính sách mới</t>
  </si>
  <si>
    <t>Tôi ủng hộ và tuân thủ chính sách mới vì lợi ích tài chính và sự đơn giản hóa quy trình thuế.</t>
  </si>
  <si>
    <t>Thuế mới đơn giản hơn nên hành vi gian lận khó xảy ra, nhưng vẫn có khả năng phát hiện và xử lý.</t>
  </si>
  <si>
    <t>Cơ quan thuế có công nghệ và nguồn lực tốt để quản lý, phát hiện gian lận.</t>
  </si>
  <si>
    <t>Thủ tục đơn giản hơn nhiều so với trước đây, dễ dàng hơn trong việc khai báo và làm việc với cơ quan thuế.</t>
  </si>
  <si>
    <t>Bậc thuế ít đi, cách tính cũng dễ hiểu hơn, thuận lợi cho người dân hiểu và thực hiện.</t>
  </si>
  <si>
    <t>Niềm tin vào sự công bằng trong việc áp dụng chính sách mới cao vì giảm trừ gia cảnh tăng.</t>
  </si>
  <si>
    <t>Thuế mới phù hợp với thu nhập của mình, mức giảm trừ gia cảnh lớn giúp thuế trở nên công bằng hơn.</t>
  </si>
  <si>
    <t>Niềm tin vào việc số tiền đóng thuế sẽ được sử dụng hiệu quả để cải thiện dịch vụ công cao</t>
  </si>
  <si>
    <t>Đã có giải thích rõ ràng về mục tiêu của chính sách mới, nhưng vẫn cần thêm thông tin về cách sử dụng nguồn thu thuế.</t>
  </si>
  <si>
    <t>Thuận lợi tài chính từ chính sách mới giúp ủng hộ và tuân thủ chính sách mới</t>
  </si>
  <si>
    <t>Hiện nay, với nhiều biện pháp quản lý thuế được áp dụng, tôi tin rằng hành vi gian lận hoặc trốn thuế sẽ dễ dàng bị phát hiện. Tuy nhiên, do chưa có nhiều thông tin cụ thể về khả năng thực thi của Nhà nước nên điểm số không quá cao.</t>
  </si>
  <si>
    <t>Cơ quan thuế đã áp dụng công nghệ và hệ thống quản lý hiện đại, cho phép phát hiện và xử lý nhanh chóng các hành vi trốn thuế. Điều này tăng cường niềm tin của tôi vào khả năng quản lý thuế.</t>
  </si>
  <si>
    <t>Trình tự khai báo thuế đã đơn giản hơn, nhưng cần thêm thời gian để quen thuộc với quy trình mới. Tuy nhiên, so với trước đây, thủ tục đã thuận tiện hơn.</t>
  </si>
  <si>
    <t>Biểu thuế mới đơn giản và dễ hiểu hơn nhiều so với cũ. Việc giảm số bậc thuế từ 7 xuống còn 5 tạo ra sự rõ ràng và dễ thực hiện hơn trong việc tính toán thuế</t>
  </si>
  <si>
    <t>Tôi tin rằng Nhà nước sẽ thực thi chính sách một cách công bằng, nhưng vẫn cần thêm thông tin về quy trình giám sát và xử lý của cơ quan thuế để tăng niềm tin.</t>
  </si>
  <si>
    <t>Thuế mới có thể coi là công bằng đối với thu nhập của tôi. Mức giảm trừ gia cảnh tăng lên giúp tôi tiết kiệm được một khoản tiền đáng kể</t>
  </si>
  <si>
    <t>Tôi tin rằng số thuế đóng sẽ được sử dụng hiệu quả để cải thiện dịch vụ công, đặc biệt là y tế và giao thông. Tuy nhiên, cần thêm thông tin về cách sử dụng nguồn thu thuế</t>
  </si>
  <si>
    <t>Nhà nước đã giải thích rõ ràng mục tiêu của việc sửa đổi chính sách thuế, nhưng tôi vẫn mong muốn có thêm thông tin chi tiết để hiểu hơn về tác động thực tế.</t>
  </si>
  <si>
    <t>Dựa trên các quyền lợi và nghĩa vụ mới, tôi ủng hộ và tuân thủ chính sách. Tuy nhiên, việc cải cách thuế cần được giám sát chặt chẽ để đảm bảo công bằng cho tất cả mọi người</t>
  </si>
  <si>
    <t>Việc tăng mức giảm trừ gia cảnh và đơn giản hóa biểu thuế có thể làm giảm khả năng phát hiện hành vi trốn thuế, do đó tôi không hoàn toàn đồng ý.</t>
  </si>
  <si>
    <t>Tăng mức giảm trừ gia cảnh sẽ khiến việc phát hiện gian lận khó khăn hơn, nhưng công nghệ hiện đại của cơ quan thuế vẫn đủ khả năng quản lý.</t>
  </si>
  <si>
    <t>Quy trình khai báo thuế trở nên đơn giản hơn với mức giảm trừ gia cảnh cao và số bậc thuế ít đi, do đó tôi đồng ý một phần.</t>
  </si>
  <si>
    <t>Biểu thuế mới dễ hiểu và thực hiện nhanh chóng hơn so với trước đây, nhưng vẫn cần thêm thời gian để quen thuộc.</t>
  </si>
  <si>
    <t>Tôi tin rằng Nhà nước sẽ thực thi chính sách một cách công bằng cho người nộp thuế như tôi.</t>
  </si>
  <si>
    <t>Mức thuế mới được điều chỉnh phù hợp với thu nhập của tôi, tôi thấy chúng là công bằng.</t>
  </si>
  <si>
    <t>Tăng mức giảm trừ gia cảnh và đơn giản hóa quy trình khai báo thuế sẽ giúp số tiền đóng thuế hiệu quả hơn cho dịch vụ công.</t>
  </si>
  <si>
    <t>Nhà nước đã giải thích rõ ràng về mục tiêu của việc sửa đổi thuế, tôi đồng ý với những thay đổi này.</t>
  </si>
  <si>
    <t>Tôi ủng hộ và tuân thủ chính sách mới vì nó có lợi cho người dân như tôi.</t>
  </si>
  <si>
    <t>Nhà nước đã tăng mức giảm trừ gia cảnh, đơn giản hóa biểu thuế và cung cấp thông tin rõ ràng. Tuy nhiên, việc phát hiện gian lận hoặc trốn thuế vẫn phụ thuộc vào hiệu quả hoạt động của cơ quan thuế.</t>
  </si>
  <si>
    <t>Việc tăng giảm trừ gia cảnh và đơn giản hóa biểu thuế giúp việc khai báo thuế trở nên dễ dàng hơn. Công nghệ hiện đại cũng hỗ trợ tốt cho việc quản lý thuế, nhưng cần cải thiện nữa để phát hiện gian lận hiệu quả hơn.</t>
  </si>
  <si>
    <t>Quy trình khai thuế và làm việc với cơ quan thuế nhanh chóng hơn, giảm bớt các thủ tục rườm rà. Tuy nhiên, vẫn có thể cần cải thiện thêm về mặt tiếp cận khách hàng.</t>
  </si>
  <si>
    <t>Biểu thuế đơn giản hơn, dễ hiểu và dễ thực hiện. Mức giảm trừ gia cảnh tăng giúp người dân cảm thấy công bằng hơn trong việc đóng thuế.</t>
  </si>
  <si>
    <t>Tôi tin rằng Nhà nước sẽ thực thi chính sách một cách khách quan và công bằng, nhưng cần có thêm các biện pháp để đảm bảo minh bạch về sử dụng nguồn thu thuế.</t>
  </si>
  <si>
    <t>Mức giảm trừ gia cảnh tăng lên giúp tôi tiết kiệm được nhiều tiền, cảm thấy việc đóng thuế công bằng hơn. Phương án mới đơn giản hóa quy trình, dễ hiểu và thực hiện.</t>
  </si>
  <si>
    <t>Số tiền thuế mà tôi phải đóng sẽ được sử dụng hiệu quả cho các dịch vụ công, nhưng cần có thêm thông tin về việc sử dụng nguồn thu để tăng niềm tin.</t>
  </si>
  <si>
    <t>Nhà nước đã giải thích rõ ràng về mục tiêu và lý do của việc sửa đổi thuế. Tuy nhiên, vẫn cần cải thiện thêm về minh bạch trong việc sử dụng nguồn thu</t>
  </si>
  <si>
    <t>Sau khi xem xét các quyền lợi và nghĩa vụ, tôi ủng hộ và tuân thủ chính sách mới vì nó đơn giản hóa quy trình khai thuế, giảm bớt gánh nặng về mặt tài chính.</t>
  </si>
  <si>
    <t>Dù có công nghệ hỗ trợ, nhưng tôi vẫn nghi ngờ khả năng phát hiện trốn thuế hiệu quả do các quy định quản lý thuế chưa đủ mạnh mẽ.</t>
  </si>
  <si>
    <t>Nhà nước và cơ quan thuế đã cải thiện trong việc ứng dụng công nghệ để quản lý thuế, nhưng vẫn còn nhiều yếu tố phụ thuộc vào sự tuân thủ của người dân.</t>
  </si>
  <si>
    <t>Quy trình khai báo thuế và làm việc với cơ quan thuế đã đơn giản hóa so với trước đây, nhưng vẫn cần thêm thời gian để mọi người quen thuộc với quy định mới.</t>
  </si>
  <si>
    <t>Cách tính thuế mới đơn giản hơn nhiều so với trước đây, nhưng các bậc thuế vẫn có thể gây nhầm lẫn cho những người không am hiểu về thuế.</t>
  </si>
  <si>
    <t>Tôi tin rằng cơ quan thuế sẽ thực thi chính sách một cách công bằng, nhưng sự thay đổi lớn về thuế khiến tôi hơi lo lắng về việc có bị lợi bất cập thiệt hay không.</t>
  </si>
  <si>
    <t>Thuế mới có vẻ hợp lý so với thu nhập của tôi, giảm trừ gia cảnh tăng lên giúp giảm gánh nặng tài chính.</t>
  </si>
  <si>
    <t>Tôi tin rằng số tiền thuế đóng sẽ được sử dụng hiệu quả để cải thiện các dịch vụ công, nhưng vẫn lo ngại về hiệu quả thực tế của việc đầu tư.</t>
  </si>
  <si>
    <t>Nhà nước đã giải thích rõ ràng về mục tiêu của việc thay đổi thuế này, nhưng còn nhiều thông tin cần bổ sung để tôi hoàn toàn tin tưởng.</t>
  </si>
  <si>
    <t>Tôi ủng hộ chính sách mới vì nó giúp giảm gánh nặng tài chính và đơn giản hóa quy trình khai báo thuế, đồng thời tăng niềm tin về công bằng trong việc đánh giá thu nhập.</t>
  </si>
  <si>
    <t>Ngày nay, với sự phát triển của công nghệ thông tin và hệ thống quản lý thuế hiện đại, tôi hoàn toàn tin tưởng rằng hành vi gian lận hoặc trốn thuế sẽ rất dễ bị phát hiện. Các cơ quan thuế có thể sử dụng các phần mềm phân tích dữ liệu để tìm ra những khoản thu nhập bất thường.</t>
  </si>
  <si>
    <t>Nhà nước và cơ quan thuế đã đầu tư vào hệ thống công nghệ thông tin, giúp họ có khả năng xử lý và theo dõi các giao dịch tài chính nhanh chóng. Với sự hỗ trợ của công nghệ, việc phát hiện và xử lý các hành vi trốn thuế trở nên hiệu quả hơn.</t>
  </si>
  <si>
    <t>Biểu thuế đơn giản hóa từ 7 bậc xuống còn 5 bậc đã làm giảm bớt gánh nặng về mặt thủ tục. Việc tăng mức giảm trừ gia cảnh cũng giúp việc khai báo trở nên dễ dàng hơn.</t>
  </si>
  <si>
    <t>Biểu thuế mới có ít bậc và các bậc thuế rõ ràng, giúp tôi hiểu được cách tính thuế một cách đơn giản. Điều này làm cho quá trình đóng thuế trở nên thuận tiện hơn.</t>
  </si>
  <si>
    <t>Nhà nước đã công bố rõ về chính sách mới, đảm bảo thực thi một cách khách quan và công bằng. Tôi tin rằng mức thuế hiện tại là hợp lý cho thu nhập của mình.</t>
  </si>
  <si>
    <t>Sau khi tính toán tác động tài chính từ các thay đổi trong biểu thuế, tôi thấy mức thuế mới khá phù hợp với tình hình kinh tế cá nhân của mình. Đây là một cải tiến công bằng.</t>
  </si>
  <si>
    <t>Những khoản thuế đóng góp sẽ được sử dụng hiệu quả để nâng cao dịch vụ công, như y tế và hạ tầng giao thông. Tôi tin rằng việc này sẽ cải thiện chất lượng cuộc sống của tôi.</t>
  </si>
  <si>
    <t>Nhà nước đã giải thích rõ về mục tiêu của chính sách thuế mới. Điều này khiến tôi cảm thấy tin tưởng hơn vào quyết định của họ.</t>
  </si>
  <si>
    <t>Sau khi xem xét các thay đổi, tôi ủng hộ và sẽ tuân thủ chính sách mới vì nó mang lại lợi ích tài chính và thuận tiện cho người dân.</t>
  </si>
  <si>
    <t>Dù tôi tin rằng cơ quan thuế có thể phát hiện gian lận, nhưng mức độ chính xác và hiệu quả của hệ thống quản lý thuế vẫn cần được cải thiện nhiều hơn. Hiện nay, với sự phức tạp về biểu thuế, việc phát hiện vi phạm không phải lúc nào cũng dễ dàng.</t>
  </si>
  <si>
    <t>Nhà nước và cơ quan thuế đã có những cải tiến trong công nghệ quản lý, nhưng vẫn cần thời gian để hoàn thiện hệ thống. Việc cung cấp dữ liệu cá nhân cho cơ quan thuế cũng là một vấn đề về quyền riêng tư.</t>
  </si>
  <si>
    <t>So với trước đây, các quy trình khai báo thuế đã đơn giản hơn, nhưng vẫn cần cải thiện nhiều để tạo ra trải nghiệm thuận tiện hơn cho người dân.</t>
  </si>
  <si>
    <t>Biểu thuế mới có ít bậc và dễ hiểu hơn, giúp tôi tính toán nhanh chóng. Tuy nhiên, sự thay đổi này cũng khiến tôi cảm thấy cần thời gian để thích ứng với quy định mới.</t>
  </si>
  <si>
    <t>Tôi tin rằng cơ quan thuế sẽ thực thi chính sách một cách khách quan, nhưng vẫn có thể xảy ra sai sót. Việc cải thiện mức giảm trừ gia cảnh và số bậc thuế đã làm tăng niềm tin của tôi vào hệ thống.</t>
  </si>
  <si>
    <t>Mức thuế mới phù hợp với thu nhập hiện tại của tôi, giúp tiết kiệm đáng kể mỗi tháng. Điều này cho thấy mức thuế là công bằng và phù hợp</t>
  </si>
  <si>
    <t>Tôi tin rằng số tiền thuế đóng sẽ được sử dụng hiệu quả để cải thiện dịch vụ công, nhưng cần có sự minh bạch hơn trong việc quản lý chi tiêu của Nhà nước.</t>
  </si>
  <si>
    <t>Nhà nước đã giải thích rõ ràng về mục đích và lý do của việc sửa đổi thuế, tạo ra một niềm tin cơ bản vào quyết định này. Tuy nhiên, vẫn cần thêm thông tin để tăng sự minh bạch.</t>
  </si>
  <si>
    <t>Tôi ủng hộ chính sách mới vì nó có lợi cho tôi và giảm gánh nặng về mặt tài chính. Tôi sẽ tuân thủ các quy định mới</t>
  </si>
  <si>
    <t>Nếu các quy định quản lý thuế hiện nay được thực thi chặt chẽ, việc phát hiện và xử lý hành vi gian lận hoặc trốn thuế sẽ không còn là vấn đề. Tuy nhiên, dựa trên kinh nghiệm cá nhân, tôi có chút nghi ngờ về khả năng của nhà nước trong việc kiểm soát rộng rãi.</t>
  </si>
  <si>
    <t>Nhà nước và cơ quan thuế đã đầu tư vào công nghệ để cải thiện quản lý thuế. Tuy nhiên, hiệu quả thực tế còn phụ thuộc vào cách triển khai.</t>
  </si>
  <si>
    <t>Việc giảm số bậc thuế và đơn giản hóa quy trình làm việc với cơ quan thuế tạo cảm giác thuận tiện hơn so với trước đây. Tuy nhiên, vẫn cần thêm thời gian để thấy sự thay đổi rõ rệt.</t>
  </si>
  <si>
    <t>Số bậc thuế giảm đi và mức giảm trừ gia cảnh tăng lên khiến việc tính thuế trở nên dễ dàng hơn. Điều này giúp tôi hiểu rõ hơn về chính sách mới.</t>
  </si>
  <si>
    <t>Tôi tin rằng Nhà nước sẽ thực thi chính sách một cách công bằng, nhưng vẫn có nghi ngờ về khả năng kiểm soát rộng rãi của họ đối với các hành vi trốn thuế.</t>
  </si>
  <si>
    <t>Mức thuế mới phù hợp với thu nhập của tôi và người phụ thuộc. Việc giảm trừ gia cảnh cao hơn giúp tôi cảm thấy công bằng hơn về việc đóng thuế.</t>
  </si>
  <si>
    <t>Tiết kiệm được một khoản tiền đáng kể từ việc cải cách thuế này, tôi tin rằng số tiền thuế tôi đóng sẽ được sử dụng hiệu quả để cải thiện dịch vụ công.</t>
  </si>
  <si>
    <t>Nhà nước đã giải thích rõ ràng về mục tiêu của việc cải cách thuế. Tuy nhiên, vẫn có một số điểm chưa được giải thích chi tiết.</t>
  </si>
  <si>
    <t>Chính sách mới này giúp tôi tiết kiệm tiền và thuận tiện hơn trong việc làm việc với cơ quan thuế. Tôi sẽ ủng hộ và tuân thủ chính sách mới.</t>
  </si>
  <si>
    <t>Với việc tăng cường công nghệ và quản lý thuế hiện nay, tôi tin rằng hành vi gian lận hoặc trốn thuế sẽ được phát hiện và xử lý nghiêm túc.</t>
  </si>
  <si>
    <t>Cơ quan thuế có hệ thống công nghệ thông tin tiên tiến nên khả năng phát hiện các hành vi trốn thuế tăng lên đáng kể.</t>
  </si>
  <si>
    <t>Quy trình khai báo và làm việc với cơ quan thuế trở nên đơn giản hơn, thời gian chờ đợi cũng nhanh chóng hơn.</t>
  </si>
  <si>
    <t>Biểu thuế được đơn giản hóa từ 7 bậc xuống 5 bậc, khiến việc tính toán và hiểu rõ quy định thuế trở nên dễ dàng hơn.</t>
  </si>
  <si>
    <t>Nguyên tắc công bằng đã được thể hiện thông qua mức giảm trừ gia cảnh và số bậc thuế ít đi, tôi tin rằng việc thực thi chính sách mới là khách quan.</t>
  </si>
  <si>
    <t>Mức thuế mới theo phương án mới phù hợp với thu nhập của tôi, giúp tôi cảm thấy công bằng trong việc đóng góp cho xã hội.</t>
  </si>
  <si>
    <t>Thuế mà tôi đóng sẽ được sử dụng hiệu quả để cải thiện các dịch vụ công như y tế và đường xá, tạo niềm tin về sự đầu tư đúng mục tiêu của Nhà nước.</t>
  </si>
  <si>
    <t>Nhà nước đã giải thích rõ ràng về lý do và mục đích sửa đổi thuế lần này trong các buổi hội thảo và thông báo chính thức.</t>
  </si>
  <si>
    <t>Dựa trên sự đơn giản hóa quy trình, giảm trừ gia cảnh, và mức thuế công bằng, tôi ủng hộ và tuân thủ chính sách mới.</t>
  </si>
  <si>
    <t>Nhà nước và cơ quan thuế đã tăng cường công nghệ, nhưng vẫn chưa hoàn toàn ngăn chặn được gian lận. Tuy nhiên, mức giảm trừ gia cảnh cao hơn và đơn giản hóa biểu thuế có thể làm giảm động lực trốn thuế.</t>
  </si>
  <si>
    <t>Cơ quan thuế đã tăng cường công nghệ giám sát nhưng không phải lúc nào cũng hiệu quả. Tuy nhiên, việc đơn giản hóa quy trình có thể giúp phát hiện gian lận nhanh hơn.</t>
  </si>
  <si>
    <t>Quy trình khai thuế đã trở nên dễ dàng hơn với mức giảm trừ gia cảnh cao và số bậc thuế ít hơn, nhưng vẫn cần cải thiện thêm.</t>
  </si>
  <si>
    <t>Biểu thuế mới đơn giản hóa nhiều so với trước đây, dễ hiểu và thực hiện thuận tiện hơn. Việc tăng mức giảm trừ gia cảnh giúp tính toán thuế trở nên dễ dàng hơn.</t>
  </si>
  <si>
    <t>Tôi tin rằng Nhà nước sẽ công bằng trong việc áp dụng chính sách mới, dù không hoàn toàn công bằng so với người thu nhập thấp hơn. Tuy nhiên, mức thuế giảm đáng kể đã tăng niềm tin vào hệ thống.</t>
  </si>
  <si>
    <t>Người có thu nhập như tôi được lợi nhiều từ việc giảm trừ gia cảnh và số bậc thuế ít hơn, do đó mức thuế mới là hợp lý. Tuy nhiên, vẫn cần cải thiện để công bằng hơn.</t>
  </si>
  <si>
    <t>Thuế đóng góp cho các dịch vụ công, nhưng việc sử dụng hiệu quả nguồn thu ngân sách còn phụ thuộc vào quản trị nhà nước. Mức giảm trừ gia cảnh cao đã tăng niềm tin.</t>
  </si>
  <si>
    <t>Nhà nước đã giải thích rõ ràng về mục tiêu của chính sách mới, nhưng vẫn cần cải thiện thêm trong việc minh bạch chi tiết sử dụng nguồn thuế.</t>
  </si>
  <si>
    <t>Chính sách mới giúp tôi tiết kiệm được một khoản tiền đáng kể và đơn giản hóa quy trình khai báo. Tôi ủng hộ chính sách và tuân thủ</t>
  </si>
  <si>
    <t>Thuế hiện nay có nhiều biện pháp quản lý, nhưng vẫn phụ thuộc vào sự tuân thủ của cá nhân. Với mức thuế giảm mạnh và quy định đơn giản hơn, khả năng phát hiện trốn thuế cũng giảm đi một phần.</t>
  </si>
  <si>
    <t>Cơ quan thuế có nhiều công cụ và nguồn lực để quản lý, nhưng vẫn cần sự hợp tác của cá nhân trong việc khai báo chính xác thu nhập.</t>
  </si>
  <si>
    <t>Quy trình khai thuế trở nên đơn giản hơn với mức giảm trừ gia cảnh cao hơn và số bậc thuế ít đi, nhưng vẫn cần thời gian để quen thuộc.</t>
  </si>
  <si>
    <t>Các bậc thuế mới dễ hiểu và áp dụng đơn giản hơn so với trước đây, giúp việc tính toán nhanh chóng hơn</t>
  </si>
  <si>
    <t>Nhà nước đã cải cách thuế công bằng hơn với mức giảm trừ gia cảnh cao và số bậc thuế ít đi, nhưng vẫn cần thêm thời gian để hoàn toàn tin tưởng.</t>
  </si>
  <si>
    <t>Mức thuế mới giảm đáng kể so với trước đây, người dân có thu nhập như tôi đóng mức này là hợp lý</t>
  </si>
  <si>
    <t>Thuế được sử dụng cho các dịch vụ công cần thiết, nhưng hiệu quả cụ thể còn phụ thuộc vào cách quản lý ngân sách.</t>
  </si>
  <si>
    <t>Nhà nước đã giải thích rõ ràng về mục tiêu cải cách, nhưng vẫn có thể cải thiện thêm về thông tin minh bạch</t>
  </si>
  <si>
    <t>Sau khi xem xét các quyền lợi và nghĩa vụ, tôi ủng hộ và tuân thủ chính sách mới vì mức thuế giảm đáng kể.</t>
  </si>
  <si>
    <t>Thuế hiện nay được quản lý chặt chẽ, với các biện pháp giám sát mạnh mẽ. Việc tăng giảm trừ gia cảnh và đơn giản hóa biểu thuế đều giúp phát hiện gian lận dễ dàng hơn.</t>
  </si>
  <si>
    <t>Cơ quan thuế đã đầu tư công nghệ tiên tiến, hệ thống thông tin điện tử giúp giám sát hiệu quả. Tuy nhiên, vẫn có khả năng trốn thuế chưa được phát hiện triệt để.</t>
  </si>
  <si>
    <t>Hệ thống khai báo thuế trực tuyến đơn giản hơn nhiều so với trước đây, giảm bớt rào cản hành chính. Tuy nhiên, vẫn còn một số bước cần cải thiện.</t>
  </si>
  <si>
    <t>Biểu thuế mới đơn giản hóa các bậc thuế, dễ hiểu và thực hiện hơn so với trước đây. Điều này giúp người dân tính toán nhanh chóng và chính xác hơn.</t>
  </si>
  <si>
    <t>Tôi tin Nhà nước sẽ thực thi công bằng đối với mọi cá nhân nộp thuế. Tuy nhiên, vẫn cần cải thiện thông tin minh bạch hơn để tăng thêm niềm tin.</t>
  </si>
  <si>
    <t>Thuế mới phù hợp với thu nhập của tôi và gia đình, giảm gánh nặng tài chính. Điều này cho thấy mức thuế là công bằng.</t>
  </si>
  <si>
    <t>Tôi tin số tiền thuế đóng sẽ được sử dụng hiệu quả vào các dịch vụ công. Tuy nhiên, cần cải thiện trong việc thông báo rõ ràng hơn về cách sử dụng nguồn thu</t>
  </si>
  <si>
    <t>Nhà nước đã giải thích rõ mục tiêu của chính sách mới, tuy nhiên, vẫn cần cung cấp thêm thông tin chi tiết về quy trình thực hiện.</t>
  </si>
  <si>
    <t>Tôi ủng hộ và tuân thủ chính sách mới do nó giảm gánh nặng thuế và đơn giản hóa quy trình. Tuy nhiên, tôi hy vọng sẽ có cải thiện thêm về thông tin minh bạch.</t>
  </si>
  <si>
    <t>Hiện nay, cơ quan thuế có nhiều công cụ và hệ thống để phát hiện hành vi gian lận hoặc trốn thuế. Với mức thu nhập của mình, việc bị phát hiện là khá khó khăn nhưng không hoàn toàn không thể.</t>
  </si>
  <si>
    <t>Nhà nước đã đầu tư mạnh vào công nghệ và nhân lực để cải thiện khả năng quản lý thuế, tuy nhiên hiệu quả thực tế còn phụ thuộc nhiều vào việc triển khai.</t>
  </si>
  <si>
    <t>So với trước đây, quy trình khai báo thuế trở nên đơn giản hơn nhờ giảm số bậc thuế và mức độ phức tạp. Việc này giúp tôi tiết kiệm thời gian hơn khi làm việc với cơ quan thuế.</t>
  </si>
  <si>
    <t>Số bậc thuế giảm đi từ 7 xuống 5, đồng nghĩa với việc tính toán thuế trở nên dễ dàng và rõ ràng hơn. Điều này giúp tôi nắm bắt được chính xác mức thuế phải đóng.</t>
  </si>
  <si>
    <t>Tôi tin rằng cơ quan thuế sẽ thực thi chính sách một cách khách quan, công bằng vì đã có sự thay đổi rõ ràng về mức thuế. Tuy nhiên, tôi vẫn lo ngại về khả năng quản lý và triển khai.</t>
  </si>
  <si>
    <t>Theo phương án mới, mức thuế của tôi giảm đáng kể so với trước đây, điều này cho thấy sự công bằng trong việc áp dụng chính sách. Tuy nhiên, vẫn có những lo ngại về việc tính toán và quản lý.</t>
  </si>
  <si>
    <t>Tôi tin rằng số tiền thuế tôi đóng sẽ được sử dụng hiệu quả để cải thiện dịch vụ công, nhưng mức độ cụ thể không rõ ràng. Việc giảm trừ gia cảnh tăng lên cũng góp phần làm tăng niềm tin.</t>
  </si>
  <si>
    <t>Nhà nước đã giải thích khá rõ về mục tiêu của việc sửa đổi thuế lần này, tuy nhiên vẫn có những lo ngại về khả năng thực thi và hiệu quả sử dụng tiền thuế.</t>
  </si>
  <si>
    <t>Sau khi xem xét các quyền lợi và nghĩa vụ mới, tôi ủng hộ và tuân thủ chính sách mới vì nó mang lại nhiều lợi ích cho người dân như giảm trừ gia cảnh tăng lên và đơn giản hóa quy trình tính thuế.</t>
  </si>
  <si>
    <t>Thuế đã được đơn giản hóa và mức giảm trừ gia cảnh cao, nên việc phát hiện trốn thuế khó hơn. Cơ quan thuế có công nghệ hiện đại nhưng vẫn cần sự phối hợp của người dân.</t>
  </si>
  <si>
    <t>Cơ quan thuế có khả năng và công nghệ để giám sát tốt, tuy nhiên mức giảm trừ gia cảnh cao làm cho việc phát hiện trốn thuế khó khăn hơn.</t>
  </si>
  <si>
    <t>Quy trình khai báo thuế trở nên đơn giản hơn với mức giảm trừ gia cảnh cao và số bậc thuế ít đi, giúp việc quản lý thuế dễ dàng hơn.</t>
  </si>
  <si>
    <t>Các bậc thuế rõ ràng hơn, dễ hiểu và thực hiện thuận tiện hơn so với trước đây, mặc dù mức giảm trừ gia cảnh cao nhưng vẫn có thể gây phức tạp trong việc tính toán.</t>
  </si>
  <si>
    <t>Nhà nước đã cải cách thuế một cách công bằng cho mọi người dân và tôi tin rằng họ sẽ thực thi chính sách này khách quan, công tâm.</t>
  </si>
  <si>
    <t>Mức giảm trừ gia cảnh cao giúp tôi không phải đóng thuế, do đó cảm thấy mức thuế hiện tại là hợp lý cho thu nhập của mình.</t>
  </si>
  <si>
    <t>Thuế mà tôi đóng sẽ được sử dụng hiệu quả để cải thiện dịch vụ công như y tế và hạ tầng cơ sở, tạo niềm tin về sự công bằng trong việc sử dụng nguồn lực thuế.</t>
  </si>
  <si>
    <t>Nhà nước đã giải thích rõ ràng mục tiêu của việc cải cách thuế này thông qua các kênh truyền thông chính thức.</t>
  </si>
  <si>
    <t>Tôi ủng hộ và tuân thủ chính sách mới vì nó giúp tôi tiết kiệm được chi phí thuế mà vẫn góp phần vào công cuộc phát triển đất nước.</t>
  </si>
  <si>
    <t>Như một công dân bình thường, tôi không có nhiều thông tin về hệ thống quản lý thuế hiện tại nên không thể đánh giá cao về khả năng phát hiện hành vi gian lận hoặc trốn thuế.</t>
  </si>
  <si>
    <t>Tuy nhiên, việc Nhà nước và cơ quan thuế có công nghệ tiên tiến để hỗ trợ quản lý thuế là điều rất quan trọng. Tôi hy vọng rằng các nguồn lực đã được đầu tư đúng mức để tăng cường khả năng này.</t>
  </si>
  <si>
    <t>So với trước đây, quy trình khai báo và làm việc với cơ quan thuế đã đơn giản hóa đáng kể. Tôi thấy rất tiện lợi khi sử dụng phần mềm điện tử để khai báo.</t>
  </si>
  <si>
    <t>Biểu thuế mới có ít bậc hơn, dễ hiểu và thực hiện thuận tiện hơn. Điều này giúp tôi dễ dàng quản lý thu nhập và thuế của mình.</t>
  </si>
  <si>
    <t>Tôi tin rằng Nhà nước sẽ thực thi chính sách một cách công bằng đối với mọi người nộp thuế. Tuy nhiên, để tăng niềm tin, cần có thêm thông tin về quy trình quản lý và xử lý hành vi gian lận.</t>
  </si>
  <si>
    <t>Mức thuế mới theo phương án mới phù hợp với thu nhập của tôi. Tôi thấy rằng mức giảm trừ gia cảnh được tăng lên giúp tôi tiết kiệm được một số tiền đáng kể.</t>
  </si>
  <si>
    <t>Tôi tin rằng số tiền thuế đóng sẽ được sử dụng hiệu quả để cải thiện các dịch vụ công, nhưng cần có thêm thông tin về cách thức sử dụng nguồn thu từ thuế.</t>
  </si>
  <si>
    <t>Nhà nước đã giải thích rõ ràng về mục tiêu và lý do của việc sửa đổi thuế lần này. Tuy nhiên, tôi mong muốn thấy thêm chi tiết về quy trình thực hiện chính sách mới.</t>
  </si>
  <si>
    <t>Chính sách mới giúp giảm gánh nặng tài chính cho tôi và gia đình, đồng thời đơn giản hóa quy trình khai báo thuế. Tôi ủng hộ việc này và sẽ tuân thủ.</t>
  </si>
  <si>
    <t>Việc tăng giảm trừ gia cảnh và đơn giản hóa biểu thuế có thể làm giảm khả năng phát hiện hành vi gian lận hoặc trốn thuế, nhưng vẫn tin tưởng hệ thống quản lý thuế sẽ xử lý nghiêm minh.</t>
  </si>
  <si>
    <t>Cơ quan thuế đã cải thiện công nghệ và quy định để giám sát hiệu quả hơn, tuy nhiên, việc thực thi cần dựa trên khả năng của nhân viên và hệ thống hiện có.</t>
  </si>
  <si>
    <t>Quy trình khai báo và làm việc với cơ quan thuế đã đơn giản hóa so với trước đây. Tuy nhiên, vẫn cần thêm thời gian để người dân quen thuộc với quy trình mới.</t>
  </si>
  <si>
    <t>Biểu thuế rõ ràng hơn, dễ hiểu và dễ thực hiện hơn, giúp giảm bớt sự phức tạp cho người nộp thuế. Việc đơn giản hóa cũng tăng độ tin cậy vào hệ thống.</t>
  </si>
  <si>
    <t>Nhà nước đã cải thiện quy định để giảm gánh nặng thuế và tăng tính công bằng, tạo niềm tin rằng mọi người đều được đối xử công bằng</t>
  </si>
  <si>
    <t>Mức thuế mới phù hợp với thu nhập của tôi. Điều này thể hiện tính công bằng trong việc phân bổ gánh nặng thuế</t>
  </si>
  <si>
    <t>Số tiền thuế tôi đóng sẽ được sử dụng hiệu quả cho lợi ích cộng đồng, từ đó tăng niềm tin vào hệ thống</t>
  </si>
  <si>
    <t>Nhà nước đã giải thích công khai về mục tiêu cải cách thuế. Tuy nhiên, cần thêm thông tin và minh bạch hơn để tạo thêm sự tin tưởng</t>
  </si>
  <si>
    <t>Dù còn một số nghi ngờ, nhưng tôi ủng hộ chính sách mới do nó mang lại lợi ích đáng kể về mặt tài chính và tính công bằng.</t>
  </si>
  <si>
    <t>Tăng mức giảm trừ gia cảnh và đơn giản hóa biểu thuế có thể làm tăng khó khăn trong việc phát hiện hành vi gian lận hoặc trốn thuế.</t>
  </si>
  <si>
    <t>Cơ quan thuế có công nghệ hiện đại nên khả năng phát hiện các hành vi trốn thuế được cải thiện.</t>
  </si>
  <si>
    <t>Thủ tục khai báo thuế đơn giản hơn, nhưng việc phải tính toán nhiều bậc thuế vẫn tốn thời gian.</t>
  </si>
  <si>
    <t>Biểu thuế mới đơn giản hơn so với trước đây, dễ thực hiện và hiểu rõ hơn.</t>
  </si>
  <si>
    <t>Trách nhiệm công bằng giữa người nộp thuế có thể không hoàn toàn công bằng do mức thuế giảm trừ gia cảnh tăng.</t>
  </si>
  <si>
    <t>Mức thuế mới giảm, làm cho tôi cảm thấy công bằng hơn so với trước đây.</t>
  </si>
  <si>
    <t>Thuế được sử dụng để cải thiện dịch vụ công, nhưng mức độ hiệu quả còn phụ thuộc vào quản lý ngân sách của chính phủ.</t>
  </si>
  <si>
    <t>Nhà nước đã giải thích rõ ràng về mục tiêu và lý do sửa đổi thuế, tăng niềm tin vào quyết định này.</t>
  </si>
  <si>
    <t>Sau khi xem xét các quyền lợi và nghĩa vụ, tôi ủng hộ chính sách mới vì nó có lợi cho tôi và gia đình.</t>
  </si>
  <si>
    <t>Tăng cường quản lý thuế có thể phát hiện gian lận trốn thuế, nhưng vẫn cần sự nỗ lực từ phía nhà nước để đảm bảo hiệu quả.</t>
  </si>
  <si>
    <t>Cơ sở hạ tầng công nghệ thông tin của cơ quan thuế đã khá phát triển, nhưng việc áp dụng rộng rãi vào quản lý thuế cá nhân vẫn còn hạn chế.</t>
  </si>
  <si>
    <t>Quy trình làm việc với cơ quan thuế đơn giản hơn trước, tốn ít thời gian hơn.</t>
  </si>
  <si>
    <t>Biểu thuế mới đơn giản hơn và dễ hiểu hơn, giảm bớt sự phức tạp đối với người dân.</t>
  </si>
  <si>
    <t>Phương án mới công bằng hơn về mặt giảm trừ gia cảnh và số bậc thuế, tạo ra sự tin tưởng giữa nhà nước và người nộp thuế.</t>
  </si>
  <si>
    <t>Mức thuế mới phù hợp với thu nhập của tôi, thể hiện tính công bằng trong việc phân chia gánh nặng thuế</t>
  </si>
  <si>
    <t>Tiết kiệm được nhiều tiền thuế giúp cải thiện dịch vụ công hiệu quả hơn, tạo niềm tin vào sử dụng nguồn lực một cách minh bạch.</t>
  </si>
  <si>
    <t>Nhà nước đã giải thích rõ ràng về mục tiêu và lý do của việc sửa đổi luật thuế, tạo ra sự tin tưởng</t>
  </si>
  <si>
    <t>Sau khi xem xét các quyền lợi và nghĩa vụ, tôi ủng hộ và tuân thủ chính sách mới vì nó mang lại nhiều lợi ích cho cá nhân.</t>
  </si>
  <si>
    <t>Hiện nay, cơ quan thuế có nhiều công cụ để phát hiện gian lận hoặc trốn thuế do tăng mức giảm trừ gia cảnh và đơn giản hóa biểu thuế.</t>
  </si>
  <si>
    <t>Công nghệ thông tin đã phát triển mạnh mẽ, giúp cơ quan thuế có khả năng kiểm soát hiệu quả hơn.</t>
  </si>
  <si>
    <t>Thủ tục khai báo thuế và quy trình làm việc với cơ quan thuế trở nên đơn giản hơn do mức giảm trừ gia cảnh cao, chỉ còn 5 bậc thuế.</t>
  </si>
  <si>
    <t>Bậc thuế ít đi giúp tính toán dễ dàng, phù hợp với người dân như tôi không cần phải lo lắng về nhiều chi tiết phức tạp.</t>
  </si>
  <si>
    <t>Tôi tin rằng các cơ quan quản lý sẽ công tâm và khách quan trong việc thực thi chính sách mới.</t>
  </si>
  <si>
    <t>Với mức giảm trừ gia cảnh cao, tôi thấy mình không phải đóng thuế nên cảm thấy công bằng</t>
  </si>
  <si>
    <t>Thuế được sử dụng để cải thiện cơ sở hạ tầng và dịch vụ công, điều này tăng niềm tin của tôi vào chính phủ.</t>
  </si>
  <si>
    <t>Nhà nước đã giải thích rõ ràng về mục tiêu và lý do thay đổi thuế, khiến tôi cảm thấy họ minh bạch</t>
  </si>
  <si>
    <t>Tôi ủng hộ chính sách mới vì nó giúp giảm gánh nặng tài chính cho người dân như tôi.</t>
  </si>
  <si>
    <t>Hiện nay, cơ quan thuế có hệ thống công nghệ thông tin phát triển, nên hành vi gian lận hay trốn thuế sẽ dễ bị phát hiện. Tuy nhiên, vẫn cần tăng cường quản lý và xử lý nghiêm minh hơn để ngăn chặn triệt để.</t>
  </si>
  <si>
    <t>Nhà nước đã đầu tư công nghệ vào hệ thống quản lý thuế, do đó khả năng phát hiện và xử lý các hành vi trốn thuế của cơ quan thuế được cải thiện đáng kể.</t>
  </si>
  <si>
    <t>Các quy trình khai báo thuế đã đơn giản hơn so với trước đây, nhưng vẫn cần thêm thời gian để người dân thích nghi và nắm bắt các thay đổi mới.</t>
  </si>
  <si>
    <t>Biểu thuế mới có ít bậc hơn nên dễ hiểu và thực hiện đơn giản hơn. Việc tăng mức giảm trừ gia cảnh giúp việc tính thuế trở nên thuận tiện hơn cho người dân.</t>
  </si>
  <si>
    <t>Tôi tin rằng cơ quan thuế sẽ thực thi chính sách một cách công bằng, nhưng vẫn cần thêm thông tin cụ thể về cách thức thực hiện để tăng sự tin tưởng.</t>
  </si>
  <si>
    <t>Mức thuế mới theo phương án mới giúp tôi tiết kiệm được tiền và giảm gánh nặng tài chính. Điều này cho thấy mức thuế là công bằng đối với thu nhập của tôi.</t>
  </si>
  <si>
    <t>Tiền thuế đóng góp vào các dịch vụ công, cải thiện hạ tầng và chất lượng cuộc sống. Việc này tăng niềm tin rằng tiền thuế được sử dụng hiệu quả.</t>
  </si>
  <si>
    <t>Nhà nước đã giải thích rõ ràng về mục tiêu của việc sửa đổi thuế lần này, giúp tôi hiểu hơn về lợi ích mà chính sách mang lại cho người dân.</t>
  </si>
  <si>
    <t>Đối với tôi, chính sách mới có nhiều ưu điểm về mặt thuận tiện và tiết kiệm chi phí. Tôi sẽ tuân thủ và ủng hộ chính sách này.</t>
  </si>
  <si>
    <t xml:space="preserve">Dù không hoàn toàn tin tưởng 100%, nhưng với sự phát triển của công nghệ và các biện pháp quản lý thuế hiện đại, tôi cho rằng hành vi gian lận sẽ bị phát hiện. </t>
  </si>
  <si>
    <t>Cơ quan thuế có nhiều nguồn lực để giám sát và xử lý các vấn đề về trốn thuế thông qua công nghệ cao như AI, blockchain và hệ thống quản lý thuế điện tử.</t>
  </si>
  <si>
    <t>Quy trình khai báo và làm việc với cơ quan thuế trở nên đơn giản hơn. Tuy nhiên, vẫn có một số bước cần thực hiện cẩn thận để không bị sai sót.</t>
  </si>
  <si>
    <t>Biểu thuế mới đơn giản hóa các bậc và cách tính thuế, dễ dàng hiểu và áp dụng hơn so với trước đây.</t>
  </si>
  <si>
    <t>Tôi tin rằng cơ quan thuế sẽ công bằng trong việc thực thi chính sách. Sự minh bạch về thuế thu nhập cá nhân mới cũng giúp tăng niềm tin.</t>
  </si>
  <si>
    <t>Thuế tôi phải đóng thấp hơn so với trước đây, do đó cảm thấy mức thuế là công bằng và hợp lý đối với thu nhập của mình.</t>
  </si>
  <si>
    <t>Nhìn chung, số tiền thuế tôi đóng sẽ được sử dụng hiệu quả để cải thiện các dịch vụ công, đặc biệt trong lĩnh vực y tế và giao thông.</t>
  </si>
  <si>
    <t>Phương án mới đã có những giải thích rõ ràng về mục tiêu và lý do của việc sửa đổi thuế, giúp tôi hiểu rõ hơn về chính sách mới.</t>
  </si>
  <si>
    <t>Sau khi xem xét các ưu điểm như sự đơn giản hóa quy trình khai báo, giảm trừ gia cảnh lớn hơn và mức thuế công bằng hơn, tôi ủng hộ và tuân thủ chính sách mới.</t>
  </si>
  <si>
    <t>Trong thực tế, hệ thống quản lý thuế hiện nay chưa hoàn toàn phát huy được hiệu quả cao nhất. Tuy nhiên, với sự hỗ trợ công nghệ từ Nhà nước và cơ quan thuế, khả năng phát hiện hành vi gian lận hoặc trốn thuế có thể tăng lên.</t>
  </si>
  <si>
    <t>Nhà nước đã đầu tư mạnh vào hệ thống công nghệ thông tin của cơ quan thuế. Điều này cho thấy họ có khả năng phát hiện và xử lý nghiêm các hành vi trốn thuế.</t>
  </si>
  <si>
    <t>So với trước đây, quy trình khai báo thuế và làm việc với cơ quan thuế đã đơn giản hơn. Việc tăng mức giảm trừ gia cảnh cũng giúp quá trình tính thuế trở nên dễ dàng hơn đối với người dân.</t>
  </si>
  <si>
    <t>Biểu thuế mới có số bậc ít đi và rõ ràng hơn, khiến việc tính toán thuế trở nên đơn giản. Điều này giúp người nộp thuế hiểu rõ hơn về cách thức đóng thuế của mình.</t>
  </si>
  <si>
    <t>Tôi tin rằng Nhà nước sẽ thực thi chính sách một cách công tâm và khách quan, nhưng còn phụ thuộc vào việc họ có thực hiện giám sát hiệu quả hay không.</t>
  </si>
  <si>
    <t>Với mức thuế mới giảm đi, tôi cảm thấy mình đóng đúng mức phù hợp với thu nhập của mình. Điều này làm tăng niềm tin về tính công bằng trong việc đánh thuế.</t>
  </si>
  <si>
    <t>Nhà nước đã sử dụng số tiền thuế doanh nghiệp và cá nhân để cải thiện các dịch vụ công, điều này góp phần vào sự tin tưởng của tôi.</t>
  </si>
  <si>
    <t>Tôi đồng ý với việc Nhà nước giải thích rõ ràng về mục tiêu và lý do của việc sửa đổi thuế. Điều này làm tăng tính minh bạch và niềm tin từ người dân.</t>
  </si>
  <si>
    <t>Sau khi xem xét, tôi ủng hộ chính sách mới vì nó giúp giảm gánh nặng tài chính cho người dân như tôi, đồng thời đơn giản hóa quy trình nộp thuế.</t>
  </si>
  <si>
    <t>Dù tôi không tin rằng hành vi gian lận sẽ dễ bị phát hiện, nhưng với mức giảm trừ gia cảnh cao hơn trước, tôi thấy mình ít có động cơ để trốn thuế.</t>
  </si>
  <si>
    <t>Cơ quan thuế hiện nay đã áp dụng công nghệ tiên tiến vào quản lý thuế, nên khả năng phát hiện hành vi gian lận là rất cao.</t>
  </si>
  <si>
    <t>Quy trình khai báo và làm việc với cơ quan thuế đơn giản hơn trước, nhưng vẫn cần cải thiện nhiều hơn nữa.</t>
  </si>
  <si>
    <t>Bậc thuế mới đã giảm đi từ 7 xuống còn 5 bậc, giúp tính toán thuế dễ dàng hơn, nhưng mức thuế suất cao vẫn khiến người dân như tôi lo lắng.</t>
  </si>
  <si>
    <t>Tôi tin rằng nhà nước sẽ thực thi chính sách một cách công bằng, nhưng việc giải thích về mục tiêu của việc sửa đổi thuế chưa rõ ràng.</t>
  </si>
  <si>
    <t>Với mức thuế suất cao và giảm trừ gia cảnh lớn, tôi thấy mức thuế mình phải đóng là hợp lý đối với thu nhập hiện tại.</t>
  </si>
  <si>
    <t>Nhà nước đã sử dụng số tiền thuế một phần vào các dịch vụ công nhưng vẫn cần minh bạch hơn về cách sử dụng</t>
  </si>
  <si>
    <t>Đã có nhiều thông tin giải thích về chính sách mới, nhưng tôi mong muốn có thêm sự minh bạch từ nhà nước.</t>
  </si>
  <si>
    <t>Tổng thể, tôi ủng hộ chính sách mới vì nó giảm gánh nặng thuế cho người dân và đơn giản hóa quy trình khai báo thuế.</t>
  </si>
  <si>
    <t>Việc tăng cường quản lý thuế và công nghệ hiện đại giúp phát hiện hành vi gian lận hoặc trốn thuế hiệu quả, nhưng thực tế cần thời gian để áp dụng rộng rãi.</t>
  </si>
  <si>
    <t>Nhà nước có đủ khả năng và công nghệ để xử lý các trường hợp trốn thuế nghiêm túc, do đó tin tưởng vào việc thực thi pháp luật.</t>
  </si>
  <si>
    <t>Thủ tục khai báo thuế đơn giản hơn so với trước đây, nhưng vẫn cần thời gian để nhân viên thuế và người dân quen thuộc.</t>
  </si>
  <si>
    <t>Cách tính thuế mới rõ ràng và dễ hiểu hơn, giảm bớt sự phức tạp cho người nộp thuế.</t>
  </si>
  <si>
    <t>Tin tưởng vào việc thực thi chính sách công bằng và khách quan của Nhà nước, đặc biệt là sau khi có cải cách.</t>
  </si>
  <si>
    <t>Thuế mới được giảm đáng kể so với trước đây, cảm thấy mức thuế hiện tại là hợp lý</t>
  </si>
  <si>
    <t>Hiểu rằng số tiền thuế đóng sẽ được sử dụng hiệu quả để cải thiện dịch vụ công, tạo niềm tin vào việc sử dụng nguồn lực.</t>
  </si>
  <si>
    <t>Nhà nước đã giải thích rõ ràng về mục tiêu và lý do của chính sách mới, tăng sự minh bạch</t>
  </si>
  <si>
    <t>Hoàn toàn đồng ý với chính sách mới, sẽ tuân thủ và ủng hộ vì có lợi ích tài chính và giảm sự phức tạp.</t>
  </si>
  <si>
    <t>Dù không hoàn toàn chắc chắn, nhưng với việc tăng giảm trừ gia cảnh và đơn giản hóa biểu thuế, hành vi gian lận sẽ khó hơn. Cơ quan thuế cũng có công nghệ hiện đại.</t>
  </si>
  <si>
    <t>Nhà nước đã đầu tư vào hệ thống công nghệ thông tin để phát hiện trốn thuế. Tuy nhiên, vẫn còn khả năng sơ hở trong quản lý.</t>
  </si>
  <si>
    <t>Quy trình khai báo thuế và làm việc với cơ quan thuế trở nên đơn giản hơn nhiều so với trước đây. Việc sử dụng ứng dụng điện tử giúp quá trình thuận tiện hơn.</t>
  </si>
  <si>
    <t>Biểu thuế được đơn giản hóa từ 7 bậc xuống 5, dễ hiểu và thực hiện nhanh chóng hơn nhiều. Mức giảm trừ gia cảnh cao hơn cũng giúp tính toán thuận lợi.</t>
  </si>
  <si>
    <t>Tôi tin rằng Nhà nước sẽ công tâm trong việc thực thi chính sách mới, nhưng vẫn cần thêm thời gian để kiểm chứng.</t>
  </si>
  <si>
    <t>Mức thuế mới được giảm đi đáng kể so với trước đây. Người có thu nhập như tôi đóng mức này là hợp lý và công bằng.</t>
  </si>
  <si>
    <t>Thuế được sử dụng cho các dịch vụ công, tuy nhiên vẫn cần thêm thông tin về cách sử dụng để tăng niềm tin.</t>
  </si>
  <si>
    <t>Nhà nước đã giải thích rõ ràng về mục tiêu và lý do của việc sửa đổi thuế. Tuy nhiên, tôi mong muốn có thêm thông tin chi tiết hơn</t>
  </si>
  <si>
    <t>Tôi ủng hộ chính sách mới vì nó giúp giảm gánh nặng tài chính và mang lại lợi ích cho người dân.</t>
  </si>
  <si>
    <t>Hiện nay, công nghệ giám sát thuế ngày càng phát triển, tuy nhiên vẫn cần có sự phối hợp chặt chẽ giữa người dân và cơ quan thuế để phát hiện trốn thuế. Cải cách này không hoàn toàn ngăn chặn hành vi gian lận.</t>
  </si>
  <si>
    <t>Cơ quan thuế đã đầu tư nhiều vào công nghệ, tuy nhiên hiệu quả thực tế cần thời gian để đánh giá. Việc tăng mức giảm trừ gia cảnh giúp giảm cơ hội trốn thuế thông qua việc khai báo sai.</t>
  </si>
  <si>
    <t>Quy trình làm việc với cơ quan thuế đã đơn giản hơn, đặc biệt là việc tính toán và nộp thuế trở nên dễ dàng. Tuy nhiên, quy trình này vẫn cần cải thiện thêm để tránh tình trạng rườm rà.</t>
  </si>
  <si>
    <t>Biểu thuế mới đã giảm số bậc từ 7 xuống còn 5, khiến việc tính toán và nộp thuế trở nên dễ dàng hơn. Điều này giúp người dân hiểu rõ hơn về các mức thuế mình cần đóng.</t>
  </si>
  <si>
    <t>Nhà nước đang cố gắng thực thi chính sách một cách công bằng, tuy nhiên vẫn có sự lo ngại về việc xử lý trốn thuế. Mức giảm trừ gia cảnh tăng lên cho thấy sự quan tâm của Nhà nước đối với người dân.</t>
  </si>
  <si>
    <t>Thuế mới được tính dựa trên thu nhập thực tế, giúp đảm bảo công bằng hơn so với trước đây. Mức thuế giảm đáng kể sau cải cách cho thấy sự ưu đãi cho người dân có thu nhập trung bình.</t>
  </si>
  <si>
    <t>Thuế được sử dụng để đầu tư vào các dịch vụ công, giúp nâng cao chất lượng cuộc sống của người dân. Tuy nhiên, việc minh bạch về cách sử dụng nguồn thu thuế vẫn còn cần cải thiện.</t>
  </si>
  <si>
    <t>Nhà nước đã giải thích rõ ràng về mục tiêu và lý do của việc cải cách thuế. Thông tin này giúp người dân hiểu được tầm quan trọng của chính sách mới.</t>
  </si>
  <si>
    <t>Cải cách thuế đã mang lại lợi ích đáng kể cho tôi, với mức giảm trừ gia cảnh tăng lên và số bậc thuế đơn giản hơn. Tôi ủng hộ chính sách này và sẽ tuân thủ.</t>
  </si>
  <si>
    <t>Dựa trên quy định quản lý thuế hiện tại, các biện pháp giám sát và xử phạt vi phạm được công khai, có thể phát hiện hành vi gian lận hoặc trốn thuế dễ dàng. Điều này tạo niềm tin cho người dân về tính minh bạch của hệ thống.</t>
  </si>
  <si>
    <t>Nhà nước đã đầu tư công nghệ và nhân lực để phát triển hệ thống quản lý thuế hiện đại, tăng cường khả năng giám sát và xử lý vi phạm. Điều này giúp đảm bảo thực thi pháp luật một cách công bằng.</t>
  </si>
  <si>
    <t>Quy trình khai báo thuế và làm việc với cơ quan thuế trở nên đơn giản hơn, giảm thời gian chờ đợi và thủ tục phức tạp. Điều này giúp người dân dễ dàng thực hiện nghĩa vụ của mình.</t>
  </si>
  <si>
    <t>Biểu thuế mới có số bậc ít hơn và giới hạn thu nhập rõ ràng hơn, giúp tính toán thuế đơn giản hóa. Người dân không còn cảm thấy bị áp lực bởi sự phức tạp của hệ thống cũ.</t>
  </si>
  <si>
    <t>Nhà nước đã cải cách chính sách một cách công bằng và minh bạch, đảm bảo rằng mọi người nộp thuế đều được đối xử bình đẳng. Điều này tăng niềm tin vào tính khách quan của nhà nước.</t>
  </si>
  <si>
    <t>Mức thuế mới phù hợp với thu nhập hiện tại của tôi và có sự giảm trừ gia cảnh cao hơn, giúp tôi cảm thấy rằng mức thuế đóng là công bằng.</t>
  </si>
  <si>
    <t>Thuế tôi đóng sẽ được sử dụng hiệu quả để cải thiện các dịch vụ công. Điều này tạo niềm tin cho việc đầu tư vào tương lai của đất nước và chất lượng cuộc sống.</t>
  </si>
  <si>
    <t>Nhà nước đã giải thích rõ ràng về mục tiêu và lý do của việc cải cách thuế, giúp tôi hiểu được tầm quan trọng của chính sách mới đối với sự phát triển kinh tế-xã hội.</t>
  </si>
  <si>
    <t>Sau khi xem xét các quyền lợi và nghĩa vụ, tôi ủng hộ và tuân thủ chính sách mới vì nó đơn giản hơn và công bằng hơn. Nó giúp giảm áp lực tài chính cho người dân.</t>
  </si>
  <si>
    <t>Hiện nay, cơ quan thuế có nhiều công cụ và quy định quản lý mạnh mẽ hơn để phát hiện hành vi gian lận hoặc trốn thuế. Điều này tăng cường niềm tin rằng hành vi không tuân thủ sẽ bị xử lý nghiêm.</t>
  </si>
  <si>
    <t>Nhà nước đã đầu tư công nghệ và nguồn lực để nâng cao hiệu quả quản lý, do đó khả năng phát hiện và xử lý gian lận thuế được cải thiện đáng kể so với trước đây.</t>
  </si>
  <si>
    <t>Quy trình khai báo thuế và làm việc với cơ quan thuế trở nên đơn giản hơn, đặc biệt là sau khi rút gọn các bậc thuế. Điều này giúp quá trình thực hiện thuận tiện hơn cho người dân.</t>
  </si>
  <si>
    <t>Biểu thuế mới có số bậc ít đi và mức giảm trừ gia cảnh tăng lên, do đó việc tính toán và nộp thuế trở nên dễ dàng và nhanh chóng hơn so với trước đây.</t>
  </si>
  <si>
    <t>Mức thuế theo phương án mới công bằng đối với thu nhập của tôi. Việc cải cách này thể hiện sự công tâm trong việc áp dụng chính sách thuế cho người dân.</t>
  </si>
  <si>
    <t>Thuế mà tôi phải đóng là hợp lý và phù hợp với mức thu nhập của mình. Điều này chứng tỏ rằng cơ quan thuế đã tính toán một cách công bằng.</t>
  </si>
  <si>
    <t>Tài nguyên thuế được sử dụng hiệu quả để cải thiện dịch vụ công, như y tế và giao thông, do đó tôi tin tưởng số tiền thuế của mình đóng sẽ được sử dụng đúng mục đích.</t>
  </si>
  <si>
    <t>Nhà nước đã cung cấp thông tin rõ ràng về lý do và mục tiêu của việc cải cách thuế này. Điều này giúp tăng sự minh bạch và tạo niềm tin đối với người dân.</t>
  </si>
  <si>
    <t>Đây là một chính sách có lợi cho tôi, giảm gánh nặng về thuế và đơn giản hóa quy trình làm việc với cơ quan thuế. Tôi ủng hộ và tuân thủ chính sách mới này.</t>
  </si>
  <si>
    <t>Dựa trên mức thuế giảm và quy định rõ ràng, tôi tin rằng hành vi gian lận sẽ dễ bị phát hiện hơn.</t>
  </si>
  <si>
    <t>Công nghệ ngày càng tiên tiến giúp cơ quan thuế có thể theo dõi hiệu quả hơn.</t>
  </si>
  <si>
    <t>Quy trình trở nên đơn giản với mức giảm trừ gia cảnh cao hơn, dễ thực hiện hơn.</t>
  </si>
  <si>
    <t>Số bậc thuế ít đi và rõ ràng hơn giúp tôi tính toán nhanh chóng và chính xác.</t>
  </si>
  <si>
    <t>Nhà nước đã cải tiến để giảm gánh nặng cho người dân, thể hiện sự công bằng trong việc phân bổ thu nhập</t>
  </si>
  <si>
    <t>Thuế ít hơn và cách tính thuế đơn giản giúp tôi thấy mức đóng hợp lý.</t>
  </si>
  <si>
    <t>Người dân sẽ được hưởng lợi từ việc cải thiện hạ tầng công cộng</t>
  </si>
  <si>
    <t>Nhà nước đã giải thích rõ ràng về mục tiêu và quy định mới</t>
  </si>
  <si>
    <t>Sau khi tính toán, tôi thấy chính sách mới mang lại lợi ích cho người dân, do đó tôi ủng hộ.</t>
  </si>
  <si>
    <t>Nếu cơ quan thuế có công nghệ và khả năng phát hiện gian lận, trốn thuế tốt hơn thì việc thực thi sẽ hiệu quả. Tuy nhiên, tôi vẫn nghi ngờ về thực tế quản lý thuế</t>
  </si>
  <si>
    <t>Tăng mức giảm trừ gia cảnh và đơn giản hóa biểu thuế có thể giúp phát hiện trốn thuế trở nên khó khăn hơn</t>
  </si>
  <si>
    <t>Quy trình khai báo thuế dễ dàng hơn, nhưng vẫn gặp rắc rối khi phải làm nhiều giấy tờ</t>
  </si>
  <si>
    <t>Biểu thuế đơn giản hóa và giảm trừ gia cảnh tăng giúp việc tính thuế trở nên dễ hiểu hơn</t>
  </si>
  <si>
    <t>Tôi tin rằng Nhà nước sẽ thực thi chính sách công bằng, nhưng vẫn lo ngại về khả năng thực hiện</t>
  </si>
  <si>
    <t>Mức thuế mới phù hợp với thu nhập của tôi và giảm trừ gia cảnh tăng làm cho mức thuế trở nên công bằng hơn</t>
  </si>
  <si>
    <t>Nhà nước đã giải thích rõ ràng về mục tiêu và lý do của việc sửa đổi thuế, làm tăng niềm tin vào chính sách mới</t>
  </si>
  <si>
    <t>Tác động tài chính tích cực từ chính sách mới khiến tôi ủng hộ và tuân thủ</t>
  </si>
  <si>
    <t>Việc tăng mức giảm trừ gia cảnh và đơn giản hóa biểu thuế có thể làm giảm động lực cho các hành vi trốn thuế, nhưng không phải tất cả đều dễ dàng phát hiện. Tuy nhiên, công nghệ ngày càng phát triển nên việc phát hiện gian lận cũng trở nên thuận lợi hơn.</t>
  </si>
  <si>
    <t>Cơ quan thuế có thể sử dụng công nghệ để giám sát và xử lý các hành vi trốn thuế, nhưng hiệu quả thực tế còn phụ thuộc vào nguồn lực và chính sách quản lý của họ.</t>
  </si>
  <si>
    <t>Thủ tục khai báo thuế trở nên đơn giản hơn với mức giảm trừ gia cảnh mới và số bậc thuế giảm. Điều này giúp việc làm thủ tục thuận lợi, nhanh chóng hơn so với trước đây.</t>
  </si>
  <si>
    <t>Biểu thuế mới đơn giản hóa các bước tính toán, dễ hiểu và thực hiện hơn. Việc giảm số bậc thuế cũng khiến quá trình tính thuế trở nên dễ dàng hơn.</t>
  </si>
  <si>
    <t>Tôi tin rằng Nhà nước sẽ thực thi chính sách một cách khách quan và công bằng, nhưng vẫn cần sự minh bạch trong việc sử dụng ngân sách thu từ thuế để cải thiện dịch vụ công.</t>
  </si>
  <si>
    <t>Mức thuế mới giảm so với trước đây giúp tôi cảm thấy mức đóng góp của mình là hợp lý. Tuy nhiên, tôi vẫn mong muốn sự minh bạch hơn trong việc sử dụng nguồn thu từ thuế.</t>
  </si>
  <si>
    <t>Tôi tin rằng số tiền thuế đóng sẽ được sử dụng hiệu quả để cải thiện dịch vụ công và hạ tầng cơ sở. Tuy nhiên, tôi vẫn mong muốn có thêm thông tin về cách thức sử dụng nguồn thu từ thuế.</t>
  </si>
  <si>
    <t>Nhà nước đã giải thích rõ ràng về mục tiêu của việc sửa đổi thuế lần này, nhưng vẫn cần minh bạch hơn trong quá trình thực thi và sử dụng nguồn thu từ thuế.</t>
  </si>
  <si>
    <t>Sau khi xem xét các quyền lợi và nghĩa vụ, tôi ủng hộ chính sách mới vì mức thuế giảm so với trước đây giúp tiết kiệm tiền. Tuy nhiên, việc minh bạch hơn về cách sử dụng nguồn thu từ thuế sẽ làm tăng niềm tin của tôi.</t>
  </si>
  <si>
    <t>Điều kiện thực thi thuế hiện nay có sự giám sát chặt chẽ từ cơ quan thuế, nhưng do số lượng đơn vị bị kiểm tra không lớn nên vẫn còn khả năng trốn tránh.</t>
  </si>
  <si>
    <t>Cơ quan thuế đã đầu tư công nghệ để theo dõi và xử lý các hành vi gian lận, nhưng hiệu quả thực tế phụ thuộc vào nguồn lực và quyết tâm của họ.</t>
  </si>
  <si>
    <t>Quy trình khai báo thuế trở nên đơn giản hơn với việc rút gọn biểu thuế, tuy nhiên vẫn còn một số thủ tục cần cải tiến để thuận tiện hơn nữa cho người dân.</t>
  </si>
  <si>
    <t>Biểu thuế mới đơn giản hóa các bậc thuế và dễ dàng áp dụng hơn so với trước đây, giúp giảm bớt sự phức tạp đối với người nộp thuế.</t>
  </si>
  <si>
    <t>Tôi tin rằng Nhà nước sẽ thực thi chính sách một cách công tâm, nhưng vẫn cần tăng cường giám sát và minh bạch hơn nữa để ngăn chặn bất cập.</t>
  </si>
  <si>
    <t>Nhìn chung mức thuế mới là hợp lý cho thu nhập của tôi, tuy nhiên việc giảm trừ gia cảnh tăng lên giúp tiết kiệm chi phí</t>
  </si>
  <si>
    <t>Thuế đóng góp vào sự cải thiện chất lượng dịch vụ công và phát triển cơ sở hạ tầng, nhưng cần có các biện pháp kiểm soát để tránh lãng phí nguồn lực.</t>
  </si>
  <si>
    <t>Nhà nước đã giải thích rõ về mục tiêu của việc sửa đổi thuế, tuy nhiên vẫn cần tăng cường thông tin và giáo dục công chúng về chính sách mới.</t>
  </si>
  <si>
    <t>Trong tổng thể, tôi ủng hộ và tuân thủ chính sách mới vì nó mang lại nhiều lợi ích cho người dân như giảm thuế và đơn giản hóa quy trình khai báo.</t>
  </si>
  <si>
    <t>Nhà nước đã đầu tư công nghệ và nhân lực vào việc quản lý thuế, nên khả năng phát hiện gian lận hay trốn thuế tăng lên.</t>
  </si>
  <si>
    <t>Cơ quan thuế có đủ nguồn lực để thực thi chính sách mới một cách hiệu quả.</t>
  </si>
  <si>
    <t>Quy trình khai báo và làm việc với cơ quan thuế đơn giản hơn, dễ dàng tiếp cận thông tin.</t>
  </si>
  <si>
    <t>Biểu thuế mới đơn giản hóa quá trình tính thuế, giảm bớt rắc rối cho người nộp thuế.</t>
  </si>
  <si>
    <t>Tôi tin tưởng Nhà nước sẽ thực thi chính sách một cách công bằng và khách quan đối với mọi người dân.</t>
  </si>
  <si>
    <t>Mức thuế mới giảm đáng kể so với trước đây, khiến tôi cảm thấy công bằng hơn khi đóng thuế.</t>
  </si>
  <si>
    <t>Thuế tôi đóng sẽ được sử dụng để cải thiện dịch vụ công, từ đó tạo lợi ích cho người dân.</t>
  </si>
  <si>
    <t>Chính sách mới giúp tôi tiết kiệm tiền và thuận tiện hơn trong quá trình khai báo, nên tôi ủng hộ và tuân thủ.</t>
  </si>
  <si>
    <t>Dù quy định quản lý thuế hiện nay có thể phát hiện hành vi gian lận, nhưng mức giảm trừ gia cảnh tăng lên và đơn giản hóa biểu thuế có thể làm mờ ám một số trường hợp. Tuy nhiên, với sự cải tiến về công nghệ, khả năng phát hiện sẽ cao hơn.</t>
  </si>
  <si>
    <t>Cơ quan thuế đã đầu tư vào công nghệ, tuy vậy việc xử lý nghiêm các hành vi trốn thuế vẫn cần thời gian để hoàn thiện. Hiệu quả thực tế còn phụ thuộc vào cách triển khai.</t>
  </si>
  <si>
    <t>Việc đơn giản hóa quy trình làm việc với cơ quan thuế và giảm bớt các bước tính toán đã làm cho thủ tục trở nên thuận tiện hơn. Người dân không còn phải lo lắng về việc tuân thủ quá nhiều quy định.</t>
  </si>
  <si>
    <t>Thay đổi về biểu thuế từ 7 bậc xuống 5 bậc và mức giảm trừ gia cảnh tăng đã làm cho cách tính thuế trở nên đơn giản hơn. Người dân dễ dàng hiểu và áp dụng chính sách mới.</t>
  </si>
  <si>
    <t>Tôi tin rằng cơ quan thuế sẽ thực thi chính sách một cách khách quan, nhưng tôi vẫn có chút lo ngại về việc liệu quy định mới có được thực hiện đúng như cam kết hay không.</t>
  </si>
  <si>
    <t>Mức thuế mới giảm đáng kể so với trước đây. Mức thuế này là hợp lý cho thu nhập của tôi, giúp tôi tiết kiệm một khoản tiền đáng kể mỗi tháng.</t>
  </si>
  <si>
    <t>Thuế được sử dụng để cải thiện dịch vụ công, nhưng hiệu quả cụ thể còn phụ thuộc vào việc quản lý tài chính và đầu tư. Tôi hy vọng rằng số tiền thuế đóng sẽ được sử dụng một cách hiệu quả.</t>
  </si>
  <si>
    <t>Hiệu quả của việc cải cách thuế chưa rõ ràng, nhưng tôi tin tưởng rằng cơ quan thuế đã giải thích công khai về mục tiêu chính sách mới. Tuy nhiên, tôi vẫn muốn có thêm thông tin về cách sử dụng số tiền thuế.</t>
  </si>
  <si>
    <t>Tôi ủng hộ và tuân thủ chính sách mới vì nó giúp tôi tiết kiệm một khoản tiền đáng kể mỗi tháng. Việc cải cách này là cần thiết để giảm gánh nặng cho người dân.</t>
  </si>
  <si>
    <t>Nếu áp dụng tốt, các quy định quản lý thuế mới có thể phát hiện dễ dàng hơn hành vi gian lận hoặc trốn thuế.</t>
  </si>
  <si>
    <t>Việc cải cách và đầu tư công nghệ cho cơ quan thuế sẽ giúp tăng cường khả năng phát hiện và xử lý các hành vi trốn thuế.</t>
  </si>
  <si>
    <t>Quy trình khai báo thuế trở nên đơn giản hơn với mức giảm trừ gia cảnh cao hơn, người dân dễ dàng thực hiện.</t>
  </si>
  <si>
    <t>Biểu thuế đơn giản hóa đã làm cho quá trình tính thuế rõ ràng và dễ hiểu hơn, thuận tiện cho người nộp thuế.</t>
  </si>
  <si>
    <t>Nhà nước đã công bố các quy định mới một cách minh bạch, tôi tin rằng họ sẽ thực hiện chính sách một cách khách quan.</t>
  </si>
  <si>
    <t>Với mức thuế giảm đáng kể, tôi cảm thấy mình đóng góp hợp lý vào ngân sách nhà nước.</t>
  </si>
  <si>
    <t>Những cải tiến này sẽ giúp nâng cao chất lượng dịch vụ công, từ đó tạo niềm tin cho người dân về việc sử dụng tiền thuế.</t>
  </si>
  <si>
    <t>Nhà nước đã giải thích rõ ràng về mục tiêu và lý do của chính sách mới thông qua các kênh truyền thông.</t>
  </si>
  <si>
    <t>Dựa trên việc giảm thuế đáng kể và cải cách thuận lợi, tôi ủng hộ và tuân thủ chính sách mới.</t>
  </si>
  <si>
    <t>Dựa trên mức thuế giảm đáng kể, tôi tin rằng các quy định mới sẽ tăng cường quản lý và phát hiện hành vi trốn thuế.</t>
  </si>
  <si>
    <t>Cơ quan thuế đã sử dụng công nghệ tiên tiến để cải thiện khả năng giám sát, do đó, việc xử lý nghiêm các trường hợp trốn thuế sẽ hiệu quả hơn.</t>
  </si>
  <si>
    <t>Quy trình khai báo và làm việc với cơ quan thuế đã trở nên đơn giản hơn so với trước đây, giảm bớt rắc rối cho người dân.</t>
  </si>
  <si>
    <t>Biểu thuế mới có ít bậc hơn và dễ hiểu hơn, giúp tôi tính toán chính xác hơn số tiền thuế phải nộp mà không cần đến sự hỗ trợ của chuyên gia.</t>
  </si>
  <si>
    <t>Tôi tin rằng Nhà nước sẽ công bằng trong việc thực thi chính sách mới, đảm bảo quyền lợi cho người dân.</t>
  </si>
  <si>
    <t>Nhờ mức giảm trừ gia cảnh cao hơn, tôi cảm thấy thuế mà tôi phải đóng là hợp lý và phù hợp với thu nhập của mình.</t>
  </si>
  <si>
    <t>Làm việc trong một ngành nghề chính thức, tôi tin rằng số tiền thuế đóng sẽ được sử dụng hiệu quả để cải thiện các dịch vụ công.</t>
  </si>
  <si>
    <t>Nhà nước đã cung cấp thông tin rõ ràng về mục tiêu và lý do của việc sửa đổi chính sách thuế, tăng niềm tin trong tôi.</t>
  </si>
  <si>
    <t>Sau khi xem xét các quyền lợi và nghĩa vụ mới, tôi ủng hộ và sẽ tuân thủ chính sách thuế mới này.</t>
  </si>
  <si>
    <t>Dù có công nghệ hỗ trợ, tôi vẫn lo ngại về khả năng phát hiện trốn thuế hiệu quả.</t>
  </si>
  <si>
    <t>Nhà nước đã đầu tư vào công nghệ và nhân lực để quản lý thuế tốt hơn.</t>
  </si>
  <si>
    <t>Quy trình khai báo thuế dễ dàng hơn, nhưng vẫn cần thời gian quen thuộc với người dân.</t>
  </si>
  <si>
    <t>Biểu thuế đơn giản hóa giúp tính toán nhanh chóng, giảm bớt rắc rối.</t>
  </si>
  <si>
    <t>Tôi tin Nhà nước sẽ công bằng trong việc thực thi luật, nhưng vẫn lo ngại về sự giám sát hiệu quả.</t>
  </si>
  <si>
    <t>Mức thuế mới hợp lý, giảm gánh nặng cho người lao động như tôi.</t>
  </si>
  <si>
    <t>Thuế đóng góp vào các dịch vụ công quan trọng, nhưng vẫn cần giám sát về cách sử dụng.</t>
  </si>
  <si>
    <t>Đã có nhiều thông tin giải thích về mục tiêu cải cách thuế.</t>
  </si>
  <si>
    <t>Chính sách mới mang lại lợi ích rõ ràng, tôi sẽ ủng hộ và tuân thủ.</t>
  </si>
  <si>
    <t>Việc tăng mức giảm trừ gia cảnh và đơn giản hóa biểu thuế có thể làm cho hành vi gian lận hoặc trốn thuế khó hơn. Tuy nhiên, vẫn cần thêm thời gian để theo dõi thực tế.</t>
  </si>
  <si>
    <t>Công nghệ ngày càng phát triển giúp cơ quan thuế dễ dàng phát hiện các hành vi trốn thuế, nhưng cũng cần thời gian thích ứng cho cả người nộp thuế và các hệ thống quản lý.</t>
  </si>
  <si>
    <t>Thủ tục khai báo thuế và quy trình làm việc với cơ quan thuế được đơn giản hóa, thuận tiện hơn. Việc tăng mức giảm trừ gia cảnh cũng giúp việc nộp thuế trở nên dễ dàng hơn.</t>
  </si>
  <si>
    <t>Bậc thuế mới đơn giản, dễ hiểu và dễ thực hiện hơn so với trước đây, đặc biệt là với mức thuế tôi phải đóng.</t>
  </si>
  <si>
    <t>Tôi tin rằng Nhà nước sẽ thực thi chính sách một cách khách quan, công tâm vì lợi ích chung của người dân. Mức thuế mới đối xử công bằng với mọi người có thu nhập như tôi.</t>
  </si>
  <si>
    <t>Mức thuế mới giảm đáng kể so với trước đây, giúp tôi tiết kiệm được một khoản tiền lớn mỗi tháng, nên tôi cho rằng mức thuế này là công bằng.</t>
  </si>
  <si>
    <t>Tác động tài chính tích cực từ chính sách mới làm tăng niềm tin rằng số tiền thuế đóng sẽ được sử dụng hiệu quả để cải thiện dịch vụ công. Các giảm trừ gia cảnh cũng giúp ích cho người dân.</t>
  </si>
  <si>
    <t>Nhà nước đã giải thích rõ ràng về mục tiêu và lý do của việc sửa đổi thuế, nhưng cần thêm thông tin cụ thể hơn về cách sử dụng số tiền thuế thu được.</t>
  </si>
  <si>
    <t>Dựa trên các quyền lợi mới và mức thuế giảm đáng kể, tôi ủng hộ và tuân thủ chính sách mới. Nó giúp cải thiện tình hình tài chính của gia đình tôi.</t>
  </si>
  <si>
    <t>Nhà nước đã tăng cường công nghệ và quản lý thuế, nhưng mức độ phát hiện trốn thuế vẫn phụ thuộc vào nhiều yếu tố khác. Tuy nhiên, các quy định mới có thể giúp giảm tình trạng trốn thuế.</t>
  </si>
  <si>
    <t>Cơ quan thuế có đủ khả năng và công nghệ để phát hiện hành vi gian lận nhờ việc đơn giản hóa thủ tục và tăng cường quản lý, nhưng vẫn cần cải thiện.</t>
  </si>
  <si>
    <t>Thủ tục khai báo thuế trở nên đơn giản hơn so với trước đây, giảm thời gian chờ đợi và dễ thực hiện hơn. Điều này giúp thuận tiện cho người dân.</t>
  </si>
  <si>
    <t>Bậc thuế mới đã được đơn giản hóa, việc tính toán thu nhập chịu thuế trở nên dễ dàng hơn so với trước đây, phù hợp với trình độ hiểu biết của tôi về thuế</t>
  </si>
  <si>
    <t>Tôi tin rằng Nhà nước sẽ thực thi chính sách một cách công bằng và khách quan, nhưng vẫn cần cải thiện trong việc minh bạch thông tin.</t>
  </si>
  <si>
    <t>Mức thuế mới phù hợp với thu nhập của tôi và có sự giảm trừ gia cảnh tốt hơn, tạo cảm giác công bằng về mức đóng góp</t>
  </si>
  <si>
    <t>Thuế được sử dụng hiệu quả để cải thiện dịch vụ công, nhưng vẫn cần cải thiện trong việc thông tin rõ ràng về cách sử dụng nguồn thu thuế.</t>
  </si>
  <si>
    <t>Tôi đồng ý với các lý do và mục tiêu của chính sách mới, nhưng cần thêm giải trình về tác động cụ thể của việc sửa đổi này đến người dân</t>
  </si>
  <si>
    <t>Chính sách mới đã cải thiện đáng kể so với trước đây, tôi sẽ ủng hộ và tuân thủ các quy định mới.</t>
  </si>
  <si>
    <t>Điều kiện thực thi có sự cải thiện nhưng vẫn cần nâng cao, đặc biệt là việc phát hiện hành vi gian lận.</t>
  </si>
  <si>
    <t>Nhà nước đã đầu tư công nghệ và nhân lực vào lĩnh vực thuế, tuy nhiên hiệu quả thực tế còn phụ thuộc nhiều yếu tố khác.</t>
  </si>
  <si>
    <t>Quy trình làm việc với cơ quan thuế trở nên đơn giản hơn, thủ tục khai báo thuế cũng thuận tiện hơn</t>
  </si>
  <si>
    <t>Biểu thuế được đơn giản hóa giúp việc tính toán và thực hiện dễ dàng hơn so với trước đây.</t>
  </si>
  <si>
    <t>Niềm tin vào sự khách quan, công tâm của nhà nước về mặt quản lý thuế đã tăng lên do các cải cách</t>
  </si>
  <si>
    <t>Thuế mới được tính dựa trên mức thu nhập thực tế nên tôi thấy là công bằng.</t>
  </si>
  <si>
    <t>Tài chính cá nhân của tôi có thể sử dụng hiệu quả hơn nhờ giảm thuế, đồng thời cải thiện dịch vụ công</t>
  </si>
  <si>
    <t>Nhà nước đã giải thích rõ ràng mục tiêu của việc cải cách, tuy nhiên vẫn cần tăng cường minh bạch hơn nữa.</t>
  </si>
  <si>
    <t>Tác động tài chính tích cực và sự đơn giản hóa quy trình làm việc khiến tôi ủng hộ chính sách mới</t>
  </si>
  <si>
    <t>Trong thực tế, các cơ quan thuế đã có nhiều biện pháp mạnh mẽ để phát hiện hành vi trốn thuế và gian lận. Các công nghệ giám sát, kiểm soát ngày càng tiên tiến giúp cho việc này trở nên dễ dàng hơn. Tuy nhiên, vẫn còn những rủi ro về khả năng phát hiện hoàn toàn.</t>
  </si>
  <si>
    <t>Việc nhà nước đầu tư vào công nghệ và nhân lực để quản lý thuế là có thực tế. Các cơ quan thuế cũng đã cải thiện đáng kể trong việc xử lý nhanh chóng các vụ việc trốn thuế.</t>
  </si>
  <si>
    <t>So với trước đây, quy trình khai báo thuế trở nên đơn giản hơn, thủ tục làm việc với cơ quan thuế cũng thuận tiện và nhanh chóng. Điều này giúp cho quá trình nộp thuế dễ dàng hơn.</t>
  </si>
  <si>
    <t>Số bậc thuế giảm từ 7 xuống còn 5 đã đơn giản hóa quy trình tính thuế, làm cho nó trở nên dễ hiểu và thực hiện dễ dàng hơn. Người dân như tôi có thể nhanh chóng nắm bắt và áp dụng.</t>
  </si>
  <si>
    <t>Việc Nhà nước cải cách thuế với các mức giảm trừ gia cảnh cao hơn, đơn giản hóa biểu thuế đã tạo ra sự công bằng. Mọi người đều được hưởng lợi từ chính sách mới này.</t>
  </si>
  <si>
    <t>Mức thuế tôi phải đóng theo phương án mới là phù hợp với thu nhập của mình. Việc giảm trừ gia cảnh và đơn giản hóa biểu thuế đã giúp tôi tiết kiệm được một khoản tiền đáng kể mỗi tháng.</t>
  </si>
  <si>
    <t>Tôi tin rằng số tiền thuế tôi đóng sẽ được sử dụng hiệu quả để cải thiện dịch vụ công. Các dự án như xây dựng bệnh viện, trường học đều cần nguồn vốn này và tôi mong muốn đóng góp cho mục đích tốt đẹp này.</t>
  </si>
  <si>
    <t>Nhà nước đã giải thích rõ ràng về lý do và mục tiêu của việc cải cách thuế. Điều này giúp người dân hiểu được mục đích thực sự của chính sách mới, từ đó tạo ra sự tin tưởng.</t>
  </si>
  <si>
    <t>Sau khi xem xét các quyền lợi và nghĩa vụ, tôi ủng hộ và tuân thủ chính sách mới. Nó đã mang lại nhiều lợi ích cho tôi về mặt tài chính và cũng đơn giản hóa quy trình nộp thuế.</t>
  </si>
  <si>
    <t>Việc tăng mức giảm trừ gia cảnh và đơn giản hóa biểu thuế có thể làm giảm cơ hội cho việc gian lận, nhưng không hoàn toàn ngăn chặn được. Cơ quan thuế vẫn cần nâng cao năng lực và công nghệ để phát hiện các hành vi trốn thuế.</t>
  </si>
  <si>
    <t>Cơ quan thuế có nhiều nguồn lực và công nghệ tiên tiến, tuy nhiên, hiệu quả thực thi còn phụ thuộc vào việc quản lý và giám sát chặt chẽ từ phía Nhà nước.</t>
  </si>
  <si>
    <t>Thủ tục khai báo thuế trở nên đơn giản hơn với mức giảm trừ gia cảnh cao hơn. Tuy nhiên, quy trình làm việc với cơ quan thuế vẫn cần cải thiện để giảm thời gian và công sức của người dân.</t>
  </si>
  <si>
    <t>Biểu thuế đơn giản hóa từ 7 bậc xuống còn 5 bậc giúp dễ dàng tính toán hơn, nhưng các bước thực hiện cụ thể vẫn cần được tối ưu để nâng cao hiệu quả.</t>
  </si>
  <si>
    <t>Tôi tin rằng Nhà nước sẽ thực thi chính sách một cách khách quan và công bằng, mặc dù tôi là người nghi ngờ về việc quản lý thuế, nhưng các thay đổi có lợi cho người dân như tăng mức giảm trừ gia cảnh.</t>
  </si>
  <si>
    <t>Mức thuế mới được tính dựa trên thu nhập thực tế và số lượng người phụ thuộc, do đó tôi thấy là công bằng đối với hoàn cảnh cá nhân của mình. Tuy nhiên, mức giảm trừ gia cảnh cao hơn làm tăng sự công bằng.</t>
  </si>
  <si>
    <t>Thuế được sử dụng để cải thiện dịch vụ công và hạ tầng cơ sở, nhưng tôi mong muốn có thêm thông tin cụ thể về cách sử dụng số tiền thuế này.</t>
  </si>
  <si>
    <t>Nhà nước đã giải thích rõ ràng lý do và mục tiêu của việc sửa đổi thuế lần này. Tuy nhiên, tôi vẫn cần thêm thông tin chi tiết về quy trình thực hiện chính sách mới để cảm thấy hoàn toàn an tâm.</t>
  </si>
  <si>
    <t>Tôi ủng hộ chính sách mới vì nó giảm gánh nặng tài chính cho người dân và đơn giản hóa quy trình thuế. Điều này giúp tôi tin tưởng hơn vào hệ thống thuế hiện tại.</t>
  </si>
  <si>
    <t>Dù có công nghệ hỗ trợ, tôi vẫn lo ngại về khả năng phát hiện trốn thuế hiệu quả do nhiều yếu tố như quy định quản lý không rõ ràng và thiếu nhân lực.</t>
  </si>
  <si>
    <t>Khả năng của Nhà nước trong việc phát hiện và xử lý trốn thuế phụ thuộc vào nguồn lực, nếu có đủ công nghệ và nhân lực, khả năng này sẽ tăng lên.</t>
  </si>
  <si>
    <t>Quy trình khai báo thuế trở nên đơn giản hơn nhờ giảm số bậc thuế và mức giảm trừ gia cảnh cao hơn, thuận tiện cho người dân.</t>
  </si>
  <si>
    <t>Cách tính thuế mới rõ ràng và dễ dàng thực hiện hơn so với trước đây, giúp tôi dễ dàng quản lý thu nhập của mình.</t>
  </si>
  <si>
    <t>Tôi tin rằng cơ quan thuế sẽ công bằng trong việc áp dụng chính sách mới, dù còn lo ngại về khả năng phát hiện trốn thuế hiệu quả.</t>
  </si>
  <si>
    <t>Mức thuế mới phù hợp với thu nhập của tôi và có sự giảm trừ gia cảnh cao hơn, tạo cảm giác công bằng.</t>
  </si>
  <si>
    <t>Thuế đóng góp vào việc cải thiện dịch vụ công như y tế, giáo dục, đường xá,... là điều cần thiết.</t>
  </si>
  <si>
    <t>Nhà nước đã giải thích rõ ràng về mục tiêu của chính sách mới, nhưng thông tin về quản lý thuế vẫn còn thiếu</t>
  </si>
  <si>
    <t>Tôi ủng hộ chính sách mới vì nó tạo ra sự công bằng và thuận lợi hơn cho người dân. Tuy nhiên, tôi mong muốn có thêm thông tin về việc quản lý thuế.</t>
  </si>
  <si>
    <t>Việc tăng mức giảm trừ gia cảnh và đơn giản hóa biểu thuế có thể làm cho hành vi gian lận khó phát hiện hơn, nhưng vẫn tin rằng Nhà nước sẽ quản lý tốt.</t>
  </si>
  <si>
    <t>Cơ quan thuế đã cải tiến công nghệ, nhưng không chắc chắn mức độ hiệu quả trong việc phát hiện trốn thuế.</t>
  </si>
  <si>
    <t>Thủ tục khai báo và quy trình làm việc với cơ quan thuế đơn giản hơn, nhưng vẫn cần thời gian để quen thuộc.</t>
  </si>
  <si>
    <t>Biểu thuế mới đơn giản hóa, dễ hiểu hơn so với trước đây, tăng độ tin cậy khi tính toán</t>
  </si>
  <si>
    <t>Tin rằng Nhà nước sẽ thực thi công bằng và khách quan, nhưng cần thời gian để kiểm chứng.</t>
  </si>
  <si>
    <t>Mức thuế mới giảm cho tôi là hợp lý, phù hợp với mức thu nhập của mình</t>
  </si>
  <si>
    <t>Tin rằng số tiền thuế đóng sẽ được sử dụng hiệu quả để cải thiện dịch vụ công</t>
  </si>
  <si>
    <t>Nhà nước đã giải thích rõ ràng về mục tiêu và lý do của việc sửa đổi thuế, tạo niềm tin cho người dân</t>
  </si>
  <si>
    <t>Tích cực ủng hộ chính sách mới vì giảm gánh nặng thuế và tăng quyền lợi cá nhân.</t>
  </si>
  <si>
    <t>Thuế TNCN mới có sự đơn giản hóa biểu thuế và tăng mức giảm trừ gia cảnh, nhưng tôi vẫn tin rằng việc phát hiện và xử lý trốn thuế sẽ còn phụ thuộc vào khả năng quản lý của cơ quan thuế.</t>
  </si>
  <si>
    <t>Nhà nước đã đầu tư công nghệ để cải thiện quản lý thuế, do đó khả năng phát hiện và xử lý các hành vi trốn thuế sẽ tốt hơn.</t>
  </si>
  <si>
    <t>So với trước đây, quy trình khai báo thuế trở nên đơn giản hơn, nhưng tôi vẫn cần thời gian để quen với cách mới.</t>
  </si>
  <si>
    <t>Cách tính thuế và các bậc thuế trong phương án mới rõ ràng hơn so với trước đây, giúp việc thực hiện dễ dàng hơn.</t>
  </si>
  <si>
    <t>Tôi tin rằng Nhà nước sẽ công bằng trong việc áp dụng chính sách mới, nhưng vẫn có những lo ngại về khả năng quản lý thuế.</t>
  </si>
  <si>
    <t>Theo phương án mới, mức thuế tôi phải đóng là hợp lý và công bằng so với thu nhập của tôi.</t>
  </si>
  <si>
    <t>Tôi tin rằng số tiền thuế tôi đóng sẽ được sử dụng hiệu quả để cải thiện dịch vụ công cho cộng đồng.</t>
  </si>
  <si>
    <t>Nhà nước đã giải thích rõ ràng về mục tiêu của việc sửa đổi chính sách thuế, nhưng vẫn cần thêm minh bạch trong thực hiện.</t>
  </si>
  <si>
    <t>Sau khi tính toán lợi ích từ chính sách mới, tôi ủng hộ và sẽ tuân thủ nó vì giảm trừ gia cảnh tăng và mức thuế hợp lý hơn.</t>
  </si>
  <si>
    <t>Nguyên tắc chung cho thấy Nhà nước luôn cố gắng cải thiện công nghệ quản lý để chống lại các hành vi gian lận, nhưng cụ thể chưa biết hiệu quả thực tế.</t>
  </si>
  <si>
    <t>Thủ tục khai báo thuế và quy trình làm việc với cơ quan thuế được đơn giản hóa nên thuận tiện hơn cho người dân.</t>
  </si>
  <si>
    <t>Biểu thuế mới có ít bậc hơn, dễ hiểu và thực hiện đơn giản hơn so với trước đây.</t>
  </si>
  <si>
    <t>Nhà nước đã tăng mức giảm trừ gia cảnh và cải thiện biểu thuế, tạo ra một hệ thống công bằng hơn cho người dân.</t>
  </si>
  <si>
    <t>Mức thuế mới mà tôi phải đóng là hợp lý đối với thu nhập của mình. Nó thể hiện sự công bằng trong việc phân bổ thuế giữa các nhóm thu nhập khác nhau.</t>
  </si>
  <si>
    <t>Tôi tin rằng số tiền thuế mà tôi đóng sẽ được sử dụng một cách hiệu quả để cải thiện dịch vụ công, mặc dù không biết chi tiết cụ thể về việc này.</t>
  </si>
  <si>
    <t>Nhà nước đã giải thích rõ ràng về sự thay đổi và mục tiêu của chính sách mới, tạo ra sự minh bạch trong quá trình thực thi.</t>
  </si>
  <si>
    <t>Tôi ủng hộ và sẽ tuân thủ chính sách mới vì nó mang lại lợi ích tài chính cho tôi và có thể cải thiện quy trình làm việc với cơ quan thuế.</t>
  </si>
  <si>
    <t>Dù có công nghệ hiện đại, nhưng do quy trình quản lý thuế vẫn còn nhiều khâu thủ công nên dễ bị lọt thông tin.</t>
  </si>
  <si>
    <t>Cơ quan thuế đã cải thiện đáng kể trong việc sử dụng công nghệ, nhưng khả năng phát hiện trốn thuế phụ thuộc vào sự tuân thủ của người nộp thuế.</t>
  </si>
  <si>
    <t>Trình tự khai báo thuế và giao tiếp với cơ quan thuế đã đơn giản hơn nhiều so với trước đây, thuận lợi cho công việc hàng ngày.</t>
  </si>
  <si>
    <t>Số bậc thuế giảm đi và cách tính thuế rõ ràng hơn giúp người dân dễ dàng thực hiện.</t>
  </si>
  <si>
    <t>Nhà nước đã công bố minh bạch về chính sách mới, nhưng vẫn có lo ngại về việc kiểm soát và thực thi.</t>
  </si>
  <si>
    <t>Mức thuế mới thấp hơn so với trước đây nên tôi thấy hợp lý, đặc biệt là khi có thêm giảm trừ gia cảnh.</t>
  </si>
  <si>
    <t>Tiết kiệm được tiền thuế và có thêm giảm trừ gia cảnh giúp tôi tin rằng số tiền đóng sẽ được sử dụng hiệu quả cho công ích.</t>
  </si>
  <si>
    <t>Nhà nước đã giải thích rõ về mục tiêu của chính sách mới, nhưng vẫn cần nhiều thông tin hơn để đánh giá minh bạch.</t>
  </si>
  <si>
    <t>Sau khi xem xét các quyền lợi và nghĩa vụ, tôi ủng hộ và tuân thủ chính sách mới vì nó mang lại lợi ích thực tế cho người dân.</t>
  </si>
  <si>
    <t>Nhà nước và cơ quan thuế đã đầu tư công nghệ hiện đại để phát hiện trốn thuế, do đó tôi tin rằng hành vi gian lận sẽ dễ dàng bị phát hiện.</t>
  </si>
  <si>
    <t>Cơ quan thuế có đủ nguồn lực và khả năng kỹ thuật để xử lý nghiêm các trường hợp trốn thuế.</t>
  </si>
  <si>
    <t>Quy trình khai thuế nay đơn giản hơn, không cần nhiều giấy tờ phức tạp như trước.</t>
  </si>
  <si>
    <t>Cách tính thuế và các bậc thuế mới rõ ràng, dễ hiểu hơn so với luật cũ.</t>
  </si>
  <si>
    <t>Nhà nước sẽ công tâm trong việc thực thi chính sách thuế mới.</t>
  </si>
  <si>
    <t>Thuế tôi phải đóng theo quy định mới là hợp lý, bởi mức giảm trừ gia cảnh đã tăng lên đáng kể.</t>
  </si>
  <si>
    <t>Tài nguyên thuế được sử dụng hiệu quả để cải thiện các dịch vụ công ích, do đó tôi tin tưởng vào việc sử dụng số tiền thuế đóng.</t>
  </si>
  <si>
    <t>Nhà nước đã giải thích rõ ràng về mục tiêu và lý do của việc sửa đổi thuế mới.</t>
  </si>
  <si>
    <t>Tôi ủng hộ chính sách mới vì nó giảm gánh nặng tài chính cho tôi, đồng thời đơn giản hóa quy trình khai báo thuế.</t>
  </si>
  <si>
    <t>Cơ quan thuế có nhiều công cụ và quy định quản lý, tuy nhiên vẫn còn khả năng trốn thuế. Việc tăng mức giảm trừ gia cảnh giúp hạn chế hành vi này.</t>
  </si>
  <si>
    <t>Nhà nước đã đầu tư công nghệ để phát hiện gian lận, nhưng hiệu quả thực tế phụ thuộc vào độ chính xác của hệ thống và sự tuân thủ của các doanh nghiệp.</t>
  </si>
  <si>
    <t>Thủ tục thuế đơn giản hơn so với trước đây, giảm bớt thời gian chờ đợi và khó khăn trong khai báo.</t>
  </si>
  <si>
    <t>Bậc thuế mới đơn giản hơn, dễ hiểu và thực hiện thuận lợi hơn so với biểu thuế cũ.</t>
  </si>
  <si>
    <t>Thuế giảm đáng kể và mức giảm trừ gia cảnh cao hơn tạo niềm tin rằng chính sách được áp dụng công bằng cho mọi người.</t>
  </si>
  <si>
    <t>Mức thuế mới phù hợp với thu nhập của tôi, thể hiện tính công bằng trong việc phân chia gánh nặng thuế giữa các đối tượng khác nhau.</t>
  </si>
  <si>
    <t>Thuế đóng góp vào phát triển cơ sở hạ tầng và dịch vụ công, tôi tin tưởng rằng tiền thuế của tôi được sử dụng hiệu quả.</t>
  </si>
  <si>
    <t>Chính phủ đã cung cấp thông tin chi tiết về mục đích và lý do thay đổi chính sách thuế trong các tài liệu chính thức.</t>
  </si>
  <si>
    <t>Tôi ủng hộ và tuân thủ chính sách mới vì nó mang lại lợi ích đáng kể về mặt tài chính và giảm bớt gánh nặng quản lý thuế.</t>
  </si>
  <si>
    <t>Dựa trên thông tin, tôi thấy các quy định quản lý thuế hiện nay có nhiều cải tiến giúp tăng cường phát hiện hành vi gian lận và trốn thuế. Tuy nhiên, vẫn cần thời gian để thực thi hiệu quả.</t>
  </si>
  <si>
    <t>Nhà nước đã đầu tư công nghệ vào việc quản lý thuế, giúp tăng cường khả năng phát hiện và xử lý các hành vi trốn thuế. Tuy nhiên, tôi nghĩ cần thêm thời gian để hệ thống hoàn thiện.</t>
  </si>
  <si>
    <t>So với trước đây, quy trình khai báo thuế trở nên đơn giản hơn, dễ tiếp cận hơn. Việc tăng mức giảm trừ gia cảnh cũng giúp thủ tục thuận tiện hơn cho người nộp thuế.</t>
  </si>
  <si>
    <t>Biểu thuế mới có ít bậc và các bước tính thuế rõ ràng hơn so với trước đây. Điều này giúp việc làm bài toán thuế trở nên dễ dàng, thuận lợi hơn.</t>
  </si>
  <si>
    <t>Tính công bằng trong cách áp dụng chính sách mới được thể hiện qua mức giảm trừ gia cảnh và số bậc thuế ít đi. Việc thực thi công tâm có thể dựa trên sự cải tiến này.</t>
  </si>
  <si>
    <t>Theo thông tin, mức thuế tôi phải đóng là hợp lý so với thu nhập của mình. Tuy nhiên, tôi cần thêm thời gian để quen thuộc và kiểm chứng tính công bằng trong thực tế.</t>
  </si>
  <si>
    <t>Nhà nước đã tăng cường các giảm trừ gia cảnh, giúp số tiền thuế đóng ít hơn so với trước đây. Điều này làm tôi tin rằng việc sử dụng số tiền thuế sẽ được hiệu quả hơn để phục vụ công cộng.</t>
  </si>
  <si>
    <t>Quy trình và lý do của chính sách mới đã được giải thích một cách rõ ràng, giúp tăng niềm tin vào sự minh bạch. Tuy nhiên, tôi nghĩ cần thêm thông tin để hiểu rõ hơn về mục tiêu cụ thể.</t>
  </si>
  <si>
    <t>Dựa trên tác động tài chính tích cực và sự đơn giản hóa quy trình thuế, tôi đồng ý ủng hộ và tuân thủ chính sách mới. Tuy nhiên, cần thêm thời gian để quen thuộc và đánh giá thực tế.</t>
  </si>
  <si>
    <t>Dù có công nghệ hỗ trợ, nhưng tôi vẫn lo ngại về việc phát hiện và xử lý trốn thuế hiệu quả.</t>
  </si>
  <si>
    <t>Cơ quan thuế có thể đã nâng cao khả năng quản lý thông qua công nghệ mới, nhưng tôi không hoàn toàn tin tưởng.</t>
  </si>
  <si>
    <t>Quy trình khai báo nay đơn giản hơn trước, nhưng vẫn phức tạp vì cần tính toán nhiều bậc thuế.</t>
  </si>
  <si>
    <t>Biểu thuế mới đơn giản hóa thành 5 bậc thay vì 7, dễ hiểu và thực hiện hơn so với trước đây.</t>
  </si>
  <si>
    <t>Tôi tin rằng các quy định mới sẽ được thực thi công bằng, nhưng vẫn cần thời gian để chứng minh.</t>
  </si>
  <si>
    <t>Mức thuế mới phù hợp với thu nhập của tôi, giảm gánh nặng tài chính, tạo nên sự công bằng.</t>
  </si>
  <si>
    <t>Thuế đóng góp vào việc cải thiện dịch vụ công, nhưng hiệu quả sử dụng còn cần thời gian để chứng minh.</t>
  </si>
  <si>
    <t>Nhà nước đã giải thích rõ về chính sách mới, giúp tôi hiểu được mục tiêu và lợi ích của nó.</t>
  </si>
  <si>
    <t>Sau khi xem xét tác động tài chính và sự đơn giản hóa quy trình thuế, tôi ủng hộ và sẽ tuân thủ chính sách mới.</t>
  </si>
  <si>
    <t>Việc tăng mức giảm trừ gia cảnh và đơn giản hóa biểu thuế có thể làm giảm động cơ trốn thuế. Tuy nhiên, tôi vẫn lo ngại về khả năng thực thi vì các quy định quản lý thuế hiện tại chưa hoàn thiện.</t>
  </si>
  <si>
    <t>Cơ quan thuế đã đầu tư công nghệ để phát hiện hành vi gian lận và trốn thuế, nhưng tôi không chắc chắn về hiệu quả của chúng trong thực tế.</t>
  </si>
  <si>
    <t>So với trước đây, quy trình làm việc với cơ quan thuế đã trở nên đơn giản hơn. Tuy nhiên, vẫn còn một số thủ tục phức tạp cần cải tiến nữa.</t>
  </si>
  <si>
    <t>Biểu thuế mới rõ ràng và dễ hiểu hơn so với trước đây. Việc giảm số bậc thuế giúp tính toán thuận lợi hơn cho người dân.</t>
  </si>
  <si>
    <t>Nhà nước đã công bố các quy định một cách minh bạch, nhưng tôi vẫn lo ngại về khả năng thực thi chính sách mới.</t>
  </si>
  <si>
    <t>Tôi thấy mức thuế giảm đáng kể theo phương án mới là hợp lý. Điều này làm tăng niềm tin vào tính công bằng của hệ thống thuế.</t>
  </si>
  <si>
    <t>Thuế tôi đóng ít hơn, nhưng không chắc số tiền đó sẽ được sử dụng hiệu quả cho các dịch vụ công</t>
  </si>
  <si>
    <t>Nhà nước đã giải thích rõ ràng về mục tiêu của việc sửa đổi thuế. Tuy nhiên, tôi vẫn muốn có thêm thông tin về cách sử dụng nguồn thu.</t>
  </si>
  <si>
    <t>Chính sách mới mang lại lợi ích cho người dân như tôi, nhưng cần cải thiện hơn nữa trong thực thi và quản lý thuế để tăng độ tin cậy.</t>
  </si>
  <si>
    <t>Việc tăng mức giảm trừ gia cảnh và đơn giản hóa biểu thuế có thể làm giảm động lực gian lận. Tuy nhiên, thực tế đòi hỏi sự phối hợp giữa các cơ quan quản lý để phát hiện trốn thuế.</t>
  </si>
  <si>
    <t>Nhà nước và cơ quan thuế đã đầu tư vào công nghệ để cải thiện khả năng theo dõi và xử lý thuế. Tuy nhiên, hiệu quả thực tế phụ thuộc vào việc triển khai và sử dụng công nghệ.</t>
  </si>
  <si>
    <t>Các quy trình mới đơn giản hơn, giảm bớt thủ tục rườm rà. Việc áp dụng biểu thuế ít bậc cũng giúp thuận tiện trong tính toán.</t>
  </si>
  <si>
    <t>Biểu thuế mới rõ ràng và dễ hiểu hơn so với trước đây. Việc tăng mức giảm trừ gia cảnh cũng giúp đơn giản hóa quá trình khai báo.</t>
  </si>
  <si>
    <t>Nếu chính sách được thực thi công bằng, tôi tin rằng việc áp dụng biểu thuế mới là khách quan và công tâm. Tuy nhiên, việc cải cách này cần thêm thời gian để chứng minh.</t>
  </si>
  <si>
    <t>Mức thuế giảm cho phép người dân có thu nhập trung bình như tôi đóng số tiền phù hợp với mức độ lợi nhuận mà mình tạo ra. Việc tăng giảm trừ gia cảnh giúp công bằng hơn.</t>
  </si>
  <si>
    <t>Thuế mới được sử dụng vào các dịch vụ công quan trọng, nhưng cần thêm thông tin về chi tiêu cụ thể để đánh giá hiệu quả</t>
  </si>
  <si>
    <t>Nhà nước đã giải thích rõ ràng mục đích cải cách thuế. Tuy nhiên, việc cung cấp thông tin minh bạch đầy đủ vẫn cần được cải thiện.</t>
  </si>
  <si>
    <t>Chính sách mới giúp giảm gánh nặng tài chính cho tôi và gia đình. Tôi ủng hộ vì điều này tạo ra công bằng hơn trong việc đóng thuế.</t>
  </si>
  <si>
    <t>Biện pháp quản lý thuế hiện nay có sự giám sát chặt chẽ từ cơ quan thuế và công nghệ tiên tiến, nên hành vi gian lận hoặc trốn thuế sẽ dễ bị phát hiện.</t>
  </si>
  <si>
    <t>Nhà nước đã đầu tư vào hệ thống công nghệ thông tin để cải thiện hiệu quả quản lý và xử lý nghiêm các trường hợp vi phạm, tăng cường khả năng phát hiện trốn thuế.</t>
  </si>
  <si>
    <t>Thủ tục khai báo thuế trở nên đơn giản hơn với việc giảm bớt các bước cần thiết và sử dụng công nghệ tự động hóa.</t>
  </si>
  <si>
    <t>Biểu thuế mới có số bậc ít hơn, dễ hiểu và thực hiện thuận tiện hơn so với trước đây.</t>
  </si>
  <si>
    <t>Tôi tin rằng Nhà nước sẽ công tâm trong việc áp dụng chính sách, nhưng vẫn cần sự minh bạch thêm về cách thức thực thi mới.</t>
  </si>
  <si>
    <t>Mức thuế giảm đáng kể cho tôi và gia đình, do đó cảm thấy công bằng hơn so với trước đây.</t>
  </si>
  <si>
    <t>Thuế đóng góp vào việc cải thiện cơ sở hạ tầng và dịch vụ công, tạo ra môi trường sống tốt hơn cho cộng đồng.</t>
  </si>
  <si>
    <t>Nhà nước đã giải thích rõ ràng về mục tiêu của chính sách mới, nhưng vẫn cần thêm thông tin chi tiết về cách thức thực hiện.</t>
  </si>
  <si>
    <t>Tôi ủng hộ và tuân thủ chính sách mới vì nó tạo ra sự công bằng và giảm gánh nặng tài chính cho tôi.</t>
  </si>
  <si>
    <t>Hiện nay, cơ quan thuế có nhiều công cụ và nguồn lực để phát hiện hành vi gian lận hoặc trốn thuế. Tuy nhiên, việc thực thi vẫn phụ thuộc vào hiệu quả của hệ thống quản lý.</t>
  </si>
  <si>
    <t>Nhà nước đã đầu tư nhiều công nghệ và nguồn lực để cải thiện khả năng phát hiện và xử lý trốn thuế. Điều này làm tăng khả năng thực thi nghiêm minh.</t>
  </si>
  <si>
    <t>Việc đơn giản hóa quy trình khai báo thuế và giảm số bậc thuế đã làm cho quá trình trở nên dễ dàng hơn. Tuy nhiên, việc cần phải nắm bắt các thay đổi vẫn đòi hỏi thời gian thích nghi.</t>
  </si>
  <si>
    <t>Biểu thuế mới đơn giản hóa rõ rệt so với trước đây, giảm bớt sự phức tạp và dễ dàng tính toán hơn. Điều này làm cho quá trình tuân thủ luật thuế trở nên thuận tiện hơn.</t>
  </si>
  <si>
    <t>Tôi tin rằng Nhà nước sẽ thực thi chính sách một cách công bằng, nhưng vẫn cần thời gian để quen với sự thay đổi mới. Cơ chế giảm trừ gia cảnh và các bậc thuế đã được điều chỉnh hợp lý.</t>
  </si>
  <si>
    <t>Tác động tài chính tích cực của việc giảm thuế khiến tôi cảm thấy mức đóng thuế là công bằng. Điều này tăng niềm tin về sự công bằng trong hệ thống thuế mới.</t>
  </si>
  <si>
    <t>Tôi tin rằng số tiền thuế đóng sẽ được sử dụng hiệu quả để cải thiện dịch vụ công, mặc dù cần thời gian để thấy kết quả rõ rệt. Niềm tin về việc sử dụng nguồn lực một cách có trách nhiệm.</t>
  </si>
  <si>
    <t>Nhà nước đã giải thích các thay đổi một cách rõ ràng trong báo cáo chính sách, tuy nhiên, tôi vẫn mong muốn thấy thêm nhiều thông tin chi tiết hơn về mục tiêu cụ thể của việc sửa đổi.</t>
  </si>
  <si>
    <t>Trong tổng thể, sau khi xem xét tác động tài chính và sự đơn giản hóa quy trình khai báo thuế, tôi ủng hộ và tuân thủ chính sách mới. Việc giảm thuế giúp cải thiện khả năng thanh toán của gia đình.</t>
  </si>
  <si>
    <t>Hiện nay, cơ quan thuế có nhiều công cụ để phát hiện hành vi gian lận thuế, tuy nhiên mức độ hiệu quả phụ thuộc vào sự tuân thủ của cá nhân và doanh nghiệp. Việc tăng giảm trừ gia cảnh và đơn giản hóa biểu thuế giúp giảm rủi ro trốn thuế.</t>
  </si>
  <si>
    <t>Cơ quan thuế đã đầu tư công nghệ để theo dõi và phát hiện gian lận thuế, tuy nhiên khả năng của họ còn phụ thuộc vào sự hợp tác của người nộp thuế. Khi các quy định rõ ràng hơn, việc phát hiện gian lận sẽ dễ dàng hơn.</t>
  </si>
  <si>
    <t>Quy trình khai báo thuế và làm việc với cơ quan thuế trở nên đơn giản hơn sau khi cải cách. Các bước cần thực hiện ít đi, giúp người dân không còn bị rối rắm.</t>
  </si>
  <si>
    <t>Các bậc thuế mới rõ ràng hơn so với trước đây, người dân dễ dàng tính toán và tuân thủ theo các quy định. Việc giảm trừ gia cảnh cũng giúp đơn giản hóa quá trình khai thuế.</t>
  </si>
  <si>
    <t>Nhà nước đã cải cách biểu thuế một cách khách quan, công bằng cho người dân. Các mức giảm trừ gia cảnh và bậc thuế mới tạo ra sự công bằng giữa các đối tượng nộp thuế khác nhau.</t>
  </si>
  <si>
    <t>Thuế theo phương án mới phù hợp với thu nhập của tôi, giảm trừ gia cảnh cũng giúp tiết kiệm một khoản chi phí đáng kể. Tôi cảm thấy công bằng khi đóng mức thuế này.</t>
  </si>
  <si>
    <t>Số tiền thuế mà tôi đóng sẽ được sử dụng hiệu quả để cải thiện dịch vụ công, như y tế và cơ sở hạ tầng. Điều này tạo ra niềm tin rằng việc đóng thuế là có ích cho cộng đồng.</t>
  </si>
  <si>
    <t>Nhà nước đã giải thích rõ ràng về mục tiêu của việc cải cách thuế lần này, cũng như các quyền lợi và nghĩa vụ của người dân. Điều này tạo sự minh bạch và tin tưởng vào chính sách mới.</t>
  </si>
  <si>
    <t>Tính toán lại thu nhập và giảm trừ gia cảnh, tôi thấy mình ủng hộ và tuân thủ chính sách mới vì các lợi ích mà nó mang lại. Thuế thấp hơn giúp tăng khả năng tiết kiệm và đầu tư.</t>
  </si>
  <si>
    <t>Các quy định quản lý thuế hiện nay có nhiều cải tiến nhưng vẫn còn thiếu trong việc phát hiện gian lận, vì vậy độ tin cậy của ENF1 là trung bình.</t>
  </si>
  <si>
    <t>Nhà nước và cơ quan thuế đã đầu tư công nghệ tốt để phát hiện trốn thuế, nhưng vẫn cần cải thiện hơn nữa về khả năng phát hiện gian lận.</t>
  </si>
  <si>
    <t>So với trước đây, các thủ tục khai báo thuế và quy trình làm việc đã đơn giản hóa, thuận tiện hơn nhiều.</t>
  </si>
  <si>
    <t>Biểu thuế mới có ít bậc hơn, dễ hiểu hơn so với trước đây, giúp việc tính toán thuế trở nên dễ dàng hơn.</t>
  </si>
  <si>
    <t>Mức giảm trừ gia cảnh mới và các bậc thuế suất đều hợp lý cho thu nhập của tôi, tạo cảm giác công bằng.</t>
  </si>
  <si>
    <t>Thuế đóng vào ngân sách sẽ được sử dụng để cải thiện dịch vụ công, tôi tin tưởng rằng số tiền đã đóng là đáng giá.</t>
  </si>
  <si>
    <t>Chính phủ đã giải thích đầy đủ về mục tiêu và lý do của việc sửa đổi thuế lần này.</t>
  </si>
  <si>
    <t>Sau khi xem xét tất cả, tôi ủng hộ chính sách mới vì nó mang lại lợi ích cho người dân và tạo cảm giác công bằng.</t>
  </si>
  <si>
    <t>Dù có công nghệ hỗ trợ, nhưng với quy định quản lý thuế hiện nay, việc phát hiện hành vi gian lận hay trốn thuế vẫn còn gặp nhiều khó khăn. Tuy nhiên, mức giảm trừ gia cảnh tăng lên và đơn giản hóa biểu thuế có thể giúp ngăn chặn tình trạng trốn thuế một phần.</t>
  </si>
  <si>
    <t>Nhà nước đã đầu tư vào công nghệ để quản lý thuế hiệu quả hơn, nhưng vẫn chưa đủ mạnh mẽ. Việc cải cách thuế mới sẽ tăng cường khả năng kiểm soát của cơ quan thuế.</t>
  </si>
  <si>
    <t>Quy trình khai báo thuế và làm việc với cơ quan thuế trở nên đơn giản, nhanh chóng hơn so với trước đây. Người dân không còn cảm thấy rườm rà như trước nữa.</t>
  </si>
  <si>
    <t>Bậc thuế đã được đơn giản hóa từ 7 xuống 5 bậc, làm cho việc tính toán và thực hiện thuế trở nên dễ dàng hơn. Việc tăng giảm trừ gia cảnh cũng giúp ích nhiều.</t>
  </si>
  <si>
    <t>Người nộp thuế như tôi có thể tin tưởng Nhà nước sẽ công bằng trong việc thực thi chính sách mới, do mức giảm trừ gia cảnh và đơn giản hóa biểu thuế đã giảm nhẹ gánh nặng tài chính.</t>
  </si>
  <si>
    <t>Mức thuế mới được tính phù hợp với thu nhập của tôi. Việc giảm trừ gia cảnh tăng lên giúp việc đóng thuế trở nên công bằng hơn so với trước đây.</t>
  </si>
  <si>
    <t>Tôi tin rằng số tiền thuế tôi đóng sẽ được sử dụng hiệu quả để cải thiện các dịch vụ công, đặc biệt là y tế và hạ tầng giao thông. Chính sách mới này thể hiện cam kết của Nhà nước trong việc nâng cao chất lượng cuộc sống cho người dân.</t>
  </si>
  <si>
    <t>Nhà nước đã giải thích rõ ràng về mục tiêu cải cách thuế, nhưng cần có thêm thông tin về hiệu quả sử dụng nguồn thu từ thuế để tôi cảm thấy hoàn toàn yên tâm.</t>
  </si>
  <si>
    <t>Sau khi xem xét các quyền lợi và nghĩa vụ, tôi ủng hộ chính sách mới hiện nay. Nó đã giảm gánh nặng cho người dân như tôi, đồng thời đơn giản hóa quy trình làm việc với cơ quan thuế.</t>
  </si>
  <si>
    <t>Điều kiện quản lý thuế hiện tại chưa rõ ràng, nhưng với sự phát triển của công nghệ, khả năng phát hiện trốn thuế có thể tăng lên.</t>
  </si>
  <si>
    <t>Cơ quan thuế đã đầu tư vào công nghệ, giúp việc phát hiện và xử lý gian lận trở nên dễ dàng hơn.</t>
  </si>
  <si>
    <t>Biểu thuế mới có ít bậc, dễ hiểu và thực hiện thuận tiện hơn.</t>
  </si>
  <si>
    <t>Tôi tin rằng cơ quan thuế sẽ công bằng khi áp dụng chính sách mới cho mọi người nộp thuế.</t>
  </si>
  <si>
    <t>Mức thuế mới được tính dựa trên thu nhập, tôi thấy nó là một mức hợp lý.</t>
  </si>
  <si>
    <t>Thuế của tôi sẽ được sử dụng để cải thiện dịch vụ công, điều này làm tăng niềm tin của tôi.</t>
  </si>
  <si>
    <t>Nhà nước đã giải thích rõ ràng về mục tiêu và lý do sửa đổi thuế lần này.</t>
  </si>
  <si>
    <t>Chính sách mới có lợi cho tôi, tăng thu nhập ròng của tôi, nên tôi ủng hộ và tuân thủ nó.</t>
  </si>
  <si>
    <t>Mức giảm trừ gia cảnh tăng và biểu thuế đơn giản hơn nên việc trốn thuế sẽ khó khăn hơn, tuy nhiên, tôi vẫn lo ngại về khả năng thực thi của cơ quan thuế.</t>
  </si>
  <si>
    <t>Nhà nước đã có nhiều nỗ lực trong việc cải thiện công nghệ quản lý thuế, nhưng vẫn cần thời gian để hoàn thiện</t>
  </si>
  <si>
    <t>Quy trình khai báo thuế trở nên đơn giản hơn, thủ tục làm việc với cơ quan thuế cũng thuận lợi hơn so với trước đây.</t>
  </si>
  <si>
    <t>Biểu thuế mới có ít bậc và dễ hiểu hơn, giúp tôi tính toán nhanh chóng hơn</t>
  </si>
  <si>
    <t>Tôi tin rằng cơ quan thuế sẽ thực thi chính sách một cách công bằng, nhưng vẫn có sự nghi ngờ về khả năng quản lý thuế của họ.</t>
  </si>
  <si>
    <t>Mức thuế mới là phù hợp với thu nhập của tôi và người phụ thuộc, tôi thấy nó công bằng</t>
  </si>
  <si>
    <t>Tiền thuế đóng góp vào việc cải thiện dịch vụ công như y tế và giao thông, điều này tạo niềm tin cho tôi.</t>
  </si>
  <si>
    <t>Nhà nước đã giải thích rõ ràng về mục tiêu của chính sách mới, mặc dù đôi khi vẫn cảm thấy thiếu minh bạch</t>
  </si>
  <si>
    <t>Sau khi xem xét các quyền lợi và nghĩa vụ, tôi ủng hộ và sẽ tuân thủ chính sách mới.</t>
  </si>
  <si>
    <t>Trong thực tế, tôi thấy cơ quan thuế có nhiều biện pháp để phát hiện hành vi gian lận hoặc trốn thuế, tuy nhiên, hiệu quả của chúng còn phụ thuộc vào các yếu tố khác như sự tuân thủ từ phía người nộp thuế.</t>
  </si>
  <si>
    <t>Nhà nước và cơ quan thuế có công nghệ tiên tiến để phát hiện hành vi trốn thuế, tuy nhiên, việc này vẫn cần sự hỗ trợ từ cộng đồng để đạt hiệu quả cao nhất.</t>
  </si>
  <si>
    <t>Các quy trình làm việc với cơ quan thuế đã đơn giản hơn trước đây, thủ tục khai báo thuế cũng thuận tiện và nhanh chóng hơn nhiều. Điều này tạo điều kiện thuận lợi cho người dân.</t>
  </si>
  <si>
    <t>Phương án mới có ít bậc thuế và mức giảm trừ gia cảnh cao hơn, khiến việc tính thuế trở nên đơn giản và dễ hiểu hơn so với trước đây.</t>
  </si>
  <si>
    <t>Tôi tin rằng cơ quan thuế sẽ thực thi chính sách một cách công bằng đối với tất cả các cá nhân nộp thuế. Các quy định mới này tạo ra sự công bằng trong việc phân bổ nghĩa vụ và quyền lợi cho người dân.</t>
  </si>
  <si>
    <t>Mức thuế mà tôi phải đóng theo phương án mới là hợp lý, phù hợp với thu nhập của mình. Điều này thể hiện tính công bằng trong việc chia sẻ nghĩa vụ giữa các cá nhân và tổ chức.</t>
  </si>
  <si>
    <t>Tôi tin rằng số tiền thuế tôi đóng sẽ được sử dụng hiệu quả để cải thiện dịch vụ công, từ đó tạo ra lợi ích cho cộng đồng nói chung và người dân như tôi.</t>
  </si>
  <si>
    <t>Nhà nước đã giải thích rõ ràng về lý do và mục tiêu của việc sửa đổi thuế lần này. Thông tin được cung cấp đầy đủ, minh bạch giúp tạo niềm tin cho người dân.</t>
  </si>
  <si>
    <t>Sau khi xem xét các quyền lợi và nghĩa vụ, tôi ủng hộ chính sách mới hiện nay vì nó mang lại nhiều ưu điểm như giảm gánh nặng thuế, tăng tính đơn giản trong việc khai báo và phát huy hiệu quả sử dụng số tiền đóng thuế.</t>
  </si>
  <si>
    <t>Dù có công nghệ hỗ trợ, nhưng với mức thuế giảm đáng kể, khả năng phát hiện gian lận trở nên khó khăn hơn. Tuy nhiên, quy định rõ ràng về các bậc thuế mới giúp làm giảm nguy cơ trốn thuế.</t>
  </si>
  <si>
    <t>Nhà nước có thể chưa hoàn thiện công nghệ để phát hiện gian lận hiệu quả, nhưng việc minh bạch hóa quy định mới đã tạo điều kiện cho việc thực thi tốt hơn.</t>
  </si>
  <si>
    <t>Các bước khai thuế và giao dịch với cơ quan thuế đơn giản hơn so với trước đây. Quy trình nhanh chóng, thủ tục gọn gàng.</t>
  </si>
  <si>
    <t>Bậc thuế mới đơn giản hóa quy trình tính toán, dễ hiểu và thực hiện hơn so với hệ thống cũ.</t>
  </si>
  <si>
    <t>Tôi tin rằng nhà nước sẽ thực thi chính sách một cách công bằng, nhưng vẫn có lo ngại về khả năng phát hiện gian lận hiệu quả.</t>
  </si>
  <si>
    <t>Thuế mới được điều chỉnh phù hợp với thu nhập của tôi, tạo cảm giác công bằng.</t>
  </si>
  <si>
    <t>Đồng ý đóng thuế vì biết rằng tiền sẽ được sử dụng hiệu quả để cải thiện dịch vụ công.</t>
  </si>
  <si>
    <t>Nhà nước đã giải thích rõ về mục tiêu của chính sách mới, nhưng vẫn có lo ngại về khả năng thực thi.</t>
  </si>
  <si>
    <t>Tôi ủng hộ và tuân thủ chính sách mới vì nó đơn giản hơn, công bằng và tạo ra lợi ích tài chính cho tôi.</t>
  </si>
  <si>
    <t>Việc tăng mức giảm trừ gia cảnh và đơn giản hóa biểu thuế có thể làm giảm động lực để gian lận, nhưng vẫn cần sự giám sát chặt chẽ từ cơ quan thuế.</t>
  </si>
  <si>
    <t>Cơ quan thuế có công nghệ hiện đại nên việc phát hiện và xử lý trốn thuế sẽ nhanh chóng hơn so với trước đây.</t>
  </si>
  <si>
    <t>Thủ tục khai báo thuế trở nên đơn giản, giảm bớt thời gian và công sức cho người dân.</t>
  </si>
  <si>
    <t>Biểu thuế mới đơn giản hơn so với trước đây, dễ hiểu và thực hiện nhanh chóng hơn.</t>
  </si>
  <si>
    <t>Nhà nước đã cố gắng đảm bảo công bằng trong việc áp dụng thuế mới, tuy nhiên vẫn cần thêm thời gian để đánh giá hiệu quả.</t>
  </si>
  <si>
    <t>Dựa trên tác động tài chính, mức thuế mới là hợp lý cho thu nhập của tôi và người phụ thuộc.</t>
  </si>
  <si>
    <t>Hiểu được mục tiêu cải cách thuế giúp tin tưởng hơn về việc sử dụng số tiền thuế đóng vào các dịch vụ công hiệu quả.</t>
  </si>
  <si>
    <t>Cơ quan thuế đã giải thích rõ ràng về lý do và mục đích của việc sửa đổi thuế, tạo ra sự minh bạch cần thiết.</t>
  </si>
  <si>
    <t>Chính sách mới mang lại lợi ích tài chính cho tôi, giảm gánh nặng thuế nên sẽ tuân thủ.</t>
  </si>
  <si>
    <t>Việc tăng giảm trừ gia cảnh và đơn giản hóa biểu thuế có thể làm giảm khả năng phát hiện sai phạm, nhưng vẫn tin tưởng cơ quan thuế sẽ thực thi nghiêm minh.</t>
  </si>
  <si>
    <t>Cơ quan thuế đã nâng cấp công nghệ và nhân lực để theo dõi gian lận, tăng cường kiểm tra định kỳ nên khả năng phát hiện trốn thuế cao hơn.</t>
  </si>
  <si>
    <t>Thủ tục khai báo thuế trở nên đơn giản hơn với mức giảm trừ gia cảnh và số bậc thuế ít đi, thuận tiện cho người nộp thuế.</t>
  </si>
  <si>
    <t>Biểu thuế mới dễ hiểu và đơn giản hơn so với trước đây, giúp tính toán nhanh chóng và chính xác hơn.</t>
  </si>
  <si>
    <t>Nhà nước công bố rõ ràng về mục tiêu cải cách thuế nên tôi tin vào sự công bằng trong việc thực thi pháp luật.</t>
  </si>
  <si>
    <t>Thuế theo phương án mới giảm đáng kể, mức này là hợp lý cho thu nhập của tôi và số người phụ thuộc</t>
  </si>
  <si>
    <t>Tiền thuế giảm giúp cải thiện khả năng chi trả cho việc sử dụng dịch vụ công như y tế, giáo dục.</t>
  </si>
  <si>
    <t>Nhà nước đã giải thích rõ ràng về mục tiêu và lý do của việc sửa đổi thuế lần này, tăng sự tin tưởng.</t>
  </si>
  <si>
    <t>Chính sách mới mang lại nhiều lợi ích tài chính cho tôi, đồng thời giảm độ phức tạp nên tôi ủng hộ</t>
  </si>
  <si>
    <t>Hiện nay, với sự phát triển của công nghệ và quản lý thuế, tôi tin rằng hành vi gian lận hoặc trốn thuế sẽ dễ bị phát hiện. Cơ quan thuế có thể sử dụng các hệ thống thông tin để theo dõi hiệu quả.</t>
  </si>
  <si>
    <t>Nhà nước đã đầu tư vào công nghệ và nhân lực để cải thiện khả năng quản lý thuế, do đó tôi tin rằng họ sẽ xử lý nghiêm túc các hành vi trốn thuế.</t>
  </si>
  <si>
    <t>Quy trình khai thuế trở nên đơn giản hơn khi số bậc thuế giảm và quy định rõ ràng hơn. Điều này giúp việc làm việc với cơ quan thuế dễ dàng hơn.</t>
  </si>
  <si>
    <t>Biểu thuế mới đơn giản hóa các bậc thuế, do đó tính toán và khai báo thuế trở nên dễ hiểu và thực hiện nhanh chóng hơn so với trước đây.</t>
  </si>
  <si>
    <t>Tôi tin rằng Nhà nước sẽ thực thi chính sách một cách công bằng đối xử với mọi người nộp thuế. Điều này thể hiện qua mức giảm trừ gia cảnh và bậc thuế mới.</t>
  </si>
  <si>
    <t>Với thu nhập của tôi, mức thuế mới được xem là hợp lý. Việc tăng giảm trừ gia cảnh giúp cân nhắc lại mức thuế phải đóng.</t>
  </si>
  <si>
    <t>Thuế tôi đóng sẽ được sử dụng hiệu quả để cải thiện các dịch vụ công. Điều này tạo niềm tin cho việc đóng góp của mỗi cá nhân vào xã hội.</t>
  </si>
  <si>
    <t>Nhà nước đã giải thích rõ ràng về mục tiêu và lý do của việc sửa đổi chính sách thuế, từ đó tăng sự minh bạch và niềm tin của người dân.</t>
  </si>
  <si>
    <t>Sau khi xem xét các quyền lợi và nghĩa vụ, tôi ủng hộ và tuân thủ chính sách mới vì nó mang lại nhiều lợi ích cho tôi. Việc giảm trừ gia cảnh và đơn giản hóa quy trình khai báo thuế là những điểm tích cực.</t>
  </si>
  <si>
    <t>Việc tăng mức giảm trừ gia cảnh và đơn giản hóa biểu thuế có thể làm giảm động lực cho hành vi gian lận hoặc trốn thuế. Tuy nhiên, vẫn còn khả năng người dân sẽ nghi ngờ về việc thực thi pháp luật.</t>
  </si>
  <si>
    <t>Nhà nước và cơ quan thuế đã đầu tư công nghệ hiện đại để phát hiện và xử lý các hành vi trốn thuế. Mức độ tin tưởng này cao hơn so với trước đây do cải cách.</t>
  </si>
  <si>
    <t>Thủ tục khai báo thuế và quy trình làm việc với cơ quan thuế đã trở nên đơn giản hơn, giảm thời gian chờ đợi và thủ tục rườm rà. Điều này khiến quá trình thực hiện thuế thuận tiện hơn.</t>
  </si>
  <si>
    <t>Biểu thuế mới có ít bậc hơn, dễ hiểu và dễ thực hiện hơn so với trước đây. Việc giảm số bậc thuế giúp người dân tính toán nhanh chóng hơn.</t>
  </si>
  <si>
    <t>Tôi tin rằng Nhà nước sẽ thực thi chính sách một cách công bằng và khách quan, nhưng vẫn có sự nghi ngờ về việc quản lý thuế chặt chẽ.</t>
  </si>
  <si>
    <t>Các mức thuế mới được thiết lập phù hợp với thu nhập của tôi. Mức giảm trừ gia cảnh tăng giúp tôi tiết kiệm nhiều hơn, tạo cảm giác công bằng.</t>
  </si>
  <si>
    <t>Tôi tin rằng số tiền thuế đóng sẽ được sử dụng hiệu quả để cải thiện dịch vụ công, mặc dù vẫn có sự lo ngại về việc quản lý chi tiêu của Nhà nước.</t>
  </si>
  <si>
    <t>Nhà nước đã giải thích rõ ràng về mục đích và nguyên nhân của việc sửa đổi thuế, tạo niềm tin cho người dân.</t>
  </si>
  <si>
    <t>Đối với tôi, sau khi xem xét các quyền lợi và nghĩa vụ mới, tôi ủng hộ chính sách này. Nó giúp tôi tiết kiệm được một khoản tiền đáng kể và thủ tục thuế trở nên thuận tiện hơn.</t>
  </si>
  <si>
    <t>Với mức thuế giảm đáng kể và quy định quản lý thuế rõ ràng, tôi tin rằng hành vi gian lận hoặc trốn thuế sẽ khó xảy ra. Cơ quan thuế có nhiều công cụ để phát hiện các hành vi bất thường.</t>
  </si>
  <si>
    <t>Nhà nước đã đầu tư vào công nghệ và nhân lực cho ngành thuế, do đó khả năng kiểm soát thuế trở nên mạnh mẽ hơn. Tôi tin rằng họ sẽ xử lý nghiêm các trường hợp trốn thuế.</t>
  </si>
  <si>
    <t>Quy trình làm việc với cơ quan thuế và khai báo thuế đã đơn giản hóa rất nhiều, giúp tôi tiết kiệm thời gian. Thủ tục trở nên thuận tiện hơn so với trước đây.</t>
  </si>
  <si>
    <t>Các bậc thuế mới rõ ràng hơn, dễ hiểu hơn, và việc tính toán thuế cũng trở nên đơn giản. Điều này giúp tôi có thể nắm bắt chính xác mức thuế phải đóng.</t>
  </si>
  <si>
    <t>Tôi tin rằng Nhà nước sẽ thực thi chính sách một cách công bằng, khách quan và đối xử bình đẳng với mọi người nộp thuế. Các quy định mới có lợi cho tôi và gia đình.</t>
  </si>
  <si>
    <t>Lợi ích từ việc giảm trừ gia cảnh và đơn giản hóa bậc thuế làm cho mức thuế hiện tại của tôi hợp lý, công bằng hơn so với trước đây.</t>
  </si>
  <si>
    <t>Thuế đóng góp vào sự phát triển chung của đất nước. Tôi tin rằng số tiền thuế này sẽ được sử dụng hiệu quả để cải thiện dịch vụ công và cơ sở hạ tầng.</t>
  </si>
  <si>
    <t>Nhà nước đã giải thích rõ ràng về mục tiêu của việc sửa đổi luật thuế, cũng như cách thức thực hiện. Điều này làm tăng niềm tin vào sự minh bạch trong chính sách.</t>
  </si>
  <si>
    <t>Tôi ủng hộ và tuân thủ chính sách mới vì nó mang lại lợi ích cho tôi và gia đình đồng thời góp phần phát triển kinh tế. Việc giảm thuế và đơn giản hóa quy trình làm việc cũng khiến tôi thấy hài lòng.</t>
  </si>
  <si>
    <t>Nhà nước đã tăng cường công nghệ và nguồn lực cho cơ quan thuế, tuy nhiên, thực tế vẫn còn nhiều trường hợp trốn thuế khó phát hiện.</t>
  </si>
  <si>
    <t>Cơ quan thuế có khả năng cao hơn trong việc phát hiện gian lận do quy định rõ ràng và tăng mức giảm trừ gia cảnh, nhưng thực tế xử lý vẫn cần thời gian.</t>
  </si>
  <si>
    <t>Quy trình khai báo thuế đơn giản hơn so với trước đây, đặc biệt là với việc tăng mức giảm trừ gia cảnh và số bậc thuế giảm đi.</t>
  </si>
  <si>
    <t>Cách tính thuế mới rõ ràng và dễ hiểu hơn so với trước đây, giúp tôi nắm bắt nhanh chóng.</t>
  </si>
  <si>
    <t>Tôi tin rằng cơ quan thuế sẽ thực thi chính sách một cách công bằng vì mức giảm trừ gia cảnh tăng cao, giảm gánh nặng cho người dân.</t>
  </si>
  <si>
    <t>Thuế mới được tính công bằng hơn với mức giảm trừ gia cảnh và bậc thuế rõ ràng, phù hợp với thu nhập của tôi.</t>
  </si>
  <si>
    <t>Tài sản thuế được sử dụng hiệu quả trong việc cải thiện dịch vụ công như y tế và giao thông, giúp nâng cao chất lượng cuộc sống.</t>
  </si>
  <si>
    <t>Nhà nước đã giải thích rõ ràng về mục đích của việc sửa đổi thuế lần này, tạo sự tin tưởng cho người dân.</t>
  </si>
  <si>
    <t>Tôi ủng hộ và tuân thủ chính sách mới vì nó giảm gánh nặng tài chính và tăng niềm tin vào hệ thống thuế hiện tại.</t>
  </si>
  <si>
    <t>Cơ quan thuế có nhiều công cụ để phát hiện hành vi gian lận, tuy nhiên mức độ hiệu quả phụ thuộc vào việc thực thi.</t>
  </si>
  <si>
    <t>Nhà nước đã đầu tư công nghệ và nguồn lực cho cơ quan thuế để nâng cao khả năng quản lý, xử lý nghiêm các hành vi trốn thuế.</t>
  </si>
  <si>
    <t>Quy trình khai báo thuế đơn giản hơn, tiết kiệm thời gian hơn so với trước đây.</t>
  </si>
  <si>
    <t>Biểu thuế mới đơn giản hóa việc tính toán và dễ dàng áp dụng hơn so với trước đây.</t>
  </si>
  <si>
    <t>Tôi tin tưởng rằng cơ quan thuế sẽ thực thi công bằng, tuy nhiên sự công bằng còn phụ thuộc vào cách hiểu và ứng dụng chính sách.</t>
  </si>
  <si>
    <t>Những thay đổi trong biểu thuế mới giúp tôi giảm gánh nặng về mặt tài chính, điều này cho thấy mức thuế là công bằng với thu nhập của tôi.</t>
  </si>
  <si>
    <t>Thuế tôi đóng sẽ được sử dụng để cải thiện chất lượng cuộc sống thông qua các dịch vụ công, nhưng hiệu quả sử dụng nguồn lực còn phụ thuộc vào quản lý của Nhà nước.</t>
  </si>
  <si>
    <t>Nhà nước đã giải thích rõ ràng về mục tiêu và ý nghĩa của việc sửa đổi thuế, giúp tôi hiểu được sự cần thiết của nó.</t>
  </si>
  <si>
    <t>Tôi ủng hộ chính sách mới vì nó mang lại lợi ích tài chính cho bản thân tôi và gia đình, đồng thời cũng đơn giản hóa quy trình khai báo thuế.</t>
  </si>
  <si>
    <t>Dựa trên mức thuế giảm, tôi tin rằng cơ quan thuế sẽ có đủ khả năng để giám sát và xử lý nghiêm các hành vi trốn thuế.</t>
  </si>
  <si>
    <t>Công nghệ hiện đại giúp phát hiện gian lận hoặc trốn thuế dễ dàng hơn, đồng thời hệ thống quản lý thuế ngày càng chuyên nghiệp hóa.</t>
  </si>
  <si>
    <t>Quy trình khai báo thuế trở nên đơn giản và nhanh chóng, giảm bớt gánh nặng hành chính cho người dân.</t>
  </si>
  <si>
    <t>Số bậc thuế được rút gọn từ 7 xuống còn 5, khiến việc tính toán thuế trở nên dễ dàng hơn mà không mất đi tính công bằng.</t>
  </si>
  <si>
    <t>Mức giảm trừ gia cảnh và số bậc thuế mới đều thể hiện sự công bằng trong việc phân bổ gánh nặng thuế cho người dân.</t>
  </si>
  <si>
    <t>Tôi tin rằng mức thuế tôi phải đóng là hợp lý, phù hợp với thu nhập của mình.</t>
  </si>
  <si>
    <t>Thuế được sử dụng để đầu tư vào các dịch vụ công, cải thiện chất lượng cuộc sống cho người dân.</t>
  </si>
  <si>
    <t>Nhà nước đã minh bạch về mục tiêu và lý do của việc sửa đổi thuế lần này, giúp tôi hiểu rõ hơn.</t>
  </si>
  <si>
    <t>Dựa trên sự thay đổi tích cực trong các quy định, tôi ủng hộ và tuân thủ chính sách mới.</t>
  </si>
  <si>
    <t>Dựa trên các quy định quản lý thuế hiện nay, tôi tin rằng hành vi gian lận hoặc trốn thuế sẽ dễ dàng bị phát hiện và xử lý nghiêm. Với sự giám sát chặt chẽ của cơ quan thuế, nguy cơ trốn thuế giảm đáng kể.</t>
  </si>
  <si>
    <t>Nhà nước đã đầu tư công nghệ cao để phát hiện các hành vi trốn thuế và xử lý nghiêm. Tăng cường quản lý sẽ giúp giảm thiểu tình trạng gian lận.</t>
  </si>
  <si>
    <t>Thủ tục khai báo thuế đơn giản hơn với mức giảm trừ gia cảnh tăng cao, dễ thực hiện hơn so với trước đây. Quy trình làm việc với cơ quan thuế cũng tiện lợi hơn nhiều.</t>
  </si>
  <si>
    <t>Biểu thuế mới đơn giản hóa bậc thuế từ 7 xuống 5, dễ hiểu và dễ thực hiện hơn. Việc tính thuế trở nên rõ ràng và trực tiếp hơn so với trước đây.</t>
  </si>
  <si>
    <t>Tôi tin rằng Nhà nước sẽ thực thi chính sách một cách công bằng và khách quan đối với mọi người nộp thuế, không phân biệt ai đóng bao nhiêu thuế.</t>
  </si>
  <si>
    <t>Mức thuế mới theo phương án mới là hợp lý. Với thu nhập của tôi, mức thuế này giảm đáng kể so với trước đây nên tôi thấy nó công bằng.</t>
  </si>
  <si>
    <t>Thuế đóng góp vào sự phát triển cơ sở hạ tầng và dịch vụ công. Tôi tin rằng số tiền thuế tôi đóng sẽ được sử dụng hiệu quả để cải thiện chất lượng cuộc sống của người dân.</t>
  </si>
  <si>
    <t>Nhà nước đã giải thích rõ ràng về mục tiêu và lý do sửa đổi luật thuế lần này. Điều này tăng cường niềm tin của tôi vào quyết định quản lý tài chính của Nhà nước.</t>
  </si>
  <si>
    <t>Sau khi xem xét các quyền lợi và nghĩa vụ, tôi ủng hộ và tuân thủ chính sách mới hiện nay. Nó mang lại lợi ích đáng kể cho tôi và gia đình.</t>
  </si>
  <si>
    <t>Có sự cải tiến trong quản lý thuế, nhưng vẫn có khả năng gian lận nếu không tuân thủ đúng quy định.</t>
  </si>
  <si>
    <t>Nhà nước và cơ quan thuế đã tăng cường công nghệ để phát hiện hành vi trốn thuế, tuy nhiên, sự tuân thủ của người dân là yếu tố quyết định.</t>
  </si>
  <si>
    <t>Thủ tục khai báo và làm việc với cơ quan thuế dễ dàng hơn do mức giảm trừ gia cảnh cao hơn, số bậc thuế ít hơn.</t>
  </si>
  <si>
    <t>Cách tính thuế đơn giản hóa nhiều so với trước đây, người dân dễ hiểu và thực hiện.</t>
  </si>
  <si>
    <t>Tôi tin rằng Nhà nước sẽ công tâm trong việc thực thi chính sách mới.</t>
  </si>
  <si>
    <t>Nhìn chung, mức thuế mới là công bằng đối với thu nhập của tôi và người cùng nhóm.</t>
  </si>
  <si>
    <t>Nhà nước đã giải thích rõ về mục tiêu của việc sửa đổi thuế, tuy nhiên, có thể cần thêm thông tin cụ thể hơn.</t>
  </si>
  <si>
    <t>Tôi ủng hộ chính sách mới vì nó giúp tôi tiết kiệm được một khoản tiền đáng kể và thủ tục đơn giản hơn.</t>
  </si>
  <si>
    <t>Nếu các quy định quản lý thuế hiện nay được thực thi đúng và công bằng, tôi tin rằng hành vi gian lận hoặc trốn thuế sẽ dễ dàng bị phát hiện. Tuy nhiên, do kinh nghiệm cá nhân cho thấy vẫn còn một số trường hợp không tuân thủ, nên điểm số không quá cao.</t>
  </si>
  <si>
    <t>Nhà nước và cơ quan thuế đã áp dụng nhiều công nghệ hiện đại như hệ thống điện tử để quản lý thuế, do đó khả năng phát hiện gian lận hoặc trốn thuế tăng lên. Tuy nhiên, vẫn cần thêm thời gian để thực sự kiểm chứng.</t>
  </si>
  <si>
    <t>So với trước đây, quy trình khai báo và làm việc với cơ quan thuế đã đơn giản hơn nhiều do các thủ tục điện tử. Điều này tạo thuận lợi cho công dân nộp thuế một cách dễ dàng.</t>
  </si>
  <si>
    <t>Biểu thuế mới có ít bậc hơn, giúp người dân tính toán và thực hiện nhanh chóng hơn, làm giảm sự phức tạp trong quá trình khai báo. Điều này cũng thuận lợi cho việc tuân thủ chính sách.</t>
  </si>
  <si>
    <t>Tôi tin rằng cơ quan thuế sẽ thực thi các quy định một cách khách quan và công bằng, nhưng cần thêm thời gian để kiểm chứng. Sự thay đổi về mức giảm trừ gia cảnh và bậc thuế mới tạo ra sự công bằng hơn.</t>
  </si>
  <si>
    <t>Sau khi xem xét các quyền lợi và nghĩa vụ, tôi cho rằng mức thuế mới đối với thu nhập của mình là hợp lý. Việc giảm trừ gia cảnh tăng lên cũng giúp tạo ra sự công bằng hơn.</t>
  </si>
  <si>
    <t>Tôi tin tưởng số tiền thuế đóng sẽ được sử dụng hiệu quả để cải thiện các dịch vụ công như y tế và giao thông, nhưng cần thêm thời gian để kiểm chứng việc này.</t>
  </si>
  <si>
    <t>Chính phủ đã giải thích rõ ràng về mục tiêu của việc sửa đổi thuế. Tuy nhiên, tôi hy vọng sẽ có thêm thông tin minh bạch về cách sử dụng số tiền thu thuế.</t>
  </si>
  <si>
    <t>Sau khi xem xét các quyền lợi và nghĩa vụ theo chính sách mới, tôi ủng hộ và tuân thủ nó. Việc giảm trừ gia cảnh tăng lên và đơn giản hóa biểu thuế tạo ra sự thuận lợi hơn cho người dân.</t>
  </si>
  <si>
    <t>Thuế TNCN đã được đơn giản hóa, tuy nhiên khả năng phát hiện trốn thuế vẫn còn hạn chế do thiếu công nghệ và nguồn lực.</t>
  </si>
  <si>
    <t>Cơ quan thuế có nhiều thay đổi trong quản lý thuế nhưng khả năng thực thi vẫn chưa tối ưu.</t>
  </si>
  <si>
    <t>Quy trình khai báo và làm việc với cơ quan thuế đơn giản hơn, thời gian nộp thuế nhanh chóng hơn.</t>
  </si>
  <si>
    <t>Các bậc thuế mới dễ hiểu hơn so với trước đây, thuận tiện cho người dân tính toán</t>
  </si>
  <si>
    <t>Nhà nước đã cố gắng minh bạch hóa quy trình nhưng vẫn có nghi ngờ về khả năng thực thi công bằng.</t>
  </si>
  <si>
    <t>Mức thuế mới tương đối hợp lý, giảm gánh nặng cho người dân</t>
  </si>
  <si>
    <t>Thuế đóng góp vào các dịch vụ công nhưng chưa rõ ràng về hiệu quả sử dụng.</t>
  </si>
  <si>
    <t>Đã có giải thích minh bạch về mục tiêu của việc sửa đổi thuế, tuy nhiên vẫn thiếu thông tin cụ thể</t>
  </si>
  <si>
    <t>Chính sách mới giúp tôi tiết kiệm tiền và đơn giản hóa quy trình nộp thuế nên tôi ủng hộ.</t>
  </si>
  <si>
    <t>Cơ quan thuế có nhiều công cụ để phát hiện gian lận, nên tôi tin rằng hành vi trốn thuế sẽ bị xử lý nghiêm khắc.</t>
  </si>
  <si>
    <t>Nhà nước và cơ quan thuế đã đầu tư vào công nghệ, tăng cường khả năng giám sát, do đó tôi tin họ có đủ khả năng phát hiện các hành vi trốn thuế.</t>
  </si>
  <si>
    <t>So với trước đây, quy trình làm việc với cơ quan thuế đơn giản hơn và thủ tục khai báo thuế thuận tiện hơn nhiều.</t>
  </si>
  <si>
    <t>Biểu thuế mới có ít bậc hơn và dễ hiểu hơn, giúp tôi tính toán nhanh chóng mà không gặp rắc rối.</t>
  </si>
  <si>
    <t>Tôi tin rằng các quy định mới sẽ được thực thi công bằng cho mọi người nộp thuế, do mức giảm trừ gia cảnh và bậc thuế đã thay đổi.</t>
  </si>
  <si>
    <t>Theo phương án mới, mức thuế tôi phải đóng là hợp lý và công bằng, phù hợp với thu nhập của tôi.</t>
  </si>
  <si>
    <t>Tôi tin rằng số tiền thuế tôi đóng sẽ được sử dụng hiệu quả để cải thiện các dịch vụ công cho cộng đồng.</t>
  </si>
  <si>
    <t>Nhà nước đã giải thích rõ ràng về mục tiêu và lý do của việc sửa đổi luật thuế, tạo ra sự minh bạch trong quy trình này.</t>
  </si>
  <si>
    <t>Tôi ủng hộ và tuân thủ chính sách mới vì nó mang lại lợi ích tài chính và thuận tiện hơn cho tôi.</t>
  </si>
  <si>
    <t>Hệ thống quản lý thuế hiện nay đã được cải thiện đáng kể, với nhiều biện pháp giám sát và xử lý gian lận. Tuy nhiên, việc phát hiện trốn thuế vẫn phụ thuộc vào độ tuân thủ của cá nhân.</t>
  </si>
  <si>
    <t>Cơ quan thuế đã đầu tư công nghệ để nâng cao hiệu quả quản lý, tuy nhiên, sự thành công còn phụ thuộc vào việc áp dụng và triển khai.</t>
  </si>
  <si>
    <t>Quy trình làm việc với cơ quan thuế trở nên đơn giản hơn, thủ tục khai báo thuế thuận tiện hơn. Tuy nhiên, vẫn cần thời gian để mọi người quen thuộc với quy định mới.</t>
  </si>
  <si>
    <t>Biểu thuế đã được đơn giản hóa và rõ ràng hơn, giúp việc tính toán thuế dễ dàng hơn. Việc giảm trừ gia cảnh cũng thuận lợi cho người nộp thuế.</t>
  </si>
  <si>
    <t>Tôi tin rằng cơ quan thuế sẽ thực hiện chính sách một cách công bằng, nhưng vẫn cần thời gian để mọi người cảm thấy hài lòng.</t>
  </si>
  <si>
    <t>Mức thuế mới được xem xét kỹ lưỡng và phù hợp với thu nhập của tôi. Việc giảm trừ gia cảnh tăng lên khiến tôi cảm thấy công bằng hơn.</t>
  </si>
  <si>
    <t>Thuế đóng góp vào các dịch vụ công cần thiết, và mức thuế mới giúp nâng cao chất lượng cuộc sống</t>
  </si>
  <si>
    <t>Nhà nước đã giải thích rõ ràng về mục tiêu của việc cải cách thuế. Tuy nhiên, tôi hy vọng sẽ có thêm thông tin chi tiết hơn.</t>
  </si>
  <si>
    <t>Tôi ủng hộ chính sách mới và cam kết tuân thủ vì mức thuế giảm đã giúp cải thiện tình hình tài chính của gia đình</t>
  </si>
  <si>
    <t>Nhà nước và cơ quan thuế có nhiều biện pháp quản lý, nhưng việc gian lận hay trốn thuế vẫn không thể 100% tránh khỏi do sự phức tạp của hệ thống tài chính cá nhân.</t>
  </si>
  <si>
    <t>Việc sử dụng công nghệ hiện đại giúp cải thiện khả năng phát hiện hành vi gian lận, nhưng vẫn có thể gặp khó khăn khi đánh giá toàn bộ thông tin cá nhân.</t>
  </si>
  <si>
    <t>Quy trình khai báo thuế trở nên đơn giản hơn, giảm thời gian và công sức cho người dân, thuận tiện hơn so với trước đây.</t>
  </si>
  <si>
    <t>Biểu thuế mới có ít bậc hơn, dễ hiểu và dễ thực hiện, giúp người dân tính toán nhanh chóng.</t>
  </si>
  <si>
    <t>Tôi tin rằng cơ quan thuế sẽ công tâm trong việc thực thi chính sách, nhưng vẫn có sự nghi ngờ về sự nhất quán trong quá trình đánh giá thu nhập.</t>
  </si>
  <si>
    <t>Nhìn chung, mức thuế mới là hợp lý đối với thu nhập của tôi, giảm gánh nặng tài chính so với trước đây.</t>
  </si>
  <si>
    <t>Thuế đóng góp vào việc cải thiện dịch vụ công và hạ tầng, nhưng hiệu quả sử dụng nguồn lực cần thêm giám sát.</t>
  </si>
  <si>
    <t>Nhà nước đã giải thích rõ ràng về mục tiêu của chính sách mới, nhưng vẫn có một số điểm không rõ ràng trong cách tính thuế.</t>
  </si>
  <si>
    <t>Sau khi xem xét tác động tài chính và sự đơn giản hóa quy trình khai báo, tôi ủng hộ và sẽ tuân thủ chính sách mới.</t>
  </si>
  <si>
    <t>Điều kiện thực thi hiện nay có thể vẫn còn hạn chế, nhưng với việc tăng giảm trừ gia cảnh và đơn giản hóa quy trình, hành vi gian lận sẽ dễ bị phát hiện hơn.</t>
  </si>
  <si>
    <t>Cơ quan thuế đã cải thiện khả năng quản lý thông qua các công nghệ mới, giúp tăng cường hiệu quả trong việc phát hiện và xử lý trốn thuế.</t>
  </si>
  <si>
    <t>Quy trình khai báo thuế trở nên đơn giản hơn với mức giảm trừ gia cảnh cao hơn và ít bậc thuế, thuận tiện cho người dân.</t>
  </si>
  <si>
    <t>Cách tính thuế mới đơn giản hóa quá trình tính toán và dễ thực hiện hơn so với trước đây, giúp tôi nắm bắt nhanh chóng hơn.</t>
  </si>
  <si>
    <t>Tôi tin rằng Nhà nước sẽ công bằng trong việc áp dụng chính sách mới vì đã tăng giảm trừ gia cảnh cho người dân.</t>
  </si>
  <si>
    <t>Nhìn chung, mức thuế tôi phải đóng phù hợp với thu nhập của mình và sự cải tiến giúp tôi cảm thấy công bằng hơn.</t>
  </si>
  <si>
    <t>Mặc dù không biết chi tiết sử dụng cụ thể, nhưng tin rằng số tiền thuế đóng sẽ được Nhà nước sử dụng hiệu quả cho các dịch vụ công.</t>
  </si>
  <si>
    <t>Nhà nước đã giải thích rõ ràng về mục tiêu của việc sửa đổi thuế lần này và tôi thấy có sự cải thiện trong quy định.</t>
  </si>
  <si>
    <t>Sau khi xem xét, tôi ủng hộ chính sách mới vì nó giúp giảm gánh nặng tài chính cho tôi mà vẫn đảm bảo công bằng.</t>
  </si>
  <si>
    <t>Cơ quan thuế có nhiều công cụ để phát hiện hành vi gian lận, nhưng vẫn cần sự giám sát chặt chẽ hơn nữa từ phía người dân.</t>
  </si>
  <si>
    <t>Nhà nước đã đầu tư vào công nghệ và nhân lực để nâng cao hiệu quả quản lý thuế, nhưng khả năng phát hiện vẫn phụ thuộc nhiều vào việc tuân thủ của cá nhân.</t>
  </si>
  <si>
    <t>So với trước đây, quy trình khai thuế đã đơn giản hơn. Tuy nhiên, vẫn cần cải tiến thêm về giao diện trực tuyến và hỗ trợ người dân.</t>
  </si>
  <si>
    <t>Biểu thuế mới có ít bậc hơn, dễ hiểu và thực hiện nhanh chóng hơn. Điều này giúp giảm bớt sự phức tạp cho người nộp thuế.</t>
  </si>
  <si>
    <t>Công bằng trong việc áp dụng chính sách mới là điều quan trọng. Mức thuế mới có thể được xem là hợp lý so với thu nhập của tôi.</t>
  </si>
  <si>
    <t>Mức thuế mới giảm đáng kể so với trước đây, giúp tôi cảm thấy công bằng hơn khi đóng thuế.</t>
  </si>
  <si>
    <t>Thuế được sử dụng để cải thiện các dịch vụ công có lợi cho toàn xã hội. Tuy nhiên, sự minh bạch trong việc sử dụng nguồn thu từ thuế là điều tôi quan tâm.</t>
  </si>
  <si>
    <t>Nhà nước đã giải thích rõ về mục đích và quy định mới của chính sách thuế, nhưng có thể cần thêm thông tin chi tiết hơn để người dân hiểu rõ.</t>
  </si>
  <si>
    <t>Chính sách mới giúp tôi tiết kiệm được nhiều tiền thuế. Tôi ủng hộ việc cải cách này để tạo ra một hệ thống thuế công bằng và hiệu quả hơn.</t>
  </si>
  <si>
    <t>Nhà nước đã tăng cường công nghệ và đội ngũ kiểm tra thuế, tuy nhiên vẫn có khả năng trốn tránh thông qua các phương pháp kỹ thuật cao.</t>
  </si>
  <si>
    <t>Cơ quan thuế có nhiều nguồn lực hơn để phát hiện gian lận nhờ công nghệ và quy định rõ ràng hơn về giảm trừ gia cảnh.</t>
  </si>
  <si>
    <t>Thủ tục khai báo thuế đã đơn giản hóa đáng kể, người dân dễ dàng tiếp cận và làm việc với cơ quan thuế hơn.</t>
  </si>
  <si>
    <t>Biểu thuế mới có ít bậc hơn nhưng vẫn phức tạp đối với người không am hiểu về thuế, cần thêm hướng dẫn.</t>
  </si>
  <si>
    <t>Tôi tin rằng Nhà nước sẽ công tâm trong việc thực thi chính sách mới, tuy nhiên vẫn có lo ngại về sự thống nhất giữa các cơ quan.</t>
  </si>
  <si>
    <t>Mức thuế mới giảm đáng kể so với trước đây, giúp tôi thấy rằng mức đóng góp của mình là công bằng.</t>
  </si>
  <si>
    <t>Đồng ý, số tiền thuế đóng sẽ được sử dụng hiệu quả để cải thiện các dịch vụ công và chất lượng cuộc sống.</t>
  </si>
  <si>
    <t>Nhà nước đã giải thích rõ về mục tiêu của chính sách mới nhưng cần thêm thông tin cụ thể hơn về việc sử dụng nguồn thu thuế.</t>
  </si>
  <si>
    <t>Chính sách mới giúp tôi tiết kiệm được nhiều tiền, đồng thời thủ tục đơn giản hóa tạo điều kiện thuận lợi cho người dân như tôi.</t>
  </si>
  <si>
    <t>Cơ quan thuế có nhiều biện pháp kiểm soát và công nghệ phát triển, nhưng vẫn lo ngại về khả năng thực thi.</t>
  </si>
  <si>
    <t>Nhà nước đã đầu tư vào hệ thống công nghệ thông tin cho cơ quan thuế nên khả năng quản lý được cải thiện.</t>
  </si>
  <si>
    <t>Quy trình làm việc với cơ quan thuế trở nên đơn giản hơn so với trước đây, đặc biệt là với mức giảm trừ gia cảnh mới.</t>
  </si>
  <si>
    <t>Biểu thuế được đơn giản hóa từ 7 bậc xuống còn 5 bậc, dễ hiểu và thực hiện hơn nhiều.</t>
  </si>
  <si>
    <t>Hiểu rõ về mục đích của việc sửa đổi luật thuế, tin tưởng vào sự công bằng trong cách thực thi.</t>
  </si>
  <si>
    <t>Mức thuế mới được xem là phù hợp với thu nhập hiện tại, cảm thấy công bằng khi đóng thuế.</t>
  </si>
  <si>
    <t>Thuận lợi hơn khi sử dụng số tiền thuế để cải thiện dịch vụ công, tăng niềm tin vào sự quản lý tài chính của nhà nước.</t>
  </si>
  <si>
    <t>Đã nhận được thông tin đầy đủ về việc sửa đổi thuế và mục tiêu của nó từ cơ quan chức năng.</t>
  </si>
  <si>
    <t>Tích cực ủng hộ chính sách mới, đồng thời tuân thủ vì lợi ích cá nhân cũng như cộng đồng.</t>
  </si>
  <si>
    <t>Trong thực tế, các quy định quản lý thuế hiện nay chưa thật sự hiệu quả trong việc phát hiện gian lận hoặc trốn thuế. Tuy nhiên, với những cải tiến về công nghệ và hệ thống, khả năng phát hiện có thể tăng lên.</t>
  </si>
  <si>
    <t>Nhà nước và cơ quan thuế đã đầu tư vào các công nghệ mới để cải thiện hiệu quả quản lý. Tuy nhiên, việc thực thi vẫn còn hạn chế về mặt kỹ thuật và nhân lực.</t>
  </si>
  <si>
    <t>Các quy trình khai báo thuế trở nên đơn giản hơn với mức giảm trừ gia cảnh cao hơn và số bậc thuế ít đi. Tuy nhiên, vẫn còn một số thủ tục phức tạp cần cải thiện.</t>
  </si>
  <si>
    <t>Biểu thuế mới đơn giản hóa việc tính toán thu nhập chịu thuế và các mức thuế suất rõ ràng hơn. Điều này giúp người dân dễ dàng nắm bắt và tuân thủ.</t>
  </si>
  <si>
    <t>Tôi tin Nhà nước sẽ thực thi chính sách một cách công bằng, nhưng vẫn có sự bất nhất trong việc áp dụng các quy định.</t>
  </si>
  <si>
    <t>Mức thuế mới hợp lý với thu nhập của tôi. Tuy nhiên, mức giảm trừ gia cảnh cao hơn có thể khiến số người phải đóng thuế thấp hơn so với trước đây.</t>
  </si>
  <si>
    <t>Tôi tin rằng số tiền thuế đóng sẽ được sử dụng hiệu quả cho các dịch vụ công. Tuy nhiên, việc minh bạch trong sử dụng nguồn thu còn cần cải thiện.</t>
  </si>
  <si>
    <t>Nhà nước đã giải thích rõ ràng về mục tiêu của chính sách mới, nhưng vẫn có một số điểm chưa được làm rõ.</t>
  </si>
  <si>
    <t>Chính sách mới tạo ra lợi ích về mặt tài chính và thủ tục, tôi sẽ ủng hộ và tuân thủ nó. Tuy nhiên, cần cải thiện trong việc thực thi và minh bạch hơn nữa.</t>
  </si>
  <si>
    <t>Cơ quan thuế có đủ khả năng và công nghệ để phát hiện, xử lý nghiêm các hành vi trốn thuế. Với mức giảm trừ gia cảnh tăng lên, việc gian lận sẽ khó khăn hơn.</t>
  </si>
  <si>
    <t>Nhà nước đã đầu tư vào hệ thống quản lý thuế, do đó khả năng phát hiện và xử lý nghiêm các hành vi trốn thuế được cải thiện đáng kể.</t>
  </si>
  <si>
    <t>Quy trình khai báo thuế đơn giản hơn với mức giảm trừ gia cảnh cao hơn và số bậc thuế ít đi. Điều này giúp thủ tục tiện lợi, nhanh chóng hơn.</t>
  </si>
  <si>
    <t>Phương án mới có số bậc thuế ít đi nhưng các bước tính toán đơn giản hơn, dễ hiểu và dễ thực hiện hơn so với trước đây.</t>
  </si>
  <si>
    <t>Tôi tin Nhà nước sẽ thực thi chính sách một cách khách quan, công tâm. Mức giảm trừ gia cảnh tăng cho thấy sự đối xử bình đẳng giữa các cá nhân nộp thuế.</t>
  </si>
  <si>
    <t>Mức thuế mới tôi phải đóng là hợp lý và công bằng so với thu nhập của tôi. Thu nhập của tôi thuộc bậc thuế suất thấp, do đó mức giảm trừ gia cảnh tăng thêm càng giúp tiết kiệm hơn.</t>
  </si>
  <si>
    <t>Tôi tin số tiền thuế tôi đóng sẽ được sử dụng hiệu quả để cải thiện dịch vụ công. Mức tiết kiệm từ chính sách mới có thể góp phần vào việc cải thiện hạ tầng cơ sở hạ tầng và y tế.</t>
  </si>
  <si>
    <t>Nhà nước đã giải thích rõ ràng về mục tiêu của việc sửa đổi thuế, mặc dù tôi không phải là chuyên gia về thuế nhưng thông tin được cung cấp khá dễ hiểu.</t>
  </si>
  <si>
    <t>Tôi ủng hộ và tuân thủ chính sách mới vì mức giảm trừ gia cảnh tăng giúp tiết kiệm chi phí cá nhân, công bằng hơn với thu nhập của tôi. Mặc dù có một số thay đổi phức tạp nhưng kết quả mang lại tích cực.</t>
  </si>
  <si>
    <t xml:space="preserve">Nếu chỉ dựa trên thông tin hiện tại, tôi cho rằng khả năng phát hiện trốn thuế của cơ quan thuế chưa được cải thiện đáng kể. Tuy nhiên, với sự đơn giản hóa quy trình và giảm trừ gia cảnh, hành vi gian lận có thể sẽ giảm. </t>
  </si>
  <si>
    <t>Việc áp dụng công nghệ mới có thể giúp tăng cường khả năng phát hiện trốn thuế nhưng không chắc chắn trong ngắn hạn.</t>
  </si>
  <si>
    <t>Quy trình khai báo thuế đơn giản hơn và giảm trừ gia cảnh cao hơn đã làm cho việc nộp thuế dễ dàng và thuận tiện hơn.</t>
  </si>
  <si>
    <t>So với trước đây, phương án mới có ít bậc thuế hơn nên dễ hiểu và thực hiện hơn. Việc này giúp người dân không bị rối rắm với các quy định phức tạp.</t>
  </si>
  <si>
    <t>Tôi tin rằng cơ quan thuế sẽ công bằng trong việc áp dụng chính sách mới, nhưng cần thời gian để kiểm chứng</t>
  </si>
  <si>
    <t xml:space="preserve">Với mức thu nhập của tôi, giảm trừ gia cảnh cao hơn đã làm cho tôi cảm thấy rằng mức thuế đóng là công bằng. </t>
  </si>
  <si>
    <t>Thuế có thể được sử dụng hiệu quả để cải thiện dịch vụ công nhưng cần thời gian để đánh giá kết quả thực tế.</t>
  </si>
  <si>
    <t>Có sự minh bạch về mục tiêu của chính sách mới, tuy nhiên, tôi mong muốn có thêm thông tin về cách sử dụng số tiền thuế đã đóng</t>
  </si>
  <si>
    <t>Tổng hợp các yếu tố trên, tôi ủng hộ và tuân thủ chính sách mới vì nó đơn giản hóa quy trình và giảm gánh nặng tài chính cho tôi.</t>
  </si>
  <si>
    <t>Cơ quan thuế hiện nay có hệ thống quản lý và công nghệ phát triển, tuy nhiên việc thực thi vẫn phụ thuộc vào nguồn lực và quyết tâm của họ. Việc trốn thuế vẫn có thể xảy ra nhưng khả năng bị phát hiện đã tăng lên.</t>
  </si>
  <si>
    <t>Nhà nước đã đầu tư nhiều vào công nghệ quản lý thuế, do đó việc phát hiện các hành vi trốn thuế sẽ dễ dàng hơn. Tuy nhiên, vẫn còn có khoảng cách giữa khả năng và thực tế.</t>
  </si>
  <si>
    <t>Thủ tục khai báo thuế đã đơn giản hóa đáng kể so với trước đây, đặc biệt là việc sử dụng công nghệ để tự độngiza các quy trình. Điều này làm cho quá trình trở nên thuận tiện hơn.</t>
  </si>
  <si>
    <t>Biểu thuế mới có ít bậc hơn và mức giảm trừ gia cảnh cao hơn, do đó việc tính toán và thực hiện đã trở nên dễ dàng hơn. Điều này tăng cường niềm tin về sự đơn giản của quy trình.</t>
  </si>
  <si>
    <t>Tôi tin rằng cơ quan thuế sẽ thực thi chính sách một cách công bằng, tuy nhiên tôi không thể hoàn toàn chắc chắn do còn phụ thuộc vào việc thực thi cụ thể.</t>
  </si>
  <si>
    <t>Với mức thu nhập và số người phụ thuộc của mình, mức thuế mới được coi là hợp lý. Tuy nhiên, tôi vẫn có sự nghi ngờ về cách áp dụng các quy định cho mọi trường hợp.</t>
  </si>
  <si>
    <t>Dự kiến số tiền thuế sẽ được sử dụng hiệu quả để cải thiện dịch vụ công, nhưng tôi không thể chắc chắn vì còn phụ thuộc vào quản lý chi tiêu của chính phủ.</t>
  </si>
  <si>
    <t>Nhà nước đã giải thích rõ ràng về mục đích và lý do của việc sửa đổi thuế. Tuy nhiên, có một số thông tin vẫn chưa được cung cấp đầy đủ.</t>
  </si>
  <si>
    <t>Tổng hợp các yếu tố trên, tôi ủng hộ chính sách mới vì nó đơn giản hơn và giảm gánh nặng tài chính cho người dân. Tôi sẽ tuân thủ nếu chính sách được thực thi công bằng.</t>
  </si>
  <si>
    <t>Điều chỉnh mức thuế và đơn giản hóa quy trình làm việc với cơ quan thuế tạo ra sự tin tưởng rằng các hành vi trốn thuế sẽ bị phát hiện và xử lý nghiêm túc.</t>
  </si>
  <si>
    <t>Nhà nước đã đầu tư vào công nghệ và nguồn lực để cải thiện khả năng quản lý thuế, làm giảm cơ hội cho việc gian lận hoặc trốn tránh.</t>
  </si>
  <si>
    <t>Quy trình khai báo thuế trở nên đơn giản hơn với mức giảm trừ gia cảnh cao hơn và số bậc thuế ít đi, giúp thủ tục thuận tiện hơn cho người nộp thuế.</t>
  </si>
  <si>
    <t>Biểu thuế mới rõ ràng hơn và dễ dàng áp dụng hơn so với trước đây, giúp tôi có thể tính toán chính xác mức thuế phải trả mà không cần sự hỗ trợ từ bên ngoài.</t>
  </si>
  <si>
    <t>Tôi tin rằng Nhà nước sẽ thực thi chính sách một cách công bằng và khách quan, đảm bảo mọi người đều được đối xử bình đẳng khi nộp thuế.</t>
  </si>
  <si>
    <t>Mức thuế mới phù hợp với thu nhập của tôi, giảm bớt gánh nặng tài chính và tăng cảm giác công bằng trong việc đóng góp cho xã hội.</t>
  </si>
  <si>
    <t>Tiết kiệm được tiền thuế giúp tôi tin rằng số tiền đã đóng sẽ được sử dụng hiệu quả để cải thiện các dịch vụ công quan trọng như y tế và giao thông.</t>
  </si>
  <si>
    <t>Nhà nước đã cung cấp thông tin rõ ràng về mục tiêu của việc sửa đổi thuế, tạo niềm tin rằng quyết định này được thực hiện với mục đích tốt cho xã hội.</t>
  </si>
  <si>
    <t>Tác động tài chính tích cực và quy trình làm việc thuận tiện hơn đã tăng cường sự ủng hộ đối với chính sách mới.</t>
  </si>
  <si>
    <t>Việc tăng giảm trừ gia cảnh và đơn giản hóa biểu thuế có thể làm giảm cơ hội gian lận, nhưng vẫn cần công nghệ hiện đại để phát hiện trốn thuế hiệu quả.</t>
  </si>
  <si>
    <t>Cơ quan thuế đã cải thiện khả năng quản lý thông qua việc đơn giản hóa quy trình và sử dụng công nghệ tiên tiến.</t>
  </si>
  <si>
    <t>Quy trình khai thuế trở nên dễ dàng hơn, đặc biệt là với mức giảm trừ gia cảnh cao hơn.</t>
  </si>
  <si>
    <t>Biểu thuế mới đơn giản và dễ hiểu hơn so với trước đây, giúp người dân tính toán chính xác hơn.</t>
  </si>
  <si>
    <t>Các quy định mới công bằng hơn khi áp dụng mức giảm trừ gia cảnh cao và số bậc thuế ít hơn.</t>
  </si>
  <si>
    <t>Thuế tôi phải đóng theo phương án mới hợp lý, đặc biệt là với thu nhập của mình.</t>
  </si>
  <si>
    <t>Tăng giảm trừ gia cảnh và đơn giản hóa quy trình thuế có thể làm tăng hiệu quả sử dụng ngân sách nhà nước.</t>
  </si>
  <si>
    <t>Thuế mới có 5 bậc thay vì 7, giảm độ phức tạp nhưng không rõ khả năng phát hiện trốn thuế được cải thiện như thế nào.</t>
  </si>
  <si>
    <t>Công nghệ và hệ thống quản lý thuế của Nhà nước chưa được đề cập cụ thể.</t>
  </si>
  <si>
    <t>Phương án mới đơn giản hơn về mặt thủ tục, giảm số bậc thue nhưng có thể vẫn còn nhiều quy định cần nắm bắt.</t>
  </si>
  <si>
    <t>Biểu thuế mới rõ ràng hơn với ít bậc, dễ hiểu và thực hiện nhanh chóng hơn.</t>
  </si>
  <si>
    <t>Công bằng khi mức giảm trừ gia cảnh tăng lên nhưng vẫn có nghi ngờ về cách thực thi chính sách.</t>
  </si>
  <si>
    <t>Thuế tôi phải đóng thấp hơn, mức thuế mới công bằng đối với thu nhập của mình.</t>
  </si>
  <si>
    <t>Niềm tin vào việc sử dụng hiệu quả số tiền thuế là hợp lý nhưng cần cải thiện minh bạch hơn.</t>
  </si>
  <si>
    <t>Đã giải thích về mục tiêu của chính sách mới, tuy nhiên vẫn có thể cải thiện trong việc truyền đạt thông tin.</t>
  </si>
  <si>
    <t>Tác động tài chính tích cực và quy định thuế đơn giản hơn nên sẽ ủng hộ và tuân thủ chính sách mới.</t>
  </si>
  <si>
    <t>Nhà nước đã tăng cường quản lý thuế và công nghệ hiện đại nên khả năng phát hiện hành vi gian lận hoặc trốn thuế là cao.</t>
  </si>
  <si>
    <t>Cơ quan thuế có đầy đủ nguồn lực để xử lý nghiêm các trường hợp trốn thuế, nhờ vậy môi trường kinh doanh sẽ minh bạch hơn.</t>
  </si>
  <si>
    <t>Thủ tục khai báo thuế và quy trình làm việc với cơ quan thuế đã được đơn giản hóa, tiện lợi cho người dân.</t>
  </si>
  <si>
    <t>Cách tính thuế mới đơn giản hơn so với trước đây, dễ hiểu và dễ thực hiện.</t>
  </si>
  <si>
    <t>Tôi tin rằng Nhà nước sẽ công bằng khi thực thi chính sách mới này cho mọi người nộp thuế.</t>
  </si>
  <si>
    <t>Mức giảm trừ gia cảnh và các bậc thuế mới giúp tôi đóng mức thuế hợp lý, phù hợp với thu nhập của mình.</t>
  </si>
  <si>
    <t>Thuế mà tôi đóng sẽ được sử dụng hiệu quả để cải thiện dịch vụ công như y tế, giáo dục...</t>
  </si>
  <si>
    <t>Tôi ủng hộ chính sách mới vì nó giúp tôi tiết kiệm được tiền thuế và thủ tục khai báo trở nên dễ dàng hơn.</t>
  </si>
  <si>
    <t>Việc tăng mức giảm trừ gia cảnh và đơn giản hóa biểu thuế có thể làm giảm khả năng phát hiện hành vi gian lận, nhưng cơ quan thuế vẫn cần công nghệ và nguồn lực để quản lý.</t>
  </si>
  <si>
    <t>Nhà nước đã đầu tư vào hệ thống thông tin điện tử cho việc quản lý thuế, tuy nhiên hiệu quả thực tế còn phụ thuộc vào cách sử dụng và quản lý.</t>
  </si>
  <si>
    <t>Quy trình khai báo thuế trở nên đơn giản hơn với mức giảm trừ gia cảnh mới, nhưng vẫn cần thời gian để người dân quen thuộc với quy định mới.</t>
  </si>
  <si>
    <t>Biểu thuế mới có ít bậc và dễ hiểu hơn so với trước đây, giúp việc tính toán thuận tiện hơn cho người nộp thuế</t>
  </si>
  <si>
    <t>Tôi tin rằng nhà nước sẽ thực thi chính sách một cách khách quan, nhưng cần thêm thời gian để xem xét hiệu quả thực tế của các quy định mới.</t>
  </si>
  <si>
    <t>Thuế mới phù hợp với thu nhập hiện tại và mức giảm trừ gia cảnh tăng cao hơn so với trước đây, tôi thấy điều này là công bằng</t>
  </si>
  <si>
    <t>Tôi tin rằng số tiền thuế đóng sẽ được sử dụng hiệu quả cho các dịch vụ công ích như y tế và giao thông.</t>
  </si>
  <si>
    <t>Nhà nước đã giải thích rõ ràng về mục tiêu của việc sửa đổi luật thuế, tuy nhiên có thể cần thêm thông tin cụ thể hơn</t>
  </si>
  <si>
    <t>Sau khi xem xét các quyền lợi và nghĩa vụ mới, tôi ủng hộ và sẽ tuân thủ chính sách mới vì nó mang lại nhiều ưu đãi cho người dân.</t>
  </si>
  <si>
    <t>Do quy định về mức giảm trừ gia cảnh và việc đơn giản hóa biểu thuế, các hành vi gian lận hoặc trốn thuế có thể bị phát hiện dễ dàng hơn. Tuy nhiên, vẫn cần sự giám sát chặt chẽ từ phía cơ quan thuế.</t>
  </si>
  <si>
    <t>Nhà nước và cơ quan thuế đã đầu tư công nghệ để cải thiện khả năng quản lý thuế và phát hiện hành vi trốn thuế, do đó khả năng thực thi pháp luật về thuế được nâng cao.</t>
  </si>
  <si>
    <t>Quy trình khai báo thuế và làm việc với cơ quan thuế trở nên đơn giản hơn nhờ mức giảm trừ gia cảnh tăng và số bậc thuế giảm, giúp người dân dễ dàng tuân thủ.</t>
  </si>
  <si>
    <t>Bậc thuế được đơn giản hóa từ 7 xuống còn 5, đồng thời mức giảm trừ gia cảnh tăng lên, khiến việc tính thuế trở nên dễ hiểu và thực hiện thuận lợi hơn.</t>
  </si>
  <si>
    <t>Tôi tin rằng Nhà nước sẽ công bằng trong việc thực thi chính sách mới, đảm bảo quyền lợi của người dân được cân nhắc kỹ lưỡng.</t>
  </si>
  <si>
    <t>Dựa trên mức thuế mới, tôi thấy mình đóng góp một phần hợp lý cho xã hội và nền kinh tế, do đó cảm giác công bằng khi thực hiện nghĩa vụ thuế</t>
  </si>
  <si>
    <t>Thuế đóng góp vào việc cải thiện dịch vụ công như y tế, giáo dục và hạ tầng giao thông, tôi tin rằng số tiền đóng sẽ được sử dụng một cách hiệu quả.</t>
  </si>
  <si>
    <t>Nhà nước đã giải thích khá rõ ràng về mục tiêu của việc sửa đổi thuế lần này, mặc dù vẫn còn nhiều nghi ngờ từ phía người dân</t>
  </si>
  <si>
    <t>Dựa trên các lợi ích và giảm trừ gia cảnh tăng, tôi đồng ý với chính sách mới và sẽ tuân thủ.</t>
  </si>
  <si>
    <t>Nguyên tắc thuế hiện nay khá rõ ràng, dù không có nhiều thông tin về khả năng phát hiện hành vi gian lận hoặc trốn thuế.</t>
  </si>
  <si>
    <t>Nhà nước và cơ quan thuế đã đầu tư công nghệ để theo dõi hoạt động kinh tế, nhưng không chắc chắn 100% khả năng phát hiện gian lận.</t>
  </si>
  <si>
    <t>Thủ tục khai thuế đơn giản hơn trước, đặc biệt với mức giảm trừ gia cảnh cao giúp người dân dễ dàng thực hiện.</t>
  </si>
  <si>
    <t>Các bậc thuế được đơn giản hóa, nhưng vẫn có nhiều cấp độ cần tính toán. Tuy nhiên, do tôi không phải đóng thuế nên cảm thấy thuận tiện hơn.</t>
  </si>
  <si>
    <t>Tôi tin rằng Nhà nước sẽ thực thi chính sách một cách công bằng, mặc dù chưa rõ ràng về mức độ công khai trong việc thu thuế.</t>
  </si>
  <si>
    <t>Do tôi không phải đóng thuế nên cảm thấy mức thuế mới này khá hợp lý.</t>
  </si>
  <si>
    <t>Việc giảm trừ gia cảnh cao giúp cải thiện chất lượng cuộc sống, tôi tin số tiền thuế sẽ được sử dụng hiệu quả cho lợi ích công cộng.</t>
  </si>
  <si>
    <t>Nhà nước đã giải thích về mục tiêu của chính sách mới, nhưng có thể cần thêm thông tin chi tiết hơn về cách sử dụng nguồn thu thuế.</t>
  </si>
  <si>
    <t>Chính sách mới giúp tôi giảm gánh nặng thuế nên tôi ủng hộ và sẽ tuân thủ.</t>
  </si>
  <si>
    <t>Việc tăng mức giảm trừ gia cảnh và đơn giản hóa biểu thuế có thể làm giảm khả năng phát hiện hành vi trốn thuế. Tuy nhiên, với sự phát triển của công nghệ, nhà nước vẫn có thể phát hiện các gian lận.</t>
  </si>
  <si>
    <t>Công nghệ hiện đại và mạng lưới giám sát rộng khắp của cơ quan thuế giúp việc phát hiện trốn thuế trở nên dễ dàng hơn. Tuy nhiên, vẫn cần thời gian để các quy định mới được thực thi hiệu quả.</t>
  </si>
  <si>
    <t>Các bước khai báo và làm việc với cơ quan thuế đã đơn giản hơn, giúp quá trình nộp thuế trở nên thuận lợi hơn. Tuy nhiên, vẫn cần thời gian để người dân thích nghi.</t>
  </si>
  <si>
    <t>Biểu thuế mới có ít bậc hơn và mức giảm trừ gia cảnh cao hơn, làm cho việc tính toán thuế trở nên dễ dàng hơn. Tuy nhiên, vẫn cần thêm thời gian để người dân nắm bắt.</t>
  </si>
  <si>
    <t>Nhà nước đã công bố rõ ràng về mục tiêu và lý do sửa đổi chính sách thuế, tạo niềm tin cho người dân. Mức thuế mới cũng hợp lý hơn so với trước đây.</t>
  </si>
  <si>
    <t>Người thu nhập như tôi chỉ phải đóng mức thuế thấp hơn so với trước, nên thấy công bằng hơn. Tuy nhiên, mức giảm trừ gia cảnh cao lên có thể khiến người khác cảm thấy không công bằng.</t>
  </si>
  <si>
    <t>Thuê mới được sử dụng để cải thiện dịch vụ công, tạo niềm tin cho người dân về việc thuế đóng góp vào lợi ích chung. Tuy nhiên, hiệu quả cụ thể của việc sử dụng ngân sách vẫn cần thời gian để xem xét.</t>
  </si>
  <si>
    <t>Nhà nước đã giải thích rõ ràng về mục đích và lý do của việc sửa đổi thuế trong các thông báo chính thức. Tuy nhiên, vẫn có sự đa dạng về nhận định đối với hiệu quả thực tế.</t>
  </si>
  <si>
    <t>Các quyền lợi tăng lên so với trước đây, đặc biệt là mức giảm trừ gia cảnh cao hơn và số bậc thuế ít hơn. Tôi ủng hộ chính sách mới để cải thiện tính công bằng và thuận tiện trong việc nộp thuế.</t>
  </si>
  <si>
    <t>Điều kiện quản lý thuế hiện nay chưa hoàn toàn chặt chẽ, nhưng với các công nghệ phát triển, khả năng phát hiện gian lận có thể được cải thiện.</t>
  </si>
  <si>
    <t>Cơ quan thuế đã đầu tư nhiều vào công nghệ và nhân lực để nâng cao hiệu quả quản lý, nhưng vẫn cần thời gian để hoàn thiện.</t>
  </si>
  <si>
    <t>Thủ tục khai báo thuế đã đơn giản hơn so với trước đây, đặc biệt là việc giảm số bậc thuế và mức giảm trừ gia cảnh.</t>
  </si>
  <si>
    <t>Cách tính thuế mới rõ ràng hơn, dễ hiểu và thực hiện thuận lợi hơn, giúp người dân nắm bắt dễ dàng hơn.</t>
  </si>
  <si>
    <t>Tôi tin rằng Nhà nước sẽ thực thi chính sách một cách công bằng và khách quan cho tất cả các đối tượng nộp thuế.</t>
  </si>
  <si>
    <t>Với mức thu nhập hiện tại, tôi thấy mức thuế mới là hợp lý. Thuế giảm giúp cải thiện điều kiện kinh tế cá nhân.</t>
  </si>
  <si>
    <t>Thuốc đóng góp cho Nhà nước sẽ được sử dụng hiệu quả để nâng cao chất lượng dịch vụ công, tạo ra môi trường sống tốt hơn cho người dân.</t>
  </si>
  <si>
    <t>Nhà nước đã giải thích khá rõ về mục tiêu và lý do của việc sửa đổi thuế, giúp tôi hiểu được lợi ích thực tế của chính sách mới.</t>
  </si>
  <si>
    <t>Sau khi xem xét các quyền lợi và nghĩa vụ, tôi ủng hộ và tuân thủ chính sách mới. Thuế giảm và quy định đơn giản hơn giúp cải thiện chất lượng cuộc sống.</t>
  </si>
  <si>
    <t>Nhà nước có nhiều biện pháp để phát hiện gian lận và trốn thuế, nhưng vẫn cần nâng cao hiệu quả quản lý.</t>
  </si>
  <si>
    <t>Cơ quan thuế có công nghệ tiên tiến, tuy nhiên, việc thực thi cần được cải thiện hơn nữa để giảm gian lận.</t>
  </si>
  <si>
    <t>Quy trình làm việc với cơ quan thuế đơn giản hơn, thủ tục khai báo thuận tiện hơn so với trước đây.</t>
  </si>
  <si>
    <t>Bậc thuế được đơn giản hóa, dễ hiểu và thực hiện nhanh chóng hơn, giảm bớt gian nan cho người dân.</t>
  </si>
  <si>
    <t>Tôi tin rằng nhà nước sẽ công bằng trong việc thực thi chính sách mới, nhưng cần thêm minh bạch về quy trình quản lý thuế.</t>
  </si>
  <si>
    <t>Mức thuế mới phù hợp với thu nhập của tôi và giảm trừ gia cảnh được tăng lên, tạo cảm giác công bằng.</t>
  </si>
  <si>
    <t>Thuế đóng góp vào sự phát triển hạ tầng và dịch vụ công, nhưng cần minh bạch hơn về cách sử dụng số tiền thuế.</t>
  </si>
  <si>
    <t>Nhà nước đã giải thích rõ ràng mục tiêu sửa đổi thuế, tuy nhiên, vẫn cần thêm thông tin chi tiết hơn.</t>
  </si>
  <si>
    <t>Tôi ủng hộ chính sách mới vì nó đơn giản hóa quy trình và giảm gánh nặng về mặt tài chính cho tôi.</t>
  </si>
  <si>
    <t>Dù mức thuế giảm, nhưng tôi vẫn tin rằng các cơ quan thuế sẽ phát hiện và xử lý nghiêm minh các hành vi trốn thuế.</t>
  </si>
  <si>
    <t>Nhà nước đã đầu tư công nghệ để quản lý thuế hiệu quả hơn, tuy nhiên, tôi mong họ sẽ tiếp tục nâng cao khả năng phát hiện gian lận.</t>
  </si>
  <si>
    <t>Quy trình khai báo thuế và làm việc với cơ quan thuế trở nên đơn giản hơn, giảm bớt thời gian chờ đợi.</t>
  </si>
  <si>
    <t>Cách tính thuế và các bậc thuế mới dễ hiểu và dễ thực hiện, khiến tôi không còn cảm thấy bị rối rắm khi phải điền biểu thuế.</t>
  </si>
  <si>
    <t>Tôi tin rằng Nhà nước sẽ công bằng trong việc thực thi chính sách mới, nhưng vẫn cần thêm thông tin rõ ràng về cách thực hiện.</t>
  </si>
  <si>
    <t>Mức thuế tôi phải đóng là hợp lý và công bằng với thu nhập của mình.</t>
  </si>
  <si>
    <t>Số tiền thuế tôi đóng sẽ được sử dụng hiệu quả để cải thiện dịch vụ công, nhưng cần có báo cáo cụ thể về cách sử dụng.</t>
  </si>
  <si>
    <t>Nhà nước đã giải thích rõ ràng về mục tiêu của việc sửa đổi luật thuế lần này, tôi tin rằng họ đang làm cho hệ thống thuế trở nên công bằng hơn.</t>
  </si>
  <si>
    <t>Tác động tài chính tích cực và quy trình đơn giản hóa đã thuyết phục tôi ủng hộ và tuân thủ chính sách mới.</t>
  </si>
  <si>
    <t>Dù các quy định quản lý thuế hiện tại đã được cải thiện, nhưng mức độ phát hiện và xử lý hành vi gian lận vẫn còn hạn chế.</t>
  </si>
  <si>
    <t>Cơ quan thuế có công nghệ hỗ trợ tốt hơn, nhưng việc thực thi vẫn phụ thuộc vào sự phối hợp của các cơ quan liên quan.</t>
  </si>
  <si>
    <t>Thủ tục khai báo thuế trở nên đơn giản hơn, tiết kiệm thời gian và công sức cho người dân.</t>
  </si>
  <si>
    <t>Biểu thuế mới đơn giản hóa bậc thuế, dễ hiểu và dễ thực hiện hơn so với trước đây.</t>
  </si>
  <si>
    <t>Tôi tin Nhà nước sẽ công tâm trong việc thực thi chính sách, nhưng vẫn cần giám sát chặt chẽ để tránh bất lợi cho người dân.</t>
  </si>
  <si>
    <t>Mức thuế mới được giảm đáng kể, tôi cảm thấy là hợp lý với thu nhập hiện tại của mình.</t>
  </si>
  <si>
    <t>Thuế đóng góp vào các dịch vụ công quan trọng, nhưng cần biết rõ cách sử dụng để đảm bảo hiệu quả.</t>
  </si>
  <si>
    <t>Nhà nước đã giải thích rõ về mục tiêu và lý do của việc sửa đổi thuế, tạo sự minh bạch.</t>
  </si>
  <si>
    <t>Tôi ủng hộ chính sách mới vì nó đơn giản hóa quy trình, giảm gánh nặng tài chính, nhưng vẫn cần cải thiện thêm.</t>
  </si>
  <si>
    <t>Dựa trên thông tin, tôi không hoàn toàn đồng ý với nhận định này. Mặc dù có công nghệ hỗ trợ, nhưng việc quản lý thuế vẫn phụ thuộc vào sự tận tụy và năng lực của các cơ quan chức năng.</t>
  </si>
  <si>
    <t>Tôi cho rằng Nhà nước đã cải thiện đáng kể trong việc ứng dụng công nghệ để phát hiện gian lận, nhưng vẫn cần cải tiến thêm về mặt quản lý và giám sát</t>
  </si>
  <si>
    <t>So với trước đây, quy trình khai thuế trở nên đơn giản hơn. Tuy nhiên, việc phải tính toán theo các bậc thuế mới có thể gây khó khăn cho một số người.</t>
  </si>
  <si>
    <t>Các bậc thuế mới rõ ràng hơn và dễ hiểu, giảm bớt sự phức tạp so với trước đây. Điều này giúp tôi dễ dàng tuân thủ chính sách mới</t>
  </si>
  <si>
    <t>Tôi tin rằng cơ quan thuế sẽ thực thi chính sách một cách công bằng, nhưng cần thêm minh bạch từ phía Nhà nước về cách thức thực hiện.</t>
  </si>
  <si>
    <t>Nhờ mức giảm trừ gia cảnh tăng lên và số bậc thuế giảm, tôi cảm thấy mức thuế mới là hợp lý cho thu nhập của mình</t>
  </si>
  <si>
    <t>Việc cải thiện hạ tầng công cộng như y tế, giáo dục hay giao thông sẽ giúp ích cho cuộc sống hàng ngày của người dân.</t>
  </si>
  <si>
    <t>Nhà nước đã giải thích rõ ràng về mục đích và lý do của việc sửa đổi thuế, nhưng cần tiếp tục cải thiện trong việc cung cấp thông tin</t>
  </si>
  <si>
    <t>Tôi ủng hộ chính sách mới vì nó mang lại lợi ích tài chính cho tôi và giúp giảm bớt sự phức tạp khi khai báo thuế.</t>
  </si>
  <si>
    <t>Việc tăng mức giảm trừ gia cảnh và đơn giản hóa biểu thuế có thể làm giảm khả năng phát hiện hành vi gian lận, nhưng vẫn tin rằng Nhà nước sẽ xử lý nghiêm minh.</t>
  </si>
  <si>
    <t>Cơ quan thuế đã cải thiện hệ thống công nghệ thông tin, tuy nhiên việc phát hiện trốn thuế vẫn phụ thuộc vào nhiều yếu tố khác.</t>
  </si>
  <si>
    <t>Thủ tục khai báo thuế và quy trình làm việc với cơ quan thuế đơn giản hơn trước, giúp tiết kiệm thời gian.</t>
  </si>
  <si>
    <t>Biểu thuế mới rõ ràng hơn so với trước đây, thuận lợi cho việc tính toán và thực hiện.</t>
  </si>
  <si>
    <t>Tin rằng Nhà nước sẽ thực thi chính sách một cách công tâm, đặc biệt sau khi giảm trừ gia cảnh tăng lên.</t>
  </si>
  <si>
    <t>Thuế mới tính theo mức thu nhập của bản thân tôi là hợp lý, phù hợp với điều kiện kinh tế hiện tại.</t>
  </si>
  <si>
    <t>Số tiền thuế đóng sẽ được sử dụng hiệu quả cho các dịch vụ công, đặc biệt là y tế và giao thông.</t>
  </si>
  <si>
    <t>Nhà nước đã giải thích rõ ràng về mục tiêu cải cách, tạo niềm tin cho người dân.</t>
  </si>
  <si>
    <t>Dựa trên các quyền lợi và nghĩa vụ mới, tôi ủng hộ và sẽ tuân thủ chính sách thuế mới.</t>
  </si>
  <si>
    <t>Hiện nay, mặc dù cơ quan thuế có công nghệ hiện đại giúp phát hiện trốn thuế nhưng vẫn phụ thuộc vào sự tuân thủ của cá nhân và doanh nghiệp. Tuy nhiên, với mức giảm trừ gia cảnh tăng lên cùng việc đơn giản hóa quy trình nộp thuế, khả năng gian lận sẽ giảm đi.</t>
  </si>
  <si>
    <t>Cơ quan thuế có đủ nguồn lực và công nghệ để phát hiện trốn thuế. Tuy nhiên, hiệu quả thực thi còn phụ thuộc vào sự tuân thủ của người nộp thuế.</t>
  </si>
  <si>
    <t>Quy trình khai báo thuế trở nên đơn giản hơn với mức giảm trừ gia cảnh cao hơn và số bậc thuế ít đi. Điều này tạo thuận lợi cho quá trình nộp thuế.</t>
  </si>
  <si>
    <t>Biểu thuế mới đơn giản hơn so với trước đây, dễ hiểu và thực hiện nhanh chóng. Tuy nhiên, vẫn cần thêm thời gian để quen thuộc với các quy định mới.</t>
  </si>
  <si>
    <t>Tôi tin rằng cơ quan thuế sẽ thực thi chính sách một cách công bằng và khách quan. Mức thuế mới được xem là hợp lý cho thu nhập của tôi.</t>
  </si>
  <si>
    <t>Mức thuế mới được xem là công bằng. Thu nhập như tôi đóng mức này là hợp lý.</t>
  </si>
  <si>
    <t>Số tiền thuế tôi đóng sẽ được sử dụng hiệu quả để cải thiện dịch vụ công, tạo niềm tin cho người dân trong việc hỗ trợ chính sách của nhà nước.</t>
  </si>
  <si>
    <t>Nhà nước đã giải thích rõ ràng về mục tiêu và lý do thay đổi thuế. Tuy nhiên, còn cần thêm thông tin để hiểu hơn về hiệu quả sử dụng số tiền thuế.</t>
  </si>
  <si>
    <t>Chính sách mới có nhiều ưu điểm như đơn giản hóa quy trình nộp thuế và giảm trừ gia cảnh cao hơn. Tôi sẽ ủng hộ và tuân thủ chính sách này.</t>
  </si>
  <si>
    <t>Hiện nay, cơ quan thuế có nhiều công cụ và công nghệ để phát hiện hành vi gian lận hoặc trốn thuế, tuy nhiên vẫn còn những rủi ro không thể loại bỏ hoàn toàn. Với mức giảm trừ gia cảnh tăng mạnh, khả năng bị phát hiện gian lận cũng sẽ giảm</t>
  </si>
  <si>
    <t>Nhà nước đã đầu tư nhiều vào công nghệ và nguồn lực cho cơ quan thuế để nâng cao hiệu quả quản lý. Tuy nhiên, vẫn cần cải thiện hơn nữa trong việc trang bị kỹ năng cho nhân viên thuế</t>
  </si>
  <si>
    <t>Các quy trình khai báo thuế và làm việc với cơ quan thuế đã đơn giản hóa nhiều so với trước đây. Việc sử dụng phần mềm điện tử giúp tăng sự tiện lợi</t>
  </si>
  <si>
    <t>Biểu thuế mới có ít bậc hơn, dễ hiểu và thực hiện hơn. Tuy nhiên, vẫn còn một số quy định phức tạp cần cải thiện nữa</t>
  </si>
  <si>
    <t>Nhà nước đã cố gắng thực thi chính sách một cách công tâm, mặc dù vẫn có thể gặp phải sự khác biệt trong cách hiểu và áp dụng pháp luật giữa các cơ quan thuế</t>
  </si>
  <si>
    <t>Mức giảm trừ gia cảnh tăng mạnh, cùng với việc đơn giản hóa biểu thuế khiến tôi cảm thấy công bằng hơn so với trước đây. Tuy nhiên, vẫn cần cải thiện thêm về mặt công bằng giữa các ngành nghề</t>
  </si>
  <si>
    <t>Tôi tin rằng số tiền thuế đóng sẽ được sử dụng hiệu quả để phát triển hạ tầng và dịch vụ công. Nhà nước đã thực hiện nhiều chương trình nhằm minh bạch hóa việc sử dụng ngân sách</t>
  </si>
  <si>
    <t>Nhà nước đã giải thích rõ ràng về mục tiêu của chính sách thuế mới, mặc dù vẫn còn những điểm chưa rõ ràng trong một số quy định cụ thể</t>
  </si>
  <si>
    <t>Sau khi xem xét các quyền lợi và nghĩa vụ, tôi ủng hộ chính sách mới. Các thay đổi mang lại lợi ích cho người dân và đơn giản hóa quy trình thuế</t>
  </si>
  <si>
    <t>Dù có các quy định quản lý thuế, nhưng với thu nhập và mức giảm trừ gia cảnh cao hơn, khả năng phát hiện gian lận hoặc trốn thuế thấp. Tuy nhiên, cơ quan thuế vẫn cần công nghệ để hỗ trợ.</t>
  </si>
  <si>
    <t>Cơ quan thuế có thể chưa đủ nguồn lực và công nghệ để theo dõi tất cả các giao dịch cá nhân, đặc biệt là với mức giảm trừ gia cảnh cao hơn trước đây.</t>
  </si>
  <si>
    <t>Quy trình khai thuế và làm việc với cơ quan thuế đơn giản hơn do giảm số bậc thuế. Tuy nhiên, cần thời gian để người dân quen với quy định mới.</t>
  </si>
  <si>
    <t>Biểu thuế mới đơn giản, dễ hiểu và dễ thực hiện hơn so với trước đây. Việc này giúp người nộp thuế dễ dàng nắm bắt và tuân thủ.</t>
  </si>
  <si>
    <t>Tôi tin rằng cơ quan thuế sẽ công bằng trong việc thu thập thuế, nhưng cần thời gian để mọi người quen với quy định mới. Tuy nhiên, mức thuế giảm đáng kể tạo niềm tin.</t>
  </si>
  <si>
    <t>Mức thuế mới là hợp lý cho thu nhập của tôi, phù hợp với các yếu tố giảm trừ gia cảnh và bậc thuế đơn giản hơn. Điều này tăng cảm giác công bằng.</t>
  </si>
  <si>
    <t>Số tiền thuế đóng sẽ được sử dụng hiệu quả để cải thiện dịch vụ công, nhưng cần thời gian để thấy kết quả rõ ràng. Mức thuế giảm tạo niềm tin vào việc sử dụng hiệu quả nguồn thu.</t>
  </si>
  <si>
    <t>Nhà nước đã giải thích rõ về mục tiêu của chính sách mới, mặc dù có thể vẫn còn nhiều thắc mắc cần được làm rõ hơn.</t>
  </si>
  <si>
    <t>Tôi ủng hộ và tuân thủ chính sách mới vì mức thuế giảm đáng kể, quy định đơn giản hơn và niềm tin vào việc sử dụng hiệu quả nguồn thu. Tuy nhiên, tôi vẫn có một số lo ngại về khả năng phát hiện gian lận.</t>
  </si>
  <si>
    <t>Hiện nay, các quy định quản lý thuế có nhiều cải tiến, nhưng việc xử phạt gian lận vẫn còn khó khăn do thiếu thông tin cá nhân của người dân.</t>
  </si>
  <si>
    <t>Cơ quan thuế đã đầu tư công nghệ và nguồn lực để phát hiện trốn thuế, đồng thời có hệ thống giám sát mạnh mẽ hơn so với trước đây.</t>
  </si>
  <si>
    <t>So với quy trình trước đây, việc khai báo thuế nay đơn giản hơn do số bậc thuế giảm và mức giảm trừ gia cảnh tăng.</t>
  </si>
  <si>
    <t>Biểu thuế mới có ít bậc và rõ ràng hơn so với trước, giúp người nộp thuế dễ dàng tính toán.</t>
  </si>
  <si>
    <t>Tôi tin rằng Nhà nước sẽ công tâm trong việc thực thi chính sách mới và đối xử bình đẳng với tất cả người nộp thuế.</t>
  </si>
  <si>
    <t>Mức thuế mới phù hợp với thu nhập của tôi, thể hiện tính công bằng trong việc phân bổ gánh nặng tài khóa.</t>
  </si>
  <si>
    <t>Nhà nước đã giải thích rõ ràng về mục tiêu và lý do của việc sửa đổi thuế, tạo sự minh bạch.</t>
  </si>
  <si>
    <t>Do tác động tài chính tích cực và cải tiến trong quản lý thuế, tôi ủng hộ và tuân thủ chính sách mới này.</t>
  </si>
  <si>
    <t>Nhà nước và cơ quan thuế đã đầu tư công nghệ để phát hiện trốn thuế, do đó tôi tin rằng hành vi này sẽ bị xử lý nghiêm.</t>
  </si>
  <si>
    <t>Cơ quan thuế có đủ năng lực và công nghệ để quản lý và theo dõi hoạt động kinh tế của người dân, từ đó phát hiện các trường hợp trốn thuế.</t>
  </si>
  <si>
    <t>Với việc đơn giản hóa quy trình khai thuế, tôi thấy rằng nó trở nên thuận tiện hơn và dễ thực hiện hơn so với trước đây.</t>
  </si>
  <si>
    <t>Các bậc thuế mới rõ ràng và dễ hiểu, do đó việc tính toán và nộp thuế trở nên đơn giản hơn nhiều so với trước đây.</t>
  </si>
  <si>
    <t>Việc giảm trừ gia cảnh tăng lên cùng với sự đơn giản hóa quy trình khai thuế cho thấy Nhà nước đang cố gắng thực hiện một cách công bằng và khách quan đối với mọi người nộp thuế.</t>
  </si>
  <si>
    <t>Mức thuế mới phù hợp với thu nhập của tôi, giảm trừ gia cảnh tăng lên cũng tạo ra sự công bằng hơn so với trước đây.</t>
  </si>
  <si>
    <t>Thuế đóng góp vào việc cải thiện các dịch vụ công như y tế và giao thông, do đó tôi tin rằng số tiền thuế của tôi sẽ được sử dụng hiệu quả.</t>
  </si>
  <si>
    <t>Nhà nước đã giải thích rõ ràng về lý do và mục tiêu sửa đổi Luật Thuế TNCN, do đó tôi cảm thấy có sự minh bạch trong việc thực hiện chính sách này.</t>
  </si>
  <si>
    <t>Sau khi xem xét các quyền lợi và nghĩa vụ mới, tôi ủng hộ và sẽ tuân thủ chính sách thuế mới vì nó mang lại nhiều ưu điểm hơn so với trước đây.</t>
  </si>
  <si>
    <t>Dù không hoàn toàn chắc chắn về việc quản lý thuế, nhưng với các công nghệ hiện đại ngày nay, khả năng phát hiện hành vi gian lận hay trốn thuế của cơ quan thuế đã được cải thiện đáng kể.</t>
  </si>
  <si>
    <t>Nhà nước và các cơ quan thuế có đội ngũ chuyên nghiệp và sử dụng công nghệ tiên tiến, nên khả năng phát hiện và xử lý nghiêm túc các hành vi trốn thuế là khá cao.</t>
  </si>
  <si>
    <t>Quy trình khai thuế và làm việc với cơ quan thuế đã đơn giản hơn so với trước đây, do đó thủ tục này trở nên thuận tiện hơn.</t>
  </si>
  <si>
    <t>Biểu thuế mới có số bậc giảm đi từ 7 xuống còn 5, đồng thời tăng mức giảm trừ gia cảnh, khiến quá trình tính thuế dễ hiểu và thực hiện hơn.</t>
  </si>
  <si>
    <t>Tôi tin rằng cơ quan thuế sẽ công bằng trong việc áp dụng chính sách mới vì có sự giải thích rõ ràng về mục tiêu của nó.</t>
  </si>
  <si>
    <t>Mức thuế mới phù hợp với thu nhập của tôi và tăng cường được quyền lợi cho người dân thông qua mức giảm trừ gia cảnh cao hơn, nên tôi thấy đây là một chính sách công bằng.</t>
  </si>
  <si>
    <t>Tôi tin rằng số tiền thuế đóng sẽ được sử dụng hiệu quả để cải thiện các dịch vụ công, đặc biệt là y tế và giao thông.</t>
  </si>
  <si>
    <t>Nhà nước đã có những giải thích rõ ràng về mục tiêu và lý do của việc sửa đổi thuế lần này, nên tôi cảm thấy mình được tham gia vào quá trình này.</t>
  </si>
  <si>
    <t>Tôi ủng hộ chính sách mới vì nó không chỉ giảm gánh nặng tài chính cho cá nhân mà còn đơn giản hóa quy trình thuế, đồng thời mang lại niềm tin rằng số tiền đóng sẽ được sử dụng hiệu quả.</t>
  </si>
  <si>
    <t>Nhà nước và cơ quan thuế có đủ năng lực quản lý, nhưng do tôi không biết nhiều về quy định cụ thể nên mức độ tin tưởng không cao.</t>
  </si>
  <si>
    <t>Cơ sở hạ tầng công nghệ thông tin của Nhà nước đã phát triển tốt, tạo điều kiện cho việc quản lý thuế hiệu quả hơn.</t>
  </si>
  <si>
    <t>Quy trình khai báo và làm việc với cơ quan thuế trở nên đơn giản, dễ dàng hơn so với trước đây.</t>
  </si>
  <si>
    <t>Biểu thuế mới có ít bậc hơn, giúp tính toán nhanh chóng và dễ hiểu hơn.</t>
  </si>
  <si>
    <t>Thuế mới giảm đáng kể so với trước đây, tôi thấy điều này là công bằng và hợp lý đối với thu nhập của mình.</t>
  </si>
  <si>
    <t>Tiền thuế đóng góp vào việc cải thiện chất lượng dịch vụ công, nhưng cần thời gian để thấy kết quả cụ thể.</t>
  </si>
  <si>
    <t>Tôi đồng ý với mục tiêu của chính sách mới và cảm thấy Nhà nước đã giải thích rõ ràng về vấn đề này.</t>
  </si>
  <si>
    <t>Dựa trên lợi ích tài chính và sự đơn giản hóa, tôi ủng hộ và tuân thủ chính sách thuế mới.</t>
  </si>
  <si>
    <t>Nhà nước đã tăng cường các biện pháp quản lý thuế và công nghệ hiện đại, nhưng vẫn chưa hoàn toàn loại bỏ được gian lận. Thuế điện tử giúp phát hiện dễ dàng hơn, nhưng hành vi trốn thuế vẫn có thể bị lọt qua</t>
  </si>
  <si>
    <t>Cơ quan thuế đã cải thiện khả năng xử lý thông tin và công nghệ, tuy nhiên việc xử lý nghiêm túc các trường hợp trốn thuế còn phụ thuộc vào sự nỗ lực của chính họ. Cần thêm kiểm tra thường xuyên</t>
  </si>
  <si>
    <t>Thủ tục khai báo đơn giản hơn và có thể thực hiện trực tuyến, tiết kiệm thời gian cho người dân. Tuy nhiên, vẫn cần cải thiện về độ thuận tiện của các ứng dụng thuế</t>
  </si>
  <si>
    <t>Bậc thuế giảm từ 7 xuống 5 tạo cảm giác đơn giản hơn, nhưng việc tính toán cụ thể vẫn có thể phức tạp đối với một số người. Tuy nhiên, mức thuế giảm giúp dễ dàng tiếp cận</t>
  </si>
  <si>
    <t>Tôi tin Nhà nước sẽ thực thi công bằng, nhưng cảm giác này còn phụ thuộc vào việc họ làm đúng theo cam kết. Cần thêm minh bạch về cách thực hiện</t>
  </si>
  <si>
    <t>Mức thuế giảm giúp tôi thấy công bằng hơn, giảm gánh nặng tài chính. Tuy nhiên, mức giảm không phải là quá lớn so với kỳ vọng</t>
  </si>
  <si>
    <t>Nhà nước sử dụng số tiền thuế để cải thiện dịch vụ công, nhưng hiệu quả sử dụng còn phụ thuộc vào nhiều yếu tố khác. Cần có thêm thông tin về cách sử dụng chi tiết</t>
  </si>
  <si>
    <t>Có giải thích rõ ràng về mục tiêu và lý do sửa đổi thuế, nhưng cần thêm thông tin minh bạch về cách thực hiện để tăng độ tin tưởng</t>
  </si>
  <si>
    <t>Sau khi tính toán tác động tài chính và xem xét các quyền lợi, tôi ủng hộ và tuân thủ chính sách mới. Tuy nhiên, cần cải thiện thêm về minh bạch và hiệu quả sử dụng</t>
  </si>
  <si>
    <t>Dù không có thông tin cụ thể về khả năng phát hiện và xử lý, nhưng với mức thuế giảm đáng kể, tôi tin rằng cơ quan thuế sẽ tập trung vào việc quản lý hiệu quả hơn.</t>
  </si>
  <si>
    <t>Việc áp dụng công nghệ trong quản lý thuế có thể giúp phát hiện hành vi trốn thuế nhanh chóng hơn, nhưng không thể đánh giá cụ thể.</t>
  </si>
  <si>
    <t>Quy trình khai báo trở nên đơn giản hơn với mức giảm trừ gia cảnh cao hơn và số bậc thuế ít đi, thuận lợi cho người nộp thuế.</t>
  </si>
  <si>
    <t>Phương án mới có thể làm việc tính toán dễ dàng hơn so với trước đây, nhưng cần thêm thời gian để quen thuộc.</t>
  </si>
  <si>
    <t>Tôi tin rằng cơ quan thuế sẽ công bằng trong việc áp dụng chính sách mới vì mức giảm trừ gia cảnh và số bậc thuế đã được điều chỉnh phù hợp hơn với thu nhập thực tế của người dân.</t>
  </si>
  <si>
    <t>Thuế tôi phải đóng theo phương án mới là công bằng, phù hợp với thu nhập hiện tại của tôi.</t>
  </si>
  <si>
    <t>Tôi tin rằng số tiền thuế tôi đóng sẽ được sử dụng hiệu quả để cải thiện các dịch vụ công và cơ sở hạ tầng.</t>
  </si>
  <si>
    <t>Mặc dù chưa hiểu rõ về mục tiêu chính xác của việc sửa đổi thuế, nhưng có sự minh bạch trong giải thích lý do.</t>
  </si>
  <si>
    <t>Sau khi xem xét tác động tài chính tích cực và sự đơn giản hóa quy trình làm việc với cơ quan thuế, tôi ủng hộ và sẽ tuân thủ chính sách mới.</t>
  </si>
  <si>
    <t>Hệ thống quản lý thuế hiện nay ngày càng phát triển công nghệ, nên việc phát hiện hành vi gian lận hoặc trốn thuế dễ dàng hơn. Việc tăng mức giảm trừ gia cảnh và đơn giản hóa biểu thuế cũng giúp hạn chế các trường hợp trốn thuế.</t>
  </si>
  <si>
    <t>Nhà nước đã đầu tư mạnh vào công nghệ, cơ sở vật chất cho ngành thuế, đảm bảo khả năng phát hiện và xử lý nghiêm các hành vi trốn thuế.</t>
  </si>
  <si>
    <t>Quy trình khai báo thuế và làm việc với cơ quan thuế trở nên đơn giản hơn. Việc tăng giảm trừ gia cảnh giúp quá trình tính thuế thuận tiện hơn cho người dân.</t>
  </si>
  <si>
    <t>Biểu thuế mới có ít bậc hơn, mức thuế rõ ràng dễ hiểu, do đó việc thực hiện quy định mới đơn giản và nhanh chóng hơn so với trước đây.</t>
  </si>
  <si>
    <t>Nhà nước đã tăng cường tính công bằng trong hệ thống thuế thông qua việc tăng mức giảm trừ gia cảnh và đơn giản hóa biểu thuế, tạo cơ hội cho mọi người đóng thuế một cách công bằng hơn.</t>
  </si>
  <si>
    <t>Lượng thu nhập của tôi nằm ở bậc thuế thấp nên mức thuế mới này phù hợp với tình hình tài chính hiện tại của tôi, thể hiện sự công bằng trong việc phân bổ nghĩa vụ thuế.</t>
  </si>
  <si>
    <t>Tăng mức giảm trừ gia cảnh giúp tôi tiết kiệm được một khoản chi phí đáng kể và sử dụng số tiền đó cho mục đích cá nhân hoặc đầu tư, do đó tôi tin rằng số tiền thuế đóng sẽ mang lại hiệu quả cao trong việc cải thiện dịch vụ công.</t>
  </si>
  <si>
    <t>Nhà nước đã công bố rõ ràng về các thay đổi này và mục tiêu của chúng. Các giải thích về lý do và mục đích thay đổi thuế làm tăng sự tin tưởng vào hệ thống quản lý thuế.</t>
  </si>
  <si>
    <t>Sau khi xem xét các quyền lợi và nghĩa vụ mới, tôi ủng hộ chính sách này vì nó mang lại nhiều lợi ích cho người dân như giảm gánh nặng về thuế và tạo điều kiện thuận lợi trong việc khai báo thuế.</t>
  </si>
  <si>
    <t>Dù không hoàn toàn tin tưởng tuyệt đối, nhưng mức thuế mới đã giảm đáng kể và tôi thấy cơ quan thuế có đủ khả năng để phát hiện gian lận.</t>
  </si>
  <si>
    <t>Tôi tin rằng với sự phát triển của công nghệ, việc phát hiện hành vi trốn thuế sẽ trở nên dễ dàng hơn.</t>
  </si>
  <si>
    <t>So với trước đây, quy trình khai báo và làm việc với cơ quan thuế đã đơn giản hóa đáng kể.</t>
  </si>
  <si>
    <t>Các bậc thuế mới đơn giản hơn rất nhiều so với trước đây, dễ hiểu và dễ thực hiện.</t>
  </si>
  <si>
    <t>Tôi tin rằng cơ quan thuế sẽ thực thi chính sách một cách công bằng, nhưng vẫn có chút lo ngại về sự khách quan trong xử lý.</t>
  </si>
  <si>
    <t>Mức thuế mới phù hợp với thu nhập của tôi và giảm gánh nặng tài chính đáng kể, nên tôi thấy nó công bằng.</t>
  </si>
  <si>
    <t>Những khoản tiền thuế đóng góp vào việc cải thiện dịch vụ công và hạ tầng, điều này làm tăng niềm tin của tôi.</t>
  </si>
  <si>
    <t>Chính phủ đã giải thích rõ ràng về mục tiêu và lý do thay đổi chính sách thuế, nên tôi cảm thấy tin tưởng hơn.</t>
  </si>
  <si>
    <t>Sau khi tính toán tác động tài chính tích cực của chính sách mới, tôi ủng hộ và sẽ tuân thủ nó.</t>
  </si>
  <si>
    <t>Dù có công nghệ hỗ trợ, nhưng việc quản lý thuế vẫn phụ thuộc vào sự tuân thủ của người nộp thuế. Không phải ai cũng sẽ bị phát hiện ngay lập tức.</t>
  </si>
  <si>
    <t>Cơ quan thuế đã đầu tư vào công nghệ để cải thiện khả năng phát hiện hành vi trốn thuế, tuy nhiên vẫn cần sự hợp tác từ người nộp thuế.</t>
  </si>
  <si>
    <t>Quy trình khai báo và làm việc với cơ quan thuế trở nên đơn giản hơn nhiều so với trước đây, thủ tục đã được cải thiện đáng kể.</t>
  </si>
  <si>
    <t>Số bậc thuế giảm đi cùng với mức giảm trừ gia cảnh cao hơn giúp tính toán thuế trở nên dễ dàng và rõ ràng hơn.</t>
  </si>
  <si>
    <t>Nhà nước đã cải thiện công bằng trong việc áp dụng chính sách thuế, nhưng vẫn cần sự minh bạch về cách thực hiện.</t>
  </si>
  <si>
    <t>Mức giảm trừ gia cảnh và số bậc thuế mới giúp tôi thấy rằng mức thuế đóng là hợp lý.</t>
  </si>
  <si>
    <t>Thuế tôi đóng sẽ được sử dụng để cải thiện dịch vụ công, nhưng cần minh bạch hơn về cách sử dụng số tiền này.</t>
  </si>
  <si>
    <t>Nhà nước đã giải thích rõ ràng về mục tiêu của chính sách thuế mới, tuy nhiên còn thiếu thông tin về thực thi cụ thể.</t>
  </si>
  <si>
    <t>Sau khi tính toán tác động tài chính và xem xét các cải tiến trong chính sách, tôi ủng hộ và sẽ tuân thủ chính sách mới.</t>
  </si>
  <si>
    <t>Nếu các quy định quản lý thuế hiện nay được thực thi nghiêm minh, tôi tin rằng việc phát hiện và xử lý trốn thuế sẽ dễ dàng hơn. Tuy nhiên, để đảm bảo hiệu quả, cần có sự cải tiến về công nghệ và nguồn lực.</t>
  </si>
  <si>
    <t>Nhà nước đã đầu tư vào công nghệ và nhân lực để nâng cao khả năng quản lý thuế, điều này giúp việc phát hiện trốn thuế trở nên dễ dàng hơn. Tuy nhiên, cần thêm thời gian để chứng minh hiệu quả của các biện pháp mới.</t>
  </si>
  <si>
    <t>So với trước đây, quy trình khai báo thuế và làm việc với cơ quan thuế đã đơn giản hơn. Tuy nhiên, vẫn cần cải thiện thêm để việc thực hiện trở nên thuận tiện hơn nữa.</t>
  </si>
  <si>
    <t>Biểu thuế mới có ít bậc hơn và dễ hiểu hơn so với trước đây. Điều này giúp tôi dễ dàng tính toán và tuân thủ các quy định về thuế.</t>
  </si>
  <si>
    <t>Tôi tin rằng Nhà nước sẽ thực thi chính sách một cách công bằng và khách quan, nhưng cần thêm thời gian để chứng minh. Cải tiến về giảm trừ gia cảnh cũng làm tăng sự công bằng.</t>
  </si>
  <si>
    <t>Thuế mới được tính dựa trên thu nhập thực tế của tôi và các mức thuế suất phù hợp, điều này làm cho việc đóng thuế trở nên công bằng hơn.</t>
  </si>
  <si>
    <t>Sau khi xem xét tác động tài chính và sự đơn giản hóa quy trình, tôi tin rằng số tiền thuế tôi đóng sẽ được sử dụng hiệu quả để cải thiện dịch vụ công.</t>
  </si>
  <si>
    <t>Nhà nước đã giải thích rõ ràng về mục tiêu của việc sửa đổi chính sách thuế, mặc dù vẫn cần thêm thông tin chi tiết hơn.</t>
  </si>
  <si>
    <t>Tác động tài chính và sự đơn giản hóa quy trình làm cho tôi ủng hộ chính sách mới. Tôi sẽ tuân thủ các quy định về thuế mới.</t>
  </si>
  <si>
    <t>Hiện nay, cơ quan thuế có nhiều công cụ và công nghệ để phát hiện hành vi gian lận hoặc trốn thuế. Việc tăng giảm trừ gia cảnh và đơn giản hóa biểu thuế giúp giảm nguy cơ trốn thuế.</t>
  </si>
  <si>
    <t>Nhà nước đã đầu tư vào hệ thống công nghệ thông tin để quản lý thuế, đồng thời có các quy định rõ ràng về xử phạt vi phạm. Điều này cho thấy khả năng phát hiện và xử lý nghiêm minh.</t>
  </si>
  <si>
    <t>So với trước đây, quy trình khai báo thuế và làm việc với cơ quan thuế đã trở nên đơn giản hơn nhiều, đặc biệt là khi sử dụng các dịch vụ trực tuyến. Điều này giúp giảm thời gian chờ đợi và thủ tục phức tạp.</t>
  </si>
  <si>
    <t>Biểu thuế mới có ít bậc hơn và ngưỡng chịu thuế rõ ràng hơn, điều này làm cho việc tính toán thuế trở nên dễ dàng và chính xác hơn. Người dân hiểu được cách đóng thuế của mình.</t>
  </si>
  <si>
    <t>Nhà nước đã cải cách hệ thống thuế một cách công bằng, giảm gánh nặng thuế cho người thu nhập trung bình như tôi. Điều này thể hiện tính minh bạch và khách quan trong việc thực thi chính sách.</t>
  </si>
  <si>
    <t>Mức thuế mới mà tôi phải đóng là hợp lý, phù hợp với khả năng chi trả của tôi. Việc tăng giảm trừ gia cảnh giúp giảm gánh nặng thuế cho tôi và gia đình</t>
  </si>
  <si>
    <t>Tiền thuế đóng góp vào ngân sách nhà nước để đầu tư cho các dịch vụ công như y tế, giáo dục, hạ tầng. Tôi tin rằng đây là cách sử dụng hiệu quả nguồn lực của mình.</t>
  </si>
  <si>
    <t>Nhà nước đã giải thích rõ ràng về mục tiêu và lý do thay đổi thuế lần này. Điều này giúp tôi hiểu được tầm quan trọng của việc cải cách và ủng hộ quyết định đó</t>
  </si>
  <si>
    <t>Sau khi xem xét các quyền lợi và nghĩa vụ, tôi hoàn toàn đồng ý với chính sách mới. Nó không chỉ đơn giản hóa quy trình mà còn giảm gánh nặng thuế cho người dân như tôi.</t>
  </si>
  <si>
    <t>Dựa trên các quy định quản lý thuế hiện nay, tôi thấy hành vi gian lận hoặc trốn thuế có thể bị phát hiện do sự giám sát chặt chẽ của cơ quan thuế và công nghệ hiện đại. Tuy nhiên, việc xử phạt nghiêm túc vẫn phụ thuộc vào khả năng thực thi.</t>
  </si>
  <si>
    <t>Nhà nước đã đầu tư các công nghệ tiên tiến để phát hiện gian lận thuế, do đó tôi tin rằng khả năng phát hiện và xử lý là cao. Điều này tăng niềm tin vào hệ thống quản lý thuế.</t>
  </si>
  <si>
    <t>So với trước đây, quy trình khai báo thuế và làm việc với cơ quan thuế đã đơn giản hơn nhiều, thuận tiện cho người dân. Việc giảm trừ gia cảnh cao hơn cũng giúp quá trình tính thuế dễ dàng hơn.</t>
  </si>
  <si>
    <t>Biểu thuế mới đơn giản hóa từ 7 bậc xuống còn 5 bậc, làm việc với cơ quan thuế trở nên dễ dàng và rõ ràng. Việc giảm trừ gia cảnh cao hơn cũng giúp tính toán thuận tiện.</t>
  </si>
  <si>
    <t>Tôi tin rằng Nhà nước sẽ thực thi chính sách mới một cách công bằng, không phân biệt ai có thu nhập như tôi. Điều này tăng niềm tin vào hệ thống thuế mới.</t>
  </si>
  <si>
    <t>Lệ phí thuế theo phương án mới giảm đáng kể so với trước đây, do đó tôi thấy mức thuế hiện tại là công bằng đối với thu nhập của mình. Việc này tạo cảm giác công bằng hơn về việc đóng góp cho xã hội.</t>
  </si>
  <si>
    <t>Thuế tôi đóng sẽ được sử dụng để cải thiện dịch vụ công, do đó tôi tin rằng tiền thuế đang được sử dụng hiệu quả. Điều này tạo niềm tin vào sự quản lý tài chính của Nhà nước.</t>
  </si>
  <si>
    <t>Nhà nước đã giải thích rõ ràng về mục tiêu và lý do sửa đổi thuế, giúp tôi hiểu rõ hơn về việc thay đổi này. Điều này tăng sự minh bạch và trách nhiệm của Nhà nước.</t>
  </si>
  <si>
    <t>Sau khi xem xét các quyền lợi và nghĩa vụ, tôi ủng hộ chính sách mới hiện nay vì nó tạo ra một hệ thống thuế công bằng hơn và thuận tiện cho người dân. Tôi sẽ tuân thủ theo quy định mới.</t>
  </si>
  <si>
    <t>Dù tăng cường quản lý thuế nhưng với số lượng người nộp thuế lớn, khả năng phát hiện và xử phạt trốn thuế vẫn còn hạn chế.</t>
  </si>
  <si>
    <t>Cơ quan thuế có công nghệ hiện đại giúp kiểm soát tốt hơn nhưng cần sự phối hợp của người dân trong việc khai báo chính xác.</t>
  </si>
  <si>
    <t>Quy trình khai báo đơn giản hơn, dễ thực hiện nhưng vẫn cần thời gian làm quen với các thay đổi.</t>
  </si>
  <si>
    <t>Bậc thuế giảm đi giúp tính toán dễ dàng, rõ ràng hơn so với trước đây.</t>
  </si>
  <si>
    <t>Nhà nước công bố minh bạch về chính sách mới nhưng thực tế việc áp dụng vẫn cần thời gian để kiểm chứng.</t>
  </si>
  <si>
    <t>Mức thuế giảm cho phép tôi tiết kiệm được một khoản tiền đáng kể, cảm thấy công bằng hơn so với trước đây.</t>
  </si>
  <si>
    <t>Thuế đóng góp vào việc cải thiện các dịch vụ công nhưng cần thời gian để thấy kết quả cụ thể.</t>
  </si>
  <si>
    <t>Nhà nước đã giải thích rõ về mục tiêu và lý do của chính sách mới, tạo niềm tin với người dân.</t>
  </si>
  <si>
    <t>Chính sách mới mang lại lợi ích cho tôi về mặt tài chính và tính minh bạch nên tôi ủng hộ.</t>
  </si>
  <si>
    <t>Dù luật thuế có được cải cách, nhưng vẫn cần sự quản lý chặt chẽ từ phía cơ quan chức năng để phát hiện và xử lý kịp thời các hành vi gian lận.</t>
  </si>
  <si>
    <t>Cơ quan thuế với công nghệ tiên tiến có khả năng phát hiện trốn thuế, nhưng vẫn cần sự phối hợp từ phía người nộp thuế.</t>
  </si>
  <si>
    <t>Quy trình khai báo và làm việc với cơ quan thuế trở nên đơn giản hơn, giảm bớt phiền toái cho người dân.</t>
  </si>
  <si>
    <t>Biểu thuế mới có ít bậc hơn, dễ hiểu và dễ thực hiện hơn so với trước đây.</t>
  </si>
  <si>
    <t>Tôi tin rằng cơ quan thuế sẽ thực thi chính sách một cách công bằng, nhưng vẫn cần các biện pháp giám sát chặt chẽ.</t>
  </si>
  <si>
    <t>Thuế mới giảm đáng kể so với trước đây, cho thấy mức thuế này là hợp lý</t>
  </si>
  <si>
    <t>Tài sản thuế sẽ được sử dụng hiệu quả để cải thiện các dịch vụ công, mang lại lợi ích cho người dân.</t>
  </si>
  <si>
    <t>Nhà nước đã giải thích rõ ràng về mục tiêu của việc cải cách thuế lần này</t>
  </si>
  <si>
    <t>Điều kiện hiện tại chưa đủ minh bạch để phát hiện gian lận thuế.</t>
  </si>
  <si>
    <t>Cơ quan thuế có công nghệ nhưng vẫn cần thêm nguồn lực để xử lý hiệu quả.</t>
  </si>
  <si>
    <t>Hồ sơ thuế đơn giản hơn, thủ tục nhanh chóng.</t>
  </si>
  <si>
    <t>Bậc thuế giảm đi, dễ tính toán và thực hiện hơn.</t>
  </si>
  <si>
    <t>Niềm tin vào sự công bằng của quy định mới cần thời gian để xây dựng.</t>
  </si>
  <si>
    <t>Mức thuế giảm, tôi thấy là hợp lý với thu nhập hiện tại.</t>
  </si>
  <si>
    <t>Sử dụng tiền thuế vào các dịch vụ công còn nhiều bất cập.</t>
  </si>
  <si>
    <t>Nhà nước đã giải thích rõ ràng về mục đích sửa đổi luật.</t>
  </si>
  <si>
    <t>Tôi đồng ý và sẽ tuân thủ vì lợi ích tài chính và sự đơn giản hóa.</t>
  </si>
  <si>
    <t>Tăng mức giảm trừ gia cảnh và đơn giản hóa biểu thuế tạo cơ sở pháp lý mạnh mẽ để phát hiện, xử lý trốn thuế.</t>
  </si>
  <si>
    <t>Cơ quan thuế có khả năng và công nghệ cần thiết để giám sát hoạt động kinh doanh và khai báo thuế của cá nhân.</t>
  </si>
  <si>
    <t>Quy trình khai thuế đơn giản hơn, giảm thời gian xử lý và thủ tục phức tạp cho người nộp thuế.</t>
  </si>
  <si>
    <t>Biểu thuế mới có ít bậc hơn nên dễ hiểu và thực hiện nhanh chóng hơn so với trước đây.</t>
  </si>
  <si>
    <t>Mức thuế mới được giảm do tăng mức giảm trừ gia cảnh, tạo ra sự công bằng trong việc nộp thuế.</t>
  </si>
  <si>
    <t>Nhà nước đã tăng mức giảm trừ gia cảnh và đơn giản hóa biểu thuế, làm cho người thu nhập như tôi đóng mức thuế hợp lý hơn.</t>
  </si>
  <si>
    <t>Thuế được sử dụng hiệu quả để cải thiện dịch vụ công, tạo niềm tin về việc nộp thuế.</t>
  </si>
  <si>
    <t>Nhà nước đã giải thích rõ ràng mục tiêu của chính sách mới và cách thức thực hiện nó.</t>
  </si>
  <si>
    <t>Sau khi xem xét tác động tài chính tích cực, tôi ủng hộ và tuân thủ chính sách mới.</t>
  </si>
  <si>
    <t>Những quy định quản lý thuế hiện nay khá chặt chẽ, nhưng tôi vẫn nghi ngờ về khả năng phát hiện hành vi gian lận hay trốn thuế.</t>
  </si>
  <si>
    <t>Tuy Nhà nước đã đầu tư công nghệ để giám sát, nhưng do kinh nghiệm hạn chế nên khả năng phát hiện và xử lý vẫn chưa hoàn thiện.</t>
  </si>
  <si>
    <t>Các thủ tục khai báo thuế và quy trình làm việc với cơ quan thuế đã đơn giản hơn trước, dễ thực hiện hơn.</t>
  </si>
  <si>
    <t>Biểu thuế mới có ít bậc hơn, dễ hiểu hơn so với trước đây, nhưng vẫn còn phức tạp đối với người không am hiểu về thuế.</t>
  </si>
  <si>
    <t>Tôi tin rằng Nhà nước sẽ thực thi chính sách một cách khách quan và công bằng, vì đã có sự cải tiến trong quản lý thuế.</t>
  </si>
  <si>
    <t>Dựa trên tác động tài chính, tôi thấy mức thuế mới là hợp lý đối với thu nhập của mình, giúp tiết kiệm một khoản tiền đáng kể mỗi tháng.</t>
  </si>
  <si>
    <t>Việc sử dụng số tiền thuế đóng vào các dịch vụ công như y tế và đường xá có thể cải thiện chất lượng cuộc sống cho người dân.</t>
  </si>
  <si>
    <t>Nhà nước đã giải thích rõ ràng về mục tiêu của việc sửa đổi thuế, nhưng cần làm rõ hơn về cách sử dụng nguồn thu từ thuế này.</t>
  </si>
  <si>
    <t>Tôi ủng hộ và sẽ tuân thủ chính sách mới vì nó giúp tôi tiết kiệm tiền và cải thiện dịch vụ công.</t>
  </si>
  <si>
    <t>Dựa trên các quy định quản lý thuế hiện nay, tôi tin rằng hành vi gian lận hoặc trốn thuế sẽ dễ dàng bị phát hiện và xử lý nghiêm. Với sự giám sát kỹ càng từ cơ quan thuế, cộng với công nghệ tiên tiến, việc phát hiện sai phạm trở nên dễ dàng hơn.</t>
  </si>
  <si>
    <t>Nhà nước và cơ quan thuế đã đầu tư vào công nghệ để đảm bảo tính minh bạch và hiệu quả trong việc quản lý thuế. Điều này cho thấy họ có khả năng phát hiện và xử lý nghiêm các hành vi trốn thuế.</t>
  </si>
  <si>
    <t>So với trước đây, quy trình làm việc với cơ quan thuế đơn giản hơn nhiều. Việc giảm trừ gia cảnh lớn hơn và số bậc thuế được đơn giản hóa giúp quá trình khai báo trở nên nhanh chóng và dễ dàng.</t>
  </si>
  <si>
    <t>Biểu thuế mới có ít bậc hơn, mức thuế suất rõ ràng và dễ hiểu. Điều này làm giảm độ phức tạp cho người nộp thuế trong quá trình tính toán.</t>
  </si>
  <si>
    <t>Với mức thuế mới, tôi thấy mình đóng góp số tiền phù hợp với thu nhập của mình. Mức giảm trừ gia cảnh cũng giúp làm giảm gánh nặng tài chính cho tôi.</t>
  </si>
  <si>
    <t>Tôi tin rằng số tiền thuế tôi đóng sẽ được sử dụng hiệu quả để cải thiện dịch vụ công, như y tế và đường xá, góp phần nâng cao chất lượng cuộc sống của người dân.</t>
  </si>
  <si>
    <t>Nhà nước đã giải thích rõ ràng về lý do và mục tiêu của việc sửa đổi thuế. Thông tin minh bạch này giúp tôi hiểu được mục đích chính sách mới.</t>
  </si>
  <si>
    <t>Chính sách mới mang lại lợi ích tài chính cho tôi, đồng thời giảm độ phức tạp trong quy trình khai báo. Điều này khiến tôi ủng hộ và tuân thủ chính sách này.</t>
  </si>
  <si>
    <t>Hiện nay, với sự phát triển của công nghệ và hệ thống quản lý thuế hiện đại, tôi tin rằng hành vi gian lận hay trốn thuế sẽ dễ dàng bị phát hiện. Điều này tạo nên một môi trường cạnh tranh công bằng.</t>
  </si>
  <si>
    <t>Cơ quan thuế có khả năng sử dụng công nghệ tiên tiến để theo dõi và xử lý các hành vi trốn thuế, do đó tôi tin rằng họ sẽ thực thi luật một cách nghiêm túc.</t>
  </si>
  <si>
    <t>Quy trình khai báo thuế và làm việc với cơ quan thuế đã trở nên đơn giản hơn so với trước đây. Các bước thực hiện rõ ràng, dễ hiểu, giúp tiết kiệm thời gian.</t>
  </si>
  <si>
    <t>Biểu thuế mới có ít bậc hơn và mức giảm trừ gia cảnh cao hơn, khiến việc tính toán trở nên dễ dàng hơn. Điều này làm tăng khả năng chấp hành của tôi đối với chính sách thuế mới.</t>
  </si>
  <si>
    <t>Tôi tin rằng Nhà nước sẽ thực thi chính sách một cách công bằng và khách quan, không phân biệt ai đóng thuế bao nhiêu.</t>
  </si>
  <si>
    <t>Mức thuế mới phù hợp với thu nhập của tôi. Việc tăng giảm trừ gia cảnh giúp cân đối giữa quyền lợi và nghĩa vụ của tôi.</t>
  </si>
  <si>
    <t>Hiện nay, số tiền thuế đóng góp vào ngân sách sẽ được sử dụng hiệu quả để cải thiện dịch vụ công, do đó tôi cảm thấy việc đóng thuế có ý nghĩa.</t>
  </si>
  <si>
    <t>Nhà nước đã giải thích rõ ràng về mục tiêu và lý do của việc sửa đổi chính sách thuế. Điều này làm tăng niềm tin của tôi vào sự minh bạch.</t>
  </si>
  <si>
    <t>Chính sách mới mang lại lợi ích tài chính và thuận tiện cho người dân, đồng thời đảm bảo công bằng trong việc đánh thuế. Tôi ủng hộ và tuân thủ chính sách mới này.</t>
  </si>
  <si>
    <t>Dù có quy định quản lý thuế hiện tại, tôi vẫn nghi ngờ khả năng phát hiện trốn thuế của cơ quan thuế do thiếu thông tin cá nhân.</t>
  </si>
  <si>
    <t>Khả năng công nghệ của cơ quan thuế được cải thiện nhưng không rõ liệu họ có đủ nguồn lực để thực thi</t>
  </si>
  <si>
    <t>Phương án mới đã giảm số bậc thuế và dễ tính toán, nhưng vẫn còn phức tạp đối với những người không am hiểu về thuế</t>
  </si>
  <si>
    <t>Tôi tin rằng Nhà nước sẽ công tâm trong việc thực thi chính sách mới, nhưng mức độ công bằng phụ thuộc vào cách áp dụng.</t>
  </si>
  <si>
    <t>Mức thuế mới giảm và phù hợp với thu nhập của tôi, cho thấy tính công bằng.</t>
  </si>
  <si>
    <t>Thuế tôi đóng sẽ được sử dụng hiệu quả để cải thiện dịch vụ công, tạo niềm tin vào việc đầu tư ngân sách</t>
  </si>
  <si>
    <t>Nhà nước đã giải thích rõ ràng về lý do và mục tiêu của việc sửa đổi thuế, tăng tính minh bạch.</t>
  </si>
  <si>
    <t>Tôi ủng hộ chính sách mới vì lợi ích tài chính và thuận tiện hơn so với trước đây</t>
  </si>
  <si>
    <t>Mặc dù thuế được đơn giản hóa, nhưng việc tăng giảm trừ gia cảnh và thay đổi bậc thuế có thể làm phức tạp hơn trong quản lý. Tuy nhiên, với công nghệ ngày nay, khả năng phát hiện gian lận vẫn cao.</t>
  </si>
  <si>
    <t>Nhà nước đã đầu tư vào hệ thống công nghệ thông tin để hỗ trợ quản lý thuế và xử lý vi phạm. Tuy nhiên, thực tế việc phát hiện và xử lý gian lận vẫn phụ thuộc nhiều vào hiệu suất của các cơ quan chức năng.</t>
  </si>
  <si>
    <t>Thuật toán tính thuế mới đơn giản hơn so với trước đây. Việc giảm số bậc thuế giúp thủ tục khai báo trở nên nhanh chóng, tiện lợi và dễ dàng cho người dân.</t>
  </si>
  <si>
    <t>Các bậc thuế mới rõ ràng hơn, dễ hiểu và dễ thực hiện hơn so với trước đây. Điều này giúp tôi tính toán chính xác thu nhập chịu thuế của mình.</t>
  </si>
  <si>
    <t>Tôi tin rằng Nhà nước sẽ công bằng trong việc thực thi chính sách mới, mặc dù mức độ tuân thủ và hiệu quả của các biện pháp quản lý có thể còn phụ thuộc vào năng lực của cơ quan thuế.</t>
  </si>
  <si>
    <t>Thu nhập tôi đang ở mức thấp nên sự thay đổi về giảm trừ gia cảnh và số bậc thuế không ảnh hưởng nhiều. Tuy nhiên, các điều chỉnh này giúp tôi cảm thấy công bằng hơn so với trước đây.</t>
  </si>
  <si>
    <t>Nhà nước đã sử dụng số tiền thuế thu được để cải thiện dịch vụ công như y tế và giao thông. Điều này làm tăng niềm tin của tôi vào việc sử dụng hiệu quả nguồn lực thuế.</t>
  </si>
  <si>
    <t>Tôi cảm thấy chính phủ đã giải thích rõ ràng về mục tiêu và lý do của việc thay đổi thuế, mặc dù một số người vẫn có thể nghi ngờ về quyết định này.</t>
  </si>
  <si>
    <t>Tổng hợp các yếu tố trên, tôi ủng hộ chính sách mới. Việc giảm thuế và đơn giản hóa thủ tục giúp tôi hài lòng hơn với hệ thống quản lý thuế hiện nay.</t>
  </si>
  <si>
    <t>Nhà nước đã có nhiều biện pháp quản lý thuế và công nghệ hiện đại giúp phát hiện hành vi gian lận, tuy nhiên vẫn còn khả năng bỏ sót.</t>
  </si>
  <si>
    <t>Cơ quan thuế có nhiều nguồn lực và công nghệ để phát hiện trốn thuế, nhưng hiệu quả phụ thuộc vào sự thực thi.</t>
  </si>
  <si>
    <t>Quy trình khai báo thuế đơn giản hơn với mức giảm trừ gia cảnh cao hơn, thuận tiện cho người dân.</t>
  </si>
  <si>
    <t>Tôi tin rằng Nhà nước sẽ công bằng trong việc thực thi chính sách mới, nhưng vẫn cần thêm sự minh bạch từ cơ quan thuế.</t>
  </si>
  <si>
    <t>Mức thuế mới giảm đáng kể so với trước đây, tôi cho là công bằng đối với thu nhập của mình.</t>
  </si>
  <si>
    <t>Thuế đóng góp vào việc cải thiện hạ tầng và dịch vụ công, tôi tin số tiền đóng sẽ được sử dụng hiệu quả.</t>
  </si>
  <si>
    <t>Nhà nước đã giải thích rõ về mục tiêu của chính sách mới, nhưng cần thêm minh bạch trong thực thi.</t>
  </si>
  <si>
    <t>Tôi ủng hộ và tuân thủ chính sách mới vì nó có lợi cho tôi và đơn giản hơn trước đây.</t>
  </si>
  <si>
    <t>Cơ quan thuế có nhiều biện pháp quản lý hiện đại, nhưng vẫn cần nâng cao hơn nữa để tránh gian lận.</t>
  </si>
  <si>
    <t>Nhà nước đã đầu tư công nghệ tốt cho việc phát hiện trốn thuế, nhưng vẫn cần cải tiến</t>
  </si>
  <si>
    <t>Thủ tục đơn giản hơn trước, giúp người dân dễ dàng làm việc với cơ quan thuế.</t>
  </si>
  <si>
    <t>Bậc thuế mới rõ ràng hơn và không quá phức tạp, dễ thực hiện</t>
  </si>
  <si>
    <t>Tôi tin Nhà nước sẽ công bằng trong việc thực thi chính sách thuế.</t>
  </si>
  <si>
    <t>Thuế mới giảm đáng kể, cảm thấy hợp lý với thu nhập hiện tại</t>
  </si>
  <si>
    <t>Tiền thuế đóng góp vào các dịch vụ công, tôi tin chúng sẽ được sử dụng hiệu quả.</t>
  </si>
  <si>
    <t>Nhà nước đã giải thích rõ ràng về mục tiêu của chính sách mới</t>
  </si>
  <si>
    <t>Chính sách thuế mới có lợi cho tôi, nên tôi sẽ ủng hộ và tuân thủ.</t>
  </si>
  <si>
    <t>Nhà nước đã tăng cường công nghệ và nhân lực để quản lý thuế, nên việc phát hiện hành vi gian lận hoặc trốn thuế có thể được cải thiện.</t>
  </si>
  <si>
    <t>Cơ quan thuế sử dụng nhiều công cụ kỹ thuật số như phần mềm, ứng dụng để theo dõi và quản lý thuế nên khả năng phát hiện gian lận đã tăng lên.</t>
  </si>
  <si>
    <t>Quy trình khai báo thuế đơn giản hơn với việc giảm bớt các bước thủ tục, người dân dễ dàng thực hiện.</t>
  </si>
  <si>
    <t>Biểu thuế mới ít bậc hơn và dễ hiểu, giúp tính toán nhanh chóng và chính xác hơn</t>
  </si>
  <si>
    <t>Nhà nước đã tăng giảm trừ gia cảnh nên số người phải nộp thuế sẽ giảm, tạo cảm giác công bằng giữa các đối tượng thu nhập.</t>
  </si>
  <si>
    <t>Tôi thấy mức thuế mới là hợp lý với mức thu nhập của mình, không quá cao so với khả năng chi trả</t>
  </si>
  <si>
    <t>Tiền thuế đóng sẽ được sử dụng để cải thiện các dịch vụ công như y tế và giao thông, tạo niềm tin về việc sử dụng hiệu quả nguồn lực.</t>
  </si>
  <si>
    <t>Nhà nước đã giải thích rõ ràng mục đích của việc sửa đổi thuế qua nhiều kênh truyền thông</t>
  </si>
  <si>
    <t>Chính sách mới mang lại lợi ích tài chính và thuận tiện cho người dân, tôi sẽ ủng hộ và tuân thủ.</t>
  </si>
  <si>
    <t>Dù không có nhiều thông tin về khả năng phát hiện hành vi gian lận, nhưng với sự cải cách trong quản lý thuế và công nghệ hiện đại, tôi cho rằng việc phát hiện sẽ trở nên dễ dàng hơn.</t>
  </si>
  <si>
    <t>Cơ quan thuế có đủ khả năng và công nghệ để phát hiện và xử lý nghiêm các hành vi trốn thuế như đã được nêu trong thông tin chính sách.</t>
  </si>
  <si>
    <t>So với trước đây, quy trình làm việc với cơ quan thuế đơn giản hơn nhiều nhờ mức giảm trừ gia cảnh cao và số bậc thuế ít đi, giúp tôi dễ dàng nắm bắt.</t>
  </si>
  <si>
    <t>Cách tính thuế và các bậc thuế trong phương án mới đơn giản và dễ hiểu hơn so với trước đây, làm tăng độ tin tưởng của người dân.</t>
  </si>
  <si>
    <t>Tôi tin rằng Nhà nước sẽ thực thi chính sách một cách khách quan, công tâm vì mức thuế đã được điều chỉnh phù hợp với thu nhập cá nhân như tôi.</t>
  </si>
  <si>
    <t>Mức thuế mới mà tôi phải đóng là công bằng, và cũng phù hợp với mức thu nhập của tôi, nên tôi thấy nó hợp lý.</t>
  </si>
  <si>
    <t>Tôi tin rằng số tiền thuế tôi đóng sẽ được sử dụng hiệu quả để cải thiện dịch vụ công như y tế và đường xá.</t>
  </si>
  <si>
    <t>Nhà nước đã giải thích rõ ràng về mục tiêu của việc sửa đổi chính sách thuế, giúp tôi hiểu rõ hơn về tác động tích cực</t>
  </si>
  <si>
    <t>Tôi ủng hộ và tuân thủ chính sách mới vì nó đơn giản hóa quy trình, giảm gánh nặng tài chính cho người dân và công bằng hơn.</t>
  </si>
  <si>
    <t>Thuế đã đơn giản hóa, các quy định quản lý thuế hiện tại có thể dễ dàng phát hiện và xử lý hành vi gian lận.</t>
  </si>
  <si>
    <t>Cơ quan thuế có công nghệ và khả năng để giám sát hiệu quả hơn, giảm rủi ro trốn thuế.</t>
  </si>
  <si>
    <t>Quy trình khai báo thuế đơn giản hơn, không còn nhiều giấy tờ phức tạp như trước đây.</t>
  </si>
  <si>
    <t>Biểu thuế mới dễ hiểu và thực hiện thuận tiện, giảm độ khó cho người nộp thuế.</t>
  </si>
  <si>
    <t>Chính sách mới được cải thiện về mặt công bằng, tôi tin rằng các quy định mới sẽ áp dụng khách quan với mọi người.</t>
  </si>
  <si>
    <t>Mức thuế mới giảm đáng kể, tôi thấy điều này là hợp lý cho thu nhập của mình.</t>
  </si>
  <si>
    <t>Thuế đóng góp vào các dịch vụ công quan trọng như y tế và hạ tầng, tôi tin số tiền đóng sẽ được sử dụng hiệu quả.</t>
  </si>
  <si>
    <t>Nhà nước đã giải thích rõ ràng về mục tiêu cải cách thuế, tôi thấy sự minh bạch này là quan trọng.</t>
  </si>
  <si>
    <t>Chính sách mới đơn giản và công bằng hơn, tôi ủng hộ và sẽ tuân thủ.</t>
  </si>
  <si>
    <t>Tăng cường công nghệ và quản lý thuế có thể phát hiện gian lận hoặc trốn thuế, nhưng vẫn phụ thuộc vào việc thực thi của cơ quan thuế.</t>
  </si>
  <si>
    <t>Cơ sở hạ tầng kỹ thuật số đã cải thiện đáng kể khả năng giám sát và xử lý hành vi gian lận.</t>
  </si>
  <si>
    <t>Thủ tục khai thuế trở nên đơn giản hơn, nhưng vẫn cần thời gian để quen thuộc với quy trình mới.</t>
  </si>
  <si>
    <t>Biểu thuế đơn giản hóa giúp dễ dàng tính toán và thực hiện, giảm bớt sự phức tạp trước đây.</t>
  </si>
  <si>
    <t>Niềm tin vào cơ quan thuế đang tăng do cải cách, nhưng vẫn cần thời gian để chứng minh</t>
  </si>
  <si>
    <t>Thuế mới được xem là công bằng hơn với mức giảm trừ gia cảnh và bậc thuế hợp lý</t>
  </si>
  <si>
    <t>Tăng thu nhập ròng và quy định rõ ràng về sử dụng tiền thuế làm tăng niềm tin vào hiệu quả sử dụng nguồn lực</t>
  </si>
  <si>
    <t>Đã có thông tin giải thích cụ thể về mục tiêu cải cách, nhưng cần thêm minh bạch hơn</t>
  </si>
  <si>
    <t>Chính sách mới mang lại lợi ích rõ ràng và giảm gánh nặng tài chính nên sẽ ủng hộ và tuân thủ.</t>
  </si>
  <si>
    <t>Cơ quan thuế có nhiều công cụ phát hiện gian lận, trốn thuế như dữ liệu điện tử, hệ thống giám sát, nhưng vẫn cần cải thiện hơn để ngăn chặn hành vi không tuân thủ.</t>
  </si>
  <si>
    <t>Nhà nước và cơ quan thuế đã đầu tư công nghệ và nhân lực để tăng cường quản lý, tuy nhiên, hiệu quả thực tế còn phụ thuộc vào sự hợp tác của người dân trong việc tuân thủ.</t>
  </si>
  <si>
    <t>Quy trình khai báo và làm việc với cơ quan thuế đã đơn giản hơn, nhưng vẫn cần cải thiện về mặt tiện ích cho người nộp thuế như ứng dụng điện tử.</t>
  </si>
  <si>
    <t>Bậc thuế mới đơn giản hóa nhiều so với trước đây, dễ dàng tính toán và thực hiện, giúp người dân hiểu rõ hơn về chính sách thuế</t>
  </si>
  <si>
    <t>Tôi tin rằng cơ quan thuế sẽ công bằng trong việc thực thi chính sách mới, tuy nhiên cần thêm minh bạch để tăng niềm tin của người dân.</t>
  </si>
  <si>
    <t>Thuế mới có lợi cho tôi với mức giảm trừ gia cảnh cao hơn và số bậc thuế ít hơn, tạo cảm giác công bằng</t>
  </si>
  <si>
    <t>Tôi tin rằng số tiền thuế đóng sẽ được sử dụng hiệu quả để cải thiện dịch vụ công, tuy nhiên cần thêm thông tin về cách sử dụng nguồn thu thuế.</t>
  </si>
  <si>
    <t>Nhà nước đã giải thích rõ ràng về mục tiêu của việc sửa đổi thuế, nhưng vẫn có nhiều ý kiến trái chiều từ người dân</t>
  </si>
  <si>
    <t>Tôi ủng hộ và tuân thủ chính sách mới vì nó mang lại lợi ích cho tôi và tạo ra một hệ thống thuế công bằng hơn.</t>
  </si>
  <si>
    <t>Dù có quy định quản lý thuế, nhưng với việc tăng giảm trừ gia cảnh và thay đổi bậc thuế, khả năng phát hiện trốn thuế vẫn chưa hoàn toàn hiệu quả.</t>
  </si>
  <si>
    <t>Cơ quan thuế đã đầu tư công nghệ để cải thiện tính minh bạch nhưng khả năng thực thi vẫn phụ thuộc vào nguồn lực và cơ chế quản lý.</t>
  </si>
  <si>
    <t>Thủ tục khai báo thuế có thể dễ dàng hơn, đặc biệt là khi quy trình điện tử được áp dụng rộng rãi. Tuy nhiên, việc xử lý hồ sơ vẫn cần thời gian và công đoạn.</t>
  </si>
  <si>
    <t>Bậc thuế giảm đi giúp tính toán dễ dàng hơn nhưng vẫn còn một số trường hợp khó hiểu do các điều khoản cụ thể chưa rõ ràng.</t>
  </si>
  <si>
    <t>Nhà nước đã cố gắng thực thi chính sách công bằng nhưng cần thêm thời gian để người dân nhận biết và tin tưởng.</t>
  </si>
  <si>
    <t>Thuế mới phù hợp với thu nhập của tôi, giảm gánh nặng về tài chính nên cảm thấy công bằng.</t>
  </si>
  <si>
    <t>Số tiền thuế sẽ được sử dụng hiệu quả để cải thiện dịch vụ công là điều quan trọng nhưng cần thêm minh bạch về cách sử dụng nguồn lực.</t>
  </si>
  <si>
    <t>Nhà nước đã giải thích rõ ràng về mục tiêu và lý do của việc sửa đổi thuế, tạo sự tin tưởng trong người dân.</t>
  </si>
  <si>
    <t>Tác động tài chính tích cực và giảm gánh nặng thuế khiến tôi ủng hộ chính sách mới. Tuy nhiên, cần thêm thời gian để quen với quy định mới.</t>
  </si>
  <si>
    <t>Cơ quan thuế có công nghệ và khả năng phát hiện gian lận hoặc trốn thuế, tuy nhiên vẫn cần nâng cao hơn nữa.</t>
  </si>
  <si>
    <t>Nhà nước đã đầu tư vào hệ thống công nghệ thông tin để quản lý thuế hiệu quả hơn, giảm thiểu hành vi trốn thuế.</t>
  </si>
  <si>
    <t>Thủ tục khai báo thuế và quy trình làm việc với cơ quan thuế đơn giản hơn, thuận tiện cho người dân.</t>
  </si>
  <si>
    <t>Biểu thuế được đơn giản hóa từ 7 bậc xuống còn 5 bậc, dễ hiểu và dễ thực hiện hơn so với trước đây.</t>
  </si>
  <si>
    <t>Tôi tin rằng cơ quan thuế sẽ công bằng trong việc thực thi chính sách mới, nhưng vẫn cần minh bạch hơn nữa.</t>
  </si>
  <si>
    <t>Mức thuế theo phương án mới hợp lý, giúp tôi tiết kiệm được tiền và giảm gánh nặng tài chính.</t>
  </si>
  <si>
    <t>Cơ quan thuế có nhiều công cụ để phát hiện hành vi gian lận hoặc trốn thuế, nhưng hiệu quả phụ thuộc vào việc thực thi.</t>
  </si>
  <si>
    <t>Khả năng và công nghệ của cơ quan thuế đã được cải thiện đáng kể, giúp việc phát hiện trốn thuế trở nên dễ dàng hơn.</t>
  </si>
  <si>
    <t>Quy trình khai báo và làm việc với cơ quan thuế nay đơn giản hơn nhiều so với trước đây.</t>
  </si>
  <si>
    <t>Biểu thuế mới đã được đơn giản hóa, dễ hiểu và dễ thực hiện hơn.</t>
  </si>
  <si>
    <t>Theo các bậc thuế mới, tôi thấy mức thuế mình phải đóng là hợp lý và công bằng.</t>
  </si>
  <si>
    <t>Thuế mà tôi đóng sẽ được sử dụng hiệu quả để cải thiện dịch vụ công, tuy nhiên cần thêm thông tin về việc này.</t>
  </si>
  <si>
    <t>Nhà nước đã giải thích rõ ràng về mục tiêu và lý do của việc sửa đổi thuế lần này, tôi thấy điều đó rất quan trọng.</t>
  </si>
  <si>
    <t>Sau khi xem xét các quyền lợi mới, tôi ủng hộ và sẽ tuân thủ chính sách mới vì nó mang lại nhiều lợi ích hơn cho tôi.</t>
  </si>
  <si>
    <t>Nhà nước và cơ quan thuế đã có nhiều biện pháp công khai và kiểm soát, nhưng vẫn cần cải thiện khả năng phát hiện gian lận.</t>
  </si>
  <si>
    <t>Khả năng của Nhà nước trong việc quản lý thuế đang được nâng cao với sự hỗ trợ từ công nghệ, giúp phát hiện và xử lý nhanh chóng các hành vi trốn thuế.</t>
  </si>
  <si>
    <t>So với trước đây, quy trình khai báo thuế trở nên đơn giản hơn, nhưng vẫn cần thêm thời gian để người dân quen thuộc với hệ thống mới.</t>
  </si>
  <si>
    <t>Bậc thuế và cách tính thuế được đơn giản hóa, dễ hiểu và thực hiện nhanh chóng hơn so với trước đây.</t>
  </si>
  <si>
    <t>Tôi tin rằng cơ quan thuế sẽ áp dụng chính sách một cách công bằng cho mọi người nộp thuế, tuy nhiên vẫn cần cải thiện trong việc truyền đạt thông tin.</t>
  </si>
  <si>
    <t>Đối với mức thu nhập của tôi, mức thuế mới là hợp lý và công bằng so với trước đây.</t>
  </si>
  <si>
    <t>Tôi tin rằng số tiền thuế đóng sẽ được sử dụng hiệu quả cho các dịch vụ công, nhưng việc minh bạch trong sử dụng kinh phí cần được cải thiện.</t>
  </si>
  <si>
    <t>Nhà nước đã giải thích rõ ràng về mục tiêu và lý do của chính sách mới, tuy nhiên vẫn có những khía cạnh chưa công khai đầy đủ.</t>
  </si>
  <si>
    <t>Dù còn một số điểm cần cải thiện nhưng tôi ủng hộ và tuân thủ chính sách mới, vì nó mang lại lợi ích thực tế cho người dân.</t>
  </si>
  <si>
    <t>Nếu hệ thống công nghệ của cơ quan thuế được cải thiện, việc phát hiện hành vi gian lận hoặc trốn thuế sẽ trở nên dễ dàng hơn. Tuy nhiên, với quy định quản lý thuế hiện tại, vẫn còn nhiều thách thức.</t>
  </si>
  <si>
    <t>Nhà nước và cơ quan thuế có khả năng phát triển công nghệ để giám sát tình hình thuế, nhưng thực tế cho thấy mức độ áp dụng và hiệu quả của các giải pháp hiện tại còn hạn chế.</t>
  </si>
  <si>
    <t>Quy trình khai báo thuế đã đơn giản hơn so với trước đây. Việc tăng mức giảm trừ gia cảnh cũng giúp người dân thuận lợi trong việc thực hiện nghĩa vụ nộp thuế.</t>
  </si>
  <si>
    <t>So với quy định cũ, cách tính thuế và các bậc thuế mới đã rõ ràng hơn, dễ hiểu hơn. Điều này giúp giảm bớt sự phức tạp đối với người dân.</t>
  </si>
  <si>
    <t>Tôi tin rằng Nhà nước sẽ thực thi chính sách một cách công bằng, nhưng cần có thêm các biện pháp để tăng cường niềm tin của người dân.</t>
  </si>
  <si>
    <t>Nhìn chung mức thuế mới là hợp lý đối với thu nhập của tôi. Tuy nhiên, việc cải cách này nên được tiếp tục theo hướng công bằng hơn nữa.</t>
  </si>
  <si>
    <t>Tôi tin rằng số tiền thuế đóng sẽ được sử dụng hiệu quả để nâng cao chất lượng dịch vụ công. Tuy nhiên, cần có thêm minh bạch về cách sử dụng nguồn thu.</t>
  </si>
  <si>
    <t>Nhà nước đã giải thích rõ ràng về mục tiêu và lợi ích của việc cải cách thuế này. Điều này giúp tôi hiểu rõ hơn về chính sách mới.</t>
  </si>
  <si>
    <t>Tôi ủng hộ và tuân thủ chính sách mới, bởi vì nó mang lại nhiều thuận lợi và công bằng hơn so với trước đây. Tuy nhiên, cần có thêm cải cách để đảm bảo sự công bằng tuyệt đối.</t>
  </si>
  <si>
    <t>Dù có công nghệ hỗ trợ, nhưng tôi lo ngại về khả năng kiểm soát và xử lý kịp thời của cơ quan thuế đối với các trường hợp trốn thuế.</t>
  </si>
  <si>
    <t>Công nghệ hiện đại đã cải thiện đáng kể khả năng phát hiện gian lận, nhưng vẫn cần nhiều nỗ lực để ngăn chặn và xử lý triệt để vấn đề này.</t>
  </si>
  <si>
    <t>Quy trình khai thuế trở nên đơn giản hơn, thủ tục nộp thuế cũng thuận tiện hơn với các ứng dụng điện tử. Tuy nhiên, vẫn còn một số bước phức tạp cần cải thiện.</t>
  </si>
  <si>
    <t>Biểu thuế đơn giản hơn và rõ ràng hơn, giúp tôi dễ dàng tính toán và tuân thủ. Mức giảm trừ gia cảnh cũng thuận lợi cho người dân.</t>
  </si>
  <si>
    <t>Tôi tin rằng cơ quan thuế sẽ thực thi chính sách một cách công bằng, nhưng vẫn cần thêm giám sát từ phía công chúng để đảm bảo tính minh bạch.</t>
  </si>
  <si>
    <t>Mức thuế mới giảm đáng kể so với trước đây, khiến tôi cảm thấy nó là hợp lý và công bằng hơn. Mức giảm trừ gia cảnh cũng thuận lợi cho người dân.</t>
  </si>
  <si>
    <t>Tôi tin rằng số tiền thuế đóng sẽ được sử dụng hiệu quả để cải thiện dịch vụ công, nhưng cần thêm thông tin về cách sử dụng nguồn thu này</t>
  </si>
  <si>
    <t>Nhà nước đã giải thích khá rõ ràng về mục tiêu và lý do của việc sửa đổi thuế lần này. Tuy nhiên, tôi mong muốn có thêm thông tin chi tiết về quá trình thực hiện.</t>
  </si>
  <si>
    <t>Tôi ủng hộ chính sách mới vì nó mang lại lợi ích tài chính và thuận tiện hơn cho người dân. Mặc dù vẫn còn một số khía cạnh cần cải thiện, nhưng tôi tin rằng nó sẽ giúp cải thiện hệ thống thuế.</t>
  </si>
  <si>
    <t>Thuế TNCN được cải cách với nhiều biện pháp quản lý, tôi tin rằng hành vi gian lận hoặc trốn thuế sẽ bị phát hiện và xử lý nghiêm. Hệ thống công nghệ thông tin của cơ quan thuế cũng đã khá phát triển.</t>
  </si>
  <si>
    <t>Nhà nước và cơ quan thuế có nhiều cải tiến về quản lý, công nghệ, tôi tin rằng họ đủ khả năng để thực hiện các biện pháp kiểm soát hiệu quả.</t>
  </si>
  <si>
    <t>Thủ tục khai báo thuế đơn giản hơn trước, ít cần trình bày giấy tờ và dễ thực hiện hơn. Quy trình làm việc với cơ quan thuế cũng thuận tiện hơn nhiều.</t>
  </si>
  <si>
    <t>Cách tính thuế và các bậc thuế mới đơn giản, rõ ràng hơn so với trước đây. Tôi thấy rất dễ hiểu và thực hiện hơn.</t>
  </si>
  <si>
    <t>Nhà nước đã cải cách thuế một cách công bằng cho người dân, tôi tin rằng họ sẽ thực thi chính sách này một cách khách quan, công tâm.</t>
  </si>
  <si>
    <t>Đối với thu nhập của mình, mức thuế mới là hợp lý và công bằng. Tôi không cảm thấy bị mất lợi ích nào đáng kể.</t>
  </si>
  <si>
    <t>Tôi tin rằng số tiền thuế tôi đóng sẽ được sử dụng hiệu quả để cải thiện chất lượng cuộc sống của người dân, như y tế, giáo dục và cơ sở hạ tầng.</t>
  </si>
  <si>
    <t>Nhà nước đã giải thích rõ ràng về mục tiêu và lý do của việc sửa đổi thuế lần này. Tôi thấy thông tin minh bạch hơn nhiều.</t>
  </si>
  <si>
    <t>Tuy vẫn có một số lo lắng, nhưng tôi ủng hộ và tuân thủ chính sách mới vì lợi ích mà nó mang lại cho bản thân và cộng đồng.</t>
  </si>
  <si>
    <t>Khả năng của Nhà nước quản lý thuế đã được cải thiện, nhưng vẫn cần nâng cao công nghệ và nguồn lực để phát hiện trốn thuế hiệu quả.</t>
  </si>
  <si>
    <t>Quy trình làm việc với cơ quan thuế trở nên đơn giản hơn, giảm thời gian chờ đợi và thủ tục phức tạp.</t>
  </si>
  <si>
    <t>Biểu thuế được đơn giản hóa từ 7 bậc thành 5 bậc, dễ hiểu và thực hiện hơn.</t>
  </si>
  <si>
    <t>Niềm tin vào sự công bằng của Nhà nước trong việc áp dụng chính sách mới đã tăng lên do mức giảm trừ gia cảnh cao hơn.</t>
  </si>
  <si>
    <t>Mức thuế mới có vẻ công bằng, đặc biệt là với mức thu nhập hiện tại và số người phụ thuộc.</t>
  </si>
  <si>
    <t>Đồng ý rằng tiền thuế đóng góp vào việc cải thiện dịch vụ công, nhưng cần nhìn nhận hiệu quả sử dụng ngân sách của Nhà nước.</t>
  </si>
  <si>
    <t>Nhà nước đã giải thích rõ ràng về mục tiêu sửa đổi chính sách thuế, tạo sự minh bạch.</t>
  </si>
  <si>
    <t>Chính sách mới có lợi cho tôi về mặt tài chính và thủ tục, nên tôi ủng hộ và sẽ tuân thủ.</t>
  </si>
  <si>
    <t>Hiện nay, cơ quan thuế đã có nhiều biện pháp kiểm soát mạnh mẽ và công nghệ phát triển, do đó hành vi gian lận hoặc trốn thuế dễ dàng bị phát hiện.</t>
  </si>
  <si>
    <t>Nhà nước và cơ quan thuế đã đầu tư vào công nghệ thông tin để tăng cường quản lý thuế, giúp nâng cao hiệu quả trong việc xử lý các hành vi trốn thuế.</t>
  </si>
  <si>
    <t>So với trước đây, quy trình khai báo thuế và giao tiếp với cơ quan thuế đơn giản hơn nhiều, giảm bớt rườm rà, thủ tục phức tạp.</t>
  </si>
  <si>
    <t>Biểu thuế mới có ít bậc hơn, dễ hiểu và thực hiện nhanh chóng hơn so với trước đây, giúp người dân tính toán và nộp thuế thuận lợi hơn.</t>
  </si>
  <si>
    <t>Nhà nước đã công bố rõ ràng về các quy định mới và có nhiều biện pháp quản lý chặt chẽ, tôi tin rằng việc thực thi sẽ khách quan và công bằng.</t>
  </si>
  <si>
    <t>Thuế mới được tính dựa trên thu nhập và mức giảm trừ gia cảnh, tôi thấy là hợp lý với mức thu nhập của mình. Phương án mới mang lại sự công bằng hơn so với trước đây.</t>
  </si>
  <si>
    <t>Với việc đóng thuế theo phương án mới, tôi tin rằng số tiền sẽ được sử dụng hiệu quả để cải thiện các dịch vụ công như y tế và giao thông.</t>
  </si>
  <si>
    <t>Nhà nước đã giải thích rõ ràng về mục đích của việc sửa đổi chính sách thuế, tôi cảm thấy hài lòng với sự minh bạch này.</t>
  </si>
  <si>
    <t>Sau khi xem xét các quyền lợi và nghĩa vụ, tôi ủng hộ và sẽ tuân thủ chính sách mới vì nó có lợi cho tôi và mang lại nhiều thuận tiện hơn.</t>
  </si>
  <si>
    <t>Dù cơ quan thuế có công nghệ hiện đại, nhưng tôi vẫn lo ngại về khả năng quản lý và phát hiện hành vi gian lận tax trên quy mô lớn.</t>
  </si>
  <si>
    <t>Công nghệ và nguồn lực của cơ quan thuế được cải thiện, tuy nhiên, việc thực thi pháp luật vẫn cần sự phối hợp chặt chẽ giữa nhiều bộ ngành.</t>
  </si>
  <si>
    <t>Thủ tục khai báo thuế trở nên đơn giản hơn, nhưng tôi vẫn gặp khó khăn khi chưa quen với các thay đổi mới.</t>
  </si>
  <si>
    <t>Bậc thuế giảm đi làm việc tính toán đơn giản hơn nhiều so với trước đây</t>
  </si>
  <si>
    <t>Tôi tin rằng cơ quan thuế sẽ thực thi chính sách công bằng, nhưng vẫn lo ngại về khả năng kiểm soát trên diện rộng.</t>
  </si>
  <si>
    <t>Thuế mới giảm đi đáng kể, tôi thấy hợp lý và công bằng hơn so với trước đây</t>
  </si>
  <si>
    <t>Tài sản thuế sẽ được sử dụng hiệu quả cho các dịch vụ công, nhưng vẫn cần theo dõi cụ thể hơn.</t>
  </si>
  <si>
    <t>Nhà nước đã giải thích rõ ràng về mục tiêu và lý do của việc cải cách thuế này</t>
  </si>
  <si>
    <t>Tôi ủng hộ chính sách mới vì nó mang lại lợi ích tài chính lớn cho tôi, giảm gánh nặng về mặt thuế.</t>
  </si>
  <si>
    <t>Hiện tại, cơ chế quản lý thuế có nhiều cải thiện nhưng vẫn cần thêm giám sát kỹ lưỡng từ nhà nước để phát hiện và xử lý các hành vi trốn thuế.</t>
  </si>
  <si>
    <t>Nhà nước đã đầu tư công nghệ hiện đại hơn, tuy nhiên khả năng phát hiện trốn thuế còn phụ thuộc vào sự chấp hành của người dân.</t>
  </si>
  <si>
    <t>Quy trình khai báo và làm việc với cơ quan thuế trở nên đơn giản hơn nhưng vẫn cần thêm thời gian để mọi người quen thuộc.</t>
  </si>
  <si>
    <t>Biểu thuế mới rõ ràng, dễ hiểu nhưng chưa thay đổi được sự phức tạp của quy trình khai báo</t>
  </si>
  <si>
    <t>Tôi tin rằng cơ quan thuế sẽ thực hiện chính sách một cách công bằng, tuy nhiên vẫn cần thêm giám sát.</t>
  </si>
  <si>
    <t>Đối với thu nhập của tôi, mức thuế mới là hợp lý và công bằng</t>
  </si>
  <si>
    <t>Tôi tin rằng tiền thuế đóng góp sẽ được sử dụng hiệu quả để cải thiện dịch vụ công</t>
  </si>
  <si>
    <t>Nhà nước đã giải thích rõ ràng về mục tiêu và lý do của việc sửa đổi chính sách thuế lần này</t>
  </si>
  <si>
    <t>Tôi ủng hộ chính sách mới vì nó mang lại lợi ích tài chính và đơn giản hóa quy trình khai báo.</t>
  </si>
  <si>
    <t>Nhà nước và cơ quan thuế có nhiều biện pháp quản lý, tuy nhiên vẫn còn tiềm ẩn nguy cơ trốn thuế do thiếu thông tin cá nhân.</t>
  </si>
  <si>
    <t>Việc sử dụng công nghệ hiện đại giúp cải thiện khả năng phát hiện gian lận nhưng cần thời gian để triển khai rộng rãi và hiệu quả.</t>
  </si>
  <si>
    <t>Biểu thuế được đơn giản hóa từ 7 bậc xuống còn 5 bậc, dễ hiểu và thực hiện nhanh chóng hơn.</t>
  </si>
  <si>
    <t>Tôi tin rằng việc cải cách thuế là công bằng đối với mọi người nộp thuế theo thu nhập của họ.</t>
  </si>
  <si>
    <t>Thuế mới giảm đáng kể so với trước, tôi thấy mức này hợp lý và phù hợp với thu nhập hiện tại của mình.</t>
  </si>
  <si>
    <t>Tiền thuế đóng góp vào việc cải thiện hạ tầng và dịch vụ công, tôi tin rằng chúng được sử dụng hiệu quả.</t>
  </si>
  <si>
    <t>Nhà nước đã giải thích rõ ràng về mục tiêu của chính sách mới, tuy nhiên vẫn có thể cần thêm thông tin chi tiết hơn.</t>
  </si>
  <si>
    <t>Tôi ủng hộ và tuân thủ chính sách mới vì nó giúp giảm gánh nặng tài chính và thuận tiện trong việc khai báo thuế.</t>
  </si>
  <si>
    <t>Dù cơ quan thuế có công nghệ để phát hiện trốn thuế, nhưng thực tế việc quản lý và xử lý vẫn phụ thuộc vào hiệu quả của các quy định. Hiện tại với mức thuế 0 đồng, khả năng phát hiện sai phạm về thuế không cao.</t>
  </si>
  <si>
    <t>Công nghệ ngày càng tiên tiến giúp cơ quan thuế có thể quản lý và xử lý nhanh chóng các vấn đề về thuế, nhưng vẫn cần sự phối hợp chặt chẽ giữa các bộ ngành để tăng hiệu quả.</t>
  </si>
  <si>
    <t>Quy trình khai báo thuế hiện tại đơn giản hơn, nhưng việc thực hiện vẫn phụ thuộc vào chất lượng dịch vụ của cơ quan thuế và khả năng tiếp cận hệ thống điện tử.</t>
  </si>
  <si>
    <t>Biểu thuế mới có ít bậc hơn và mức giảm trừ gia cảnh cao hơn, giúp tính toán đơn giản hóa. Tuy nhiên, việc hiểu rõ về biểu thuế vẫn cần thời gian để nắm bắt.</t>
  </si>
  <si>
    <t>Tôi tin rằng cơ quan thuế sẽ thực thi chính sách một cách công bằng vì đã giảm trừ gia cảnh và đơn giản hóa quy trình, nhưng vẫn cần sự minh bạch trong quá trình thực hiện.</t>
  </si>
  <si>
    <t>Với thu nhập của tôi, mức thuế mới là hợp lý. Tuy nhiên, việc hiểu rõ về biểu thuế mới và cách tính toán cần thời gian.</t>
  </si>
  <si>
    <t>Thuế giảm giúp tài chính cá nhân cải thiện, nhưng hiệu quả sử dụng ngân sách công vẫn phụ thuộc vào quyết định của cơ quan quản lý.</t>
  </si>
  <si>
    <t>Nhà nước đã giải thích về mục tiêu của việc sửa đổi thuế, nhưng cần có thêm thông tin chi tiết về cách thực hiện và hiệu quả.</t>
  </si>
  <si>
    <t>Dù các lợi ích tài chính rõ ràng, nhưng tôi vẫn cân nhắc kỹ lưỡng trước khi tuân thủ vì mong muốn việc quản lý thuế được minh bạch hơn.</t>
  </si>
  <si>
    <t>Dù cơ quan thuế có công nghệ để phát hiện trốn thuế, nhưng thực tế, doanh nghiệp nhỏ và lẻ thường không tuân thủ tốt. Việc quản lý thuế cho các cá nhân như tôi cũng khó khăn.</t>
  </si>
  <si>
    <t>Cơ quan thuế có khả năng phát hiện trốn thuế với công nghệ cao, nhưng hiệu quả thực tế phụ thuộc vào nguồn lực và chiến lược quản lý của họ.</t>
  </si>
  <si>
    <t>Quy trình khai thuế trở nên đơn giản hơn so với trước đây. Việc giảm trừ gia cảnh rõ ràng giúp tôi dễ dàng tính toán.</t>
  </si>
  <si>
    <t>Bậc thuế mới dễ hiểu và đơn giản, không còn nhiều bậc như trước, làm cho việc tính toán thuận tiện hơn.</t>
  </si>
  <si>
    <t>Tôi tin rằng cơ quan thuế sẽ công bằng trong việc áp dụng chính sách. Mức giảm trừ gia cảnh lớn giúp tôi tiết kiệm được tiền thuế</t>
  </si>
  <si>
    <t>Mức thuế mới phù hợp với thu nhập của tôi, do đó cảm thấy công bằng.</t>
  </si>
  <si>
    <t>Tài nguyên từ thuế được đầu tư vào các dịch vụ công như y tế và giao thông, giúp cải thiện chất lượng cuộc sống</t>
  </si>
  <si>
    <t>Đây là lần đầu tiên tôi nhận thấy cơ quan thuế giải thích rõ ràng về mục tiêu của việc sửa đổi chính sách thuế.</t>
  </si>
  <si>
    <t>Sau khi xem xét các quyền lợi và nghĩa vụ, tôi ủng hộ và tuân thủ chính sách mới vì nó giúp tôi tiết kiệm tiền thuế và giảm sự phức tạp trong khai báo</t>
  </si>
  <si>
    <t>Nhà nước đã có nhiều cải tiến trong việc quản lý thuế, nhưng vẫn còn một số bất cập về mặt thực thi. Mặc dù công nghệ hiện đại giúp phát hiện hành vi gian lận, nhưng nguồn lực và quy trình xử lý vẫn cần được hoàn thiện.</t>
  </si>
  <si>
    <t>Cơ quan thuế đã đầu tư vào các công cụ kỹ thuật để theo dõi và quản lý thuế một cách hiệu quả. Tuy nhiên, việc phát hiện và xử lý trốn thuế vẫn còn hạn chế.</t>
  </si>
  <si>
    <t>So với trước đây, quy trình khai báo thuế đã được đơn giản hóa đáng kể. Việc sử dụng công nghệ giúp quá trình làm việc với cơ quan thuế trở nên nhanh chóng và tiện lợi hơn.</t>
  </si>
  <si>
    <t>Biểu thuế mới có ít bậc hơn, khiến việc tính toán và thực hiện dễ dàng hơn. Tuy nhiên, vẫn cần thêm thời gian để người dân quen thuộc với phương án mới này.</t>
  </si>
  <si>
    <t>Tôi tin rằng cơ quan thuế sẽ tiếp tục công bằng trong việc thực thi chính sách. Mức giảm trừ gia cảnh và bậc thuế mới giúp tạo sự công bằng cho người dân.</t>
  </si>
  <si>
    <t>Theo phương án mới, tôi thấy mức thuế phù hợp với thu nhập của mình. Việc tăng giảm trừ gia cảnh giúp làm tròn nghĩa vụ thuế một cách công bằng hơn.</t>
  </si>
  <si>
    <t>Tôi tin rằng số tiền thuế đóng sẽ được sử dụng hiệu quả để cải thiện các dịch vụ công, như y tế và giao thông. Tuy nhiên, việc minh bạch trong sử dụng ngân sách vẫn cần được cải thiện.</t>
  </si>
  <si>
    <t>Nhà nước đã giải thích rõ ràng về lý do và mục tiêu của việc sửa đổi thuế lần này. Điều này giúp tăng niềm tin của người dân vào quyết định quản lý tài chính của Nhà nước.</t>
  </si>
  <si>
    <t>Sau khi xem xét các quyền lợi và nghĩa vụ, tôi ủng hộ và tuân thủ chính sách mới hiện nay. Mức thuế giảm và quy trình đơn giản đã giúp cải thiện đáng kể trải nghiệm của người dân.</t>
  </si>
  <si>
    <t>Nguyên tắc quản lý thuế hiện tại vẫn đang được áp dụng, nhưng mức giảm trừ gia cảnh tăng lên khiến việc trốn thuế khó khăn hơn. Công nghệ ngày càng phát triển giúp cơ quan thuế dễ dàng phát hiện hành vi gian lận.</t>
  </si>
  <si>
    <t>Công nghệ và hệ thống quản lý thuế đã được cải thiện đáng kể, với khả năng theo dõi và xử lý nhanh chóng các hành vi trốn thuế.</t>
  </si>
  <si>
    <t>Thủ tục khai báo thuế trở nên đơn giản hơn khi giảm số bậc thuế từ 7 xuống còn 5, cũng như việc tăng mức giảm trừ gia cảnh giúp quá trình làm việc với cơ quan thuế thuận lợi.</t>
  </si>
  <si>
    <t>Phương án mới có ít bậc thuế và mức giảm trừ gia cảnh cao hơn, khiến việc tính thuế trở nên dễ dàng và minh bạch hơn.</t>
  </si>
  <si>
    <t>Nhà nước đã thực hiện các thay đổi một cách công bằng với tất cả người nộp thuế, đảm bảo quyền lợi của họ được tôn trọng.</t>
  </si>
  <si>
    <t>Mức thuế mới là hợp lý và công bằng đối với thu nhập của tôi. Việc tăng giảm trừ gia cảnh giúp tôi tiết kiệm hơn.</t>
  </si>
  <si>
    <t>Thuế tôi đóng sẽ được sử dụng hiệu quả để cải thiện các dịch vụ công, từ đó nâng cao chất lượng cuộc sống cho người dân.</t>
  </si>
  <si>
    <t>Tôi ủng hộ chính sách mới bởi nó mang lại lợi ích đáng kể cho người dân như tôi. Việc giảm trừ gia cảnh tăng lên giúp cải thiện tình hình tài chính của tôi.</t>
  </si>
  <si>
    <t>Cơ quan thuế có nhiều công cụ để phát hiện gian lận, nhưng mức độ thực thi còn phụ thuộc vào nguồn lực và quyết tâm của họ.</t>
  </si>
  <si>
    <t>Nhà nước đã đầu tư đáng kể vào công nghệ, tuy nhiên vẫn cần cải thiện hơn nữa để quản lý hiệu quả hơn</t>
  </si>
  <si>
    <t>Thủ tục khai thuế và làm việc với cơ quan thuế trở nên đơn giản hơn, nhưng vẫn còn một số rào cản nhỏ.</t>
  </si>
  <si>
    <t>Biểu thuế mới đơn giản hóa quy trình tính toán, nhưng người dân cần thời gian để thích nghi.</t>
  </si>
  <si>
    <t>Tôi tin rằng cơ quan thuế sẽ thực hiện công bằng, song vẫn có những lo ngại về khả năng thực thi.</t>
  </si>
  <si>
    <t>Thuế mới phù hợp với thu nhập của tôi và mức giảm trừ gia cảnh tăng lên, làm cho nó trở nên công bằng hơn.</t>
  </si>
  <si>
    <t>Công bằng về việc sử dụng số tiền thuế đóng vào các dịch vụ công là quan trọng, nhưng hiệu quả thực tế còn phụ thuộc vào quản lý</t>
  </si>
  <si>
    <t>Nhà nước đã giải thích rõ mục tiêu của chính sách mới, song cần thêm minh bạch về cách sử dụng nguồn thu thuế.</t>
  </si>
  <si>
    <t>Tôi ủng hộ và tuân thủ chính sách mới vì nó mang lại lợi ích tài chính cho tôi và đơn giản hóa quy trình thuế</t>
  </si>
  <si>
    <t>Việc cải cách thuế TNCN đã đơn giản hóa quy trình và giảm gánh nặng thuế, do đó khả năng phát hiện hành vi trốn thuế có thể không còn hiệu quả như trước.</t>
  </si>
  <si>
    <t>Cơ quan thuế có khả năng và công nghệ để giám sát và xử lý các vấn đề về trốn thuế, nhưng việc giảm trừ gia cảnh lớn hơn có thể làm giảm hiệu quả của việc phát hiện.</t>
  </si>
  <si>
    <t>Quy trình khai báo thuế trở nên đơn giản hơn với số bậc thuế ít đi và mức giảm trừ gia cảnh cao, do đó thủ tục thuận tiện hơn so với trước đây.</t>
  </si>
  <si>
    <t>Các bậc thuế mới dễ hiểu và thực hiện đơn giản hơn, giúp người dân dễ dàng tính toán và nộp thuế một cách chính xác.</t>
  </si>
  <si>
    <t>Tôi tin rằng Nhà nước sẽ xử lý công bằng với mọi người nộp thuế và không có sự phân biệt đối xử về thuế.</t>
  </si>
  <si>
    <t>Thuế mới được tính dựa trên thu nhập thực tế, do đó tôi thấy mức thuế này là hợp lý so với người cùng trình độ học vấn và nghề nghiệp như tôi.</t>
  </si>
  <si>
    <t>Tăng giảm trừ gia cảnh cho người phụ thuộc và đơn giản hóa quy trình khai thuế có thể giúp số tiền đóng thuế được sử dụng hiệu quả hơn để cải thiện dịch vụ công.</t>
  </si>
  <si>
    <t>Nhà nước đã giải thích rõ ràng về mục tiêu của việc sửa đổi luật thuế, nhưng cần cải thiện thêm trong việc truyền thông và minh bạch thông tin cho người dân.</t>
  </si>
  <si>
    <t>Sau khi xem xét các quyền lợi mới, tôi ủng hộ chính sách mới vì nó đơn giản hóa quy trình khai thuế và giảm gánh nặng tài chính cho tôi.</t>
  </si>
  <si>
    <t>Hiện nay, với sự phát triển của công nghệ, khả năng phát hiện và xử lý hành vi trốn thuế đã được cải thiện đáng kể. Tuy nhiên, vẫn cần có thêm biện pháp quản lý chặt chẽ hơn để đảm bảo hiệu quả.</t>
  </si>
  <si>
    <t>Cơ quan thuế có nhiều công cụ và hệ thống hiện đại để giám sát hành vi nộp thuế của cá nhân. Tuy nhiên, vẫn cần sự tham gia tích cực từ phía người dân để phát hiện những hành vi gian lận.</t>
  </si>
  <si>
    <t>Quy trình khai báo thuế và làm việc với cơ quan thuế đã trở nên đơn giản hơn. Tuy nhiên, vẫn cần cải thiện thêm về mặt kỹ thuật để nâng cao trải nghiệm của người nộp thuế.</t>
  </si>
  <si>
    <t>Biểu thuế mới có ít bậc và dễ hiểu hơn so với trước đây. Điều này giúp người dân dễ dàng tính toán và thực hiện đúng theo quy định.</t>
  </si>
  <si>
    <t>Tôi tin rằng cơ quan thuế sẽ thực thi chính sách công bằng, tuy nhiên cần có thêm thông tin minh bạch về cách thức thực hiện.</t>
  </si>
  <si>
    <t>Những thay đổi trong biểu thuế mới giúp giảm gánh nặng tài chính cho người dân như tôi. Điều này tạo cảm giác công bằng trong việc đóng góp cho xã hội.</t>
  </si>
  <si>
    <t>Tiết kiệm được tiền thuế sẽ giúp cải thiện chất lượng cuộc sống và dịch vụ công, tuy nhiên cần có thêm thông tin về cách sử dụng số tiền này hiệu quả hơn.</t>
  </si>
  <si>
    <t>Nhà nước đã giải thích rõ ràng về mục tiêu của việc sửa đổi thuế. Tuy nhiên, cần có thêm minh bạch về cách quản lý và sử dụng nguồn thu từ thuế</t>
  </si>
  <si>
    <t>Trước tác động tài chính tích cực và sự đơn giản hóa quy trình khai báo, tôi ủng hộ và sẽ tuân thủ chính sách mới.</t>
  </si>
  <si>
    <t>Dù có công nghệ hỗ trợ, nhưng việc phát hiện trốn thuế vẫn phụ thuộc vào sự tận tụy của cơ quan thuế. Hiện tại không hoàn toàn tin tưởng.</t>
  </si>
  <si>
    <t>Cơ quan thuế đã cải thiện đáng kể trong việc sử dụng công nghệ, tuy nhiên, để đảm bảo đủ khả năng xử lý nghiêm túc các hành vi trốn thuế còn phụ thuộc vào nguồn lực và nhân sự.</t>
  </si>
  <si>
    <t>Quy trình khai báo thuế trở nên đơn giản hơn nhưng vẫn có thể phức tạp đối với những người không am hiểu về thuế. Việc làm việc với cơ quan thuế cũng cải thiện đáng kể.</t>
  </si>
  <si>
    <t>Biểu thuế mới rõ ràng và dễ dàng áp dụng hơn so với trước đây, giảm bớt sự phức tạp và khó khăn trong việc tính toán.</t>
  </si>
  <si>
    <t>Việc cải cách thuế được thực hiện công bằng đối với mọi người nộp thuế, nhưng để đảm bảo khách quan và công tâm khi áp dụng vẫn còn cần thời gian.</t>
  </si>
  <si>
    <t>Nhìn chung mức thuế mới này là hợp lý cho thu nhập của tôi, giảm gánh nặng về mặt tài chính và tăng sự công bằng trong việc đóng góp.</t>
  </si>
  <si>
    <t>Việc cải cách thuế nhằm mục đích nâng cao chất lượng dịch vụ công, tuy nhiên hiệu quả sử dụng tiền thuế còn phụ thuộc vào quản lý của Nhà nước.</t>
  </si>
  <si>
    <t>Nhà nước đã giải thích rõ ràng về mục tiêu và lý do của việc cải cách thuế mới, tạo niềm tin cho người dân.</t>
  </si>
  <si>
    <t>Dựa trên sự cải thiện về mặt thuận tiện và tiết kiệm được số tiền thuế đáng kể, tôi sẽ ủng hộ và tuân thủ chính sách mới.</t>
  </si>
  <si>
    <t>Thuế mới đã đơn giản hóa và giảm nhiều bậc, nên khả năng phát hiện gian lận có thể bị hạn chế.</t>
  </si>
  <si>
    <t>Công nghệ hiện đại có thể giúp phát hiện trốn thuế nhưng không rõ mức độ của cơ quan thuế.</t>
  </si>
  <si>
    <t>Quy trình khai thuế và làm việc với cơ quan thuế trở nên đơn giản hơn, giảm bớt rắc rối cho người dân.</t>
  </si>
  <si>
    <t>Bậc thuế mới đơn giản rõ ràng, dễ hiểu hơn so với trước đây.</t>
  </si>
  <si>
    <t>Niềm tin vào chính sách công được nâng cao vì giảm trừ gia cảnh tăng và số bậc thuế giảm, tạo sự công bằng.</t>
  </si>
  <si>
    <t>Thuế mới hợp lý với thu nhập của tôi, mức thuế giảm đáng kể, thể hiện tính công bằng.</t>
  </si>
  <si>
    <t>Số tiền thuế đóng sẽ được sử dụng hiệu quả cho các dịch vụ công, tạo niềm tin vào việc quản lý chi tiêu của Nhà nước.</t>
  </si>
  <si>
    <t>Có sự giải thích rõ ràng về mục tiêu và lý do của chính sách mới, tạo cảm giác trách nhiệm từ phía Nhà nước.</t>
  </si>
  <si>
    <t>Tác động tài chính tích cực đã tăng niềm tin vào hệ thống thuế và khả năng tuân thủ chính sách mới.</t>
  </si>
  <si>
    <t>Hệ thống quản lý thuế hiện nay có nhiều cải tiến, nhưng vẫn tiềm ẩn rủi ro về gian lận do chưa có sự giám sát chặt chẽ đối với các công ty lớn.</t>
  </si>
  <si>
    <t>Cơ quan thuế đã đầu tư vào công nghệ để phát hiện và xử lý trốn thuế, nhưng hiệu quả vẫn còn hạn chế</t>
  </si>
  <si>
    <t>So với trước đây, quy trình khai báo thuế đơn giản hơn nhiều, không cần nhiều giấy tờ rườm rà.</t>
  </si>
  <si>
    <t>Biểu thuế mới rõ ràng và dễ hiểu hơn, giảm bớt sự phức tạp cho người nộp thuế</t>
  </si>
  <si>
    <t>Tôi tin rằng cơ quan thuế sẽ thực thi chính sách một cách công bằng, nhưng vẫn có thể gặp vấn đề về chủ quan.</t>
  </si>
  <si>
    <t>Thuế mới giảm đáng kể so với trước đây, tôi thấy mức này là hợp lý cho thu nhập của mình</t>
  </si>
  <si>
    <t>Tiền thuế đóng góp vào việc cải thiện các dịch vụ công và xã hội</t>
  </si>
  <si>
    <t>Nhà nước đã giải thích rõ ràng về mục tiêu của chính sách mới, tạo niềm tin cho người dân</t>
  </si>
  <si>
    <t>Hiện nay, cơ quan thuế có nhiều công cụ và biện pháp để phát hiện hành vi gian lận hoặc trốn thuế. Việc tăng giảm trừ gia cảnh cũng như đơn giản hóa biểu thuế sẽ làm cho việc kiểm soát thuế trở nên dễ dàng hơn.</t>
  </si>
  <si>
    <t>Nhà nước và cơ quan thuế đã đầu tư vào công nghệ và nguồn lực để đảm bảo thực thi hiệu quả. Sự thay đổi này giảm bớt rủi ro cho người nộp thuế, đồng thời tăng cường khả năng phát hiện gian lận.</t>
  </si>
  <si>
    <t>Quy trình khai báo và làm việc với cơ quan thuế được đơn giản hóa, giúp quá trình trở nên nhanh chóng và thuận tiện hơn. Việc giảm bớt các bậc thuế cũng giúp người dân dễ dàng tính toán.</t>
  </si>
  <si>
    <t>Biểu thuế mới có ít bậc hơn, dễ hiểu và thực hiện đơn giản hơn so với trước đây. Điều này giúp người dân thuận tiện trong việc tuân thủ và nộp thuế.</t>
  </si>
  <si>
    <t>Tôi tin rằng Nhà nước sẽ công bằng khi thực thi chính sách mới vì các quy định đã được cải thiện, giảm gian lận và tăng tính minh bạch. Điều này mang lại cảm giác công bằng cho người dân.</t>
  </si>
  <si>
    <t>Mức thuế mới phù hợp với thu nhập của tôi, giảm đáng kể so với trước đây. Điều này thể hiện sự công bằng trong việc phân bổ gánh nặng thuế giữa các đối tượng khác nhau.</t>
  </si>
  <si>
    <t>Thuế đóng góp vào ngân sách nhà nước để đầu tư cho các dịch vụ công, như y tế và hạ tầng. Việc cải cách thuế sẽ giúp nâng cao hiệu quả sử dụng nguồn lực này.</t>
  </si>
  <si>
    <t>Nhà nước đã giải thích rõ ràng về mục tiêu của chính sách mới thông qua các kênh truyền thông. Điều này tăng sự tin tưởng và minh bạch trong quá trình thực thi.</t>
  </si>
  <si>
    <t>Sau khi xem xét, tôi ủng hộ và tuân thủ chính sách mới vì nó mang lại nhiều lợi ích về mặt thuận tiện và công bằng. Tôi tin rằng việc cải cách thuế này sẽ tạo ra một môi trường thuế tốt hơn cho người dân.</t>
  </si>
  <si>
    <t>Dù cơ quan thuế có công nghệ hiện đại, nhưng hành vi gian lận vẫn không dễ dàng bị phát hiện vì nhiều lý do như việc sử dụng tiền mặt hoặc các phương thức thanh toán không theo dõi được. Do đó mức độ tin tưởng ở điểm 6.</t>
  </si>
  <si>
    <t>Cơ quan thuế có khả năng và công nghệ để phát hiện trốn thuế, nhưng thực tế triển khai hiệu quả còn phụ thuộc vào nhiều yếu tố khác như nguồn lực và nhân sự. Do đó tôi đánh giá ở mức điểm 7.</t>
  </si>
  <si>
    <t>Với giảm trừ gia cảnh tăng lên và số bậc thuế giảm, thủ tục khai báo thuế trở nên đơn giản hơn so với trước đây. Điều này giúp thuận tiện cho người dân, tôi đánh giá ở mức điểm 9.</t>
  </si>
  <si>
    <t>Biểu thuế mới có ít bậc và rõ ràng hơn, dễ dàng thực hiện và hiểu hơn so với biểu thuế cũ. Điều này làm giảm sự phức tạp, nâng cao độ tiện lợi, tôi đánh giá ở mức điểm 8.</t>
  </si>
  <si>
    <t>Tôi tin rằng cơ quan thuế sẽ công tâm trong việc thực thi chính sách mới, nhưng do chưa rõ ràng về cách thực hiện, nên mức độ tin tưởng của tôi không cao như trước đây. Tôi đánh giá ở mức điểm 6.</t>
  </si>
  <si>
    <t>Thuế thu nhập cá nhân tăng đáng kể cho bản thân và người phụ thuộc, nhưng giảm trừ gia cảnh cũng tăng lên tương tự. Tổng thể tôi thấy mức thuế mới là hợp lý, đánh giá ở mức điểm 9.</t>
  </si>
  <si>
    <t>Thuế đóng góp vào cải thiện dịch vụ công, nhưng do chưa biết cụ thể cách sử dụng số tiền đó hiệu quả như thế nào, nên tôi tin tưởng ở mức độ trung bình là 7.</t>
  </si>
  <si>
    <t>Mặc dù đã có giải thích về mục tiêu cải cách thuế, nhưng chi tiết và minh bạch hơn so với trước đây. Tôi đánh giá ở mức điểm 8.</t>
  </si>
  <si>
    <t>Sau khi xem xét các quyền lợi và nghĩa vụ, tôi ủng hộ chính sách mới vì nó giúp giảm gánh nặng thuế cho bản thân và người phụ thuộc, đồng thời nâng cao độ minh bạch. Tôi đánh giá ở mức điểm 9.</t>
  </si>
  <si>
    <t>Hiện nay, hệ thống quản lý thuế ngày càng phát triển công nghệ như phần mềm điện tử, giám sát online. Với mức giảm trừ gia cảnh tăng mạnh và số bậc thuế giảm, việc trốn thuế khó hơn. Tuy nhiên, vẫn cần sự phối hợp chặt chẽ giữa các cơ quan</t>
  </si>
  <si>
    <t>Cơ quan thuế đã đầu tư vào công nghệ và đào tạo nhân viên để phát hiện, xử lý gian lận. Với mức giảm trừ gia cảnh tăng mạnh, việc trốn thuế trở nên khó khăn hơn.</t>
  </si>
  <si>
    <t>Thủ tục khai báo thuế đơn giản hơn với số bậc thuế ít đi. Việc tính toán và nộp thuế dễ dàng hơn trước</t>
  </si>
  <si>
    <t>Số bậc thuế giảm từ 7 xuống 5, việc tính thuế trở nên rõ ràng và dễ hiểu hơn. Điều này giúp người dân dễ thực hiện hơn</t>
  </si>
  <si>
    <t>Nhà nước đã công bố thông tin rõ ràng về chính sách mới. Việc giảm trừ gia cảnh tăng mạnh, tôi cảm thấy công bằng với mọi người nộp thuế.</t>
  </si>
  <si>
    <t>Theo phương án mới, mức thuế tôi phải đóng phù hợp với thu nhập của mình. Người có thu nhập như tôi không bị gánh nặng quá nhiều</t>
  </si>
  <si>
    <t>Thuế được sử dụng để cải thiện dịch vụ công nên tôi tin rằng số tiền tôi đóng sẽ mang lại lợi ích cho cộng đồng</t>
  </si>
  <si>
    <t>Nhà nước đã giải thích rõ ràng về mục tiêu và lý do sửa đổi thuế. Thông qua các kênh thông tin chính thức như báo chí, mạng xã hội</t>
  </si>
  <si>
    <t>Tác động tài chính là tích cực, tôi tiết kiệm được nhiều tiền thuế hơn. Kết hợp với việc thủ tục đơn giản hơn và giảm trừ gia cảnh tăng, tôi sẽ ủng hộ và tuân thủ chính sách mới</t>
  </si>
  <si>
    <t>Việc tăng mức giảm trừ gia cảnh và đơn giản hóa biểu thuế có thể làm giảm cơ hội trốn thuế, nhưng không loại bỏ hoàn toàn khả năng gian lận. Cơ quan thuế vẫn cần công nghệ tiên tiến để phát hiện các hành vi bất thường.</t>
  </si>
  <si>
    <t>Cơ quan thuế có đủ nguồn lực và công nghệ hiện đại để giám sát và xử lý nghiêm các trường hợp trốn thuế, nhưng hiệu quả phụ thuộc vào năng lực quản lý và thực thi của họ.</t>
  </si>
  <si>
    <t>Sau khi giảm bậc thuế từ 7 xuống 5, quá trình khai báo thuế trở nên đơn giản hơn. Các quy định cũng dễ hiểu hơn đối với người dân thường.</t>
  </si>
  <si>
    <t>Biểu thuế mới với ít bậc và mức giảm trừ gia cảnh cao hơn làm cho việc tính thuế rõ ràng và dễ thực hiện hơn, đặc biệt là đối với tôi - một người có thu nhập trung bình.</t>
  </si>
  <si>
    <t>Tôi tin rằng chính phủ sẽ thực thi chính sách một cách công bằng và khách quan. Việc giảm thuế cho gia đình tôi làm tăng niềm tin vào hệ thống thuế mới.</t>
  </si>
  <si>
    <t>Mức thuế mới phù hợp với thu nhập của tôi, giảm gánh nặng tài chính. Điều này thể hiện tính công bằng trong việc phân bổ gánh nặng thuế</t>
  </si>
  <si>
    <t>Thuế mà tôi đóng sẽ được sử dụng để cải thiện dịch vụ công như y tế và hạ tầng, điều này tăng niềm tin của tôi vào sự đầu tư của chính phủ.</t>
  </si>
  <si>
    <t>Chính phủ đã giải thích rõ ràng về mục tiêu của việc sửa đổi thuế. Tuy nhiên, việc cải cách cần thêm minh bạch hơn để tăng độ tin cậy trong mắt công chúng</t>
  </si>
  <si>
    <t>Sau khi xem xét các quyền lợi và nghĩa vụ, tôi ủng hộ chính sách mới vì nó giảm gánh nặng thuế cho gia đình tôi đồng thời đơn giản hóa quy trình khai báo.</t>
  </si>
  <si>
    <t>Với mức giảm trừ gia cảnh tăng và số bậc thuế giảm, việc phát hiện trốn thuế sẽ khó khăn hơn. Tuy nhiên, công nghệ ngày càng tiên tiến nên khả năng xử lý nghiêm vẫn được đảm bảo.</t>
  </si>
  <si>
    <t>Cơ quan thuế có đủ nguồn lực để quản lý và kiểm soát, nhưng cần sự phối hợp chặt chẽ giữa các bộ ngành để giảm nguy cơ gian lận.</t>
  </si>
  <si>
    <t>Quy trình khai báo thuế đơn giản hơn trước đây, thủ tục cũng thuận tiện hơn. Tuy nhiên, việc phải tính toán lại mức thuế có thể gây ra một chút khó khăn ban đầu.</t>
  </si>
  <si>
    <t>Bậc thuế được rút gọn và thu nhập chịu thuế cao hơn trước nên cách tính thuế trở nên rõ ràng hơn. Tuy nhiên, người lao động cần thời gian để thích nghi với thay đổi.</t>
  </si>
  <si>
    <t>Nhà nước đã đưa ra các quy định công bằng và khách quan. Mức thuế mới giảm đáng kể so với trước đây nên tôi cảm thấy hài lòng về sự đối xử bình đẳng.</t>
  </si>
  <si>
    <t>Mức thuế mới phù hợp với thu nhập của tôi, giảm bớt gánh nặng tài chính. Tôi tin rằng việc sử dụng tiền thuế vào các dịch vụ công sẽ mang lại lợi ích cho xã hội tổng thể.</t>
  </si>
  <si>
    <t>Nhà nước đã giải thích mục tiêu và lý do của cải cách thuế một cách rõ ràng, giúp tôi hiểu được tầm quan trọng của việc này đối với sự phát triển kinh tế-xã hội.</t>
  </si>
  <si>
    <t>Tôi tin tưởng rằng Nhà nước sẽ sử dụng tiền thuế hiệu quả để cải thiện các dịch vụ công. Việc giải thích về mục tiêu của chính sách mới đã tăng niềm tin của tôi vào việc thực thi.</t>
  </si>
  <si>
    <t>Với mức thuế giảm đáng kể và lợi ích tài chính rõ ràng, tôi sẽ ủng hộ và tuân thủ chính sách mới. Tuy nhiên, cần thời gian để thích nghi với các thay đổi trong quy trình khai báo.</t>
  </si>
  <si>
    <t>Việc tăng mức giảm trừ gia cảnh và đơn giản hóa biểu thuế có thể làm giảm động lực gian lận, tuy nhiên, việc thực thi vẫn cần sự kiên trì và hiệu quả của cơ quan chức năng.</t>
  </si>
  <si>
    <t>Cơ sở hạ tầng công nghệ thông tin đã phát triển mạnh trong những năm gần đây nên khả năng quản lý thuế sẽ được cải thiện đáng kể.</t>
  </si>
  <si>
    <t>Quy trình khai thuế trở nên đơn giản hơn, số bậc thuế giảm từ 7 xuống 5, thuận lợi cho người dân.</t>
  </si>
  <si>
    <t>Biểu thuế mới dễ hiểu và áp dụng nhanh chóng hơn so với trước đây, tạo điều kiện cho người nộp thuế quản lý thu nhập của mình tốt hơn.</t>
  </si>
  <si>
    <t>Nguy cơ gian lận giảm đi, cùng với mức giảm trừ gia cảnh cao hơn và biểu thuế đơn giản, tôi tin rằng việc thực thi sẽ công bằng hơn.</t>
  </si>
  <si>
    <t>Với mức thu nhập của mình, mức thuế mới là hợp lý. Số tiền tôi phải đóng ít hơn, tạo cảm giác công bằng.</t>
  </si>
  <si>
    <t>Nhà nước đã cải thiện cơ sở hạ tầng và quy trình nộp thuế, số tiền thuế đóng sẽ được sử dụng hiệu quả cho dịch vụ công.</t>
  </si>
  <si>
    <t>Cơ quan thuế đã giải thích rõ ràng về mục tiêu của việc sửa đổi này. Tuy nhiên, vẫn cần thêm minh bạch hơn về cách sử dụng số tiền thu được từ thuế.</t>
  </si>
  <si>
    <t>Dựa trên sự đơn giản hóa và giảm trừ gia cảnh cao hơn, tôi ủng hộ và sẽ tuân thủ chính sách mới.</t>
  </si>
  <si>
    <t>Hiện nay, cơ quan thuế có nhiều công cụ để phát hiện hành vi trốn thuế, do đó tôi tin rằng gian lận sẽ dễ bị phát hiện.</t>
  </si>
  <si>
    <t>Nhà nước đã đầu tư vào hệ thống công nghệ thông tin và nhân lực để xử lý các vụ việc liên quan đến trốn thuế, do đó khả năng phát hiện và xử lý nghiêm là cao.</t>
  </si>
  <si>
    <t>Các quy trình khai báo thuế đã đơn giản hơn, tôi không gặp khó khăn trong việc thực hiện các thủ tục này.</t>
  </si>
  <si>
    <t>Biểu thuế mới có ít bậc và dễ hiểu hơn so với trước đây, giúp người dân tính toán thuế một cách nhanh chóng và chính xác.</t>
  </si>
  <si>
    <t>Nhà nước đã công bố rõ ràng về việc sửa đổi luật thuế, do đó tôi tin rằng việc thực thi sẽ khách quan và công bằng đối với mọi người nộp thuế.</t>
  </si>
  <si>
    <t>Thuế mới có mức giảm trừ gia cảnh cao hơn và số bậc thuế ít đi, giúp người dân như tôi tiết kiệm được nhiều chi phí, do đó cảm thấy mức thuế này là công bằng.</t>
  </si>
  <si>
    <t>Nhà nước đã giải thích rõ ràng về mục tiêu của việc sửa đổi luật thuế, tôi tin rằng số tiền thuế đóng sẽ được sử dụng hiệu quả để cải thiện các dịch vụ công</t>
  </si>
  <si>
    <t>Các thông tin liên quan đến sự thay đổi này đã được giải thích một cách rõ ràng và minh bạch trên nhiều kênh truyền thông, do đó tôi cảm thấy mình có đủ thông tin để đưa ra quyết định.</t>
  </si>
  <si>
    <t>Nhìn chung, sau khi xem xét các quyền lợi và nghĩa vụ, tôi ủng hộ và tuân thủ chính sách thuế mới vì nó mang lại nhiều lợi ích cho người dân như tôi.</t>
  </si>
  <si>
    <t>Nhà nước đã tăng cường công nghệ và hệ thống giám sát thuế, đồng thời có nhiều biện pháp xử lý gian lận trốn thuế. Mặc dù vậy, vẫn còn một số rủi ro về việc phát hiện trốn thuế.</t>
  </si>
  <si>
    <t>Cơ quan thuế đã cải thiện khả năng quản lý và công nghệ, tạo điều kiện thuận lợi hơn cho việc phát hiện và xử lý gian lận.</t>
  </si>
  <si>
    <t>Quy trình khai báo thuế và làm việc với cơ quan thuế trở nên đơn giản hơn, tuy nhiên vẫn cần thời gian để nhân viên và người dân thích nghi.</t>
  </si>
  <si>
    <t>Biểu thuế mới đơn giản hóa các bậc thuế, dễ hiểu và thực hiện hơn so với trước đây. Việc tăng giảm trừ gia cảnh cũng thuận lợi cho nhiều người.</t>
  </si>
  <si>
    <t>Tôi tin rằng Nhà nước sẽ thực thi chính sách một cách công bằng và khách quan, nhưng vẫn cần thêm thời gian để kiểm chứng.</t>
  </si>
  <si>
    <t>Dựa trên tác động tài chính tích cực, tôi thấy mức thuế mới là hợp lý cho thu nhập của mình. Tuy nhiên, việc cải cách còn phụ thuộc vào nhiều yếu tố khác.</t>
  </si>
  <si>
    <t>Tôi tin rằng số tiền thuế đóng sẽ được sử dụng hiệu quả để cải thiện các dịch vụ công, nhưng cần thêm thông tin cụ thể về việc này.</t>
  </si>
  <si>
    <t>Nhà nước đã giải thích rõ ràng về mục tiêu của chính sách mới, mặc dù vẫn có một số lo ngại về việc thực thi.</t>
  </si>
  <si>
    <t>Tôi ủng hộ và tuân thủ chính sách mới vì lợi ích tài chính và sự đơn giản hóa các quy định thuế. Tuy nhiên, cần thêm thời gian để kiểm chứng hiệu quả của nó.</t>
  </si>
  <si>
    <t>Việc tăng mức giảm trừ gia cảnh và đơn giản hóa biểu thuế có thể làm giảm cơ hội cho hành vi gian lận, nhưng không hoàn toàn ngăn chặn được.</t>
  </si>
  <si>
    <t>Nhà nước đã đầu tư công nghệ để phát hiện các hành vi trốn thuế, tăng khả năng giám sát hiệu quả hơn so với trước đây.</t>
  </si>
  <si>
    <t>Quy trình khai báo thuế và làm việc với cơ quan thuế trở nên đơn giản hơn, nhưng vẫn cần thời gian để người dân tiếp thu.</t>
  </si>
  <si>
    <t>Tôi tin Nhà nước sẽ thực thi chính sách một cách khách quan, công tâm nhưng vẫn cần thêm thời gian để tăng niềm tin của người dân.</t>
  </si>
  <si>
    <t>Mức thuế mới là hợp lý cho thu nhập hiện tại của tôi và có thể được xem như công bằng so với những người cùng cấp bậc.</t>
  </si>
  <si>
    <t>Thuế đóng góp vào việc cải thiện các dịch vụ công, nhưng cần thêm minh bạch về cách sử dụng nguồn thu thuế để tăng niềm tin.</t>
  </si>
  <si>
    <t>Nhà nước đã giải thích rõ ràng mục tiêu của việc sửa đổi thuế lần này, giúp người dân hiểu và ủng hộ hơn.</t>
  </si>
  <si>
    <t>Tôi ủng hộ chính sách mới dựa trên các quyền lợi tài chính mang lại cho tôi, đồng thời tin tưởng vào mục tiêu cải thiện dịch vụ công của Nhà nước.</t>
  </si>
  <si>
    <t>Nhà nước đã tăng cường quản lý thuế, tuy nhiên, với số lượng người nộp thuế lớn và nguồn lực hạn chế của cơ quan thuế, vẫn có khả năng gian lận không bị phát hiện.</t>
  </si>
  <si>
    <t>Cơ sở hạ tầng công nghệ thông tin đã được cải thiện đáng kể, giúp việc phát hiện trốn thuế trở nên dễ dàng hơn.</t>
  </si>
  <si>
    <t>Thủ tục khai báo thuế và quy trình làm việc với cơ quan thuế đơn giản hơn so với trước đây, tạo thuận lợi cho người dân.</t>
  </si>
  <si>
    <t>Biểu thuế mới có ít bậc hơn, dễ hiểu và thực hiện thuận tiện hơn, giúp tôi nắm bắt nhanh chóng.</t>
  </si>
  <si>
    <t>Tôi tin rằng Nhà nước sẽ công bằng trong việc thực thi chính sách mới, nhưng vẫn cần thêm thời gian để kiểm chứng.</t>
  </si>
  <si>
    <t>Thuế tôi phải đóng thấp hơn so với trước đây, cho thấy mức thuế mới là hợp lý.</t>
  </si>
  <si>
    <t>Nhà nước sẽ sử dụng số tiền thuế thu được để cải thiện dịch vụ công, điều này tạo niềm tin cho người dân.</t>
  </si>
  <si>
    <t>Đã có nhiều giải thích về lý do và mục tiêu của việc sửa đổi thuế mới, nhưng vẫn cần thêm thông tin chi tiết.</t>
  </si>
  <si>
    <t>Sau khi xem xét các quyền lợi và nghĩa vụ, tôi ủng hộ và tuân thủ chính sách mới vì nó tạo ra sự công bằng và thuận lợi cho người dân.</t>
  </si>
  <si>
    <t>Hệ thống quản lý thuế hiện đại và công nghệ hóa giúp phát hiện nhanh chóng các hành vi gian lận, trốn thuế. Điều này tạo niềm tin cho người dân về khả năng thực thi pháp luật.</t>
  </si>
  <si>
    <t>Nhà nước đã đầu tư vào công nghệ và nhân lực để nâng cao hiệu quả quản lý thuế, tăng cường kiểm soát đối với các hành vi trốn thuế. Điều này thể hiện sự nghiêm túc trong việc thực thi pháp luật về thuế.</t>
  </si>
  <si>
    <t>Các quy trình khai báo và làm việc với cơ quan thuế đã được đơn giản hóa, tiết kiệm thời gian cho người nộp thuế. Việc giảm số bậc thuế cũng giúp quá trình tính toán trở nên dễ dàng hơn.</t>
  </si>
  <si>
    <t>Thay đổi từ 7 bậc xuống còn 5 bậc thuế đã làm cho quy định rõ ràng và dễ hiểu hơn, đồng thời tiết kiệm thời gian cho người dân trong việc khai báo thuế. Điều này giúp thuận tiện cho quá trình thực hiện.</t>
  </si>
  <si>
    <t>Nhà nước đã công bố quyết định sửa đổi thuế một cách minh bạch, tôi tin rằng họ sẽ thực thi chính sách mới một cách khách quan và công bằng. Điều này tạo niềm tin cho người dân trong việc tuân thủ.</t>
  </si>
  <si>
    <t>Lãnh đạo thu nhập của tôi nằm ở bậc thuế thấp, mức thuế mới đã giảm đáng kể so với trước đây, điều này thể hiện sự công bằng đối với người có thu nhập như tôi. Tôi đồng ý với quy định mới.</t>
  </si>
  <si>
    <t>Thuế của tôi sẽ được sử dụng để cải thiện các dịch vụ công ích như y tế và giao thông, điều này làm tăng niềm tin vào việc đóng góp của mình cho xã hội. Tôi ủng hộ sự đầu tư này.</t>
  </si>
  <si>
    <t>Nhà nước đã giải thích rõ ràng về mục tiêu và lý do sửa đổi thuế lần này thông qua các kênh thông tin chính thức, điều này tăng tính minh bạch và trách nhiệm công dân. Tôi cảm thấy được lắng nghe.</t>
  </si>
  <si>
    <t>Sau khi xem xét tác động tài chính tích cực và sự đơn giản hóa trong quy trình khai báo, tôi ủng hộ và tuân thủ chính sách mới hiện nay. Đây là bước tiến quan trọng đối với hệ thống thuế của Việt Nam.</t>
  </si>
  <si>
    <t>Hiện nay, với sự phát triển của công nghệ và hệ thống quản lý thuế hiện đại, tôi tin rằng hành vi gian lận hoặc trốn thuế sẽ dễ dàng bị phát hiện. Cơ quan thuế cũng có nhiều biện pháp mạnh mẽ để xử lý các trường hợp vi phạm.</t>
  </si>
  <si>
    <t>Cơ quan thuế đã áp dụng công nghệ tiên tiến trong việc quản lý và giám sát thuế, do đó khả năng phát hiện và xử lý nghiêm các hành vi trốn thuế là rất cao.</t>
  </si>
  <si>
    <t>Quy trình khai báo và làm việc với cơ quan thuế trở nên đơn giản hơn so với trước đây. Hệ thống quản lý thuế tự động cũng giúp người dân dễ dàng truy cập thông tin và thực hiện các thủ tục.</t>
  </si>
  <si>
    <t>Biểu thuế mới có ít bậc và cách tính thuế trở nên rõ ràng, do đó việc hiểu và áp dụng luật thuế trở nên dễ dàng hơn nhiều so với trước đây.</t>
  </si>
  <si>
    <t>Tôi tin rằng cơ quan thuế sẽ thực hiện chính sách mới một cách công bằng và khách quan. Mọi người nộp thuế đều được đối xử bình đẳng theo quy định.</t>
  </si>
  <si>
    <t>Thuế tôi phải đóng giảm đáng kể so với trước đây, do đó mức thuế mới này là hợp lý. Tôi thấy mình đóng góp một phần nhỏ vào sự phát triển của đất nước.</t>
  </si>
  <si>
    <t>Tài chính của nhà nước sẽ được sử dụng hiệu quả để cải thiện các dịch vụ công, do đó số tiền thuế tôi đóng cũng mang lại lợi ích cho cộng đồng.</t>
  </si>
  <si>
    <t>Nhà nước đã giải thích rõ ràng về mục tiêu và lý do của việc sửa đổi chính sách thuế lần này. Điều này giúp tôi hiểu được tầm quan trọng của nó.</t>
  </si>
  <si>
    <t>Tôi ủng hộ và tuân thủ chính sách mới vì nó mang lại lợi ích lớn cho tôi, đồng thời góp phần vào sự phát triển chung của đất nước. Thuế giảm đáng kể giúp cải thiện tình hình kinh tế cá nhân.</t>
  </si>
  <si>
    <t>Hiện nay cơ quan thuế có nhiều công cụ để phát hiện trốn thuế như hệ thống thông tin điện tử, kiểm tra định kỳ. Tuy nhiên, vẫn cần sự giám sát của người dân và tổ chức.</t>
  </si>
  <si>
    <t>Nhà nước đã đầu tư vào công nghệ và nhân lực để cải thiện khả năng quản lý thuế, giảm tình trạng trốn thuế.</t>
  </si>
  <si>
    <t>So với trước đây, quy trình khai thuế đơn giản hơn nhiều. Tuy nhiên, vẫn cần thời gian quen thuộc và có thể gặp khó khăn khi lần đầu tiên sử dụng.</t>
  </si>
  <si>
    <t>Biểu thuế mới rõ ràng và dễ hiểu hơn so với trước đây, giúp người dân dễ dàng tính toán và nộp thuế.</t>
  </si>
  <si>
    <t>Tôi tin rằng Nhà nước sẽ công bằng trong việc thực thi chính sách. Tuy nhiên, sự minh bạch về cách sử dụng nguồn thu còn hạn chế.</t>
  </si>
  <si>
    <t>Với mức thuế mới, tôi thấy phù hợp với thu nhập của mình. Mức giảm trừ gia cảnh tăng đáng kể giúp tiết kiệm.</t>
  </si>
  <si>
    <t>Tôi tin rằng số tiền thuế đóng sẽ được sử dụng hiệu quả để cải thiện dịch vụ công. Tuy nhiên, cần có thông tin rõ ràng hơn về cách sử dụng nguồn thu.</t>
  </si>
  <si>
    <t>Nhà nước đã giải thích rõ lý do và mục tiêu của việc sửa đổi thuế, tuy nhiên còn thiếu thông tin về quy trình thực hiện chi tiết.</t>
  </si>
  <si>
    <t>Chính sách mới giúp tôi tiết kiệm được một khoản tiền đáng kể. Tôi sẽ tiếp tục tuân thủ và ủng hộ chính sách này.</t>
  </si>
  <si>
    <t>Dựa trên các biện pháp hiện tại, tôi đánh giá mức độ phát hiện và xử lý gian lận thuế là tốt. Tuy nhiên, việc thực thi vẫn cần cải thiện thêm.</t>
  </si>
  <si>
    <t>Nhà nước và cơ quan thuế đã đầu tư công nghệ để phát hiện trốn thuế, nhưng hiệu quả thực tế còn hạn chế.</t>
  </si>
  <si>
    <t>Quy trình khai báo thuế trở nên đơn giản hơn với mức giảm trừ gia cảnh mới. Tuy nhiên, vẫn cần cải thiện về mặtEase of Use.</t>
  </si>
  <si>
    <t>Biểu thuế mới đơn giản hóa các bậc và cách tính thuế, giúp việc thực hiện dễ dàng hơn. Sự thay đổi này được đánh giá cao.</t>
  </si>
  <si>
    <t>Nhà nước đã cố gắng thực thi chính sách một cách công bằng nhưng cần minh bạch thêm về quy trình quản lý thuế.</t>
  </si>
  <si>
    <t>Tổng thu nhập của tôi sau khi giảm trừ gia cảnh và thuế mới giúp thấy mức thuế đóng là hợp lý. Tuy nhiên, vẫn có sự nghi ngờ nhẹ.</t>
  </si>
  <si>
    <t>Thuế đóng góp vào các dịch vụ công quan trọng nhưng cần minh bạch hơn về việc sử dụng số tiền thuế này.</t>
  </si>
  <si>
    <t>Nhà nước đã giải thích rõ về mục tiêu của chính sách mới, tuy nhiên vẫn cần cải thiện trong việc truyền thông.</t>
  </si>
  <si>
    <t>Sau khi xem xét các quyền lợi và nghĩa vụ, tôi ủng hộ và tuân thủ chính sách mới. Mức thuế giảm giúp tăng niềm tin vào hệ thống.</t>
  </si>
  <si>
    <t>Dù có cải cách, tôi vẫn nghi ngờ khả năng quản lý và giám sát thuế của cơ quan thuế hiện tại.</t>
  </si>
  <si>
    <t>Tôi không tin rằng Nhà nước đã đầu tư đủ công nghệ để phát hiện các hành vi trốn thuế hiệu quả.</t>
  </si>
  <si>
    <t>Quy trình khai báo và làm việc với cơ quan thuế đã đơn giản hơn nhiều, tiện lợi và nhanh chóng hơn.</t>
  </si>
  <si>
    <t>Biểu thuế mới rõ ràng hơn, dễ hiểu và thực hiện dễ dàng hơn so với trước đây.</t>
  </si>
  <si>
    <t>Tôi tin rằng Nhà nước sẽ thực thi chính sách một cách công bằng, nhưng tôi vẫn có sự nghi ngờ về việc kiểm soát.</t>
  </si>
  <si>
    <t>Nhìn chung mức thuế mới này là hợp lý cho thu nhập của tôi, dù vẫn còn lo ngại về khả năng quản lý.</t>
  </si>
  <si>
    <t>Tôi tin rằng số tiền thuế đóng sẽ được sử dụng hiệu quả để cải thiện dịch vụ công, nhưng vẫn có nghi ngờ.</t>
  </si>
  <si>
    <t>Tôi ủng hộ và tuân thủ chính sách mới vì nó giúp tôi tiết kiệm được chi phí, nhưng vẫn có nghi ngờ về khả năng quản lý thuế hiệu quả.</t>
  </si>
  <si>
    <t>Dù các quy định quản lý thuế hiện tại có cải thiện, nhưng tôi vẫn nghi ngờ về khả năng phát hiện trốn thuế của cơ quan thuế do nguồn lực hạn chế.</t>
  </si>
  <si>
    <t>Cơ quan thuế có công nghệ tiên tiến hơn, tuy nhiên, việc thực thi và xử lý nghiêm các hành vi trốn thuế vẫn còn khó khăn.</t>
  </si>
  <si>
    <t>Thủ tục khai báo thuế trở nên đơn giản hơn, nhưng vẫn cần thời gian làm quen với người dân như tôi.</t>
  </si>
  <si>
    <t>Biểu thuế mới dễ hiểu và thuận lợi cho người nộp thuế, giảm được sự phức tạp đáng kể.</t>
  </si>
  <si>
    <t>Tôi tin rằng cơ quan thuế sẽ thực thi chính sách một cách công bằng, nhưng vẫn có nghi ngờ về việc giám sát cụ thể của họ.</t>
  </si>
  <si>
    <t>Thuế mới giúp giảm gánh nặng tài chính cho tôi và gia đình, tăng sự công bằng trong việc đóng thuế.</t>
  </si>
  <si>
    <t>Thuê được sử dụng để cải thiện dịch vụ công, tuy nhiên, hiệu quả cụ thể còn phụ thuộc vào quản lý của Nhà nước.</t>
  </si>
  <si>
    <t>Nhà nước đã giải thích rõ ràng về mục tiêu sửa đổi thuế lần này, nhưng vẫn cần thêm thông tin về cách sử dụng nguồn thu</t>
  </si>
  <si>
    <t>Phương án thuế mới giúp giảm gánh nặng tài chính cho tôi và gia đình, vì vậy tôi ủng hộ nó.</t>
  </si>
  <si>
    <t>Dựa trên thông tin, việc quản lý thuế hiện nay có nhiều cải tiến nên tôi nghĩ hành vi gian lận sẽ bị phát hiện và xử lý. Tuy nhiên, vẫn còn nghi ngờ về khả năng thực thi.</t>
  </si>
  <si>
    <t>Nhà nước đã đầu tư vào công nghệ để cải thiện quản lý thuế nên tôi tin tưởng họ có đủ khả năng phát hiện gian lận.</t>
  </si>
  <si>
    <t>So với trước đây, các quy trình khai báo thuế trở nên đơn giản hơn và dễ thực hiện hơn. Điều này tạo cảm giác thuận tiện cho người dân.</t>
  </si>
  <si>
    <t>Biểu thuế mới có ít bậc hơn, do đó việc tính toán thuế cũng đơn giản và dễ hiểu hơn so với trước đây.</t>
  </si>
  <si>
    <t>Tôi tin rằng các quy định mới sẽ được thực thi công bằng cho mọi người nộp thuế. Tuy nhiên, cần thêm thời gian để kiểm chứng.</t>
  </si>
  <si>
    <t>Mức thuế mới phù hợp với thu nhập của tôi và mức giảm trừ gia cảnh tăng lên, điều này thể hiện sự công bằng trong chính sách thuế.</t>
  </si>
  <si>
    <t>Tôi tin rằng tiền thuế đóng góp sẽ được sử dụng hiệu quả để cải thiện dịch vụ công. Tuy nhiên, cần thêm thông tin về cách sử dụng khoản thuế này.</t>
  </si>
  <si>
    <t>Nhà nước đã giải thích rõ ràng về mục tiêu của việc sửa đổi thuế, điều này tạo niềm tin cho người dân.</t>
  </si>
  <si>
    <t>Dựa trên các lợi ích và sự đơn giản hóa quy trình, tôi ủng hộ chính sách mới và sẽ tuân thủ.</t>
  </si>
  <si>
    <t>Hiện nay, cơ quan thuế có nhiều công cụ để phát hiện hành vi gian lận và trốn thuế như hệ thống thông tin điện tử. Tuy nhiên, vẫn còn một số rủi ro về việc quản lý dữ liệu cá nhân của người nộp thuế.</t>
  </si>
  <si>
    <t>Cơ quan thuế có công nghệ và nguồn lực để xử lý các hành vi trốn thuế. Tuy nhiên, hiệu quả thực tế còn phụ thuộc vào sự tuân thủ từ phía người nộp thuế.</t>
  </si>
  <si>
    <t>Quy trình khai báo thuế đã đơn giản hơn so với trước đây. Việc tăng mức giảm trừ gia cảnh và số bậc thuế cũng giúp quá trình này dễ dàng thực hiện hơn.</t>
  </si>
  <si>
    <t>Biểu thuế mới đơn giản, dễ hiểu và phù hợp với thu nhập của tôi. Điều này làm cho việc tính toán và nộp thuế trở nên thuận tiện hơn rất nhiều.</t>
  </si>
  <si>
    <t>Tôi tin rằng cơ quan thuế sẽ thực thi chính sách một cách khách quan và công bằng. Việc giảm trừ gia cảnh và số bậc thuế cũng tạo ra sự công bằng trong việc đóng thuế.</t>
  </si>
  <si>
    <t>Mức thuế tôi phải đóng theo phương án mới là phù hợp với thu nhập của tôi. Điều này thể hiện tính công bằng trong hệ thống thuế hiện tại.</t>
  </si>
  <si>
    <t>Tôi tin rằng số tiền thuế tôi đóng sẽ được sử dụng hiệu quả để cải thiện dịch vụ công, như y tế và giao thông. Việc giảm trừ gia cảnh cũng tạo ra sự công bằng trong việc sử dụng nguồn lực.</t>
  </si>
  <si>
    <t>Nhà nước đã giải thích rõ ràng về mục tiêu của việc sửa đổi thuế, nhưng tôi vẫn mong muốn có thêm thông tin chi tiết về cách sử dụng số tiền thuế thu được.</t>
  </si>
  <si>
    <t>Tôi ủng hộ và tuân thủ chính sách mới vì nó mang lại lợi ích tài chính cho tôi và gia đình. Việc giảm trừ gia cảnh cũng giúp cải thiện chất lượng cuộc sống của chúng tôi.</t>
  </si>
  <si>
    <t>Thuế thu nhập cá nhân đã đơn giản hóa nhiều, giảm số bậc thuế và tăng mức giảm trừ gia cảnh. Tuy nhiên, khả năng phát hiện hành vi gian lận vẫn còn phụ thuộc vào việc thực thi</t>
  </si>
  <si>
    <t>Cơ quan thuế có công nghệ và nguồn lực để phát hiện trốn thuế, đặc biệt là với sự đơn giản hóa quy trình khai báo. Tuy nhiên, khả năng này phụ thuộc vào hiệu quả của việc thực thi</t>
  </si>
  <si>
    <t>Quy trình khai thuế và làm việc với cơ quan thuế đã trở nên đơn giản hơn khi giảm số bậc thuế và tăng mức giảm trừ. Điều này giúp người dân dễ dàng thực hiện hơn</t>
  </si>
  <si>
    <t>Phương án mới đơn giản hóa các bậc thuế, làm cho việc tính thuế dễ hiểu hơn. Tuy nhiên, vẫn cần thời gian để mọi người thích nghi</t>
  </si>
  <si>
    <t>Nhà nước đã cải cách thuế một cách công tâm và đối xử bình đẳng với tất cả các bên nộp thuế. Mức giảm trừ gia cảnh tăng lên giúp tôi cảm thấy công bằng hơn</t>
  </si>
  <si>
    <t>Dựa trên mức thu nhập của mình, mức thuế mới là hợp lý. Tôi tin rằng việc giảm thuế sẽ làm tăng nguồn lực cho tôi để đầu tư vào sự phát triển cá nhân và gia đình</t>
  </si>
  <si>
    <t>Thuế mà tôi đóng sẽ được sử dụng hiệu quả để cải thiện dịch vụ công, như y tế và giao thông. Điều này tăng niềm tin của tôi đối với Nhà nước</t>
  </si>
  <si>
    <t>Nhà nước đã giải thích rõ ràng về mục tiêu cải cách thuế mới, giúp tôi hiểu được việc thay đổi là cần thiết và hợp lý</t>
  </si>
  <si>
    <t>Sau khi xem xét các quyền lợi và nghĩa vụ, tôi ủng hộ chính sách mới này. Việc giảm thuế và tăng mức giảm trừ gia cảnh giúp cải thiện tình hình tài chính của tôi</t>
  </si>
  <si>
    <t>Hiện nay, có nhiều biện pháp kiểm soát thuế như thông tin hóa, ứng dụng công nghệ, nên khả năng phát hiện gian lận hoặc trốn thuế cao hơn trước.</t>
  </si>
  <si>
    <t>Nhà nước và cơ quan thuế đã đầu tư công nghệ tiên tiến để giám sát các khoản thu, do đó việc xử lý nghiêm các hành vi trốn thuế là khả thi.</t>
  </si>
  <si>
    <t>Quy trình khai báo thuế trở nên đơn giản hơn với số bậc thuế giảm và mức giảm trừ gia cảnh tăng, giúp tôi không mất nhiều thời gian để hoàn thiện hồ sơ thuế</t>
  </si>
  <si>
    <t>Cách tính thuế mới dễ hiểu hơn, đặc biệt là khi số bậc thuế đã được rút gọn, điều này làm giảm độ phức tạp cho người nộp thuế.</t>
  </si>
  <si>
    <t>Tôi tin rằng Nhà nước sẽ thực thi chính sách một cách công bằng và khách quan, với mức thuế mới hợp lý cho thu nhập hiện tại của tôi</t>
  </si>
  <si>
    <t>Mức thuế mới là hợp lý so với mức thu nhập hiện tại. Thu nhập 20 triệu/tháng chỉ chịu thuế từ bậc 3 trở lên, nên mức thuế không quá cao.</t>
  </si>
  <si>
    <t>Thuế tôi đóng sẽ được sử dụng hiệu quả để cải thiện các dịch vụ công, như y tế và giao thông</t>
  </si>
  <si>
    <t>Nhà nước đã công khai về mục tiêu và lý do của việc sửa đổi thuế, giúp người dân hiểu rõ hơn về chính sách mới.</t>
  </si>
  <si>
    <t>Tôi ủng hộ và tuân thủ chính sách mới vì lợi ích tài chính tăng lên và quy trình đơn giản hơn</t>
  </si>
  <si>
    <t>Dù có công nghệ phát hiện gian lận, nhưng tôi vẫn lo ngại về thực thi và khả năng quản lý của cơ quan thuế đối với một lượng lớn người nộp thuế.</t>
  </si>
  <si>
    <t>Tôi tin rằng cơ quan thuế sẽ có đủ công nghệ để phát hiện gian lận, nhưng vẫn cần thời gian điều chỉnh và nâng cao hiệu quả quản lý.</t>
  </si>
  <si>
    <t>Thủ tục khai báo thuế đơn giản hơn, nhưng tôi thấy việc tính toán các bậc thuế mới còn khá phức tạp đối với người không am hiểu về thuế.</t>
  </si>
  <si>
    <t>Các bậc thuế mới đơn giản hóa nhiều so với trước đây, giúp việc thực hiện dễ dàng hơn. Tuy nhiên, việc thay đổi lớn có thể gây khó khăn cho một số người.</t>
  </si>
  <si>
    <t>Tôi tin rằng Nhà nước sẽ thực thi chính sách công bằng và khách quan, nhưng vẫn cần thêm thời gian để tôi hoàn toàn tin tưởng vào việc điều hành của họ.</t>
  </si>
  <si>
    <t>Nhìn chung mức thuế mới là hợp lý cho thu nhập của tôi. Tuy nhiên, tôi mong muốn có thêm thông tin về cách sử dụng số tiền thuế để tăng niềm tin.</t>
  </si>
  <si>
    <t>Tôi tin rằng số tiền thuế đóng sẽ được sử dụng hiệu quả cho các dịch vụ công, nhưng cần có thêm minh bạch hơn về việc sử dụng nguồn thu từ thuế.</t>
  </si>
  <si>
    <t>Nhà nước đã giải thích rõ ràng về mục tiêu của chính sách mới. Tuy nhiên, tôi mong muốn có thêm thông tin chi tiết về cách thức thực thi.</t>
  </si>
  <si>
    <t>Tôi ủng hộ và tuân thủ chính sách mới vì nó mang lại lợi ích tài chính rõ ràng cho tôi. Tôi hy vọng các cải tiến này sẽ tiếp tục được áp dụng.</t>
  </si>
  <si>
    <t>Dựa trên mức thuế đã giảm đáng kể và các biện pháp quản lý mới, tôi tin rằng hành vi gian lận sẽ bị phát hiện và xử lý. Cơ quan thuế có khả năng cao hơn để theo dõi.</t>
  </si>
  <si>
    <t>Công nghệ số phát triển đã giúp cơ quan thuế có thể theo dõi và xử lý nhanh chóng các hành vi trốn thuế.</t>
  </si>
  <si>
    <t>So với trước đây, quy trình khai báo trở nên đơn giản hơn nhiều. Việc giảm số bậc thuế cũng giúp quá trình tính toán thuận lợi hơn.</t>
  </si>
  <si>
    <t>Biểu thuế mới rõ ràng và dễ hiểu hơn so với trước đây, tạo điều kiện cho người dân dễ dàng tuân thủ.</t>
  </si>
  <si>
    <t>Nhà nước đã sửa đổi chính sách một cách khách quan để đảm bảo công bằng trong việc phân bổ nguồn lực thuế.</t>
  </si>
  <si>
    <t>Với mức thuế mới, tôi thấy nó là hợp lý và phù hợp với thu nhập của mình. Số tiền tiết kiệm được từ thuế cũng tạo cảm giác công bằng.</t>
  </si>
  <si>
    <t>Tôi tin rằng số tiền thuế đóng sẽ được sử dụng hiệu quả để cải thiện dịch vụ công, góp phần nâng cao chất lượng cuộc sống.</t>
  </si>
  <si>
    <t>Nhà nước đã giải thích rõ ràng về mục tiêu và lý do của việc sửa đổi chính sách thuế lần này. Điều này tăng niềm tin của tôi vào quyết định quản lý tài chính của Nhà nước.</t>
  </si>
  <si>
    <t>Do mức thuế mới giảm đáng kể, tôi ủng hộ và sẽ tuân thủ chính sách mới để góp phần vào sự phát triển chung của đất nước.</t>
  </si>
  <si>
    <t>Việc tăng giảm trừ gia cảnh và đơn giản hóa biểu thuế có thể giúp phát hiện hành vi gian lận hoặc trốn thuế dễ dàng hơn, nhưng vẫn cần sự giám sát chặt chẽ từ các cơ quan chức năng.</t>
  </si>
  <si>
    <t>Cơ sở hạ tầng công nghệ thông tin của Việt Nam đã phát triển đáng kể trong những năm gần đây và có khả năng xử lý dữ liệu thuế một cách hiệu quả hơn.</t>
  </si>
  <si>
    <t>Quy trình khai báo thuế trở nên đơn giản hơn, nhưng vẫn cần thời gian để mọi người quen với các thay đổi mới.</t>
  </si>
  <si>
    <t>Biểu thuế đơn giản hóa đã giúp việc tính toán thuế dễ dàng và nhanh chóng hơn, đặc biệt là đối với những người không chuyên về thuế.</t>
  </si>
  <si>
    <t>Tôi tin rằng cơ quan thuế sẽ thực thi chính sách một cách công bằng, nhưng vẫn cần thời gian để chứng minh điều đó.</t>
  </si>
  <si>
    <t>Sau khi xem xét các giảm trừ gia cảnh và mức thuế mới, tôi thấy rằng mình đóng thuế theo phương án mới là hợp lý.</t>
  </si>
  <si>
    <t>Tiết kiệm được tiền thuế có thể được sử dụng để cải thiện dịch vụ công trong tương lai, nhưng hiệu quả cụ thể cần thời gian để chứng minh.</t>
  </si>
  <si>
    <t>Nhà nước đã giải thích rõ ràng về mục tiêu của việc sửa đổi thuế, và tôi tin rằng các thông tin này đã được truyền tải đến người dân một cách công bằng.</t>
  </si>
  <si>
    <t>Sau khi tính toán tác động tài chính và xem xét sự đơn giản hóa quy trình làm việc với cơ quan thuế, tôi ủng hộ và sẽ tuân thủ chính sách mới.</t>
  </si>
  <si>
    <t>Thuế TNCN sửa đổi có quy định rõ ràng về mức giảm trừ và bậc thuế, tuy nhiên tôi vẫn lo ngại về khả năng phát hiện trốn thuế.</t>
  </si>
  <si>
    <t>Cơ quan thuế đã áp dụng công nghệ mới để quản lý thuế, nhưng hiệu quả thực tế còn phụ thuộc vào việc triển khai.</t>
  </si>
  <si>
    <t>Quy trình khai báo và làm việc với cơ quan thuế trở nên đơn giản hơn, thủ tục nhanh chóng và tiện lợi hơn.</t>
  </si>
  <si>
    <t>Bậc thuế mới đơn giản hóa quy trình tính thuế, dễ hiểu và dễ thực hiện hơn so với trước đây.</t>
  </si>
  <si>
    <t>Tôi tin rằng Nhà nước sẽ công tâm trong việc thực thi chính sách thuế mới, dù tôi vẫn có chút nghi ngờ về mức độ công bằng của nó đối với mọi người.</t>
  </si>
  <si>
    <t>Mức thuế mới giảm đáng kể so với trước đây, phù hợp với thu nhập và tình hình gia đình của tôi nên tôi thấy đây là mức công bằng.</t>
  </si>
  <si>
    <t>Thuế sẽ được sử dụng hiệu quả cho các dịch vụ công như y tế, đường xá, nhưng tôi cần thêm thông tin về cách sử dụng cụ thể hơn để tăng độ tin tưởng.</t>
  </si>
  <si>
    <t>Nhà nước đã giải thích rõ ràng về lý do và mục tiêu của việc sửa đổi thuế mới, tuy nhiên vẫn còn một số điểm tôi muốn biết thêm.</t>
  </si>
  <si>
    <t>Sau khi xem xét các quyền lợi và nghĩa vụ, tôi ủng hộ chính sách mới và sẽ tuân thủ vì mức thuế giảm đáng kể so với trước đây.</t>
  </si>
  <si>
    <t>Nhà nước đã cải cách hệ thống thuế một cách rõ ràng, tuy nhiên do luật mới không áp dụng đến tôi nên độ tin cậy của việc phát hiện và xử lý gian lận vẫn chưa được kiểm chứng.</t>
  </si>
  <si>
    <t>Công nghệ ngày càng phát triển, khả năng giám sát thuế cũng tăng lên. Tuy nhiên, do không áp dụng nên mức độ tin cậy còn hạn chế.</t>
  </si>
  <si>
    <t>Quy trình thuế mới đơn giản hơn so với trước đây và dễ thực hiện hơn, tạo thuận lợi cho người dân.</t>
  </si>
  <si>
    <t>Bậc thuế đã được đơn giản hóa từ 7 bậc thành 5 bậc, dễ hiểu và dễ áp dụng hơn.</t>
  </si>
  <si>
    <t>Tôi tin rằng cơ quan thuế sẽ thực thi chính sách một cách công bằng và khách quan. Tuy nhiên, do không phải đóng thuế nên tôi chưa có kinh nghiệm trực tiếp để đánh giá.</t>
  </si>
  <si>
    <t>Mức thuế mới được giảm trừ gia cảnh cao hơn thu nhập của tôi, tạo cảm giác công bằng và phù hợp với thực tế.</t>
  </si>
  <si>
    <t>Thuế tôi đóng sẽ được sử dụng hiệu quả để cải thiện dịch vụ công, tạo niềm tin vào việc đầu tư cho tương lai.</t>
  </si>
  <si>
    <t>Nhà nước đã giải thích rõ ràng về mục tiêu và lý do của chính sách mới. Tuy nhiên, tôi chưa có kinh nghiệm trực tiếp để đánh giá hiệu quả</t>
  </si>
  <si>
    <t>Chính sách mới tạo thuận lợi cho người dân, giảm gánh nặng thuế, do đó tôi ủng hộ và sẽ tuân thủ.</t>
  </si>
  <si>
    <t>Dù thuế được đơn giản hóa, nhưng các quy định quản lý thuế hiện tại vẫn còn phức tạp. Tuy nhiên, với sự hỗ trợ công nghệ từ cơ quan thuế, khả năng phát hiện và xử lý gian lận có thể cao hơn.</t>
  </si>
  <si>
    <t>Cơ quan thuế đã cải tiến hệ thống để tăng hiệu quả quản lý và xử lý gian lận. Công nghệ được áp dụng trong các quy trình làm việc, giúp phát hiện nhanh chóng hơn.</t>
  </si>
  <si>
    <t>Thủ tục khai thuế đã đơn giản hóa so với trước đây. Người dân dễ dàng truy cập và hoàn thành các báo cáo thuế online, tiết kiệm thời gian.</t>
  </si>
  <si>
    <t>Biểu thuế mới có ít bậc hơn, giúp người nộp thuế dễ dàng tính toán. Mức giảm trừ gia cảnh tăng mạnh, tạo thuận lợi cho việc khai báo.</t>
  </si>
  <si>
    <t>Nhà nước đã công bố rõ ràng về chính sách mới và cam kết thực thi công bằng. Điều này làm tăng niềm tin của người dân vào sự công bằng trong hệ thống thuế hiện tại.</t>
  </si>
  <si>
    <t>Mức thuế mới phù hợp với thu nhập của tôi. Mức giảm trừ gia cảnh tăng mạnh, giúp tiết kiệm chi phí đáng kể cho gia đình.</t>
  </si>
  <si>
    <t>Thuế tôi đóng sẽ được sử dụng hiệu quả để cải thiện các dịch vụ công như y tế và giao thông. Điều này tạo cảm giác trách nhiệm của người dân đối với xã hội.</t>
  </si>
  <si>
    <t>Nhà nước đã giải thích rõ ràng về mục đích và lý do sửa đổi thuế. Điều này làm tăng tính minh bạch và sự tin tưởng của công chúng vào chính sách mới.</t>
  </si>
  <si>
    <t>Tôi ủng hộ chính sách mới vì nó đơn giản hóa quy trình, giảm gánh nặng thuế cho người dân, đồng thời tạo ra môi trường công bằng hơn.</t>
  </si>
  <si>
    <t>Tôi tin rằng với các quy định quản lý thuế hiện nay, hành vi gian lận hoặc trốn thuế sẽ dễ dàng bị phát hiện và xử lý nghiêm.</t>
  </si>
  <si>
    <t>Nhà nước và cơ quan thuế có nhiều công cụ kỹ thuật để hỗ trợ việc quản lý và giám sát, tuy nhiên vẫn còn phụ thuộc vào sự tuân thủ của người dân.</t>
  </si>
  <si>
    <t>Các quy trình khai báo thuế trở nên đơn giản hơn với mức giảm trừ gia cảnh cao hơn, nhưng vẫn cần thời gian để người dân quen thuộc.</t>
  </si>
  <si>
    <t>Biểu thuế mới đơn giản hóa các bậc thuế và ngưỡng chịu thuế, giúp việc tính toán dễ dàng hơn cho cả cá nhân và tổ chức.</t>
  </si>
  <si>
    <t>Tôi tin rằng Nhà nước sẽ thực thi chính sách một cách công bằng, nhưng vẫn cần thời gian để mọi người quen với các quy định mới.</t>
  </si>
  <si>
    <t>Thuế mới theo phương án này là hợp lý cho thu nhập của tôi, giảm gánh nặng tài chính và tăng tính công bằng.</t>
  </si>
  <si>
    <t>Nhà nước đã giải thích rõ về lý do và mục tiêu của việc sửa đổi chính sách thuế, nhưng vẫn cần thêm thông tin chi tiết hơn.</t>
  </si>
  <si>
    <t>Tôi ủng hộ và tuân thủ chính sách mới vì nó mang lại lợi ích tài chính và tăng tính công bằng cho người nộp thuế.</t>
  </si>
  <si>
    <t>Dù có các quy định quản lý thuế, nhưng mức độ phát hiện và xử lý hành vi gian lận hoặc trốn thuế vẫn còn hạn chế.</t>
  </si>
  <si>
    <t>Cơ quan thuế có công nghệ hiện đại hơn, nhưng hiệu quả thực thi vẫn phụ thuộc vào sự quyết tâm của họ.</t>
  </si>
  <si>
    <t>Quy trình khai báo và làm việc với cơ quan thuế đơn giản hóa, giảm bớt thủ tục rườm rà</t>
  </si>
  <si>
    <t>Cách tính thuế và các bậc thuế trở nên rõ ràng hơn, dễ hiểu và thực hiện thuận lợi hơn</t>
  </si>
  <si>
    <t>Tôi tin Nhà nước sẽ công bằng trong việc thực thi chính sách mới, nhưng vẫn có sự nghi ngờ về cách quản lý nguồn thu</t>
  </si>
  <si>
    <t>Mức thuế mới giảm đáng kể so với trước đây, do đó tôi cảm thấy nó là hợp lý đối với thu nhập của mình</t>
  </si>
  <si>
    <t>Nhà nước đã giải thích rõ ràng về mục tiêu và lý do của việc sửa đổi chính sách thuế, nhưng cần làm thêm về minh bạch cụ thể hơn</t>
  </si>
  <si>
    <t>Tôi ủng hộ và tuân thủ chính sách mới vì lợi ích tài chính cá nhân tăng lên đáng kể</t>
  </si>
  <si>
    <t>Việc giảm trừ gia cảnh tăng lên có thể làm giảm khả năng phát hiện sai phạm, do đó tôi cho rằng việc gian lận hoặc trốn thuế sẽ khó khăn hơn để bị phát hiện.</t>
  </si>
  <si>
    <t>Tăng mức giảm trừ gia cảnh và đơn giản hóa biểu thuế có thể làm giảm khả năng Nhà nước, cơ quan thuế phát hiện các hành vi trốn thuế hiệu quả</t>
  </si>
  <si>
    <t>So với trước đây, quy trình khai thuế trở nên dễ dàng hơn và đơn giản hóa biểu thuế giúp người dân hiểu rõ hơn về cách tính thuế.</t>
  </si>
  <si>
    <t>Biểu thuế mới có ít bậc và các mức thuế suất rõ ràng, dễ áp dụng hơn so với trước đây.</t>
  </si>
  <si>
    <t>Nhà nước đã tăng mức giảm trừ gia cảnh và đơn giản hóa biểu thuế, tạo ra một môi trường công bằng cho tất cả người dân nộp thuế.</t>
  </si>
  <si>
    <t>Thuế mới theo phương án này là hợp lý vì nó dựa trên thu nhập thực tế của tôi mà không quá cao so với mức sống hiện tại.</t>
  </si>
  <si>
    <t>Nhà nước đang sử dụng số tiền thuế để đầu tư vào các dịch vụ công như y tế và giao thông, do đó số tiền thuế đóng của tôi sẽ được sử dụng một cách hiệu quả.</t>
  </si>
  <si>
    <t>Nhà nước đã giải thích rõ ràng về mục tiêu của việc sửa đổi thuế lần này, giúp người dân hiểu và ủng hộ chính sách mới.</t>
  </si>
  <si>
    <t>Tôi sẽ ủng hộ và tuân thủ chính sách mới vì nó mang lại lợi ích cho tôi và có mục đích rõ ràng.</t>
  </si>
  <si>
    <t>Cơ quan thuế có đủ khả năng và công nghệ để phát hiện trốn thuế, nhưng thực tế việc gian lận vẫn còn xảy ra nên mức độ tin cậy không hoàn toàn cao.</t>
  </si>
  <si>
    <t>Nhà nước đã cải thiện đáng kể trong việc quản lý và giám sát hành vi trốn thuế, tăng cường khả năng phát hiện gian lận</t>
  </si>
  <si>
    <t>So với trước đây, quy trình khai báo thuế đơn giản hơn nhiều, dễ thực hiện hơn</t>
  </si>
  <si>
    <t>Bậc thuế mới đơn giản và dễ hiểu hơn so với luật cũ</t>
  </si>
  <si>
    <t>Tôi tin Nhà nước sẽ thực thi chính sách một cách công bằng, nhưng vẫn có sự nghi ngờ nhất định về việc thực hiện</t>
  </si>
  <si>
    <t>Mức thuế mới giảm so với trước đây, tôi cảm thấy điều này là hợp lý cho thu nhập của mình</t>
  </si>
  <si>
    <t>Nhà nước sử dụng số tiền thuế để cải thiện dịch vụ công, nhưng hiệu quả vẫn cần được cải thiện hơn</t>
  </si>
  <si>
    <t>Chính phủ đã giải thích rõ ràng về lý do và mục tiêu của việc sửa đổi thuế lần này</t>
  </si>
  <si>
    <t>Tôi ủng hộ chính sách mới vì nó giảm gánh nặng tài chính cho người dân, nhưng vẫn cần cải thiện thêm</t>
  </si>
  <si>
    <t>Nếu cơ quan thuế có công nghệ phát hiện gian lận thì khả năng xử lý nghiêm sẽ tăng. Tuy nhiên, chưa rõ về mức độ thực tế của việc này.</t>
  </si>
  <si>
    <t>Nhà nước đã cải cách để quản lý hiệu quả hơn nhưng vẫn cần nhiều cải tiến trong tương lai.</t>
  </si>
  <si>
    <t>Đơn giản hóa quy trình và giảm trừ gia cảnh giúp việc khai báo thuế dễ dàng hơn. Các bước tính toán thuế rõ ràng.</t>
  </si>
  <si>
    <t>Biểu thuế mới rõ ràng, dễ hiểu và thực hiện thuận tiện hơn so với trước đây.</t>
  </si>
  <si>
    <t>Niềm tin vào sự công bằng của Nhà nước tăng do mức thuế giảm đáng kể. Tuy nhiên, vẫn có nghi ngờ về việc thực thi chính sách.</t>
  </si>
  <si>
    <t>Thuế mới hợp lý hơn so với trước đây vì giảm trừ gia cảnh lớn và số bậc thuế ít hơn.</t>
  </si>
  <si>
    <t>Đóng góp thuế giúp xây dựng cơ sở hạ tầng công cộng nhưng không rõ ràng về cách sử dụng cụ thể.</t>
  </si>
  <si>
    <t>Nhà nước đã giải thích rõ ràng mục tiêu cải cách, tuy nhiên vẫn cần thêm thông tin về hiệu quả sử dụng nguồn thu thuế.</t>
  </si>
  <si>
    <t>Sau khi xem xét lợi ích tài chính và sự đơn giản hóa quy trình, tôi ủng hộ và tuân thủ chính sách mới. Tuy nhiên, vẫn cần cải thiện trong việc thực thi.</t>
  </si>
  <si>
    <t>Dù các quy định quản lý thuế đã được cải thiện, nhưng việc phát hiện và xử lý trốn thuế vẫn phụ thuộc vào hiệu quả của hệ thống, tôi không hoàn toàn tin tưởng.</t>
  </si>
  <si>
    <t>Ngoài sự hỗ trợ công nghệ từ cơ quan thuế, việc quản lý thuế cũng cần sự phối hợp chặt chẽ giữa các bộ phận để phát hiện trốn thuế hiệu quả hơn.</t>
  </si>
  <si>
    <t>Quy trình khai báo thuế và làm việc với cơ quan thuế đã đơn giản hóa nhiều so với trước đây, thuận lợi cho người dân.</t>
  </si>
  <si>
    <t>Biểu thuế mới có ít bậc hơn và mức thuế suất rõ ràng hơn, giúp tôi dễ dàng tính toán và thực hiện.</t>
  </si>
  <si>
    <t>Tôi tin rằng cơ quan thuế sẽ công bằng trong việc thực thi chính sách, nhưng cần thêm thời gian để đánh giá.</t>
  </si>
  <si>
    <t>Mức thuế mới giảm so với trước đây, tôi thấy điều này là công bằng cho thu nhập của mình.</t>
  </si>
  <si>
    <t>Thuế đóng góp vào việc cải thiện các dịch vụ công, nhưng cần xem xét hiệu quả sử dụng ngân sách.</t>
  </si>
  <si>
    <t>Tôi thấy Nhà nước đã giải thích rõ ràng về mục tiêu và lý do sửa đổi thuế lần này, tạo niềm tin cho người dân.</t>
  </si>
  <si>
    <t>Tôi ủng hộ chính sách mới vì nó giúp tôi tiết kiệm được nhiều tiền thuế, đồng thời đơn giản hóa quy trình khai báo thuế.</t>
  </si>
  <si>
    <t>Trong thực tế, các quy định quản lý thuế hiện nay đã có nhiều cải tiến, nhưng vẫn còn một số bất cập. Với mức giảm trừ gia cảnh tăng cao hơn và phương án mới đơn giản hơn, khả năng phát hiện hành vi gian lận hay trốn thuế sẽ dễ dàng hơn. Tuy nhiên, sự hiệu quả của việc thực thi pháp luật phụ thuộc rất nhiều vào sự phối hợp giữa các cơ quan chức năng.</t>
  </si>
  <si>
    <t>Nhà nước và cơ quan thuế đã đầu tư công nghệ cao để quản lý thuế, như hệ thống điện tử khai thuế. Điều này giúp việc phát hiện hành vi gian lận trở nên dễ dàng hơn so với trước đây.</t>
  </si>
  <si>
    <t>So với quy trình khai báo thuế và làm việc với cơ quan thuế trước đây, các thủ tục mới đơn giản và thuận tiện hơn rất nhiều. Việc sử dụng công nghệ trong khai báo thuế đã giúp quá trình trở nên nhanh chóng hơn.</t>
  </si>
  <si>
    <t>Các bậc thuế mới được đơn giản hóa, dễ hiểu và dễ thực hiện hơn so với trước đây. Điều này làm cho việc tính thuế trở nên thuận tiện hơn, giảm bớt gánh nặng về mặt quản lý tài chính.</t>
  </si>
  <si>
    <t>Tôi tin rằng Nhà nước sẽ thực thi chính sách mới một cách khách quan và công bằng. Các mức giảm trừ gia cảnh tăng cao giúp người dân có lợi hơn, thể hiện sự công bằng trong việc đánh giá thu nhập.</t>
  </si>
  <si>
    <t>Sau khi xem xét các mức thuế mới, tôi cảm thấy rằng mức thuế theo phương án mới là hợp lý. Mức giảm trừ gia cảnh cao hơn giúp giảm gánh nặng tài chính cho người dân.</t>
  </si>
  <si>
    <t>Tôi tin rằng số tiền thuế mà tôi đóng sẽ được sử dụng hiệu quả để cải thiện các dịch vụ công, như y tế và giao thông. Mức thuế mới thể hiện sự đầu tư vào các dịch vụ công quan trọng.</t>
  </si>
  <si>
    <t>Nhà nước đã giải thích khá rõ về mục tiêu của việc sửa đổi chính sách thuế, nhưng có thể cần thêm thông tin chi tiết để người dân hiểu đầy đủ hơn về cách thức thực hiện.</t>
  </si>
  <si>
    <t>Tôi ủng hộ và tuân thủ chính sách mới vì nó mang lại nhiều lợi ích cho tôi và gia đình. Việc giảm gánh nặng thuế và mức giảm trừ gia cảnh cao giúp cải thiện đáng kể tình hình tài chính của chúng tôi.</t>
  </si>
  <si>
    <t>Việc tăng giảm trừ gia cảnh và đơn giản hóa biểu thuế có thể làm giảm cơ hội trốn tránh, nhưng vẫn cần sự giám sát kỹ lưỡng từ phía cơ quan thuế.</t>
  </si>
  <si>
    <t>Cơ sở hạ tầng công nghệ hiện đại của Việt Nam đã phát triển đáng kể trong những năm gần đây, nâng cao khả năng phát hiện và xử lý gian lận.</t>
  </si>
  <si>
    <t>Thủ tục khai thuế đơn giản hơn, nhưng vẫn cần thời gian để nhân viên thuế và người nộp thuế quen thuộc với hệ thống mới.</t>
  </si>
  <si>
    <t>Biểu thuế được rút gọn và dễ hiểu hơn, giảm độ phức tạp cho người dân.</t>
  </si>
  <si>
    <t>Nhà nước đã công bố chính sách mới một cách minh bạch, nhưng việc thực thi cần sự nhất quán để đảm bảo công bằng.</t>
  </si>
  <si>
    <t>Thuế theo phương án mới phù hợp với thu nhập của tôi và tăng giảm trừ gia cảnh giúp tiết kiệm chi phí thuế nên cảm thấy công bằng.</t>
  </si>
  <si>
    <t>Nhìn chung, số tiền thuế đóng sẽ được sử dụng hiệu quả để cải thiện dịch vụ công</t>
  </si>
  <si>
    <t>Đã có giải thích về mục tiêu và lý do của việc sửa đổi chính sách thuế lần này.</t>
  </si>
  <si>
    <t>Chính sách mới đơn giản hóa quy trình và giảm chi phí thuế nên tôi sẽ ủng hộ và tuân thủ.</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</si>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</sst>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6"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198</v>
      </c>
      <c r="C1" t="s">
        <v>38</v>
      </c>
      <c r="D1" t="s">
        <v>170</v>
      </c>
      <c r="E1" t="s">
        <v>40</v>
      </c>
      <c r="F1" t="s">
        <v>41</v>
      </c>
      <c r="G1" t="s">
        <v>42</v>
      </c>
      <c r="H1" t="s">
        <v>43</v>
      </c>
      <c r="I1" t="s">
        <v>44</v>
      </c>
      <c r="J1" t="s">
        <v>171</v>
      </c>
      <c r="K1" t="s">
        <v>46</v>
      </c>
      <c r="L1" t="s">
        <v>172</v>
      </c>
      <c r="M1" t="s">
        <v>173</v>
      </c>
      <c r="N1" t="s">
        <v>49</v>
      </c>
      <c r="O1" t="s">
        <v>174</v>
      </c>
      <c r="P1" t="s">
        <v>175</v>
      </c>
      <c r="Q1" t="s">
        <v>52</v>
      </c>
      <c r="R1" t="s">
        <v>176</v>
      </c>
      <c r="S1" t="s">
        <v>177</v>
      </c>
      <c r="T1" t="s">
        <v>55</v>
      </c>
      <c r="U1" t="s">
        <v>178</v>
      </c>
      <c r="V1" t="s">
        <v>179</v>
      </c>
      <c r="W1" t="s">
        <v>58</v>
      </c>
      <c r="X1" t="s">
        <v>180</v>
      </c>
      <c r="Y1" t="s">
        <v>181</v>
      </c>
      <c r="Z1" t="s">
        <v>61</v>
      </c>
      <c r="AA1" t="s">
        <v>182</v>
      </c>
      <c r="AB1" t="s">
        <v>183</v>
      </c>
      <c r="AC1" t="s">
        <v>64</v>
      </c>
      <c r="AD1" t="s">
        <v>184</v>
      </c>
      <c r="AE1" t="s">
        <v>185</v>
      </c>
      <c r="AF1" t="s">
        <v>67</v>
      </c>
      <c r="AG1" t="s">
        <v>186</v>
      </c>
      <c r="AH1" t="s">
        <v>187</v>
      </c>
      <c r="AI1" t="s">
        <v>70</v>
      </c>
      <c r="AJ1" t="s">
        <v>188</v>
      </c>
      <c r="AK1" t="s">
        <v>47</v>
      </c>
      <c r="AL1" t="s">
        <v>50</v>
      </c>
      <c r="AM1" t="s">
        <v>53</v>
      </c>
      <c r="AN1" t="s">
        <v>56</v>
      </c>
      <c r="AO1" t="s">
        <v>59</v>
      </c>
      <c r="AP1" t="s">
        <v>62</v>
      </c>
      <c r="AQ1" t="s">
        <v>65</v>
      </c>
      <c r="AR1" t="s">
        <v>68</v>
      </c>
      <c r="AS1" t="s">
        <v>71</v>
      </c>
    </row>
    <row r="2" spans="1:45" x14ac:dyDescent="0.45">
      <c r="A2">
        <v>1</v>
      </c>
      <c r="B2">
        <v>1991</v>
      </c>
      <c r="C2" t="s">
        <v>72</v>
      </c>
      <c r="D2" t="s">
        <v>81</v>
      </c>
      <c r="E2" t="s">
        <v>74</v>
      </c>
      <c r="F2" t="s">
        <v>77</v>
      </c>
      <c r="G2" t="s">
        <v>76</v>
      </c>
      <c r="H2">
        <v>16.029544063938452</v>
      </c>
      <c r="I2">
        <v>1</v>
      </c>
      <c r="J2">
        <v>8</v>
      </c>
      <c r="K2">
        <v>10</v>
      </c>
      <c r="L2">
        <v>-2</v>
      </c>
      <c r="M2">
        <v>9</v>
      </c>
      <c r="N2">
        <v>8</v>
      </c>
      <c r="O2">
        <v>1</v>
      </c>
      <c r="P2">
        <v>7</v>
      </c>
      <c r="Q2">
        <v>5</v>
      </c>
      <c r="R2">
        <v>2</v>
      </c>
      <c r="S2">
        <v>9</v>
      </c>
      <c r="T2">
        <v>5</v>
      </c>
      <c r="U2">
        <v>4</v>
      </c>
      <c r="V2">
        <v>8</v>
      </c>
      <c r="W2">
        <v>10</v>
      </c>
      <c r="X2">
        <v>-2</v>
      </c>
      <c r="Y2">
        <v>9</v>
      </c>
      <c r="Z2">
        <v>10</v>
      </c>
      <c r="AA2">
        <v>-1</v>
      </c>
      <c r="AB2">
        <v>8</v>
      </c>
      <c r="AC2">
        <v>10</v>
      </c>
      <c r="AD2">
        <v>-2</v>
      </c>
      <c r="AE2">
        <v>9</v>
      </c>
      <c r="AF2">
        <v>10</v>
      </c>
      <c r="AG2">
        <v>-1</v>
      </c>
      <c r="AH2">
        <v>10</v>
      </c>
      <c r="AI2">
        <v>10</v>
      </c>
      <c r="AJ2">
        <v>0</v>
      </c>
      <c r="AK2" t="s">
        <v>272</v>
      </c>
      <c r="AL2" t="s">
        <v>273</v>
      </c>
      <c r="AM2" t="s">
        <v>274</v>
      </c>
      <c r="AN2" t="s">
        <v>275</v>
      </c>
      <c r="AO2" t="s">
        <v>276</v>
      </c>
      <c r="AP2" t="s">
        <v>277</v>
      </c>
      <c r="AQ2" t="s">
        <v>278</v>
      </c>
      <c r="AR2" t="s">
        <v>279</v>
      </c>
      <c r="AS2" t="s">
        <v>280</v>
      </c>
    </row>
    <row r="3" spans="1:45" x14ac:dyDescent="0.45">
      <c r="A3">
        <v>2</v>
      </c>
      <c r="B3">
        <v>1992</v>
      </c>
      <c r="C3" t="s">
        <v>72</v>
      </c>
      <c r="D3" t="s">
        <v>81</v>
      </c>
      <c r="E3" t="s">
        <v>74</v>
      </c>
      <c r="F3" t="s">
        <v>77</v>
      </c>
      <c r="G3" t="s">
        <v>76</v>
      </c>
      <c r="H3">
        <v>12.77596048017443</v>
      </c>
      <c r="I3">
        <v>0</v>
      </c>
      <c r="J3">
        <v>8</v>
      </c>
      <c r="K3">
        <v>8</v>
      </c>
      <c r="L3">
        <v>0</v>
      </c>
      <c r="M3">
        <v>7</v>
      </c>
      <c r="N3">
        <v>8</v>
      </c>
      <c r="O3">
        <v>-1</v>
      </c>
      <c r="P3">
        <v>9</v>
      </c>
      <c r="Q3">
        <v>6</v>
      </c>
      <c r="R3">
        <v>3</v>
      </c>
      <c r="S3">
        <v>10</v>
      </c>
      <c r="T3">
        <v>9</v>
      </c>
      <c r="U3">
        <v>1</v>
      </c>
      <c r="V3">
        <v>8</v>
      </c>
      <c r="W3">
        <v>10</v>
      </c>
      <c r="X3">
        <v>-2</v>
      </c>
      <c r="Y3">
        <v>9</v>
      </c>
      <c r="Z3">
        <v>9</v>
      </c>
      <c r="AA3">
        <v>0</v>
      </c>
      <c r="AB3">
        <v>8</v>
      </c>
      <c r="AC3">
        <v>8</v>
      </c>
      <c r="AD3">
        <v>0</v>
      </c>
      <c r="AE3">
        <v>9</v>
      </c>
      <c r="AF3">
        <v>9</v>
      </c>
      <c r="AG3">
        <v>0</v>
      </c>
      <c r="AH3">
        <v>9</v>
      </c>
      <c r="AI3">
        <v>10</v>
      </c>
      <c r="AJ3">
        <v>-1</v>
      </c>
      <c r="AK3" t="s">
        <v>281</v>
      </c>
      <c r="AL3" t="s">
        <v>282</v>
      </c>
      <c r="AM3" t="s">
        <v>283</v>
      </c>
      <c r="AN3" t="s">
        <v>284</v>
      </c>
      <c r="AO3" t="s">
        <v>285</v>
      </c>
      <c r="AP3" t="s">
        <v>286</v>
      </c>
      <c r="AQ3" t="s">
        <v>287</v>
      </c>
      <c r="AR3" t="s">
        <v>288</v>
      </c>
      <c r="AS3" t="s">
        <v>289</v>
      </c>
    </row>
    <row r="4" spans="1:45" x14ac:dyDescent="0.45">
      <c r="A4">
        <v>3</v>
      </c>
      <c r="B4">
        <v>1993</v>
      </c>
      <c r="C4" t="s">
        <v>78</v>
      </c>
      <c r="D4" t="s">
        <v>79</v>
      </c>
      <c r="E4" t="s">
        <v>74</v>
      </c>
      <c r="F4" t="s">
        <v>75</v>
      </c>
      <c r="G4" t="s">
        <v>76</v>
      </c>
      <c r="H4">
        <v>61.547531975843718</v>
      </c>
      <c r="I4">
        <v>3</v>
      </c>
      <c r="J4">
        <v>6</v>
      </c>
      <c r="K4">
        <v>6</v>
      </c>
      <c r="L4">
        <v>0</v>
      </c>
      <c r="M4">
        <v>8</v>
      </c>
      <c r="N4">
        <v>5</v>
      </c>
      <c r="O4">
        <v>3</v>
      </c>
      <c r="P4">
        <v>9</v>
      </c>
      <c r="Q4">
        <v>4</v>
      </c>
      <c r="R4">
        <v>5</v>
      </c>
      <c r="S4">
        <v>9</v>
      </c>
      <c r="T4">
        <v>5</v>
      </c>
      <c r="U4">
        <v>4</v>
      </c>
      <c r="V4">
        <v>8</v>
      </c>
      <c r="W4">
        <v>4</v>
      </c>
      <c r="X4">
        <v>4</v>
      </c>
      <c r="Y4">
        <v>9</v>
      </c>
      <c r="Z4">
        <v>4</v>
      </c>
      <c r="AA4">
        <v>5</v>
      </c>
      <c r="AB4">
        <v>8</v>
      </c>
      <c r="AC4">
        <v>4</v>
      </c>
      <c r="AD4">
        <v>4</v>
      </c>
      <c r="AE4">
        <v>9</v>
      </c>
      <c r="AF4">
        <v>10</v>
      </c>
      <c r="AG4">
        <v>-1</v>
      </c>
      <c r="AH4">
        <v>9</v>
      </c>
      <c r="AI4">
        <v>4</v>
      </c>
      <c r="AJ4">
        <v>5</v>
      </c>
      <c r="AK4" t="s">
        <v>290</v>
      </c>
      <c r="AL4" t="s">
        <v>291</v>
      </c>
      <c r="AM4" t="s">
        <v>292</v>
      </c>
      <c r="AN4" t="s">
        <v>293</v>
      </c>
      <c r="AO4" t="s">
        <v>294</v>
      </c>
      <c r="AP4" t="s">
        <v>295</v>
      </c>
      <c r="AQ4" t="s">
        <v>296</v>
      </c>
      <c r="AR4" t="s">
        <v>297</v>
      </c>
      <c r="AS4" t="s">
        <v>298</v>
      </c>
    </row>
    <row r="5" spans="1:45" x14ac:dyDescent="0.45">
      <c r="A5">
        <v>4</v>
      </c>
      <c r="B5">
        <v>1994</v>
      </c>
      <c r="C5" t="s">
        <v>72</v>
      </c>
      <c r="D5" t="s">
        <v>189</v>
      </c>
      <c r="E5" t="s">
        <v>74</v>
      </c>
      <c r="F5" t="s">
        <v>77</v>
      </c>
      <c r="G5" t="s">
        <v>76</v>
      </c>
      <c r="H5">
        <v>12</v>
      </c>
      <c r="I5">
        <v>0</v>
      </c>
      <c r="J5">
        <v>7</v>
      </c>
      <c r="K5">
        <v>10</v>
      </c>
      <c r="L5">
        <v>-3</v>
      </c>
      <c r="M5">
        <v>6</v>
      </c>
      <c r="N5">
        <v>10</v>
      </c>
      <c r="O5">
        <v>-4</v>
      </c>
      <c r="P5">
        <v>7</v>
      </c>
      <c r="Q5">
        <v>8</v>
      </c>
      <c r="R5">
        <v>-1</v>
      </c>
      <c r="S5">
        <v>9</v>
      </c>
      <c r="T5">
        <v>9</v>
      </c>
      <c r="U5">
        <v>0</v>
      </c>
      <c r="V5">
        <v>8</v>
      </c>
      <c r="W5">
        <v>9</v>
      </c>
      <c r="X5">
        <v>-1</v>
      </c>
      <c r="Y5">
        <v>9</v>
      </c>
      <c r="Z5">
        <v>7</v>
      </c>
      <c r="AA5">
        <v>2</v>
      </c>
      <c r="AB5">
        <v>8</v>
      </c>
      <c r="AC5">
        <v>10</v>
      </c>
      <c r="AD5">
        <v>-2</v>
      </c>
      <c r="AE5">
        <v>9</v>
      </c>
      <c r="AF5">
        <v>7</v>
      </c>
      <c r="AG5">
        <v>2</v>
      </c>
      <c r="AH5">
        <v>8</v>
      </c>
      <c r="AI5">
        <v>10</v>
      </c>
      <c r="AJ5">
        <v>-2</v>
      </c>
      <c r="AK5" t="s">
        <v>299</v>
      </c>
      <c r="AL5" t="s">
        <v>300</v>
      </c>
      <c r="AM5" t="s">
        <v>301</v>
      </c>
      <c r="AN5" t="s">
        <v>302</v>
      </c>
      <c r="AO5" t="s">
        <v>303</v>
      </c>
      <c r="AP5" t="s">
        <v>304</v>
      </c>
      <c r="AQ5" t="s">
        <v>305</v>
      </c>
      <c r="AR5" t="s">
        <v>306</v>
      </c>
      <c r="AS5" t="s">
        <v>307</v>
      </c>
    </row>
    <row r="6" spans="1:45" x14ac:dyDescent="0.45">
      <c r="A6">
        <v>5</v>
      </c>
      <c r="B6">
        <v>1995</v>
      </c>
      <c r="C6" t="s">
        <v>72</v>
      </c>
      <c r="D6" t="s">
        <v>81</v>
      </c>
      <c r="E6" t="s">
        <v>74</v>
      </c>
      <c r="F6" t="s">
        <v>77</v>
      </c>
      <c r="G6" t="s">
        <v>76</v>
      </c>
      <c r="H6">
        <v>12</v>
      </c>
      <c r="I6">
        <v>0</v>
      </c>
      <c r="J6">
        <v>7</v>
      </c>
      <c r="K6">
        <v>9</v>
      </c>
      <c r="L6">
        <v>-2</v>
      </c>
      <c r="M6">
        <v>6</v>
      </c>
      <c r="N6">
        <v>9</v>
      </c>
      <c r="O6">
        <v>-3</v>
      </c>
      <c r="P6">
        <v>8</v>
      </c>
      <c r="Q6">
        <v>10</v>
      </c>
      <c r="R6">
        <v>-2</v>
      </c>
      <c r="S6">
        <v>9</v>
      </c>
      <c r="T6">
        <v>9</v>
      </c>
      <c r="U6">
        <v>0</v>
      </c>
      <c r="V6">
        <v>8</v>
      </c>
      <c r="W6">
        <v>9</v>
      </c>
      <c r="X6">
        <v>-1</v>
      </c>
      <c r="Y6">
        <v>9</v>
      </c>
      <c r="Z6">
        <v>9</v>
      </c>
      <c r="AA6">
        <v>0</v>
      </c>
      <c r="AB6">
        <v>8</v>
      </c>
      <c r="AC6">
        <v>9</v>
      </c>
      <c r="AD6">
        <v>-1</v>
      </c>
      <c r="AE6">
        <v>7</v>
      </c>
      <c r="AF6">
        <v>9</v>
      </c>
      <c r="AG6">
        <v>-2</v>
      </c>
      <c r="AH6">
        <v>9</v>
      </c>
      <c r="AI6">
        <v>9</v>
      </c>
      <c r="AJ6">
        <v>0</v>
      </c>
      <c r="AK6" t="s">
        <v>308</v>
      </c>
      <c r="AL6" t="s">
        <v>309</v>
      </c>
      <c r="AM6" t="s">
        <v>310</v>
      </c>
      <c r="AN6" t="s">
        <v>311</v>
      </c>
      <c r="AO6" t="s">
        <v>312</v>
      </c>
      <c r="AP6" t="s">
        <v>313</v>
      </c>
      <c r="AQ6" t="s">
        <v>314</v>
      </c>
      <c r="AR6" t="s">
        <v>315</v>
      </c>
      <c r="AS6" t="s">
        <v>316</v>
      </c>
    </row>
    <row r="7" spans="1:45" x14ac:dyDescent="0.45">
      <c r="A7">
        <v>6</v>
      </c>
      <c r="B7">
        <v>1996</v>
      </c>
      <c r="C7" t="s">
        <v>72</v>
      </c>
      <c r="D7" t="s">
        <v>73</v>
      </c>
      <c r="E7" t="s">
        <v>74</v>
      </c>
      <c r="F7" t="s">
        <v>75</v>
      </c>
      <c r="G7" t="s">
        <v>76</v>
      </c>
      <c r="H7">
        <v>92.750176336270357</v>
      </c>
      <c r="I7">
        <v>4</v>
      </c>
      <c r="J7">
        <v>5</v>
      </c>
      <c r="K7">
        <v>8</v>
      </c>
      <c r="L7">
        <v>-3</v>
      </c>
      <c r="M7">
        <v>6</v>
      </c>
      <c r="N7">
        <v>8</v>
      </c>
      <c r="O7">
        <v>-2</v>
      </c>
      <c r="P7">
        <v>7</v>
      </c>
      <c r="Q7">
        <v>5</v>
      </c>
      <c r="R7">
        <v>2</v>
      </c>
      <c r="S7">
        <v>8</v>
      </c>
      <c r="T7">
        <v>8</v>
      </c>
      <c r="U7">
        <v>0</v>
      </c>
      <c r="V7">
        <v>7</v>
      </c>
      <c r="W7">
        <v>6</v>
      </c>
      <c r="X7">
        <v>1</v>
      </c>
      <c r="Y7">
        <v>9</v>
      </c>
      <c r="Z7">
        <v>6</v>
      </c>
      <c r="AA7">
        <v>3</v>
      </c>
      <c r="AB7">
        <v>8</v>
      </c>
      <c r="AC7">
        <v>4</v>
      </c>
      <c r="AD7">
        <v>4</v>
      </c>
      <c r="AE7">
        <v>7</v>
      </c>
      <c r="AF7">
        <v>5</v>
      </c>
      <c r="AG7">
        <v>2</v>
      </c>
      <c r="AH7">
        <v>9</v>
      </c>
      <c r="AI7">
        <v>6</v>
      </c>
      <c r="AJ7">
        <v>3</v>
      </c>
      <c r="AK7" t="s">
        <v>317</v>
      </c>
      <c r="AL7" t="s">
        <v>318</v>
      </c>
      <c r="AM7" t="s">
        <v>319</v>
      </c>
      <c r="AN7" t="s">
        <v>320</v>
      </c>
      <c r="AO7" t="s">
        <v>321</v>
      </c>
      <c r="AP7" t="s">
        <v>322</v>
      </c>
      <c r="AQ7" t="s">
        <v>257</v>
      </c>
      <c r="AR7" t="s">
        <v>323</v>
      </c>
      <c r="AS7" t="s">
        <v>324</v>
      </c>
    </row>
    <row r="8" spans="1:45" x14ac:dyDescent="0.45">
      <c r="A8">
        <v>7</v>
      </c>
      <c r="B8">
        <v>1997</v>
      </c>
      <c r="C8" t="s">
        <v>72</v>
      </c>
      <c r="D8" t="s">
        <v>73</v>
      </c>
      <c r="E8" t="s">
        <v>74</v>
      </c>
      <c r="F8" t="s">
        <v>77</v>
      </c>
      <c r="G8" t="s">
        <v>76</v>
      </c>
      <c r="H8">
        <v>20.750694249558155</v>
      </c>
      <c r="I8">
        <v>2</v>
      </c>
      <c r="J8">
        <v>8</v>
      </c>
      <c r="K8">
        <v>5</v>
      </c>
      <c r="L8">
        <v>3</v>
      </c>
      <c r="M8">
        <v>9</v>
      </c>
      <c r="N8">
        <v>4</v>
      </c>
      <c r="O8">
        <v>5</v>
      </c>
      <c r="P8">
        <v>7</v>
      </c>
      <c r="Q8">
        <v>4</v>
      </c>
      <c r="R8">
        <v>3</v>
      </c>
      <c r="S8">
        <v>9</v>
      </c>
      <c r="T8">
        <v>6</v>
      </c>
      <c r="U8">
        <v>3</v>
      </c>
      <c r="V8">
        <v>8</v>
      </c>
      <c r="W8">
        <v>6</v>
      </c>
      <c r="X8">
        <v>2</v>
      </c>
      <c r="Y8">
        <v>9</v>
      </c>
      <c r="Z8">
        <v>7</v>
      </c>
      <c r="AA8">
        <v>2</v>
      </c>
      <c r="AB8">
        <v>8</v>
      </c>
      <c r="AC8">
        <v>2</v>
      </c>
      <c r="AD8">
        <v>6</v>
      </c>
      <c r="AE8">
        <v>8</v>
      </c>
      <c r="AF8">
        <v>4</v>
      </c>
      <c r="AG8">
        <v>4</v>
      </c>
      <c r="AH8">
        <v>9</v>
      </c>
      <c r="AI8">
        <v>4</v>
      </c>
      <c r="AJ8">
        <v>5</v>
      </c>
      <c r="AK8" t="s">
        <v>325</v>
      </c>
      <c r="AL8" t="s">
        <v>326</v>
      </c>
      <c r="AM8" t="s">
        <v>327</v>
      </c>
      <c r="AN8" t="s">
        <v>328</v>
      </c>
      <c r="AO8" t="s">
        <v>329</v>
      </c>
      <c r="AP8" t="s">
        <v>330</v>
      </c>
      <c r="AQ8" t="s">
        <v>331</v>
      </c>
      <c r="AR8" t="s">
        <v>332</v>
      </c>
      <c r="AS8" t="s">
        <v>333</v>
      </c>
    </row>
    <row r="9" spans="1:45" x14ac:dyDescent="0.45">
      <c r="A9">
        <v>8</v>
      </c>
      <c r="B9">
        <v>1998</v>
      </c>
      <c r="C9" t="s">
        <v>78</v>
      </c>
      <c r="D9" t="s">
        <v>79</v>
      </c>
      <c r="E9" t="s">
        <v>74</v>
      </c>
      <c r="F9" t="s">
        <v>75</v>
      </c>
      <c r="G9" t="s">
        <v>76</v>
      </c>
      <c r="H9">
        <v>12</v>
      </c>
      <c r="I9">
        <v>2</v>
      </c>
      <c r="J9">
        <v>7</v>
      </c>
      <c r="K9">
        <v>1</v>
      </c>
      <c r="L9">
        <v>6</v>
      </c>
      <c r="M9">
        <v>6</v>
      </c>
      <c r="N9">
        <v>1</v>
      </c>
      <c r="O9">
        <v>5</v>
      </c>
      <c r="P9">
        <v>8</v>
      </c>
      <c r="Q9">
        <v>2</v>
      </c>
      <c r="R9">
        <v>6</v>
      </c>
      <c r="S9">
        <v>9</v>
      </c>
      <c r="T9">
        <v>3</v>
      </c>
      <c r="U9">
        <v>6</v>
      </c>
      <c r="V9">
        <v>7</v>
      </c>
      <c r="W9">
        <v>6</v>
      </c>
      <c r="X9">
        <v>1</v>
      </c>
      <c r="Y9">
        <v>9</v>
      </c>
      <c r="Z9">
        <v>2</v>
      </c>
      <c r="AA9">
        <v>7</v>
      </c>
      <c r="AB9">
        <v>7</v>
      </c>
      <c r="AC9">
        <v>7</v>
      </c>
      <c r="AD9">
        <v>0</v>
      </c>
      <c r="AE9">
        <v>8</v>
      </c>
      <c r="AF9">
        <v>3</v>
      </c>
      <c r="AG9">
        <v>5</v>
      </c>
      <c r="AH9">
        <v>7</v>
      </c>
      <c r="AI9">
        <v>3</v>
      </c>
      <c r="AJ9">
        <v>4</v>
      </c>
      <c r="AK9" t="s">
        <v>334</v>
      </c>
      <c r="AL9" t="s">
        <v>335</v>
      </c>
      <c r="AM9" t="s">
        <v>336</v>
      </c>
      <c r="AN9" t="s">
        <v>337</v>
      </c>
      <c r="AO9" t="s">
        <v>338</v>
      </c>
      <c r="AP9" t="s">
        <v>339</v>
      </c>
      <c r="AQ9" t="s">
        <v>340</v>
      </c>
      <c r="AR9" t="s">
        <v>341</v>
      </c>
      <c r="AS9" t="s">
        <v>342</v>
      </c>
    </row>
    <row r="10" spans="1:45" x14ac:dyDescent="0.45">
      <c r="A10">
        <v>9</v>
      </c>
      <c r="B10">
        <v>1999</v>
      </c>
      <c r="C10" t="s">
        <v>72</v>
      </c>
      <c r="D10" t="s">
        <v>81</v>
      </c>
      <c r="E10" t="s">
        <v>80</v>
      </c>
      <c r="F10" t="s">
        <v>77</v>
      </c>
      <c r="G10" t="s">
        <v>162</v>
      </c>
      <c r="H10">
        <v>14.909375702254509</v>
      </c>
      <c r="I10">
        <v>1</v>
      </c>
      <c r="J10">
        <v>6</v>
      </c>
      <c r="K10">
        <v>10</v>
      </c>
      <c r="L10">
        <v>-4</v>
      </c>
      <c r="M10">
        <v>7</v>
      </c>
      <c r="N10">
        <v>10</v>
      </c>
      <c r="O10">
        <v>-3</v>
      </c>
      <c r="P10">
        <v>9</v>
      </c>
      <c r="Q10">
        <v>8</v>
      </c>
      <c r="R10">
        <v>1</v>
      </c>
      <c r="S10">
        <v>8</v>
      </c>
      <c r="T10">
        <v>7</v>
      </c>
      <c r="U10">
        <v>1</v>
      </c>
      <c r="V10">
        <v>9</v>
      </c>
      <c r="W10">
        <v>7</v>
      </c>
      <c r="X10">
        <v>2</v>
      </c>
      <c r="Y10">
        <v>8</v>
      </c>
      <c r="Z10">
        <v>5</v>
      </c>
      <c r="AA10">
        <v>3</v>
      </c>
      <c r="AB10">
        <v>9</v>
      </c>
      <c r="AC10">
        <v>5</v>
      </c>
      <c r="AD10">
        <v>4</v>
      </c>
      <c r="AE10">
        <v>8</v>
      </c>
      <c r="AF10">
        <v>9</v>
      </c>
      <c r="AG10">
        <v>-1</v>
      </c>
      <c r="AH10">
        <v>9</v>
      </c>
      <c r="AI10">
        <v>8</v>
      </c>
      <c r="AJ10">
        <v>1</v>
      </c>
      <c r="AK10" t="s">
        <v>343</v>
      </c>
      <c r="AL10" t="s">
        <v>344</v>
      </c>
      <c r="AM10" t="s">
        <v>345</v>
      </c>
      <c r="AN10" t="s">
        <v>346</v>
      </c>
      <c r="AO10" t="s">
        <v>347</v>
      </c>
      <c r="AP10" t="s">
        <v>348</v>
      </c>
      <c r="AQ10" t="s">
        <v>349</v>
      </c>
      <c r="AR10" t="s">
        <v>350</v>
      </c>
      <c r="AS10" t="s">
        <v>351</v>
      </c>
    </row>
    <row r="11" spans="1:45" x14ac:dyDescent="0.45">
      <c r="A11">
        <v>10</v>
      </c>
      <c r="B11">
        <v>2000</v>
      </c>
      <c r="C11" t="s">
        <v>72</v>
      </c>
      <c r="D11" t="s">
        <v>81</v>
      </c>
      <c r="E11" t="s">
        <v>74</v>
      </c>
      <c r="F11" t="s">
        <v>77</v>
      </c>
      <c r="G11" t="s">
        <v>76</v>
      </c>
      <c r="H11">
        <v>20.300545275430544</v>
      </c>
      <c r="I11">
        <v>0</v>
      </c>
      <c r="J11">
        <v>7</v>
      </c>
      <c r="K11">
        <v>7</v>
      </c>
      <c r="L11">
        <v>0</v>
      </c>
      <c r="M11">
        <v>6</v>
      </c>
      <c r="N11">
        <v>10</v>
      </c>
      <c r="O11">
        <v>-4</v>
      </c>
      <c r="P11">
        <v>9</v>
      </c>
      <c r="Q11">
        <v>1</v>
      </c>
      <c r="R11">
        <v>8</v>
      </c>
      <c r="S11">
        <v>8</v>
      </c>
      <c r="T11">
        <v>5</v>
      </c>
      <c r="U11">
        <v>3</v>
      </c>
      <c r="V11">
        <v>7</v>
      </c>
      <c r="W11">
        <v>8</v>
      </c>
      <c r="X11">
        <v>-1</v>
      </c>
      <c r="Y11">
        <v>8</v>
      </c>
      <c r="Z11">
        <v>5</v>
      </c>
      <c r="AA11">
        <v>3</v>
      </c>
      <c r="AB11">
        <v>7</v>
      </c>
      <c r="AC11">
        <v>5</v>
      </c>
      <c r="AD11">
        <v>2</v>
      </c>
      <c r="AE11">
        <v>6</v>
      </c>
      <c r="AF11">
        <v>5</v>
      </c>
      <c r="AG11">
        <v>1</v>
      </c>
      <c r="AH11">
        <v>8</v>
      </c>
      <c r="AI11">
        <v>10</v>
      </c>
      <c r="AJ11">
        <v>-2</v>
      </c>
      <c r="AK11" t="s">
        <v>352</v>
      </c>
      <c r="AL11" t="s">
        <v>353</v>
      </c>
      <c r="AM11" t="s">
        <v>354</v>
      </c>
      <c r="AN11" t="s">
        <v>355</v>
      </c>
      <c r="AO11" t="s">
        <v>356</v>
      </c>
      <c r="AP11" t="s">
        <v>357</v>
      </c>
      <c r="AQ11" t="s">
        <v>358</v>
      </c>
      <c r="AR11" t="s">
        <v>359</v>
      </c>
      <c r="AS11" t="s">
        <v>360</v>
      </c>
    </row>
    <row r="12" spans="1:45" x14ac:dyDescent="0.45">
      <c r="A12">
        <v>11</v>
      </c>
      <c r="B12">
        <v>2001</v>
      </c>
      <c r="C12" t="s">
        <v>78</v>
      </c>
      <c r="D12" t="s">
        <v>73</v>
      </c>
      <c r="E12" t="s">
        <v>74</v>
      </c>
      <c r="F12" t="s">
        <v>75</v>
      </c>
      <c r="G12" t="s">
        <v>162</v>
      </c>
      <c r="H12">
        <v>38.355047037430367</v>
      </c>
      <c r="I12">
        <v>4</v>
      </c>
      <c r="J12">
        <v>6</v>
      </c>
      <c r="K12">
        <v>10</v>
      </c>
      <c r="L12">
        <v>-4</v>
      </c>
      <c r="M12">
        <v>7</v>
      </c>
      <c r="N12">
        <v>3</v>
      </c>
      <c r="O12">
        <v>4</v>
      </c>
      <c r="P12">
        <v>9</v>
      </c>
      <c r="Q12">
        <v>1</v>
      </c>
      <c r="R12">
        <v>8</v>
      </c>
      <c r="S12">
        <v>8</v>
      </c>
      <c r="T12">
        <v>7</v>
      </c>
      <c r="U12">
        <v>1</v>
      </c>
      <c r="V12">
        <v>7</v>
      </c>
      <c r="W12">
        <v>1</v>
      </c>
      <c r="X12">
        <v>6</v>
      </c>
      <c r="Y12">
        <v>8</v>
      </c>
      <c r="Z12">
        <v>5</v>
      </c>
      <c r="AA12">
        <v>3</v>
      </c>
      <c r="AB12">
        <v>7</v>
      </c>
      <c r="AC12">
        <v>1</v>
      </c>
      <c r="AD12">
        <v>6</v>
      </c>
      <c r="AE12">
        <v>6</v>
      </c>
      <c r="AF12">
        <v>8</v>
      </c>
      <c r="AG12">
        <v>-2</v>
      </c>
      <c r="AH12">
        <v>9</v>
      </c>
      <c r="AI12">
        <v>6</v>
      </c>
      <c r="AJ12">
        <v>3</v>
      </c>
      <c r="AK12" t="s">
        <v>361</v>
      </c>
      <c r="AL12" t="s">
        <v>362</v>
      </c>
      <c r="AM12" t="s">
        <v>363</v>
      </c>
      <c r="AN12" t="s">
        <v>364</v>
      </c>
      <c r="AO12" t="s">
        <v>365</v>
      </c>
      <c r="AP12" t="s">
        <v>366</v>
      </c>
      <c r="AQ12" t="s">
        <v>367</v>
      </c>
      <c r="AR12" t="s">
        <v>368</v>
      </c>
      <c r="AS12" t="s">
        <v>271</v>
      </c>
    </row>
    <row r="13" spans="1:45" x14ac:dyDescent="0.45">
      <c r="A13">
        <v>12</v>
      </c>
      <c r="B13">
        <v>2002</v>
      </c>
      <c r="C13" t="s">
        <v>72</v>
      </c>
      <c r="D13" t="s">
        <v>189</v>
      </c>
      <c r="E13" t="s">
        <v>74</v>
      </c>
      <c r="F13" t="s">
        <v>77</v>
      </c>
      <c r="G13" t="s">
        <v>76</v>
      </c>
      <c r="H13">
        <v>12</v>
      </c>
      <c r="I13">
        <v>0</v>
      </c>
      <c r="J13">
        <v>7</v>
      </c>
      <c r="K13">
        <v>5</v>
      </c>
      <c r="L13">
        <v>2</v>
      </c>
      <c r="M13">
        <v>9</v>
      </c>
      <c r="N13">
        <v>8</v>
      </c>
      <c r="O13">
        <v>1</v>
      </c>
      <c r="P13">
        <v>8</v>
      </c>
      <c r="Q13">
        <v>5</v>
      </c>
      <c r="R13">
        <v>3</v>
      </c>
      <c r="S13">
        <v>9</v>
      </c>
      <c r="T13">
        <v>5</v>
      </c>
      <c r="U13">
        <v>4</v>
      </c>
      <c r="V13">
        <v>8</v>
      </c>
      <c r="W13">
        <v>6</v>
      </c>
      <c r="X13">
        <v>2</v>
      </c>
      <c r="Y13">
        <v>9</v>
      </c>
      <c r="Z13">
        <v>5</v>
      </c>
      <c r="AA13">
        <v>4</v>
      </c>
      <c r="AB13">
        <v>8</v>
      </c>
      <c r="AC13">
        <v>5</v>
      </c>
      <c r="AD13">
        <v>3</v>
      </c>
      <c r="AE13">
        <v>9</v>
      </c>
      <c r="AF13">
        <v>5</v>
      </c>
      <c r="AG13">
        <v>4</v>
      </c>
      <c r="AH13">
        <v>9</v>
      </c>
      <c r="AI13">
        <v>5</v>
      </c>
      <c r="AJ13">
        <v>4</v>
      </c>
      <c r="AK13" t="s">
        <v>369</v>
      </c>
      <c r="AL13" t="s">
        <v>370</v>
      </c>
      <c r="AM13" t="s">
        <v>371</v>
      </c>
      <c r="AN13" t="s">
        <v>372</v>
      </c>
      <c r="AO13" t="s">
        <v>373</v>
      </c>
      <c r="AP13" t="s">
        <v>374</v>
      </c>
      <c r="AQ13" t="s">
        <v>375</v>
      </c>
      <c r="AR13" t="s">
        <v>376</v>
      </c>
      <c r="AS13" t="s">
        <v>377</v>
      </c>
    </row>
    <row r="14" spans="1:45" x14ac:dyDescent="0.45">
      <c r="A14">
        <v>13</v>
      </c>
      <c r="B14">
        <v>2003</v>
      </c>
      <c r="C14" t="s">
        <v>72</v>
      </c>
      <c r="D14" t="s">
        <v>189</v>
      </c>
      <c r="E14" t="s">
        <v>74</v>
      </c>
      <c r="F14" t="s">
        <v>77</v>
      </c>
      <c r="G14" t="s">
        <v>76</v>
      </c>
      <c r="H14">
        <v>12</v>
      </c>
      <c r="I14">
        <v>0</v>
      </c>
      <c r="J14">
        <v>9</v>
      </c>
      <c r="K14">
        <v>8</v>
      </c>
      <c r="L14">
        <v>1</v>
      </c>
      <c r="M14">
        <v>8</v>
      </c>
      <c r="N14">
        <v>7</v>
      </c>
      <c r="O14">
        <v>1</v>
      </c>
      <c r="P14">
        <v>7</v>
      </c>
      <c r="Q14">
        <v>7</v>
      </c>
      <c r="R14">
        <v>0</v>
      </c>
      <c r="S14">
        <v>8</v>
      </c>
      <c r="T14">
        <v>7</v>
      </c>
      <c r="U14">
        <v>1</v>
      </c>
      <c r="V14">
        <v>9</v>
      </c>
      <c r="W14">
        <v>7</v>
      </c>
      <c r="X14">
        <v>2</v>
      </c>
      <c r="Y14">
        <v>8</v>
      </c>
      <c r="Z14">
        <v>8</v>
      </c>
      <c r="AA14">
        <v>0</v>
      </c>
      <c r="AB14">
        <v>9</v>
      </c>
      <c r="AC14">
        <v>7</v>
      </c>
      <c r="AD14">
        <v>2</v>
      </c>
      <c r="AE14">
        <v>8</v>
      </c>
      <c r="AF14">
        <v>7</v>
      </c>
      <c r="AG14">
        <v>1</v>
      </c>
      <c r="AH14">
        <v>9</v>
      </c>
      <c r="AI14">
        <v>7</v>
      </c>
      <c r="AJ14">
        <v>2</v>
      </c>
      <c r="AK14" t="s">
        <v>378</v>
      </c>
      <c r="AL14" t="s">
        <v>379</v>
      </c>
      <c r="AM14" t="s">
        <v>380</v>
      </c>
      <c r="AN14" t="s">
        <v>381</v>
      </c>
      <c r="AO14" t="s">
        <v>382</v>
      </c>
      <c r="AP14" t="s">
        <v>383</v>
      </c>
      <c r="AQ14" t="s">
        <v>384</v>
      </c>
      <c r="AR14" t="s">
        <v>385</v>
      </c>
      <c r="AS14" t="s">
        <v>386</v>
      </c>
    </row>
    <row r="15" spans="1:45" x14ac:dyDescent="0.45">
      <c r="A15">
        <v>14</v>
      </c>
      <c r="B15">
        <v>2004</v>
      </c>
      <c r="C15" t="s">
        <v>72</v>
      </c>
      <c r="D15" t="s">
        <v>73</v>
      </c>
      <c r="E15" t="s">
        <v>74</v>
      </c>
      <c r="F15" t="s">
        <v>75</v>
      </c>
      <c r="G15" t="s">
        <v>76</v>
      </c>
      <c r="H15">
        <v>20.560812066039318</v>
      </c>
      <c r="I15">
        <v>0</v>
      </c>
      <c r="J15">
        <v>5</v>
      </c>
      <c r="K15">
        <v>10</v>
      </c>
      <c r="L15">
        <v>-5</v>
      </c>
      <c r="M15">
        <v>6</v>
      </c>
      <c r="N15">
        <v>10</v>
      </c>
      <c r="O15">
        <v>-4</v>
      </c>
      <c r="P15">
        <v>9</v>
      </c>
      <c r="Q15">
        <v>8</v>
      </c>
      <c r="R15">
        <v>1</v>
      </c>
      <c r="S15">
        <v>8</v>
      </c>
      <c r="T15">
        <v>8</v>
      </c>
      <c r="U15">
        <v>0</v>
      </c>
      <c r="V15">
        <v>7</v>
      </c>
      <c r="W15">
        <v>8</v>
      </c>
      <c r="X15">
        <v>-1</v>
      </c>
      <c r="Y15">
        <v>9</v>
      </c>
      <c r="Z15">
        <v>6</v>
      </c>
      <c r="AA15">
        <v>3</v>
      </c>
      <c r="AB15">
        <v>8</v>
      </c>
      <c r="AC15">
        <v>6</v>
      </c>
      <c r="AD15">
        <v>2</v>
      </c>
      <c r="AE15">
        <v>9</v>
      </c>
      <c r="AF15">
        <v>5</v>
      </c>
      <c r="AG15">
        <v>4</v>
      </c>
      <c r="AH15">
        <v>8</v>
      </c>
      <c r="AI15">
        <v>5</v>
      </c>
      <c r="AJ15">
        <v>3</v>
      </c>
      <c r="AK15" t="s">
        <v>387</v>
      </c>
      <c r="AL15" t="s">
        <v>388</v>
      </c>
      <c r="AM15" t="s">
        <v>389</v>
      </c>
      <c r="AN15" t="s">
        <v>390</v>
      </c>
      <c r="AO15" t="s">
        <v>391</v>
      </c>
      <c r="AP15" t="s">
        <v>392</v>
      </c>
      <c r="AQ15" t="s">
        <v>393</v>
      </c>
      <c r="AR15" t="s">
        <v>394</v>
      </c>
      <c r="AS15" t="s">
        <v>395</v>
      </c>
    </row>
    <row r="16" spans="1:45" x14ac:dyDescent="0.45">
      <c r="A16">
        <v>15</v>
      </c>
      <c r="B16">
        <v>2005</v>
      </c>
      <c r="C16" t="s">
        <v>78</v>
      </c>
      <c r="D16" t="s">
        <v>73</v>
      </c>
      <c r="E16" t="s">
        <v>74</v>
      </c>
      <c r="F16" t="s">
        <v>75</v>
      </c>
      <c r="G16" t="s">
        <v>76</v>
      </c>
      <c r="H16">
        <v>42.766205033209218</v>
      </c>
      <c r="I16">
        <v>2</v>
      </c>
      <c r="J16">
        <v>7</v>
      </c>
      <c r="K16">
        <v>7</v>
      </c>
      <c r="L16">
        <v>0</v>
      </c>
      <c r="M16">
        <v>6</v>
      </c>
      <c r="N16">
        <v>9</v>
      </c>
      <c r="O16">
        <v>-3</v>
      </c>
      <c r="P16">
        <v>8</v>
      </c>
      <c r="Q16">
        <v>3</v>
      </c>
      <c r="R16">
        <v>5</v>
      </c>
      <c r="S16">
        <v>9</v>
      </c>
      <c r="T16">
        <v>6</v>
      </c>
      <c r="U16">
        <v>3</v>
      </c>
      <c r="V16">
        <v>7</v>
      </c>
      <c r="W16">
        <v>1</v>
      </c>
      <c r="X16">
        <v>6</v>
      </c>
      <c r="Y16">
        <v>8</v>
      </c>
      <c r="Z16">
        <v>1</v>
      </c>
      <c r="AA16">
        <v>7</v>
      </c>
      <c r="AB16">
        <v>6</v>
      </c>
      <c r="AC16">
        <v>1</v>
      </c>
      <c r="AD16">
        <v>5</v>
      </c>
      <c r="AE16">
        <v>5</v>
      </c>
      <c r="AF16">
        <v>1</v>
      </c>
      <c r="AG16">
        <v>4</v>
      </c>
      <c r="AH16">
        <v>9</v>
      </c>
      <c r="AI16">
        <v>1</v>
      </c>
      <c r="AJ16">
        <v>8</v>
      </c>
      <c r="AK16" t="s">
        <v>396</v>
      </c>
      <c r="AL16" t="s">
        <v>397</v>
      </c>
      <c r="AM16" t="s">
        <v>398</v>
      </c>
      <c r="AN16" t="s">
        <v>399</v>
      </c>
      <c r="AO16" t="s">
        <v>400</v>
      </c>
      <c r="AP16" t="s">
        <v>401</v>
      </c>
      <c r="AQ16" t="s">
        <v>402</v>
      </c>
      <c r="AR16" t="s">
        <v>403</v>
      </c>
      <c r="AS16" t="s">
        <v>404</v>
      </c>
    </row>
    <row r="17" spans="1:45" x14ac:dyDescent="0.45">
      <c r="A17">
        <v>16</v>
      </c>
      <c r="B17">
        <v>2006</v>
      </c>
      <c r="C17" t="s">
        <v>78</v>
      </c>
      <c r="D17" t="s">
        <v>79</v>
      </c>
      <c r="E17" t="s">
        <v>74</v>
      </c>
      <c r="F17" t="s">
        <v>75</v>
      </c>
      <c r="G17" t="s">
        <v>76</v>
      </c>
      <c r="H17">
        <v>97.031267340930881</v>
      </c>
      <c r="I17">
        <v>4</v>
      </c>
      <c r="J17">
        <v>7</v>
      </c>
      <c r="K17">
        <v>8</v>
      </c>
      <c r="L17">
        <v>-1</v>
      </c>
      <c r="M17">
        <v>6</v>
      </c>
      <c r="N17">
        <v>8</v>
      </c>
      <c r="O17">
        <v>-2</v>
      </c>
      <c r="P17">
        <v>9</v>
      </c>
      <c r="Q17">
        <v>8</v>
      </c>
      <c r="R17">
        <v>1</v>
      </c>
      <c r="S17">
        <v>8</v>
      </c>
      <c r="T17">
        <v>9</v>
      </c>
      <c r="U17">
        <v>-1</v>
      </c>
      <c r="V17">
        <v>7</v>
      </c>
      <c r="W17">
        <v>7</v>
      </c>
      <c r="X17">
        <v>0</v>
      </c>
      <c r="Y17">
        <v>9</v>
      </c>
      <c r="Z17">
        <v>7</v>
      </c>
      <c r="AA17">
        <v>2</v>
      </c>
      <c r="AB17">
        <v>7</v>
      </c>
      <c r="AC17">
        <v>9</v>
      </c>
      <c r="AD17">
        <v>-2</v>
      </c>
      <c r="AE17">
        <v>6</v>
      </c>
      <c r="AF17">
        <v>8</v>
      </c>
      <c r="AG17">
        <v>-2</v>
      </c>
      <c r="AH17">
        <v>9</v>
      </c>
      <c r="AI17">
        <v>7</v>
      </c>
      <c r="AJ17">
        <v>2</v>
      </c>
      <c r="AK17" t="s">
        <v>405</v>
      </c>
      <c r="AL17" t="s">
        <v>406</v>
      </c>
      <c r="AM17" t="s">
        <v>407</v>
      </c>
      <c r="AN17" t="s">
        <v>408</v>
      </c>
      <c r="AO17" t="s">
        <v>409</v>
      </c>
      <c r="AP17" t="s">
        <v>410</v>
      </c>
      <c r="AQ17" t="s">
        <v>411</v>
      </c>
      <c r="AR17" t="s">
        <v>412</v>
      </c>
      <c r="AS17" t="s">
        <v>413</v>
      </c>
    </row>
    <row r="18" spans="1:45" x14ac:dyDescent="0.45">
      <c r="A18">
        <v>17</v>
      </c>
      <c r="B18">
        <v>2007</v>
      </c>
      <c r="C18" t="s">
        <v>72</v>
      </c>
      <c r="D18" t="s">
        <v>81</v>
      </c>
      <c r="E18" t="s">
        <v>74</v>
      </c>
      <c r="F18" t="s">
        <v>77</v>
      </c>
      <c r="G18" t="s">
        <v>76</v>
      </c>
      <c r="H18">
        <v>21.039487527118101</v>
      </c>
      <c r="I18">
        <v>2</v>
      </c>
      <c r="J18">
        <v>9</v>
      </c>
      <c r="K18">
        <v>6</v>
      </c>
      <c r="L18">
        <v>3</v>
      </c>
      <c r="M18">
        <v>8</v>
      </c>
      <c r="N18">
        <v>7</v>
      </c>
      <c r="O18">
        <v>1</v>
      </c>
      <c r="P18">
        <v>9</v>
      </c>
      <c r="Q18">
        <v>5</v>
      </c>
      <c r="R18">
        <v>4</v>
      </c>
      <c r="S18">
        <v>8</v>
      </c>
      <c r="T18">
        <v>5</v>
      </c>
      <c r="U18">
        <v>3</v>
      </c>
      <c r="V18">
        <v>7</v>
      </c>
      <c r="W18">
        <v>6</v>
      </c>
      <c r="X18">
        <v>1</v>
      </c>
      <c r="Y18">
        <v>9</v>
      </c>
      <c r="Z18">
        <v>7</v>
      </c>
      <c r="AA18">
        <v>2</v>
      </c>
      <c r="AB18">
        <v>7</v>
      </c>
      <c r="AC18">
        <v>3</v>
      </c>
      <c r="AD18">
        <v>4</v>
      </c>
      <c r="AE18">
        <v>8</v>
      </c>
      <c r="AF18">
        <v>4</v>
      </c>
      <c r="AG18">
        <v>4</v>
      </c>
      <c r="AH18">
        <v>9</v>
      </c>
      <c r="AI18">
        <v>5</v>
      </c>
      <c r="AJ18">
        <v>4</v>
      </c>
      <c r="AK18" t="s">
        <v>414</v>
      </c>
      <c r="AL18" t="s">
        <v>415</v>
      </c>
      <c r="AM18" t="s">
        <v>416</v>
      </c>
      <c r="AN18" t="s">
        <v>417</v>
      </c>
      <c r="AO18" t="s">
        <v>418</v>
      </c>
      <c r="AP18" t="s">
        <v>419</v>
      </c>
      <c r="AQ18" t="s">
        <v>82</v>
      </c>
      <c r="AR18" t="s">
        <v>420</v>
      </c>
      <c r="AS18" t="s">
        <v>421</v>
      </c>
    </row>
    <row r="19" spans="1:45" x14ac:dyDescent="0.45">
      <c r="A19">
        <v>18</v>
      </c>
      <c r="B19">
        <v>2008</v>
      </c>
      <c r="C19" t="s">
        <v>78</v>
      </c>
      <c r="D19" t="s">
        <v>79</v>
      </c>
      <c r="E19" t="s">
        <v>74</v>
      </c>
      <c r="F19" t="s">
        <v>77</v>
      </c>
      <c r="G19" t="s">
        <v>162</v>
      </c>
      <c r="H19">
        <v>16.475787551693386</v>
      </c>
      <c r="I19">
        <v>0</v>
      </c>
      <c r="J19">
        <v>8</v>
      </c>
      <c r="K19">
        <v>6</v>
      </c>
      <c r="L19">
        <v>2</v>
      </c>
      <c r="M19">
        <v>8</v>
      </c>
      <c r="N19">
        <v>8</v>
      </c>
      <c r="O19">
        <v>0</v>
      </c>
      <c r="P19">
        <v>9</v>
      </c>
      <c r="Q19">
        <v>7</v>
      </c>
      <c r="R19">
        <v>2</v>
      </c>
      <c r="S19">
        <v>9</v>
      </c>
      <c r="T19">
        <v>8</v>
      </c>
      <c r="U19">
        <v>1</v>
      </c>
      <c r="V19">
        <v>9</v>
      </c>
      <c r="W19">
        <v>8</v>
      </c>
      <c r="X19">
        <v>1</v>
      </c>
      <c r="Y19">
        <v>9</v>
      </c>
      <c r="Z19">
        <v>7</v>
      </c>
      <c r="AA19">
        <v>2</v>
      </c>
      <c r="AB19">
        <v>9</v>
      </c>
      <c r="AC19">
        <v>7</v>
      </c>
      <c r="AD19">
        <v>2</v>
      </c>
      <c r="AE19">
        <v>8</v>
      </c>
      <c r="AF19">
        <v>6</v>
      </c>
      <c r="AG19">
        <v>2</v>
      </c>
      <c r="AH19">
        <v>9</v>
      </c>
      <c r="AI19">
        <v>8</v>
      </c>
      <c r="AJ19">
        <v>1</v>
      </c>
      <c r="AK19" t="s">
        <v>422</v>
      </c>
      <c r="AL19" t="s">
        <v>423</v>
      </c>
      <c r="AM19" t="s">
        <v>424</v>
      </c>
      <c r="AN19" t="s">
        <v>425</v>
      </c>
      <c r="AO19" t="s">
        <v>426</v>
      </c>
      <c r="AP19" t="s">
        <v>427</v>
      </c>
      <c r="AQ19" t="s">
        <v>428</v>
      </c>
      <c r="AR19" t="s">
        <v>429</v>
      </c>
      <c r="AS19" t="s">
        <v>430</v>
      </c>
    </row>
    <row r="20" spans="1:45" x14ac:dyDescent="0.45">
      <c r="A20">
        <v>19</v>
      </c>
      <c r="B20">
        <v>2009</v>
      </c>
      <c r="C20" t="s">
        <v>78</v>
      </c>
      <c r="D20" t="s">
        <v>79</v>
      </c>
      <c r="E20" t="s">
        <v>74</v>
      </c>
      <c r="F20" t="s">
        <v>77</v>
      </c>
      <c r="G20" t="s">
        <v>76</v>
      </c>
      <c r="H20">
        <v>133.36974784496124</v>
      </c>
      <c r="I20">
        <v>4</v>
      </c>
      <c r="J20">
        <v>7</v>
      </c>
      <c r="K20">
        <v>10</v>
      </c>
      <c r="L20">
        <v>-3</v>
      </c>
      <c r="M20">
        <v>8</v>
      </c>
      <c r="N20">
        <v>10</v>
      </c>
      <c r="O20">
        <v>-2</v>
      </c>
      <c r="P20">
        <v>9</v>
      </c>
      <c r="Q20">
        <v>5</v>
      </c>
      <c r="R20">
        <v>4</v>
      </c>
      <c r="S20">
        <v>9</v>
      </c>
      <c r="T20">
        <v>5</v>
      </c>
      <c r="U20">
        <v>4</v>
      </c>
      <c r="V20">
        <v>8</v>
      </c>
      <c r="W20">
        <v>5</v>
      </c>
      <c r="X20">
        <v>3</v>
      </c>
      <c r="Y20">
        <v>9</v>
      </c>
      <c r="Z20">
        <v>3</v>
      </c>
      <c r="AA20">
        <v>6</v>
      </c>
      <c r="AB20">
        <v>8</v>
      </c>
      <c r="AC20">
        <v>2</v>
      </c>
      <c r="AD20">
        <v>6</v>
      </c>
      <c r="AE20">
        <v>7</v>
      </c>
      <c r="AF20">
        <v>5</v>
      </c>
      <c r="AG20">
        <v>2</v>
      </c>
      <c r="AH20">
        <v>9</v>
      </c>
      <c r="AI20">
        <v>8</v>
      </c>
      <c r="AJ20">
        <v>1</v>
      </c>
      <c r="AK20" t="s">
        <v>431</v>
      </c>
      <c r="AL20" t="s">
        <v>432</v>
      </c>
      <c r="AM20" t="s">
        <v>433</v>
      </c>
      <c r="AN20" t="s">
        <v>434</v>
      </c>
      <c r="AO20" t="s">
        <v>435</v>
      </c>
      <c r="AP20" t="s">
        <v>436</v>
      </c>
      <c r="AQ20" t="s">
        <v>437</v>
      </c>
      <c r="AR20" t="s">
        <v>438</v>
      </c>
      <c r="AS20" t="s">
        <v>439</v>
      </c>
    </row>
    <row r="21" spans="1:45" x14ac:dyDescent="0.45">
      <c r="A21">
        <v>20</v>
      </c>
      <c r="B21">
        <v>2010</v>
      </c>
      <c r="C21" t="s">
        <v>78</v>
      </c>
      <c r="D21" t="s">
        <v>73</v>
      </c>
      <c r="E21" t="s">
        <v>74</v>
      </c>
      <c r="F21" t="s">
        <v>75</v>
      </c>
      <c r="G21" t="s">
        <v>76</v>
      </c>
      <c r="H21">
        <v>53.113316152974953</v>
      </c>
      <c r="I21">
        <v>2</v>
      </c>
      <c r="J21">
        <v>5</v>
      </c>
      <c r="K21">
        <v>9</v>
      </c>
      <c r="L21">
        <v>-4</v>
      </c>
      <c r="M21">
        <v>6</v>
      </c>
      <c r="N21">
        <v>9</v>
      </c>
      <c r="O21">
        <v>-3</v>
      </c>
      <c r="P21">
        <v>7</v>
      </c>
      <c r="Q21">
        <v>7</v>
      </c>
      <c r="R21">
        <v>0</v>
      </c>
      <c r="S21">
        <v>8</v>
      </c>
      <c r="T21">
        <v>9</v>
      </c>
      <c r="U21">
        <v>-1</v>
      </c>
      <c r="V21">
        <v>7</v>
      </c>
      <c r="W21">
        <v>7</v>
      </c>
      <c r="X21">
        <v>0</v>
      </c>
      <c r="Y21">
        <v>9</v>
      </c>
      <c r="Z21">
        <v>8</v>
      </c>
      <c r="AA21">
        <v>1</v>
      </c>
      <c r="AB21">
        <v>7</v>
      </c>
      <c r="AC21">
        <v>5</v>
      </c>
      <c r="AD21">
        <v>2</v>
      </c>
      <c r="AE21">
        <v>6</v>
      </c>
      <c r="AF21">
        <v>5</v>
      </c>
      <c r="AG21">
        <v>1</v>
      </c>
      <c r="AH21">
        <v>8</v>
      </c>
      <c r="AI21">
        <v>6</v>
      </c>
      <c r="AJ21">
        <v>2</v>
      </c>
      <c r="AK21" t="s">
        <v>440</v>
      </c>
      <c r="AL21" t="s">
        <v>441</v>
      </c>
      <c r="AM21" t="s">
        <v>442</v>
      </c>
      <c r="AN21" t="s">
        <v>443</v>
      </c>
      <c r="AO21" t="s">
        <v>444</v>
      </c>
      <c r="AP21" t="s">
        <v>445</v>
      </c>
      <c r="AQ21" t="s">
        <v>446</v>
      </c>
      <c r="AR21" t="s">
        <v>447</v>
      </c>
      <c r="AS21" t="s">
        <v>448</v>
      </c>
    </row>
    <row r="22" spans="1:45" x14ac:dyDescent="0.45">
      <c r="A22">
        <v>21</v>
      </c>
      <c r="B22">
        <v>2011</v>
      </c>
      <c r="C22" t="s">
        <v>72</v>
      </c>
      <c r="D22" t="s">
        <v>79</v>
      </c>
      <c r="E22" t="s">
        <v>74</v>
      </c>
      <c r="F22" t="s">
        <v>77</v>
      </c>
      <c r="G22" t="s">
        <v>76</v>
      </c>
      <c r="H22">
        <v>212.6300001360199</v>
      </c>
      <c r="I22">
        <v>3</v>
      </c>
      <c r="J22">
        <v>7</v>
      </c>
      <c r="K22">
        <v>10</v>
      </c>
      <c r="L22">
        <v>-3</v>
      </c>
      <c r="M22">
        <v>8</v>
      </c>
      <c r="N22">
        <v>10</v>
      </c>
      <c r="O22">
        <v>-2</v>
      </c>
      <c r="P22">
        <v>9</v>
      </c>
      <c r="Q22">
        <v>8</v>
      </c>
      <c r="R22">
        <v>1</v>
      </c>
      <c r="S22">
        <v>9</v>
      </c>
      <c r="T22">
        <v>7</v>
      </c>
      <c r="U22">
        <v>2</v>
      </c>
      <c r="V22">
        <v>7</v>
      </c>
      <c r="W22">
        <v>7</v>
      </c>
      <c r="X22">
        <v>0</v>
      </c>
      <c r="Y22">
        <v>8</v>
      </c>
      <c r="Z22">
        <v>7</v>
      </c>
      <c r="AA22">
        <v>1</v>
      </c>
      <c r="AB22">
        <v>7</v>
      </c>
      <c r="AC22">
        <v>2</v>
      </c>
      <c r="AD22">
        <v>5</v>
      </c>
      <c r="AE22">
        <v>8</v>
      </c>
      <c r="AF22">
        <v>3</v>
      </c>
      <c r="AG22">
        <v>5</v>
      </c>
      <c r="AH22">
        <v>9</v>
      </c>
      <c r="AI22">
        <v>3</v>
      </c>
      <c r="AJ22">
        <v>6</v>
      </c>
      <c r="AK22" t="s">
        <v>449</v>
      </c>
      <c r="AL22" t="s">
        <v>450</v>
      </c>
      <c r="AM22" t="s">
        <v>451</v>
      </c>
      <c r="AN22" t="s">
        <v>452</v>
      </c>
      <c r="AO22" t="s">
        <v>453</v>
      </c>
      <c r="AP22" t="s">
        <v>454</v>
      </c>
      <c r="AQ22" t="s">
        <v>455</v>
      </c>
      <c r="AR22" t="s">
        <v>456</v>
      </c>
      <c r="AS22" t="s">
        <v>457</v>
      </c>
    </row>
    <row r="23" spans="1:45" x14ac:dyDescent="0.45">
      <c r="A23">
        <v>22</v>
      </c>
      <c r="B23">
        <v>2012</v>
      </c>
      <c r="C23" t="s">
        <v>72</v>
      </c>
      <c r="D23" t="s">
        <v>189</v>
      </c>
      <c r="E23" t="s">
        <v>74</v>
      </c>
      <c r="F23" t="s">
        <v>77</v>
      </c>
      <c r="G23" t="s">
        <v>76</v>
      </c>
      <c r="H23">
        <v>13.189093971466985</v>
      </c>
      <c r="I23">
        <v>0</v>
      </c>
      <c r="J23">
        <v>8</v>
      </c>
      <c r="K23">
        <v>8</v>
      </c>
      <c r="L23">
        <v>0</v>
      </c>
      <c r="M23">
        <v>7</v>
      </c>
      <c r="N23">
        <v>8</v>
      </c>
      <c r="O23">
        <v>-1</v>
      </c>
      <c r="P23">
        <v>9</v>
      </c>
      <c r="Q23">
        <v>5</v>
      </c>
      <c r="R23">
        <v>4</v>
      </c>
      <c r="S23">
        <v>10</v>
      </c>
      <c r="T23">
        <v>8</v>
      </c>
      <c r="U23">
        <v>2</v>
      </c>
      <c r="V23">
        <v>9</v>
      </c>
      <c r="W23">
        <v>8</v>
      </c>
      <c r="X23">
        <v>1</v>
      </c>
      <c r="Y23">
        <v>10</v>
      </c>
      <c r="Z23">
        <v>8</v>
      </c>
      <c r="AA23">
        <v>2</v>
      </c>
      <c r="AB23">
        <v>9</v>
      </c>
      <c r="AC23">
        <v>8</v>
      </c>
      <c r="AD23">
        <v>1</v>
      </c>
      <c r="AE23">
        <v>8</v>
      </c>
      <c r="AF23">
        <v>8</v>
      </c>
      <c r="AG23">
        <v>0</v>
      </c>
      <c r="AH23">
        <v>9</v>
      </c>
      <c r="AI23">
        <v>8</v>
      </c>
      <c r="AJ23">
        <v>1</v>
      </c>
      <c r="AK23" t="s">
        <v>458</v>
      </c>
      <c r="AL23" t="s">
        <v>459</v>
      </c>
      <c r="AM23" t="s">
        <v>460</v>
      </c>
      <c r="AN23" t="s">
        <v>461</v>
      </c>
      <c r="AO23" t="s">
        <v>462</v>
      </c>
      <c r="AP23" t="s">
        <v>463</v>
      </c>
      <c r="AQ23" t="s">
        <v>464</v>
      </c>
      <c r="AR23" t="s">
        <v>465</v>
      </c>
      <c r="AS23" t="s">
        <v>466</v>
      </c>
    </row>
    <row r="24" spans="1:45" x14ac:dyDescent="0.45">
      <c r="A24">
        <v>23</v>
      </c>
      <c r="B24">
        <v>2013</v>
      </c>
      <c r="C24" t="s">
        <v>72</v>
      </c>
      <c r="D24" t="s">
        <v>79</v>
      </c>
      <c r="E24" t="s">
        <v>74</v>
      </c>
      <c r="F24" t="s">
        <v>75</v>
      </c>
      <c r="G24" t="s">
        <v>76</v>
      </c>
      <c r="H24">
        <v>78.405168822670689</v>
      </c>
      <c r="I24">
        <v>3</v>
      </c>
      <c r="J24">
        <v>6</v>
      </c>
      <c r="K24">
        <v>5</v>
      </c>
      <c r="L24">
        <v>1</v>
      </c>
      <c r="M24">
        <v>7</v>
      </c>
      <c r="N24">
        <v>5</v>
      </c>
      <c r="O24">
        <v>2</v>
      </c>
      <c r="P24">
        <v>9</v>
      </c>
      <c r="Q24">
        <v>5</v>
      </c>
      <c r="R24">
        <v>4</v>
      </c>
      <c r="S24">
        <v>8</v>
      </c>
      <c r="T24">
        <v>5</v>
      </c>
      <c r="U24">
        <v>3</v>
      </c>
      <c r="V24">
        <v>7</v>
      </c>
      <c r="W24">
        <v>5</v>
      </c>
      <c r="X24">
        <v>2</v>
      </c>
      <c r="Y24">
        <v>8</v>
      </c>
      <c r="Z24">
        <v>5</v>
      </c>
      <c r="AA24">
        <v>3</v>
      </c>
      <c r="AB24">
        <v>6</v>
      </c>
      <c r="AC24">
        <v>5</v>
      </c>
      <c r="AD24">
        <v>1</v>
      </c>
      <c r="AE24">
        <v>7</v>
      </c>
      <c r="AF24">
        <v>5</v>
      </c>
      <c r="AG24">
        <v>2</v>
      </c>
      <c r="AH24">
        <v>8</v>
      </c>
      <c r="AI24">
        <v>5</v>
      </c>
      <c r="AJ24">
        <v>3</v>
      </c>
      <c r="AK24" t="s">
        <v>467</v>
      </c>
      <c r="AL24" t="s">
        <v>468</v>
      </c>
      <c r="AM24" t="s">
        <v>469</v>
      </c>
      <c r="AN24" t="s">
        <v>470</v>
      </c>
      <c r="AO24" t="s">
        <v>471</v>
      </c>
      <c r="AP24" t="s">
        <v>472</v>
      </c>
      <c r="AQ24" t="s">
        <v>473</v>
      </c>
      <c r="AR24" t="s">
        <v>474</v>
      </c>
      <c r="AS24" t="s">
        <v>475</v>
      </c>
    </row>
    <row r="25" spans="1:45" x14ac:dyDescent="0.45">
      <c r="A25">
        <v>24</v>
      </c>
      <c r="B25">
        <v>2014</v>
      </c>
      <c r="C25" t="s">
        <v>72</v>
      </c>
      <c r="D25" t="s">
        <v>73</v>
      </c>
      <c r="E25" t="s">
        <v>80</v>
      </c>
      <c r="F25" t="s">
        <v>77</v>
      </c>
      <c r="G25" t="s">
        <v>76</v>
      </c>
      <c r="H25">
        <v>30.348672224917316</v>
      </c>
      <c r="I25">
        <v>2</v>
      </c>
      <c r="J25">
        <v>8</v>
      </c>
      <c r="K25">
        <v>9</v>
      </c>
      <c r="L25">
        <v>-1</v>
      </c>
      <c r="M25">
        <v>7</v>
      </c>
      <c r="N25">
        <v>8</v>
      </c>
      <c r="O25">
        <v>-1</v>
      </c>
      <c r="P25">
        <v>6</v>
      </c>
      <c r="Q25">
        <v>6</v>
      </c>
      <c r="R25">
        <v>0</v>
      </c>
      <c r="S25">
        <v>8</v>
      </c>
      <c r="T25">
        <v>9</v>
      </c>
      <c r="U25">
        <v>-1</v>
      </c>
      <c r="V25">
        <v>9</v>
      </c>
      <c r="W25">
        <v>8</v>
      </c>
      <c r="X25">
        <v>1</v>
      </c>
      <c r="Y25">
        <v>8</v>
      </c>
      <c r="Z25">
        <v>10</v>
      </c>
      <c r="AA25">
        <v>-2</v>
      </c>
      <c r="AB25">
        <v>9</v>
      </c>
      <c r="AC25">
        <v>6</v>
      </c>
      <c r="AD25">
        <v>3</v>
      </c>
      <c r="AE25">
        <v>7</v>
      </c>
      <c r="AF25">
        <v>6</v>
      </c>
      <c r="AG25">
        <v>1</v>
      </c>
      <c r="AH25">
        <v>9</v>
      </c>
      <c r="AI25">
        <v>8</v>
      </c>
      <c r="AJ25">
        <v>1</v>
      </c>
      <c r="AK25" t="s">
        <v>476</v>
      </c>
      <c r="AL25" t="s">
        <v>477</v>
      </c>
      <c r="AM25" t="s">
        <v>478</v>
      </c>
      <c r="AN25" t="s">
        <v>479</v>
      </c>
      <c r="AO25" t="s">
        <v>480</v>
      </c>
      <c r="AP25" t="s">
        <v>481</v>
      </c>
      <c r="AQ25" t="s">
        <v>482</v>
      </c>
      <c r="AR25" t="s">
        <v>483</v>
      </c>
      <c r="AS25" t="s">
        <v>484</v>
      </c>
    </row>
    <row r="26" spans="1:45" x14ac:dyDescent="0.45">
      <c r="A26">
        <v>25</v>
      </c>
      <c r="B26">
        <v>2015</v>
      </c>
      <c r="C26" t="s">
        <v>78</v>
      </c>
      <c r="D26" t="s">
        <v>73</v>
      </c>
      <c r="E26" t="s">
        <v>74</v>
      </c>
      <c r="F26" t="s">
        <v>75</v>
      </c>
      <c r="G26" t="s">
        <v>76</v>
      </c>
      <c r="H26">
        <v>39.561083069743439</v>
      </c>
      <c r="I26">
        <v>1</v>
      </c>
      <c r="J26">
        <v>7</v>
      </c>
      <c r="K26">
        <v>6</v>
      </c>
      <c r="L26">
        <v>1</v>
      </c>
      <c r="M26">
        <v>6</v>
      </c>
      <c r="N26">
        <v>7</v>
      </c>
      <c r="O26">
        <v>-1</v>
      </c>
      <c r="P26">
        <v>8</v>
      </c>
      <c r="Q26">
        <v>5</v>
      </c>
      <c r="R26">
        <v>3</v>
      </c>
      <c r="S26">
        <v>9</v>
      </c>
      <c r="T26">
        <v>6</v>
      </c>
      <c r="U26">
        <v>3</v>
      </c>
      <c r="V26">
        <v>8</v>
      </c>
      <c r="W26">
        <v>7</v>
      </c>
      <c r="X26">
        <v>1</v>
      </c>
      <c r="Y26">
        <v>9</v>
      </c>
      <c r="Z26">
        <v>7</v>
      </c>
      <c r="AA26">
        <v>2</v>
      </c>
      <c r="AB26">
        <v>7</v>
      </c>
      <c r="AC26">
        <v>3</v>
      </c>
      <c r="AD26">
        <v>4</v>
      </c>
      <c r="AE26">
        <v>8</v>
      </c>
      <c r="AF26">
        <v>3</v>
      </c>
      <c r="AG26">
        <v>5</v>
      </c>
      <c r="AH26">
        <v>9</v>
      </c>
      <c r="AI26">
        <v>5</v>
      </c>
      <c r="AJ26">
        <v>4</v>
      </c>
      <c r="AK26" t="s">
        <v>485</v>
      </c>
      <c r="AL26" t="s">
        <v>486</v>
      </c>
      <c r="AM26" t="s">
        <v>487</v>
      </c>
      <c r="AN26" t="s">
        <v>488</v>
      </c>
      <c r="AO26" t="s">
        <v>489</v>
      </c>
      <c r="AP26" t="s">
        <v>490</v>
      </c>
      <c r="AQ26" t="s">
        <v>491</v>
      </c>
      <c r="AR26" t="s">
        <v>492</v>
      </c>
      <c r="AS26" t="s">
        <v>493</v>
      </c>
    </row>
    <row r="27" spans="1:45" x14ac:dyDescent="0.45">
      <c r="A27">
        <v>26</v>
      </c>
      <c r="B27">
        <v>2016</v>
      </c>
      <c r="C27" t="s">
        <v>78</v>
      </c>
      <c r="D27" t="s">
        <v>73</v>
      </c>
      <c r="E27" t="s">
        <v>74</v>
      </c>
      <c r="F27" t="s">
        <v>75</v>
      </c>
      <c r="G27" t="s">
        <v>76</v>
      </c>
      <c r="H27">
        <v>12</v>
      </c>
      <c r="I27">
        <v>4</v>
      </c>
      <c r="J27">
        <v>7</v>
      </c>
      <c r="K27">
        <v>10</v>
      </c>
      <c r="L27">
        <v>-3</v>
      </c>
      <c r="M27">
        <v>6</v>
      </c>
      <c r="N27">
        <v>10</v>
      </c>
      <c r="O27">
        <v>-4</v>
      </c>
      <c r="P27">
        <v>9</v>
      </c>
      <c r="Q27">
        <v>10</v>
      </c>
      <c r="R27">
        <v>-1</v>
      </c>
      <c r="S27">
        <v>8</v>
      </c>
      <c r="T27">
        <v>6</v>
      </c>
      <c r="U27">
        <v>2</v>
      </c>
      <c r="V27">
        <v>9</v>
      </c>
      <c r="W27">
        <v>6</v>
      </c>
      <c r="X27">
        <v>3</v>
      </c>
      <c r="Y27">
        <v>8</v>
      </c>
      <c r="Z27">
        <v>10</v>
      </c>
      <c r="AA27">
        <v>-2</v>
      </c>
      <c r="AB27">
        <v>9</v>
      </c>
      <c r="AC27">
        <v>1</v>
      </c>
      <c r="AD27">
        <v>8</v>
      </c>
      <c r="AE27">
        <v>8</v>
      </c>
      <c r="AF27">
        <v>4</v>
      </c>
      <c r="AG27">
        <v>4</v>
      </c>
      <c r="AH27">
        <v>9</v>
      </c>
      <c r="AI27">
        <v>10</v>
      </c>
      <c r="AJ27">
        <v>-1</v>
      </c>
      <c r="AK27" t="s">
        <v>494</v>
      </c>
      <c r="AL27" t="s">
        <v>495</v>
      </c>
      <c r="AM27" t="s">
        <v>496</v>
      </c>
      <c r="AN27" t="s">
        <v>497</v>
      </c>
      <c r="AO27" t="s">
        <v>498</v>
      </c>
      <c r="AP27" t="s">
        <v>499</v>
      </c>
      <c r="AQ27" t="s">
        <v>500</v>
      </c>
      <c r="AR27" t="s">
        <v>501</v>
      </c>
      <c r="AS27" t="s">
        <v>502</v>
      </c>
    </row>
    <row r="28" spans="1:45" x14ac:dyDescent="0.45">
      <c r="A28">
        <v>27</v>
      </c>
      <c r="B28">
        <v>2017</v>
      </c>
      <c r="C28" t="s">
        <v>78</v>
      </c>
      <c r="D28" t="s">
        <v>189</v>
      </c>
      <c r="E28" t="s">
        <v>74</v>
      </c>
      <c r="F28" t="s">
        <v>77</v>
      </c>
      <c r="G28" t="s">
        <v>76</v>
      </c>
      <c r="H28">
        <v>12</v>
      </c>
      <c r="I28">
        <v>0</v>
      </c>
      <c r="J28">
        <v>6</v>
      </c>
      <c r="K28">
        <v>1</v>
      </c>
      <c r="L28">
        <v>5</v>
      </c>
      <c r="M28">
        <v>7</v>
      </c>
      <c r="N28">
        <v>1</v>
      </c>
      <c r="O28">
        <v>6</v>
      </c>
      <c r="P28">
        <v>8</v>
      </c>
      <c r="Q28">
        <v>1</v>
      </c>
      <c r="R28">
        <v>7</v>
      </c>
      <c r="S28">
        <v>9</v>
      </c>
      <c r="T28">
        <v>1</v>
      </c>
      <c r="U28">
        <v>8</v>
      </c>
      <c r="V28">
        <v>8</v>
      </c>
      <c r="W28">
        <v>1</v>
      </c>
      <c r="X28">
        <v>7</v>
      </c>
      <c r="Y28">
        <v>9</v>
      </c>
      <c r="Z28">
        <v>1</v>
      </c>
      <c r="AA28">
        <v>8</v>
      </c>
      <c r="AB28">
        <v>8</v>
      </c>
      <c r="AC28">
        <v>1</v>
      </c>
      <c r="AD28">
        <v>7</v>
      </c>
      <c r="AE28">
        <v>7</v>
      </c>
      <c r="AF28">
        <v>1</v>
      </c>
      <c r="AG28">
        <v>6</v>
      </c>
      <c r="AH28">
        <v>9</v>
      </c>
      <c r="AI28">
        <v>1</v>
      </c>
      <c r="AJ28">
        <v>8</v>
      </c>
      <c r="AK28" t="s">
        <v>503</v>
      </c>
      <c r="AL28" t="s">
        <v>504</v>
      </c>
      <c r="AM28" t="s">
        <v>505</v>
      </c>
      <c r="AN28" t="s">
        <v>506</v>
      </c>
      <c r="AO28" t="s">
        <v>507</v>
      </c>
      <c r="AP28" t="s">
        <v>508</v>
      </c>
      <c r="AQ28" t="s">
        <v>509</v>
      </c>
      <c r="AR28" t="s">
        <v>510</v>
      </c>
      <c r="AS28" t="s">
        <v>511</v>
      </c>
    </row>
    <row r="29" spans="1:45" x14ac:dyDescent="0.45">
      <c r="A29">
        <v>28</v>
      </c>
      <c r="B29">
        <v>2018</v>
      </c>
      <c r="C29" t="s">
        <v>78</v>
      </c>
      <c r="D29" t="s">
        <v>81</v>
      </c>
      <c r="E29" t="s">
        <v>74</v>
      </c>
      <c r="F29" t="s">
        <v>77</v>
      </c>
      <c r="G29" t="s">
        <v>76</v>
      </c>
      <c r="H29">
        <v>14.437016462564985</v>
      </c>
      <c r="I29">
        <v>0</v>
      </c>
      <c r="J29">
        <v>6</v>
      </c>
      <c r="K29">
        <v>1</v>
      </c>
      <c r="L29">
        <v>5</v>
      </c>
      <c r="M29">
        <v>7</v>
      </c>
      <c r="N29">
        <v>1</v>
      </c>
      <c r="O29">
        <v>6</v>
      </c>
      <c r="P29">
        <v>9</v>
      </c>
      <c r="Q29">
        <v>1</v>
      </c>
      <c r="R29">
        <v>8</v>
      </c>
      <c r="S29">
        <v>8</v>
      </c>
      <c r="T29">
        <v>1</v>
      </c>
      <c r="U29">
        <v>7</v>
      </c>
      <c r="V29">
        <v>9</v>
      </c>
      <c r="W29">
        <v>1</v>
      </c>
      <c r="X29">
        <v>8</v>
      </c>
      <c r="Y29">
        <v>8</v>
      </c>
      <c r="Z29">
        <v>1</v>
      </c>
      <c r="AA29">
        <v>7</v>
      </c>
      <c r="AB29">
        <v>9</v>
      </c>
      <c r="AC29">
        <v>1</v>
      </c>
      <c r="AD29">
        <v>8</v>
      </c>
      <c r="AE29">
        <v>8</v>
      </c>
      <c r="AF29">
        <v>1</v>
      </c>
      <c r="AG29">
        <v>7</v>
      </c>
      <c r="AH29">
        <v>9</v>
      </c>
      <c r="AI29">
        <v>1</v>
      </c>
      <c r="AJ29">
        <v>8</v>
      </c>
      <c r="AK29" t="s">
        <v>512</v>
      </c>
      <c r="AL29" t="s">
        <v>513</v>
      </c>
      <c r="AM29" t="s">
        <v>514</v>
      </c>
      <c r="AN29" t="s">
        <v>515</v>
      </c>
      <c r="AO29" t="s">
        <v>516</v>
      </c>
      <c r="AP29" t="s">
        <v>517</v>
      </c>
      <c r="AQ29" t="s">
        <v>518</v>
      </c>
      <c r="AR29" t="s">
        <v>519</v>
      </c>
      <c r="AS29" t="s">
        <v>520</v>
      </c>
    </row>
    <row r="30" spans="1:45" x14ac:dyDescent="0.45">
      <c r="A30">
        <v>29</v>
      </c>
      <c r="B30">
        <v>2019</v>
      </c>
      <c r="C30" t="s">
        <v>72</v>
      </c>
      <c r="D30" t="s">
        <v>189</v>
      </c>
      <c r="E30" t="s">
        <v>74</v>
      </c>
      <c r="F30" t="s">
        <v>77</v>
      </c>
      <c r="G30" t="s">
        <v>76</v>
      </c>
      <c r="H30">
        <v>12.723498198559733</v>
      </c>
      <c r="I30">
        <v>0</v>
      </c>
      <c r="J30">
        <v>6</v>
      </c>
      <c r="K30">
        <v>10</v>
      </c>
      <c r="L30">
        <v>-4</v>
      </c>
      <c r="M30">
        <v>5</v>
      </c>
      <c r="N30">
        <v>10</v>
      </c>
      <c r="O30">
        <v>-5</v>
      </c>
      <c r="P30">
        <v>9</v>
      </c>
      <c r="Q30">
        <v>9</v>
      </c>
      <c r="R30">
        <v>0</v>
      </c>
      <c r="S30">
        <v>8</v>
      </c>
      <c r="T30">
        <v>10</v>
      </c>
      <c r="U30">
        <v>-2</v>
      </c>
      <c r="V30">
        <v>7</v>
      </c>
      <c r="W30">
        <v>10</v>
      </c>
      <c r="X30">
        <v>-3</v>
      </c>
      <c r="Y30">
        <v>9</v>
      </c>
      <c r="Z30">
        <v>9</v>
      </c>
      <c r="AA30">
        <v>0</v>
      </c>
      <c r="AB30">
        <v>8</v>
      </c>
      <c r="AC30">
        <v>10</v>
      </c>
      <c r="AD30">
        <v>-2</v>
      </c>
      <c r="AE30">
        <v>7</v>
      </c>
      <c r="AF30">
        <v>10</v>
      </c>
      <c r="AG30">
        <v>-3</v>
      </c>
      <c r="AH30">
        <v>9</v>
      </c>
      <c r="AI30">
        <v>10</v>
      </c>
      <c r="AJ30">
        <v>-1</v>
      </c>
      <c r="AK30" t="s">
        <v>521</v>
      </c>
      <c r="AL30" t="s">
        <v>522</v>
      </c>
      <c r="AM30" t="s">
        <v>523</v>
      </c>
      <c r="AN30" t="s">
        <v>524</v>
      </c>
      <c r="AO30" t="s">
        <v>525</v>
      </c>
      <c r="AP30" t="s">
        <v>526</v>
      </c>
      <c r="AQ30" t="s">
        <v>527</v>
      </c>
      <c r="AR30" t="s">
        <v>528</v>
      </c>
      <c r="AS30" t="s">
        <v>529</v>
      </c>
    </row>
    <row r="31" spans="1:45" x14ac:dyDescent="0.45">
      <c r="A31">
        <v>30</v>
      </c>
      <c r="B31">
        <v>2020</v>
      </c>
      <c r="C31" t="s">
        <v>72</v>
      </c>
      <c r="D31" t="s">
        <v>189</v>
      </c>
      <c r="E31" t="s">
        <v>74</v>
      </c>
      <c r="F31" t="s">
        <v>77</v>
      </c>
      <c r="G31" t="s">
        <v>76</v>
      </c>
      <c r="H31">
        <v>14.341537716611434</v>
      </c>
      <c r="I31">
        <v>0</v>
      </c>
      <c r="J31">
        <v>6</v>
      </c>
      <c r="K31">
        <v>10</v>
      </c>
      <c r="L31">
        <v>-4</v>
      </c>
      <c r="M31">
        <v>6</v>
      </c>
      <c r="N31">
        <v>10</v>
      </c>
      <c r="O31">
        <v>-4</v>
      </c>
      <c r="P31">
        <v>8</v>
      </c>
      <c r="Q31">
        <v>9</v>
      </c>
      <c r="R31">
        <v>-1</v>
      </c>
      <c r="S31">
        <v>9</v>
      </c>
      <c r="T31">
        <v>10</v>
      </c>
      <c r="U31">
        <v>-1</v>
      </c>
      <c r="V31">
        <v>8</v>
      </c>
      <c r="W31">
        <v>10</v>
      </c>
      <c r="X31">
        <v>-2</v>
      </c>
      <c r="Y31">
        <v>9</v>
      </c>
      <c r="Z31">
        <v>10</v>
      </c>
      <c r="AA31">
        <v>-1</v>
      </c>
      <c r="AB31">
        <v>8</v>
      </c>
      <c r="AC31">
        <v>10</v>
      </c>
      <c r="AD31">
        <v>-2</v>
      </c>
      <c r="AE31">
        <v>8</v>
      </c>
      <c r="AF31">
        <v>10</v>
      </c>
      <c r="AG31">
        <v>-2</v>
      </c>
      <c r="AH31">
        <v>9</v>
      </c>
      <c r="AI31">
        <v>10</v>
      </c>
      <c r="AJ31">
        <v>-1</v>
      </c>
      <c r="AK31" t="s">
        <v>530</v>
      </c>
      <c r="AL31" t="s">
        <v>531</v>
      </c>
      <c r="AM31" t="s">
        <v>532</v>
      </c>
      <c r="AN31" t="s">
        <v>533</v>
      </c>
      <c r="AO31" t="s">
        <v>534</v>
      </c>
      <c r="AP31" t="s">
        <v>535</v>
      </c>
      <c r="AQ31" t="s">
        <v>536</v>
      </c>
      <c r="AR31" t="s">
        <v>537</v>
      </c>
      <c r="AS31" t="s">
        <v>538</v>
      </c>
    </row>
    <row r="32" spans="1:45" x14ac:dyDescent="0.45">
      <c r="A32">
        <v>31</v>
      </c>
      <c r="B32">
        <v>2021</v>
      </c>
      <c r="C32" t="s">
        <v>72</v>
      </c>
      <c r="D32" t="s">
        <v>81</v>
      </c>
      <c r="E32" t="s">
        <v>74</v>
      </c>
      <c r="F32" t="s">
        <v>77</v>
      </c>
      <c r="G32" t="s">
        <v>76</v>
      </c>
      <c r="H32">
        <v>29.055582623477338</v>
      </c>
      <c r="I32">
        <v>0</v>
      </c>
      <c r="J32">
        <v>7</v>
      </c>
      <c r="K32">
        <v>10</v>
      </c>
      <c r="L32">
        <v>-3</v>
      </c>
      <c r="M32">
        <v>6</v>
      </c>
      <c r="N32">
        <v>7</v>
      </c>
      <c r="O32">
        <v>-1</v>
      </c>
      <c r="P32">
        <v>8</v>
      </c>
      <c r="Q32">
        <v>10</v>
      </c>
      <c r="R32">
        <v>-2</v>
      </c>
      <c r="S32">
        <v>9</v>
      </c>
      <c r="T32">
        <v>7</v>
      </c>
      <c r="U32">
        <v>2</v>
      </c>
      <c r="V32">
        <v>7</v>
      </c>
      <c r="W32">
        <v>10</v>
      </c>
      <c r="X32">
        <v>-3</v>
      </c>
      <c r="Y32">
        <v>9</v>
      </c>
      <c r="Z32">
        <v>10</v>
      </c>
      <c r="AA32">
        <v>-1</v>
      </c>
      <c r="AB32">
        <v>7</v>
      </c>
      <c r="AC32">
        <v>3</v>
      </c>
      <c r="AD32">
        <v>4</v>
      </c>
      <c r="AE32">
        <v>8</v>
      </c>
      <c r="AF32">
        <v>5</v>
      </c>
      <c r="AG32">
        <v>3</v>
      </c>
      <c r="AH32">
        <v>9</v>
      </c>
      <c r="AI32">
        <v>8</v>
      </c>
      <c r="AJ32">
        <v>1</v>
      </c>
      <c r="AK32" t="s">
        <v>539</v>
      </c>
      <c r="AL32" t="s">
        <v>540</v>
      </c>
      <c r="AM32" t="s">
        <v>541</v>
      </c>
      <c r="AN32" t="s">
        <v>542</v>
      </c>
      <c r="AO32" t="s">
        <v>543</v>
      </c>
      <c r="AP32" t="s">
        <v>544</v>
      </c>
      <c r="AQ32" t="s">
        <v>545</v>
      </c>
      <c r="AR32" t="s">
        <v>546</v>
      </c>
      <c r="AS32" t="s">
        <v>547</v>
      </c>
    </row>
    <row r="33" spans="1:45" x14ac:dyDescent="0.45">
      <c r="A33">
        <v>32</v>
      </c>
      <c r="B33">
        <v>2022</v>
      </c>
      <c r="C33" t="s">
        <v>72</v>
      </c>
      <c r="D33" t="s">
        <v>189</v>
      </c>
      <c r="E33" t="s">
        <v>74</v>
      </c>
      <c r="F33" t="s">
        <v>77</v>
      </c>
      <c r="G33" t="s">
        <v>76</v>
      </c>
      <c r="H33">
        <v>24.979408507620796</v>
      </c>
      <c r="I33">
        <v>0</v>
      </c>
      <c r="J33">
        <v>6</v>
      </c>
      <c r="K33">
        <v>5</v>
      </c>
      <c r="L33">
        <v>1</v>
      </c>
      <c r="M33">
        <v>6</v>
      </c>
      <c r="N33">
        <v>5</v>
      </c>
      <c r="O33">
        <v>1</v>
      </c>
      <c r="P33">
        <v>8</v>
      </c>
      <c r="Q33">
        <v>5</v>
      </c>
      <c r="R33">
        <v>3</v>
      </c>
      <c r="S33">
        <v>9</v>
      </c>
      <c r="T33">
        <v>5</v>
      </c>
      <c r="U33">
        <v>4</v>
      </c>
      <c r="V33">
        <v>7</v>
      </c>
      <c r="W33">
        <v>5</v>
      </c>
      <c r="X33">
        <v>2</v>
      </c>
      <c r="Y33">
        <v>9</v>
      </c>
      <c r="Z33">
        <v>5</v>
      </c>
      <c r="AA33">
        <v>4</v>
      </c>
      <c r="AB33">
        <v>7</v>
      </c>
      <c r="AC33">
        <v>5</v>
      </c>
      <c r="AD33">
        <v>2</v>
      </c>
      <c r="AE33">
        <v>8</v>
      </c>
      <c r="AF33">
        <v>5</v>
      </c>
      <c r="AG33">
        <v>3</v>
      </c>
      <c r="AH33">
        <v>9</v>
      </c>
      <c r="AI33">
        <v>5</v>
      </c>
      <c r="AJ33">
        <v>4</v>
      </c>
      <c r="AK33" t="s">
        <v>548</v>
      </c>
      <c r="AL33" t="s">
        <v>549</v>
      </c>
      <c r="AM33" t="s">
        <v>550</v>
      </c>
      <c r="AN33" t="s">
        <v>551</v>
      </c>
      <c r="AO33" t="s">
        <v>552</v>
      </c>
      <c r="AP33" t="s">
        <v>553</v>
      </c>
      <c r="AQ33" t="s">
        <v>554</v>
      </c>
      <c r="AR33" t="s">
        <v>555</v>
      </c>
      <c r="AS33" t="s">
        <v>556</v>
      </c>
    </row>
    <row r="34" spans="1:45" x14ac:dyDescent="0.45">
      <c r="A34">
        <v>33</v>
      </c>
      <c r="B34">
        <v>2023</v>
      </c>
      <c r="C34" t="s">
        <v>72</v>
      </c>
      <c r="D34" t="s">
        <v>81</v>
      </c>
      <c r="E34" t="s">
        <v>74</v>
      </c>
      <c r="F34" t="s">
        <v>77</v>
      </c>
      <c r="G34" t="s">
        <v>76</v>
      </c>
      <c r="H34">
        <v>23.704435638102275</v>
      </c>
      <c r="I34">
        <v>0</v>
      </c>
      <c r="J34">
        <v>6</v>
      </c>
      <c r="K34">
        <v>8</v>
      </c>
      <c r="L34">
        <v>-2</v>
      </c>
      <c r="M34">
        <v>6</v>
      </c>
      <c r="N34">
        <v>9</v>
      </c>
      <c r="O34">
        <v>-3</v>
      </c>
      <c r="P34">
        <v>9</v>
      </c>
      <c r="Q34">
        <v>7</v>
      </c>
      <c r="R34">
        <v>2</v>
      </c>
      <c r="S34">
        <v>8</v>
      </c>
      <c r="T34">
        <v>8</v>
      </c>
      <c r="U34">
        <v>0</v>
      </c>
      <c r="V34">
        <v>7</v>
      </c>
      <c r="W34">
        <v>8</v>
      </c>
      <c r="X34">
        <v>-1</v>
      </c>
      <c r="Y34">
        <v>8</v>
      </c>
      <c r="Z34">
        <v>8</v>
      </c>
      <c r="AA34">
        <v>0</v>
      </c>
      <c r="AB34">
        <v>6</v>
      </c>
      <c r="AC34">
        <v>3</v>
      </c>
      <c r="AD34">
        <v>3</v>
      </c>
      <c r="AE34">
        <v>7</v>
      </c>
      <c r="AF34">
        <v>6</v>
      </c>
      <c r="AG34">
        <v>1</v>
      </c>
      <c r="AH34">
        <v>8</v>
      </c>
      <c r="AI34">
        <v>7</v>
      </c>
      <c r="AJ34">
        <v>1</v>
      </c>
      <c r="AK34" t="s">
        <v>557</v>
      </c>
      <c r="AL34" t="s">
        <v>558</v>
      </c>
      <c r="AM34" t="s">
        <v>559</v>
      </c>
      <c r="AN34" t="s">
        <v>560</v>
      </c>
      <c r="AO34" t="s">
        <v>561</v>
      </c>
      <c r="AP34" t="s">
        <v>562</v>
      </c>
      <c r="AQ34" t="s">
        <v>563</v>
      </c>
      <c r="AR34" t="s">
        <v>564</v>
      </c>
      <c r="AS34" t="s">
        <v>565</v>
      </c>
    </row>
    <row r="35" spans="1:45" x14ac:dyDescent="0.45">
      <c r="A35">
        <v>34</v>
      </c>
      <c r="B35">
        <v>2024</v>
      </c>
      <c r="C35" t="s">
        <v>78</v>
      </c>
      <c r="D35" t="s">
        <v>81</v>
      </c>
      <c r="E35" t="s">
        <v>74</v>
      </c>
      <c r="F35" t="s">
        <v>77</v>
      </c>
      <c r="G35" t="s">
        <v>76</v>
      </c>
      <c r="H35">
        <v>15.379156689906409</v>
      </c>
      <c r="I35">
        <v>1</v>
      </c>
      <c r="J35">
        <v>7</v>
      </c>
      <c r="K35">
        <v>10</v>
      </c>
      <c r="L35">
        <v>-3</v>
      </c>
      <c r="M35">
        <v>6</v>
      </c>
      <c r="N35">
        <v>10</v>
      </c>
      <c r="O35">
        <v>-4</v>
      </c>
      <c r="P35">
        <v>5</v>
      </c>
      <c r="Q35">
        <v>10</v>
      </c>
      <c r="R35">
        <v>-5</v>
      </c>
      <c r="S35">
        <v>8</v>
      </c>
      <c r="T35">
        <v>10</v>
      </c>
      <c r="U35">
        <v>-2</v>
      </c>
      <c r="V35">
        <v>6</v>
      </c>
      <c r="W35">
        <v>10</v>
      </c>
      <c r="X35">
        <v>-4</v>
      </c>
      <c r="Y35">
        <v>9</v>
      </c>
      <c r="Z35">
        <v>10</v>
      </c>
      <c r="AA35">
        <v>-1</v>
      </c>
      <c r="AB35">
        <v>6</v>
      </c>
      <c r="AC35">
        <v>10</v>
      </c>
      <c r="AD35">
        <v>-4</v>
      </c>
      <c r="AE35">
        <v>8</v>
      </c>
      <c r="AF35">
        <v>10</v>
      </c>
      <c r="AG35">
        <v>-2</v>
      </c>
      <c r="AH35">
        <v>7</v>
      </c>
      <c r="AI35">
        <v>10</v>
      </c>
      <c r="AJ35">
        <v>-3</v>
      </c>
      <c r="AK35" t="s">
        <v>566</v>
      </c>
      <c r="AL35" t="s">
        <v>567</v>
      </c>
      <c r="AM35" t="s">
        <v>568</v>
      </c>
      <c r="AN35" t="s">
        <v>569</v>
      </c>
      <c r="AO35" t="s">
        <v>570</v>
      </c>
      <c r="AP35" t="s">
        <v>571</v>
      </c>
      <c r="AQ35" t="s">
        <v>572</v>
      </c>
      <c r="AR35" t="s">
        <v>573</v>
      </c>
      <c r="AS35" t="s">
        <v>574</v>
      </c>
    </row>
    <row r="36" spans="1:45" x14ac:dyDescent="0.45">
      <c r="A36">
        <v>35</v>
      </c>
      <c r="B36">
        <v>2025</v>
      </c>
      <c r="C36" t="s">
        <v>72</v>
      </c>
      <c r="D36" t="s">
        <v>73</v>
      </c>
      <c r="E36" t="s">
        <v>74</v>
      </c>
      <c r="F36" t="s">
        <v>190</v>
      </c>
      <c r="G36" t="s">
        <v>76</v>
      </c>
      <c r="H36">
        <v>16.972289025838805</v>
      </c>
      <c r="I36">
        <v>3</v>
      </c>
      <c r="J36">
        <v>8</v>
      </c>
      <c r="K36">
        <v>10</v>
      </c>
      <c r="L36">
        <v>-2</v>
      </c>
      <c r="M36">
        <v>7</v>
      </c>
      <c r="N36">
        <v>10</v>
      </c>
      <c r="O36">
        <v>-3</v>
      </c>
      <c r="P36">
        <v>7</v>
      </c>
      <c r="Q36">
        <v>10</v>
      </c>
      <c r="R36">
        <v>-3</v>
      </c>
      <c r="S36">
        <v>9</v>
      </c>
      <c r="T36">
        <v>10</v>
      </c>
      <c r="U36">
        <v>-1</v>
      </c>
      <c r="V36">
        <v>8</v>
      </c>
      <c r="W36">
        <v>10</v>
      </c>
      <c r="X36">
        <v>-2</v>
      </c>
      <c r="Y36">
        <v>9</v>
      </c>
      <c r="Z36">
        <v>10</v>
      </c>
      <c r="AA36">
        <v>-1</v>
      </c>
      <c r="AB36">
        <v>8</v>
      </c>
      <c r="AC36">
        <v>10</v>
      </c>
      <c r="AD36">
        <v>-2</v>
      </c>
      <c r="AE36">
        <v>7</v>
      </c>
      <c r="AF36">
        <v>10</v>
      </c>
      <c r="AG36">
        <v>-3</v>
      </c>
      <c r="AH36">
        <v>9</v>
      </c>
      <c r="AI36">
        <v>10</v>
      </c>
      <c r="AJ36">
        <v>-1</v>
      </c>
      <c r="AK36" t="s">
        <v>575</v>
      </c>
      <c r="AL36" t="s">
        <v>576</v>
      </c>
      <c r="AM36" t="s">
        <v>577</v>
      </c>
      <c r="AN36" t="s">
        <v>578</v>
      </c>
      <c r="AO36" t="s">
        <v>579</v>
      </c>
      <c r="AP36" t="s">
        <v>580</v>
      </c>
      <c r="AQ36" t="s">
        <v>581</v>
      </c>
      <c r="AR36" t="s">
        <v>582</v>
      </c>
      <c r="AS36" t="s">
        <v>583</v>
      </c>
    </row>
    <row r="37" spans="1:45" x14ac:dyDescent="0.45">
      <c r="A37">
        <v>36</v>
      </c>
      <c r="B37">
        <v>2026</v>
      </c>
      <c r="C37" t="s">
        <v>72</v>
      </c>
      <c r="D37" t="s">
        <v>189</v>
      </c>
      <c r="E37" t="s">
        <v>74</v>
      </c>
      <c r="F37" t="s">
        <v>77</v>
      </c>
      <c r="G37" t="s">
        <v>76</v>
      </c>
      <c r="H37">
        <v>12.894674068377181</v>
      </c>
      <c r="I37">
        <v>0</v>
      </c>
      <c r="J37">
        <v>7</v>
      </c>
      <c r="K37">
        <v>10</v>
      </c>
      <c r="L37">
        <v>-3</v>
      </c>
      <c r="M37">
        <v>8</v>
      </c>
      <c r="N37">
        <v>9</v>
      </c>
      <c r="O37">
        <v>-1</v>
      </c>
      <c r="P37">
        <v>9</v>
      </c>
      <c r="Q37">
        <v>10</v>
      </c>
      <c r="R37">
        <v>-1</v>
      </c>
      <c r="S37">
        <v>8</v>
      </c>
      <c r="T37">
        <v>8</v>
      </c>
      <c r="U37">
        <v>0</v>
      </c>
      <c r="V37">
        <v>9</v>
      </c>
      <c r="W37">
        <v>10</v>
      </c>
      <c r="X37">
        <v>-1</v>
      </c>
      <c r="Y37">
        <v>9</v>
      </c>
      <c r="Z37">
        <v>9</v>
      </c>
      <c r="AA37">
        <v>0</v>
      </c>
      <c r="AB37">
        <v>8</v>
      </c>
      <c r="AC37">
        <v>10</v>
      </c>
      <c r="AD37">
        <v>-2</v>
      </c>
      <c r="AE37">
        <v>7</v>
      </c>
      <c r="AF37">
        <v>10</v>
      </c>
      <c r="AG37">
        <v>-3</v>
      </c>
      <c r="AH37">
        <v>9</v>
      </c>
      <c r="AI37">
        <v>10</v>
      </c>
      <c r="AJ37">
        <v>-1</v>
      </c>
      <c r="AK37" t="s">
        <v>584</v>
      </c>
      <c r="AL37" t="s">
        <v>585</v>
      </c>
      <c r="AM37" t="s">
        <v>586</v>
      </c>
      <c r="AN37" t="s">
        <v>587</v>
      </c>
      <c r="AO37" t="s">
        <v>588</v>
      </c>
      <c r="AP37" t="s">
        <v>589</v>
      </c>
      <c r="AQ37" t="s">
        <v>590</v>
      </c>
      <c r="AR37" t="s">
        <v>591</v>
      </c>
      <c r="AS37" t="s">
        <v>592</v>
      </c>
    </row>
    <row r="38" spans="1:45" x14ac:dyDescent="0.45">
      <c r="A38">
        <v>37</v>
      </c>
      <c r="B38">
        <v>2027</v>
      </c>
      <c r="C38" t="s">
        <v>78</v>
      </c>
      <c r="D38" t="s">
        <v>189</v>
      </c>
      <c r="E38" t="s">
        <v>74</v>
      </c>
      <c r="F38" t="s">
        <v>77</v>
      </c>
      <c r="G38" t="s">
        <v>76</v>
      </c>
      <c r="H38">
        <v>12.040027302028836</v>
      </c>
      <c r="I38">
        <v>0</v>
      </c>
      <c r="J38">
        <v>9</v>
      </c>
      <c r="K38">
        <v>10</v>
      </c>
      <c r="L38">
        <v>-1</v>
      </c>
      <c r="M38">
        <v>8</v>
      </c>
      <c r="N38">
        <v>10</v>
      </c>
      <c r="O38">
        <v>-2</v>
      </c>
      <c r="P38">
        <v>9</v>
      </c>
      <c r="Q38">
        <v>10</v>
      </c>
      <c r="R38">
        <v>-1</v>
      </c>
      <c r="S38">
        <v>8</v>
      </c>
      <c r="T38">
        <v>10</v>
      </c>
      <c r="U38">
        <v>-2</v>
      </c>
      <c r="V38">
        <v>9</v>
      </c>
      <c r="W38">
        <v>9</v>
      </c>
      <c r="X38">
        <v>0</v>
      </c>
      <c r="Y38">
        <v>8</v>
      </c>
      <c r="Z38">
        <v>9</v>
      </c>
      <c r="AA38">
        <v>-1</v>
      </c>
      <c r="AB38">
        <v>9</v>
      </c>
      <c r="AC38">
        <v>9</v>
      </c>
      <c r="AD38">
        <v>0</v>
      </c>
      <c r="AE38">
        <v>8</v>
      </c>
      <c r="AF38">
        <v>9</v>
      </c>
      <c r="AG38">
        <v>-1</v>
      </c>
      <c r="AH38">
        <v>9</v>
      </c>
      <c r="AI38">
        <v>8</v>
      </c>
      <c r="AJ38">
        <v>1</v>
      </c>
      <c r="AK38" t="s">
        <v>593</v>
      </c>
      <c r="AL38" t="s">
        <v>594</v>
      </c>
      <c r="AM38" t="s">
        <v>595</v>
      </c>
      <c r="AN38" t="s">
        <v>596</v>
      </c>
      <c r="AO38" t="s">
        <v>597</v>
      </c>
      <c r="AP38" t="s">
        <v>598</v>
      </c>
      <c r="AQ38" t="s">
        <v>599</v>
      </c>
      <c r="AR38" t="s">
        <v>600</v>
      </c>
      <c r="AS38" t="s">
        <v>601</v>
      </c>
    </row>
    <row r="39" spans="1:45" x14ac:dyDescent="0.45">
      <c r="A39">
        <v>38</v>
      </c>
      <c r="B39">
        <v>2028</v>
      </c>
      <c r="C39" t="s">
        <v>72</v>
      </c>
      <c r="D39" t="s">
        <v>73</v>
      </c>
      <c r="E39" t="s">
        <v>74</v>
      </c>
      <c r="F39" t="s">
        <v>77</v>
      </c>
      <c r="G39" t="s">
        <v>76</v>
      </c>
      <c r="H39">
        <v>37.801284728450995</v>
      </c>
      <c r="I39">
        <v>1</v>
      </c>
      <c r="J39">
        <v>8</v>
      </c>
      <c r="K39">
        <v>8</v>
      </c>
      <c r="L39">
        <v>0</v>
      </c>
      <c r="M39">
        <v>9</v>
      </c>
      <c r="N39">
        <v>8</v>
      </c>
      <c r="O39">
        <v>1</v>
      </c>
      <c r="P39">
        <v>8</v>
      </c>
      <c r="Q39">
        <v>8</v>
      </c>
      <c r="R39">
        <v>0</v>
      </c>
      <c r="S39">
        <v>9</v>
      </c>
      <c r="T39">
        <v>8</v>
      </c>
      <c r="U39">
        <v>1</v>
      </c>
      <c r="V39">
        <v>8</v>
      </c>
      <c r="W39">
        <v>8</v>
      </c>
      <c r="X39">
        <v>0</v>
      </c>
      <c r="Y39">
        <v>9</v>
      </c>
      <c r="Z39">
        <v>8</v>
      </c>
      <c r="AA39">
        <v>1</v>
      </c>
      <c r="AB39">
        <v>8</v>
      </c>
      <c r="AC39">
        <v>8</v>
      </c>
      <c r="AD39">
        <v>0</v>
      </c>
      <c r="AE39">
        <v>9</v>
      </c>
      <c r="AF39">
        <v>8</v>
      </c>
      <c r="AG39">
        <v>1</v>
      </c>
      <c r="AH39">
        <v>8</v>
      </c>
      <c r="AI39">
        <v>8</v>
      </c>
      <c r="AJ39">
        <v>0</v>
      </c>
      <c r="AK39" t="s">
        <v>602</v>
      </c>
      <c r="AL39" t="s">
        <v>603</v>
      </c>
      <c r="AM39" t="s">
        <v>604</v>
      </c>
      <c r="AN39" t="s">
        <v>605</v>
      </c>
      <c r="AO39" t="s">
        <v>606</v>
      </c>
      <c r="AP39" t="s">
        <v>607</v>
      </c>
      <c r="AQ39" t="s">
        <v>608</v>
      </c>
      <c r="AR39" t="s">
        <v>609</v>
      </c>
      <c r="AS39" t="s">
        <v>610</v>
      </c>
    </row>
    <row r="40" spans="1:45" x14ac:dyDescent="0.45">
      <c r="A40">
        <v>39</v>
      </c>
      <c r="B40">
        <v>2029</v>
      </c>
      <c r="C40" t="s">
        <v>78</v>
      </c>
      <c r="D40" t="s">
        <v>81</v>
      </c>
      <c r="E40" t="s">
        <v>74</v>
      </c>
      <c r="F40" t="s">
        <v>77</v>
      </c>
      <c r="G40" t="s">
        <v>76</v>
      </c>
      <c r="H40">
        <v>15.995588382567147</v>
      </c>
      <c r="I40">
        <v>0</v>
      </c>
      <c r="J40">
        <v>7</v>
      </c>
      <c r="K40">
        <v>10</v>
      </c>
      <c r="L40">
        <v>-3</v>
      </c>
      <c r="M40">
        <v>9</v>
      </c>
      <c r="N40">
        <v>10</v>
      </c>
      <c r="O40">
        <v>-1</v>
      </c>
      <c r="P40">
        <v>8</v>
      </c>
      <c r="Q40">
        <v>10</v>
      </c>
      <c r="R40">
        <v>-2</v>
      </c>
      <c r="S40">
        <v>9</v>
      </c>
      <c r="T40">
        <v>10</v>
      </c>
      <c r="U40">
        <v>-1</v>
      </c>
      <c r="V40">
        <v>8</v>
      </c>
      <c r="W40">
        <v>10</v>
      </c>
      <c r="X40">
        <v>-2</v>
      </c>
      <c r="Y40">
        <v>9</v>
      </c>
      <c r="Z40">
        <v>10</v>
      </c>
      <c r="AA40">
        <v>-1</v>
      </c>
      <c r="AB40">
        <v>8</v>
      </c>
      <c r="AC40">
        <v>10</v>
      </c>
      <c r="AD40">
        <v>-2</v>
      </c>
      <c r="AE40">
        <v>9</v>
      </c>
      <c r="AF40">
        <v>10</v>
      </c>
      <c r="AG40">
        <v>-1</v>
      </c>
      <c r="AH40">
        <v>9</v>
      </c>
      <c r="AI40">
        <v>10</v>
      </c>
      <c r="AJ40">
        <v>-1</v>
      </c>
      <c r="AK40" t="s">
        <v>611</v>
      </c>
      <c r="AL40" t="s">
        <v>612</v>
      </c>
      <c r="AM40" t="s">
        <v>613</v>
      </c>
      <c r="AN40" t="s">
        <v>614</v>
      </c>
      <c r="AO40" t="s">
        <v>615</v>
      </c>
      <c r="AP40" t="s">
        <v>616</v>
      </c>
      <c r="AQ40" t="s">
        <v>617</v>
      </c>
      <c r="AR40" t="s">
        <v>269</v>
      </c>
      <c r="AS40" t="s">
        <v>618</v>
      </c>
    </row>
    <row r="41" spans="1:45" x14ac:dyDescent="0.45">
      <c r="A41">
        <v>40</v>
      </c>
      <c r="B41">
        <v>2030</v>
      </c>
      <c r="C41" t="s">
        <v>78</v>
      </c>
      <c r="D41" t="s">
        <v>73</v>
      </c>
      <c r="E41" t="s">
        <v>74</v>
      </c>
      <c r="F41" t="s">
        <v>77</v>
      </c>
      <c r="G41" t="s">
        <v>76</v>
      </c>
      <c r="H41">
        <v>160.65358296339355</v>
      </c>
      <c r="I41">
        <v>1</v>
      </c>
      <c r="J41">
        <v>7</v>
      </c>
      <c r="K41">
        <v>8</v>
      </c>
      <c r="L41">
        <v>-1</v>
      </c>
      <c r="M41">
        <v>6</v>
      </c>
      <c r="N41">
        <v>8</v>
      </c>
      <c r="O41">
        <v>-2</v>
      </c>
      <c r="P41">
        <v>9</v>
      </c>
      <c r="Q41">
        <v>6</v>
      </c>
      <c r="R41">
        <v>3</v>
      </c>
      <c r="S41">
        <v>8</v>
      </c>
      <c r="T41">
        <v>8</v>
      </c>
      <c r="U41">
        <v>0</v>
      </c>
      <c r="V41">
        <v>9</v>
      </c>
      <c r="W41">
        <v>7</v>
      </c>
      <c r="X41">
        <v>2</v>
      </c>
      <c r="Y41">
        <v>8</v>
      </c>
      <c r="Z41">
        <v>8</v>
      </c>
      <c r="AA41">
        <v>0</v>
      </c>
      <c r="AB41">
        <v>9</v>
      </c>
      <c r="AC41">
        <v>5</v>
      </c>
      <c r="AD41">
        <v>4</v>
      </c>
      <c r="AE41">
        <v>7</v>
      </c>
      <c r="AF41">
        <v>6</v>
      </c>
      <c r="AG41">
        <v>1</v>
      </c>
      <c r="AH41">
        <v>9</v>
      </c>
      <c r="AI41">
        <v>7</v>
      </c>
      <c r="AJ41">
        <v>2</v>
      </c>
      <c r="AK41" t="s">
        <v>619</v>
      </c>
      <c r="AL41" t="s">
        <v>620</v>
      </c>
      <c r="AM41" t="s">
        <v>621</v>
      </c>
      <c r="AN41" t="s">
        <v>622</v>
      </c>
      <c r="AO41" t="s">
        <v>623</v>
      </c>
      <c r="AP41" t="s">
        <v>624</v>
      </c>
      <c r="AQ41" t="s">
        <v>625</v>
      </c>
      <c r="AR41" t="s">
        <v>626</v>
      </c>
      <c r="AS41" t="s">
        <v>627</v>
      </c>
    </row>
    <row r="42" spans="1:45" x14ac:dyDescent="0.45">
      <c r="A42">
        <v>41</v>
      </c>
      <c r="B42">
        <v>2031</v>
      </c>
      <c r="C42" t="s">
        <v>78</v>
      </c>
      <c r="D42" t="s">
        <v>73</v>
      </c>
      <c r="E42" t="s">
        <v>74</v>
      </c>
      <c r="F42" t="s">
        <v>77</v>
      </c>
      <c r="G42" t="s">
        <v>76</v>
      </c>
      <c r="H42">
        <v>81.953873229830037</v>
      </c>
      <c r="I42">
        <v>2</v>
      </c>
      <c r="J42">
        <v>8</v>
      </c>
      <c r="K42">
        <v>9</v>
      </c>
      <c r="L42">
        <v>-1</v>
      </c>
      <c r="M42">
        <v>7</v>
      </c>
      <c r="N42">
        <v>8</v>
      </c>
      <c r="O42">
        <v>-1</v>
      </c>
      <c r="P42">
        <v>9</v>
      </c>
      <c r="Q42">
        <v>7</v>
      </c>
      <c r="R42">
        <v>2</v>
      </c>
      <c r="S42">
        <v>8</v>
      </c>
      <c r="T42">
        <v>8</v>
      </c>
      <c r="U42">
        <v>0</v>
      </c>
      <c r="V42">
        <v>9</v>
      </c>
      <c r="W42">
        <v>7</v>
      </c>
      <c r="X42">
        <v>2</v>
      </c>
      <c r="Y42">
        <v>8</v>
      </c>
      <c r="Z42">
        <v>4</v>
      </c>
      <c r="AA42">
        <v>4</v>
      </c>
      <c r="AB42">
        <v>9</v>
      </c>
      <c r="AC42">
        <v>2</v>
      </c>
      <c r="AD42">
        <v>7</v>
      </c>
      <c r="AE42">
        <v>8</v>
      </c>
      <c r="AF42">
        <v>8</v>
      </c>
      <c r="AG42">
        <v>0</v>
      </c>
      <c r="AH42">
        <v>10</v>
      </c>
      <c r="AI42">
        <v>8</v>
      </c>
      <c r="AJ42">
        <v>2</v>
      </c>
      <c r="AK42" t="s">
        <v>628</v>
      </c>
      <c r="AL42" t="s">
        <v>629</v>
      </c>
      <c r="AM42" t="s">
        <v>630</v>
      </c>
      <c r="AN42" t="s">
        <v>631</v>
      </c>
      <c r="AO42" t="s">
        <v>632</v>
      </c>
      <c r="AP42" t="s">
        <v>633</v>
      </c>
      <c r="AQ42" t="s">
        <v>634</v>
      </c>
      <c r="AR42" t="s">
        <v>635</v>
      </c>
      <c r="AS42" t="s">
        <v>636</v>
      </c>
    </row>
    <row r="43" spans="1:45" x14ac:dyDescent="0.45">
      <c r="A43">
        <v>42</v>
      </c>
      <c r="B43">
        <v>2032</v>
      </c>
      <c r="C43" t="s">
        <v>72</v>
      </c>
      <c r="D43" t="s">
        <v>73</v>
      </c>
      <c r="E43" t="s">
        <v>74</v>
      </c>
      <c r="F43" t="s">
        <v>77</v>
      </c>
      <c r="G43" t="s">
        <v>76</v>
      </c>
      <c r="H43">
        <v>39.751023783513553</v>
      </c>
      <c r="I43">
        <v>3</v>
      </c>
      <c r="J43">
        <v>7</v>
      </c>
      <c r="K43">
        <v>10</v>
      </c>
      <c r="L43">
        <v>-3</v>
      </c>
      <c r="M43">
        <v>6</v>
      </c>
      <c r="N43">
        <v>10</v>
      </c>
      <c r="O43">
        <v>-4</v>
      </c>
      <c r="P43">
        <v>8</v>
      </c>
      <c r="Q43">
        <v>9</v>
      </c>
      <c r="R43">
        <v>-1</v>
      </c>
      <c r="S43">
        <v>9</v>
      </c>
      <c r="T43">
        <v>8</v>
      </c>
      <c r="U43">
        <v>1</v>
      </c>
      <c r="V43">
        <v>7</v>
      </c>
      <c r="W43">
        <v>7</v>
      </c>
      <c r="X43">
        <v>0</v>
      </c>
      <c r="Y43">
        <v>8</v>
      </c>
      <c r="Z43">
        <v>9</v>
      </c>
      <c r="AA43">
        <v>-1</v>
      </c>
      <c r="AB43">
        <v>7</v>
      </c>
      <c r="AC43">
        <v>9</v>
      </c>
      <c r="AD43">
        <v>-2</v>
      </c>
      <c r="AE43">
        <v>6</v>
      </c>
      <c r="AF43">
        <v>8</v>
      </c>
      <c r="AG43">
        <v>-2</v>
      </c>
      <c r="AH43">
        <v>9</v>
      </c>
      <c r="AI43">
        <v>8</v>
      </c>
      <c r="AJ43">
        <v>1</v>
      </c>
      <c r="AK43" t="s">
        <v>637</v>
      </c>
      <c r="AL43" t="s">
        <v>638</v>
      </c>
      <c r="AM43" t="s">
        <v>639</v>
      </c>
      <c r="AN43" t="s">
        <v>640</v>
      </c>
      <c r="AO43" t="s">
        <v>641</v>
      </c>
      <c r="AP43" t="s">
        <v>642</v>
      </c>
      <c r="AQ43" t="s">
        <v>643</v>
      </c>
      <c r="AR43" t="s">
        <v>644</v>
      </c>
      <c r="AS43" t="s">
        <v>645</v>
      </c>
    </row>
    <row r="44" spans="1:45" x14ac:dyDescent="0.45">
      <c r="A44">
        <v>43</v>
      </c>
      <c r="B44">
        <v>2033</v>
      </c>
      <c r="C44" t="s">
        <v>72</v>
      </c>
      <c r="D44" t="s">
        <v>73</v>
      </c>
      <c r="E44" t="s">
        <v>74</v>
      </c>
      <c r="F44" t="s">
        <v>77</v>
      </c>
      <c r="G44" t="s">
        <v>76</v>
      </c>
      <c r="H44">
        <v>114.70969684184294</v>
      </c>
      <c r="I44">
        <v>2</v>
      </c>
      <c r="J44">
        <v>6</v>
      </c>
      <c r="K44">
        <v>6</v>
      </c>
      <c r="L44">
        <v>0</v>
      </c>
      <c r="M44">
        <v>6</v>
      </c>
      <c r="N44">
        <v>6</v>
      </c>
      <c r="O44">
        <v>0</v>
      </c>
      <c r="P44">
        <v>8</v>
      </c>
      <c r="Q44">
        <v>8</v>
      </c>
      <c r="R44">
        <v>0</v>
      </c>
      <c r="S44">
        <v>7</v>
      </c>
      <c r="T44">
        <v>10</v>
      </c>
      <c r="U44">
        <v>-3</v>
      </c>
      <c r="V44">
        <v>9</v>
      </c>
      <c r="W44">
        <v>9</v>
      </c>
      <c r="X44">
        <v>0</v>
      </c>
      <c r="Y44">
        <v>9</v>
      </c>
      <c r="Z44">
        <v>1</v>
      </c>
      <c r="AA44">
        <v>8</v>
      </c>
      <c r="AB44">
        <v>8</v>
      </c>
      <c r="AC44">
        <v>7</v>
      </c>
      <c r="AD44">
        <v>1</v>
      </c>
      <c r="AE44">
        <v>7</v>
      </c>
      <c r="AF44">
        <v>7</v>
      </c>
      <c r="AG44">
        <v>0</v>
      </c>
      <c r="AH44">
        <v>9</v>
      </c>
      <c r="AI44">
        <v>8</v>
      </c>
      <c r="AJ44">
        <v>1</v>
      </c>
      <c r="AK44" t="s">
        <v>646</v>
      </c>
      <c r="AL44" t="s">
        <v>647</v>
      </c>
      <c r="AM44" t="s">
        <v>648</v>
      </c>
      <c r="AN44" t="s">
        <v>649</v>
      </c>
      <c r="AO44" t="s">
        <v>650</v>
      </c>
      <c r="AP44" t="s">
        <v>651</v>
      </c>
      <c r="AQ44" t="s">
        <v>652</v>
      </c>
      <c r="AR44" t="s">
        <v>653</v>
      </c>
      <c r="AS44" t="s">
        <v>654</v>
      </c>
    </row>
    <row r="45" spans="1:45" x14ac:dyDescent="0.45">
      <c r="A45">
        <v>44</v>
      </c>
      <c r="B45">
        <v>2034</v>
      </c>
      <c r="C45" t="s">
        <v>78</v>
      </c>
      <c r="D45" t="s">
        <v>73</v>
      </c>
      <c r="E45" t="s">
        <v>74</v>
      </c>
      <c r="F45" t="s">
        <v>77</v>
      </c>
      <c r="G45" t="s">
        <v>76</v>
      </c>
      <c r="H45">
        <v>23.431130300202721</v>
      </c>
      <c r="I45">
        <v>1</v>
      </c>
      <c r="J45">
        <v>7</v>
      </c>
      <c r="K45">
        <v>8</v>
      </c>
      <c r="L45">
        <v>-1</v>
      </c>
      <c r="M45">
        <v>7</v>
      </c>
      <c r="N45">
        <v>8</v>
      </c>
      <c r="O45">
        <v>-1</v>
      </c>
      <c r="P45">
        <v>8</v>
      </c>
      <c r="Q45">
        <v>8</v>
      </c>
      <c r="R45">
        <v>0</v>
      </c>
      <c r="S45">
        <v>9</v>
      </c>
      <c r="T45">
        <v>8</v>
      </c>
      <c r="U45">
        <v>1</v>
      </c>
      <c r="V45">
        <v>6</v>
      </c>
      <c r="W45">
        <v>8</v>
      </c>
      <c r="X45">
        <v>-2</v>
      </c>
      <c r="Y45">
        <v>8</v>
      </c>
      <c r="Z45">
        <v>8</v>
      </c>
      <c r="AA45">
        <v>0</v>
      </c>
      <c r="AB45">
        <v>7</v>
      </c>
      <c r="AC45">
        <v>9</v>
      </c>
      <c r="AD45">
        <v>-2</v>
      </c>
      <c r="AE45">
        <v>9</v>
      </c>
      <c r="AF45">
        <v>5</v>
      </c>
      <c r="AG45">
        <v>4</v>
      </c>
      <c r="AH45">
        <v>8</v>
      </c>
      <c r="AI45">
        <v>9</v>
      </c>
      <c r="AJ45">
        <v>-1</v>
      </c>
      <c r="AK45" t="s">
        <v>655</v>
      </c>
      <c r="AL45" t="s">
        <v>656</v>
      </c>
      <c r="AM45" t="s">
        <v>657</v>
      </c>
      <c r="AN45" t="s">
        <v>658</v>
      </c>
      <c r="AO45" t="s">
        <v>659</v>
      </c>
      <c r="AP45" t="s">
        <v>660</v>
      </c>
      <c r="AQ45" t="s">
        <v>661</v>
      </c>
      <c r="AR45" t="s">
        <v>254</v>
      </c>
      <c r="AS45" t="s">
        <v>662</v>
      </c>
    </row>
    <row r="46" spans="1:45" x14ac:dyDescent="0.45">
      <c r="A46">
        <v>45</v>
      </c>
      <c r="B46">
        <v>2035</v>
      </c>
      <c r="C46" t="s">
        <v>72</v>
      </c>
      <c r="D46" t="s">
        <v>79</v>
      </c>
      <c r="E46" t="s">
        <v>74</v>
      </c>
      <c r="F46" t="s">
        <v>77</v>
      </c>
      <c r="G46" t="s">
        <v>76</v>
      </c>
      <c r="H46">
        <v>24.360797206504195</v>
      </c>
      <c r="I46">
        <v>2</v>
      </c>
      <c r="J46">
        <v>7</v>
      </c>
      <c r="K46">
        <v>10</v>
      </c>
      <c r="L46">
        <v>-3</v>
      </c>
      <c r="M46">
        <v>8</v>
      </c>
      <c r="N46">
        <v>10</v>
      </c>
      <c r="O46">
        <v>-2</v>
      </c>
      <c r="P46">
        <v>9</v>
      </c>
      <c r="Q46">
        <v>10</v>
      </c>
      <c r="R46">
        <v>-1</v>
      </c>
      <c r="S46">
        <v>10</v>
      </c>
      <c r="T46">
        <v>9</v>
      </c>
      <c r="U46">
        <v>1</v>
      </c>
      <c r="V46">
        <v>9</v>
      </c>
      <c r="W46">
        <v>10</v>
      </c>
      <c r="X46">
        <v>-1</v>
      </c>
      <c r="Y46">
        <v>9</v>
      </c>
      <c r="Z46">
        <v>10</v>
      </c>
      <c r="AA46">
        <v>-1</v>
      </c>
      <c r="AB46">
        <v>9</v>
      </c>
      <c r="AC46">
        <v>10</v>
      </c>
      <c r="AD46">
        <v>-1</v>
      </c>
      <c r="AE46">
        <v>7</v>
      </c>
      <c r="AF46">
        <v>10</v>
      </c>
      <c r="AG46">
        <v>-3</v>
      </c>
      <c r="AH46">
        <v>9</v>
      </c>
      <c r="AI46">
        <v>10</v>
      </c>
      <c r="AJ46">
        <v>-1</v>
      </c>
      <c r="AK46" t="s">
        <v>663</v>
      </c>
      <c r="AL46" t="s">
        <v>664</v>
      </c>
      <c r="AM46" t="s">
        <v>665</v>
      </c>
      <c r="AN46" t="s">
        <v>666</v>
      </c>
      <c r="AO46" t="s">
        <v>667</v>
      </c>
      <c r="AP46" t="s">
        <v>668</v>
      </c>
      <c r="AQ46" t="s">
        <v>669</v>
      </c>
      <c r="AR46" t="s">
        <v>670</v>
      </c>
      <c r="AS46" t="s">
        <v>671</v>
      </c>
    </row>
    <row r="47" spans="1:45" x14ac:dyDescent="0.45">
      <c r="A47">
        <v>46</v>
      </c>
      <c r="B47">
        <v>2036</v>
      </c>
      <c r="C47" t="s">
        <v>72</v>
      </c>
      <c r="D47" t="s">
        <v>191</v>
      </c>
      <c r="E47" t="s">
        <v>80</v>
      </c>
      <c r="F47" t="s">
        <v>77</v>
      </c>
      <c r="G47" t="s">
        <v>76</v>
      </c>
      <c r="H47">
        <v>12</v>
      </c>
      <c r="I47">
        <v>2</v>
      </c>
      <c r="J47">
        <v>8</v>
      </c>
      <c r="K47">
        <v>1</v>
      </c>
      <c r="L47">
        <v>7</v>
      </c>
      <c r="M47">
        <v>7</v>
      </c>
      <c r="N47">
        <v>1</v>
      </c>
      <c r="O47">
        <v>6</v>
      </c>
      <c r="P47">
        <v>9</v>
      </c>
      <c r="Q47">
        <v>2</v>
      </c>
      <c r="R47">
        <v>7</v>
      </c>
      <c r="S47">
        <v>8</v>
      </c>
      <c r="T47">
        <v>1</v>
      </c>
      <c r="U47">
        <v>7</v>
      </c>
      <c r="V47">
        <v>9</v>
      </c>
      <c r="W47">
        <v>1</v>
      </c>
      <c r="X47">
        <v>8</v>
      </c>
      <c r="Y47">
        <v>8</v>
      </c>
      <c r="Z47">
        <v>1</v>
      </c>
      <c r="AA47">
        <v>7</v>
      </c>
      <c r="AB47">
        <v>7</v>
      </c>
      <c r="AC47">
        <v>1</v>
      </c>
      <c r="AD47">
        <v>6</v>
      </c>
      <c r="AE47">
        <v>8</v>
      </c>
      <c r="AF47">
        <v>1</v>
      </c>
      <c r="AG47">
        <v>7</v>
      </c>
      <c r="AH47">
        <v>9</v>
      </c>
      <c r="AI47">
        <v>1</v>
      </c>
      <c r="AJ47">
        <v>8</v>
      </c>
      <c r="AK47" t="s">
        <v>672</v>
      </c>
      <c r="AL47" t="s">
        <v>673</v>
      </c>
      <c r="AM47" t="s">
        <v>674</v>
      </c>
      <c r="AN47" t="s">
        <v>675</v>
      </c>
      <c r="AO47" t="s">
        <v>676</v>
      </c>
      <c r="AP47" t="s">
        <v>677</v>
      </c>
      <c r="AQ47" t="s">
        <v>678</v>
      </c>
      <c r="AR47" t="s">
        <v>679</v>
      </c>
      <c r="AS47" t="s">
        <v>680</v>
      </c>
    </row>
    <row r="48" spans="1:45" x14ac:dyDescent="0.45">
      <c r="A48">
        <v>47</v>
      </c>
      <c r="B48">
        <v>2037</v>
      </c>
      <c r="C48" t="s">
        <v>78</v>
      </c>
      <c r="D48" t="s">
        <v>73</v>
      </c>
      <c r="E48" t="s">
        <v>74</v>
      </c>
      <c r="F48" t="s">
        <v>77</v>
      </c>
      <c r="G48" t="s">
        <v>76</v>
      </c>
      <c r="H48">
        <v>12</v>
      </c>
      <c r="I48">
        <v>0</v>
      </c>
      <c r="J48">
        <v>9</v>
      </c>
      <c r="K48">
        <v>8</v>
      </c>
      <c r="L48">
        <v>1</v>
      </c>
      <c r="M48">
        <v>8</v>
      </c>
      <c r="N48">
        <v>8</v>
      </c>
      <c r="O48">
        <v>0</v>
      </c>
      <c r="P48">
        <v>7</v>
      </c>
      <c r="Q48">
        <v>8</v>
      </c>
      <c r="R48">
        <v>-1</v>
      </c>
      <c r="S48">
        <v>8</v>
      </c>
      <c r="T48">
        <v>7</v>
      </c>
      <c r="U48">
        <v>1</v>
      </c>
      <c r="V48">
        <v>9</v>
      </c>
      <c r="W48">
        <v>6</v>
      </c>
      <c r="X48">
        <v>3</v>
      </c>
      <c r="Y48">
        <v>8</v>
      </c>
      <c r="Z48">
        <v>8</v>
      </c>
      <c r="AA48">
        <v>0</v>
      </c>
      <c r="AB48">
        <v>9</v>
      </c>
      <c r="AC48">
        <v>8</v>
      </c>
      <c r="AD48">
        <v>1</v>
      </c>
      <c r="AE48">
        <v>8</v>
      </c>
      <c r="AF48">
        <v>9</v>
      </c>
      <c r="AG48">
        <v>-1</v>
      </c>
      <c r="AH48">
        <v>9</v>
      </c>
      <c r="AI48">
        <v>8</v>
      </c>
      <c r="AJ48">
        <v>1</v>
      </c>
      <c r="AK48" t="s">
        <v>681</v>
      </c>
      <c r="AL48" t="s">
        <v>682</v>
      </c>
      <c r="AM48" t="s">
        <v>683</v>
      </c>
      <c r="AN48" t="s">
        <v>684</v>
      </c>
      <c r="AO48" t="s">
        <v>685</v>
      </c>
      <c r="AP48" t="s">
        <v>686</v>
      </c>
      <c r="AQ48" t="s">
        <v>687</v>
      </c>
      <c r="AR48" t="s">
        <v>688</v>
      </c>
      <c r="AS48" t="s">
        <v>689</v>
      </c>
    </row>
    <row r="49" spans="1:45" x14ac:dyDescent="0.45">
      <c r="A49">
        <v>48</v>
      </c>
      <c r="B49">
        <v>2038</v>
      </c>
      <c r="C49" t="s">
        <v>72</v>
      </c>
      <c r="D49" t="s">
        <v>73</v>
      </c>
      <c r="E49" t="s">
        <v>74</v>
      </c>
      <c r="F49" t="s">
        <v>77</v>
      </c>
      <c r="G49" t="s">
        <v>76</v>
      </c>
      <c r="H49">
        <v>41.881251106097203</v>
      </c>
      <c r="I49">
        <v>3</v>
      </c>
      <c r="J49">
        <v>8</v>
      </c>
      <c r="K49">
        <v>10</v>
      </c>
      <c r="L49">
        <v>-2</v>
      </c>
      <c r="M49">
        <v>7</v>
      </c>
      <c r="N49">
        <v>10</v>
      </c>
      <c r="O49">
        <v>-3</v>
      </c>
      <c r="P49">
        <v>9</v>
      </c>
      <c r="Q49">
        <v>10</v>
      </c>
      <c r="R49">
        <v>-1</v>
      </c>
      <c r="S49">
        <v>8</v>
      </c>
      <c r="T49">
        <v>10</v>
      </c>
      <c r="U49">
        <v>-2</v>
      </c>
      <c r="V49">
        <v>9</v>
      </c>
      <c r="W49">
        <v>10</v>
      </c>
      <c r="X49">
        <v>-1</v>
      </c>
      <c r="Y49">
        <v>8</v>
      </c>
      <c r="Z49">
        <v>10</v>
      </c>
      <c r="AA49">
        <v>-2</v>
      </c>
      <c r="AB49">
        <v>9</v>
      </c>
      <c r="AC49">
        <v>10</v>
      </c>
      <c r="AD49">
        <v>-1</v>
      </c>
      <c r="AE49">
        <v>8</v>
      </c>
      <c r="AF49">
        <v>10</v>
      </c>
      <c r="AG49">
        <v>-2</v>
      </c>
      <c r="AH49">
        <v>9</v>
      </c>
      <c r="AI49">
        <v>10</v>
      </c>
      <c r="AJ49">
        <v>-1</v>
      </c>
      <c r="AK49" t="s">
        <v>690</v>
      </c>
      <c r="AL49" t="s">
        <v>691</v>
      </c>
      <c r="AM49" t="s">
        <v>692</v>
      </c>
      <c r="AN49" t="s">
        <v>693</v>
      </c>
      <c r="AO49" t="s">
        <v>694</v>
      </c>
      <c r="AP49" t="s">
        <v>695</v>
      </c>
      <c r="AQ49" t="s">
        <v>696</v>
      </c>
      <c r="AR49" t="s">
        <v>697</v>
      </c>
      <c r="AS49" t="s">
        <v>698</v>
      </c>
    </row>
    <row r="50" spans="1:45" x14ac:dyDescent="0.45">
      <c r="A50">
        <v>49</v>
      </c>
      <c r="B50">
        <v>2039</v>
      </c>
      <c r="C50" t="s">
        <v>78</v>
      </c>
      <c r="D50" t="s">
        <v>73</v>
      </c>
      <c r="E50" t="s">
        <v>74</v>
      </c>
      <c r="F50" t="s">
        <v>77</v>
      </c>
      <c r="G50" t="s">
        <v>76</v>
      </c>
      <c r="H50">
        <v>193.46685244011763</v>
      </c>
      <c r="I50">
        <v>2</v>
      </c>
      <c r="J50">
        <v>8</v>
      </c>
      <c r="K50">
        <v>8</v>
      </c>
      <c r="L50">
        <v>0</v>
      </c>
      <c r="M50">
        <v>9</v>
      </c>
      <c r="N50">
        <v>8</v>
      </c>
      <c r="O50">
        <v>1</v>
      </c>
      <c r="P50">
        <v>7</v>
      </c>
      <c r="Q50">
        <v>7</v>
      </c>
      <c r="R50">
        <v>0</v>
      </c>
      <c r="S50">
        <v>9</v>
      </c>
      <c r="T50">
        <v>8</v>
      </c>
      <c r="U50">
        <v>1</v>
      </c>
      <c r="V50">
        <v>7</v>
      </c>
      <c r="W50">
        <v>6</v>
      </c>
      <c r="X50">
        <v>1</v>
      </c>
      <c r="Y50">
        <v>8</v>
      </c>
      <c r="Z50">
        <v>8</v>
      </c>
      <c r="AA50">
        <v>0</v>
      </c>
      <c r="AB50">
        <v>7</v>
      </c>
      <c r="AC50">
        <v>6</v>
      </c>
      <c r="AD50">
        <v>1</v>
      </c>
      <c r="AE50">
        <v>6</v>
      </c>
      <c r="AF50">
        <v>5</v>
      </c>
      <c r="AG50">
        <v>1</v>
      </c>
      <c r="AH50">
        <v>9</v>
      </c>
      <c r="AI50">
        <v>8</v>
      </c>
      <c r="AJ50">
        <v>1</v>
      </c>
      <c r="AK50" t="s">
        <v>699</v>
      </c>
      <c r="AL50" t="s">
        <v>700</v>
      </c>
      <c r="AM50" t="s">
        <v>701</v>
      </c>
      <c r="AN50" t="s">
        <v>702</v>
      </c>
      <c r="AO50" t="s">
        <v>703</v>
      </c>
      <c r="AP50" t="s">
        <v>704</v>
      </c>
      <c r="AQ50" t="s">
        <v>705</v>
      </c>
      <c r="AR50" t="s">
        <v>706</v>
      </c>
      <c r="AS50" t="s">
        <v>707</v>
      </c>
    </row>
    <row r="51" spans="1:45" x14ac:dyDescent="0.45">
      <c r="A51">
        <v>50</v>
      </c>
      <c r="B51">
        <v>2040</v>
      </c>
      <c r="C51" t="s">
        <v>72</v>
      </c>
      <c r="D51" t="s">
        <v>73</v>
      </c>
      <c r="E51" t="s">
        <v>74</v>
      </c>
      <c r="F51" t="s">
        <v>77</v>
      </c>
      <c r="G51" t="s">
        <v>76</v>
      </c>
      <c r="H51">
        <v>20.751927455535611</v>
      </c>
      <c r="I51">
        <v>3</v>
      </c>
      <c r="J51">
        <v>7</v>
      </c>
      <c r="K51">
        <v>10</v>
      </c>
      <c r="L51">
        <v>-3</v>
      </c>
      <c r="M51">
        <v>8</v>
      </c>
      <c r="N51">
        <v>10</v>
      </c>
      <c r="O51">
        <v>-2</v>
      </c>
      <c r="P51">
        <v>9</v>
      </c>
      <c r="Q51">
        <v>10</v>
      </c>
      <c r="R51">
        <v>-1</v>
      </c>
      <c r="S51">
        <v>9</v>
      </c>
      <c r="T51">
        <v>8</v>
      </c>
      <c r="U51">
        <v>1</v>
      </c>
      <c r="V51">
        <v>8</v>
      </c>
      <c r="W51">
        <v>8</v>
      </c>
      <c r="X51">
        <v>0</v>
      </c>
      <c r="Y51">
        <v>9</v>
      </c>
      <c r="Z51">
        <v>8</v>
      </c>
      <c r="AA51">
        <v>1</v>
      </c>
      <c r="AB51">
        <v>8</v>
      </c>
      <c r="AC51">
        <v>8</v>
      </c>
      <c r="AD51">
        <v>0</v>
      </c>
      <c r="AE51">
        <v>9</v>
      </c>
      <c r="AF51">
        <v>8</v>
      </c>
      <c r="AG51">
        <v>1</v>
      </c>
      <c r="AH51">
        <v>10</v>
      </c>
      <c r="AI51">
        <v>8</v>
      </c>
      <c r="AJ51">
        <v>2</v>
      </c>
      <c r="AK51" t="s">
        <v>708</v>
      </c>
      <c r="AL51" t="s">
        <v>709</v>
      </c>
      <c r="AM51" t="s">
        <v>710</v>
      </c>
      <c r="AN51" t="s">
        <v>711</v>
      </c>
      <c r="AO51" t="s">
        <v>712</v>
      </c>
      <c r="AP51" t="s">
        <v>713</v>
      </c>
      <c r="AQ51" t="s">
        <v>714</v>
      </c>
      <c r="AR51" t="s">
        <v>250</v>
      </c>
      <c r="AS51" t="s">
        <v>715</v>
      </c>
    </row>
    <row r="52" spans="1:45" x14ac:dyDescent="0.45">
      <c r="A52">
        <v>51</v>
      </c>
      <c r="B52">
        <v>2041</v>
      </c>
      <c r="C52" t="s">
        <v>78</v>
      </c>
      <c r="D52" t="s">
        <v>81</v>
      </c>
      <c r="E52" t="s">
        <v>74</v>
      </c>
      <c r="F52" t="s">
        <v>77</v>
      </c>
      <c r="G52" t="s">
        <v>76</v>
      </c>
      <c r="H52">
        <v>14.899906689434305</v>
      </c>
      <c r="I52">
        <v>0</v>
      </c>
      <c r="J52">
        <v>5</v>
      </c>
      <c r="K52">
        <v>10</v>
      </c>
      <c r="L52">
        <v>-5</v>
      </c>
      <c r="M52">
        <v>6</v>
      </c>
      <c r="N52">
        <v>10</v>
      </c>
      <c r="O52">
        <v>-4</v>
      </c>
      <c r="P52">
        <v>8</v>
      </c>
      <c r="Q52">
        <v>10</v>
      </c>
      <c r="R52">
        <v>-2</v>
      </c>
      <c r="S52">
        <v>9</v>
      </c>
      <c r="T52">
        <v>10</v>
      </c>
      <c r="U52">
        <v>-1</v>
      </c>
      <c r="V52">
        <v>7</v>
      </c>
      <c r="W52">
        <v>10</v>
      </c>
      <c r="X52">
        <v>-3</v>
      </c>
      <c r="Y52">
        <v>8</v>
      </c>
      <c r="Z52">
        <v>10</v>
      </c>
      <c r="AA52">
        <v>-2</v>
      </c>
      <c r="AB52">
        <v>7</v>
      </c>
      <c r="AC52">
        <v>10</v>
      </c>
      <c r="AD52">
        <v>-3</v>
      </c>
      <c r="AE52">
        <v>6</v>
      </c>
      <c r="AF52">
        <v>10</v>
      </c>
      <c r="AG52">
        <v>-4</v>
      </c>
      <c r="AH52">
        <v>9</v>
      </c>
      <c r="AI52">
        <v>10</v>
      </c>
      <c r="AJ52">
        <v>-1</v>
      </c>
      <c r="AK52" t="s">
        <v>716</v>
      </c>
      <c r="AL52" t="s">
        <v>717</v>
      </c>
      <c r="AM52" t="s">
        <v>718</v>
      </c>
      <c r="AN52" t="s">
        <v>719</v>
      </c>
      <c r="AO52" t="s">
        <v>720</v>
      </c>
      <c r="AP52" t="s">
        <v>721</v>
      </c>
      <c r="AQ52" t="s">
        <v>722</v>
      </c>
      <c r="AR52" t="s">
        <v>723</v>
      </c>
      <c r="AS52" t="s">
        <v>724</v>
      </c>
    </row>
    <row r="53" spans="1:45" x14ac:dyDescent="0.45">
      <c r="A53">
        <v>52</v>
      </c>
      <c r="B53">
        <v>2042</v>
      </c>
      <c r="C53" t="s">
        <v>72</v>
      </c>
      <c r="D53" t="s">
        <v>81</v>
      </c>
      <c r="E53" t="s">
        <v>74</v>
      </c>
      <c r="F53" t="s">
        <v>77</v>
      </c>
      <c r="G53" t="s">
        <v>76</v>
      </c>
      <c r="H53">
        <v>20.133872094292034</v>
      </c>
      <c r="I53">
        <v>1</v>
      </c>
      <c r="J53">
        <v>8</v>
      </c>
      <c r="K53">
        <v>10</v>
      </c>
      <c r="L53">
        <v>-2</v>
      </c>
      <c r="M53">
        <v>7</v>
      </c>
      <c r="N53">
        <v>10</v>
      </c>
      <c r="O53">
        <v>-3</v>
      </c>
      <c r="P53">
        <v>9</v>
      </c>
      <c r="Q53">
        <v>10</v>
      </c>
      <c r="R53">
        <v>-1</v>
      </c>
      <c r="S53">
        <v>9</v>
      </c>
      <c r="T53">
        <v>10</v>
      </c>
      <c r="U53">
        <v>-1</v>
      </c>
      <c r="V53">
        <v>6</v>
      </c>
      <c r="W53">
        <v>10</v>
      </c>
      <c r="X53">
        <v>-4</v>
      </c>
      <c r="Y53">
        <v>8</v>
      </c>
      <c r="Z53">
        <v>10</v>
      </c>
      <c r="AA53">
        <v>-2</v>
      </c>
      <c r="AB53">
        <v>7</v>
      </c>
      <c r="AC53">
        <v>10</v>
      </c>
      <c r="AD53">
        <v>-3</v>
      </c>
      <c r="AE53">
        <v>6</v>
      </c>
      <c r="AF53">
        <v>10</v>
      </c>
      <c r="AG53">
        <v>-4</v>
      </c>
      <c r="AH53">
        <v>8</v>
      </c>
      <c r="AI53">
        <v>8</v>
      </c>
      <c r="AJ53">
        <v>0</v>
      </c>
      <c r="AK53" t="s">
        <v>725</v>
      </c>
      <c r="AL53" t="s">
        <v>726</v>
      </c>
      <c r="AM53" t="s">
        <v>727</v>
      </c>
      <c r="AN53" t="s">
        <v>728</v>
      </c>
      <c r="AO53" t="s">
        <v>729</v>
      </c>
      <c r="AP53" t="s">
        <v>730</v>
      </c>
      <c r="AQ53" t="s">
        <v>731</v>
      </c>
      <c r="AR53" t="s">
        <v>732</v>
      </c>
      <c r="AS53" t="s">
        <v>733</v>
      </c>
    </row>
    <row r="54" spans="1:45" x14ac:dyDescent="0.45">
      <c r="A54">
        <v>53</v>
      </c>
      <c r="B54">
        <v>2043</v>
      </c>
      <c r="C54" t="s">
        <v>78</v>
      </c>
      <c r="D54" t="s">
        <v>81</v>
      </c>
      <c r="E54" t="s">
        <v>74</v>
      </c>
      <c r="F54" t="s">
        <v>75</v>
      </c>
      <c r="G54" t="s">
        <v>76</v>
      </c>
      <c r="H54">
        <v>16.192287050442665</v>
      </c>
      <c r="I54">
        <v>2</v>
      </c>
      <c r="J54">
        <v>4</v>
      </c>
      <c r="K54">
        <v>10</v>
      </c>
      <c r="L54">
        <v>-6</v>
      </c>
      <c r="M54">
        <v>5</v>
      </c>
      <c r="N54">
        <v>10</v>
      </c>
      <c r="O54">
        <v>-5</v>
      </c>
      <c r="P54">
        <v>6</v>
      </c>
      <c r="Q54">
        <v>10</v>
      </c>
      <c r="R54">
        <v>-4</v>
      </c>
      <c r="S54">
        <v>7</v>
      </c>
      <c r="T54">
        <v>10</v>
      </c>
      <c r="U54">
        <v>-3</v>
      </c>
      <c r="V54">
        <v>8</v>
      </c>
      <c r="W54">
        <v>10</v>
      </c>
      <c r="X54">
        <v>-2</v>
      </c>
      <c r="Y54">
        <v>9</v>
      </c>
      <c r="Z54">
        <v>10</v>
      </c>
      <c r="AA54">
        <v>-1</v>
      </c>
      <c r="AB54">
        <v>8</v>
      </c>
      <c r="AC54">
        <v>10</v>
      </c>
      <c r="AD54">
        <v>-2</v>
      </c>
      <c r="AE54">
        <v>7</v>
      </c>
      <c r="AF54">
        <v>10</v>
      </c>
      <c r="AG54">
        <v>-3</v>
      </c>
      <c r="AH54">
        <v>9</v>
      </c>
      <c r="AI54">
        <v>10</v>
      </c>
      <c r="AJ54">
        <v>-1</v>
      </c>
      <c r="AK54" t="s">
        <v>734</v>
      </c>
      <c r="AL54" t="s">
        <v>735</v>
      </c>
      <c r="AM54" t="s">
        <v>736</v>
      </c>
      <c r="AN54" t="s">
        <v>737</v>
      </c>
      <c r="AO54" t="s">
        <v>738</v>
      </c>
      <c r="AP54" t="s">
        <v>739</v>
      </c>
      <c r="AQ54" t="s">
        <v>740</v>
      </c>
      <c r="AR54" t="s">
        <v>741</v>
      </c>
      <c r="AS54" t="s">
        <v>742</v>
      </c>
    </row>
    <row r="55" spans="1:45" x14ac:dyDescent="0.45">
      <c r="A55">
        <v>54</v>
      </c>
      <c r="B55">
        <v>2044</v>
      </c>
      <c r="C55" t="s">
        <v>72</v>
      </c>
      <c r="D55" t="s">
        <v>79</v>
      </c>
      <c r="E55" t="s">
        <v>74</v>
      </c>
      <c r="F55" t="s">
        <v>77</v>
      </c>
      <c r="G55" t="s">
        <v>76</v>
      </c>
      <c r="H55">
        <v>38.810046711896966</v>
      </c>
      <c r="I55">
        <v>2</v>
      </c>
      <c r="J55">
        <v>6</v>
      </c>
      <c r="K55">
        <v>8</v>
      </c>
      <c r="L55">
        <v>-2</v>
      </c>
      <c r="M55">
        <v>8</v>
      </c>
      <c r="N55">
        <v>7</v>
      </c>
      <c r="O55">
        <v>1</v>
      </c>
      <c r="P55">
        <v>7</v>
      </c>
      <c r="Q55">
        <v>7</v>
      </c>
      <c r="R55">
        <v>0</v>
      </c>
      <c r="S55">
        <v>9</v>
      </c>
      <c r="T55">
        <v>8</v>
      </c>
      <c r="U55">
        <v>1</v>
      </c>
      <c r="V55">
        <v>7</v>
      </c>
      <c r="W55">
        <v>7</v>
      </c>
      <c r="X55">
        <v>0</v>
      </c>
      <c r="Y55">
        <v>9</v>
      </c>
      <c r="Z55">
        <v>8</v>
      </c>
      <c r="AA55">
        <v>1</v>
      </c>
      <c r="AB55">
        <v>7</v>
      </c>
      <c r="AC55">
        <v>7</v>
      </c>
      <c r="AD55">
        <v>0</v>
      </c>
      <c r="AE55">
        <v>8</v>
      </c>
      <c r="AF55">
        <v>7</v>
      </c>
      <c r="AG55">
        <v>1</v>
      </c>
      <c r="AH55">
        <v>9</v>
      </c>
      <c r="AI55">
        <v>8</v>
      </c>
      <c r="AJ55">
        <v>1</v>
      </c>
      <c r="AK55" t="s">
        <v>743</v>
      </c>
      <c r="AL55" t="s">
        <v>744</v>
      </c>
      <c r="AM55" t="s">
        <v>745</v>
      </c>
      <c r="AN55" t="s">
        <v>746</v>
      </c>
      <c r="AO55" t="s">
        <v>747</v>
      </c>
      <c r="AP55" t="s">
        <v>748</v>
      </c>
      <c r="AQ55" t="s">
        <v>749</v>
      </c>
      <c r="AR55" t="s">
        <v>750</v>
      </c>
      <c r="AS55" t="s">
        <v>751</v>
      </c>
    </row>
    <row r="56" spans="1:45" x14ac:dyDescent="0.45">
      <c r="A56">
        <v>55</v>
      </c>
      <c r="B56">
        <v>2045</v>
      </c>
      <c r="C56" t="s">
        <v>72</v>
      </c>
      <c r="D56" t="s">
        <v>73</v>
      </c>
      <c r="E56" t="s">
        <v>74</v>
      </c>
      <c r="F56" t="s">
        <v>77</v>
      </c>
      <c r="G56" t="s">
        <v>76</v>
      </c>
      <c r="H56">
        <v>45.741177810676689</v>
      </c>
      <c r="I56">
        <v>1</v>
      </c>
      <c r="J56">
        <v>7</v>
      </c>
      <c r="K56">
        <v>10</v>
      </c>
      <c r="L56">
        <v>-3</v>
      </c>
      <c r="M56">
        <v>7</v>
      </c>
      <c r="N56">
        <v>9</v>
      </c>
      <c r="O56">
        <v>-2</v>
      </c>
      <c r="P56">
        <v>8</v>
      </c>
      <c r="Q56">
        <v>3</v>
      </c>
      <c r="R56">
        <v>5</v>
      </c>
      <c r="S56">
        <v>9</v>
      </c>
      <c r="T56">
        <v>4</v>
      </c>
      <c r="U56">
        <v>5</v>
      </c>
      <c r="V56">
        <v>6</v>
      </c>
      <c r="W56">
        <v>3</v>
      </c>
      <c r="X56">
        <v>3</v>
      </c>
      <c r="Y56">
        <v>8</v>
      </c>
      <c r="Z56">
        <v>3</v>
      </c>
      <c r="AA56">
        <v>5</v>
      </c>
      <c r="AB56">
        <v>7</v>
      </c>
      <c r="AC56">
        <v>1</v>
      </c>
      <c r="AD56">
        <v>6</v>
      </c>
      <c r="AE56">
        <v>6</v>
      </c>
      <c r="AF56">
        <v>1</v>
      </c>
      <c r="AG56">
        <v>5</v>
      </c>
      <c r="AH56">
        <v>7</v>
      </c>
      <c r="AI56">
        <v>3</v>
      </c>
      <c r="AJ56">
        <v>4</v>
      </c>
      <c r="AK56" t="s">
        <v>752</v>
      </c>
      <c r="AL56" t="s">
        <v>753</v>
      </c>
      <c r="AM56" t="s">
        <v>754</v>
      </c>
      <c r="AN56" t="s">
        <v>755</v>
      </c>
      <c r="AO56" t="s">
        <v>756</v>
      </c>
      <c r="AP56" t="s">
        <v>757</v>
      </c>
      <c r="AQ56" t="s">
        <v>758</v>
      </c>
      <c r="AR56" t="s">
        <v>759</v>
      </c>
      <c r="AS56" t="s">
        <v>760</v>
      </c>
    </row>
    <row r="57" spans="1:45" x14ac:dyDescent="0.45">
      <c r="A57">
        <v>56</v>
      </c>
      <c r="B57">
        <v>2046</v>
      </c>
      <c r="C57" t="s">
        <v>78</v>
      </c>
      <c r="D57" t="s">
        <v>81</v>
      </c>
      <c r="E57" t="s">
        <v>74</v>
      </c>
      <c r="F57" t="s">
        <v>77</v>
      </c>
      <c r="G57" t="s">
        <v>76</v>
      </c>
      <c r="H57">
        <v>12</v>
      </c>
      <c r="I57">
        <v>0</v>
      </c>
      <c r="J57">
        <v>7</v>
      </c>
      <c r="K57">
        <v>10</v>
      </c>
      <c r="L57">
        <v>-3</v>
      </c>
      <c r="M57">
        <v>8</v>
      </c>
      <c r="N57">
        <v>10</v>
      </c>
      <c r="O57">
        <v>-2</v>
      </c>
      <c r="P57">
        <v>9</v>
      </c>
      <c r="Q57">
        <v>9</v>
      </c>
      <c r="R57">
        <v>0</v>
      </c>
      <c r="S57">
        <v>9</v>
      </c>
      <c r="T57">
        <v>10</v>
      </c>
      <c r="U57">
        <v>-1</v>
      </c>
      <c r="V57">
        <v>8</v>
      </c>
      <c r="W57">
        <v>9</v>
      </c>
      <c r="X57">
        <v>-1</v>
      </c>
      <c r="Y57">
        <v>9</v>
      </c>
      <c r="Z57">
        <v>10</v>
      </c>
      <c r="AA57">
        <v>-1</v>
      </c>
      <c r="AB57">
        <v>8</v>
      </c>
      <c r="AC57">
        <v>9</v>
      </c>
      <c r="AD57">
        <v>-1</v>
      </c>
      <c r="AE57">
        <v>9</v>
      </c>
      <c r="AF57">
        <v>10</v>
      </c>
      <c r="AG57">
        <v>-1</v>
      </c>
      <c r="AH57">
        <v>8</v>
      </c>
      <c r="AI57">
        <v>9</v>
      </c>
      <c r="AJ57">
        <v>-1</v>
      </c>
      <c r="AK57" t="s">
        <v>761</v>
      </c>
      <c r="AL57" t="s">
        <v>762</v>
      </c>
      <c r="AM57" t="s">
        <v>763</v>
      </c>
      <c r="AN57" t="s">
        <v>764</v>
      </c>
      <c r="AO57" t="s">
        <v>765</v>
      </c>
      <c r="AP57" t="s">
        <v>766</v>
      </c>
      <c r="AQ57" t="s">
        <v>767</v>
      </c>
      <c r="AR57" t="s">
        <v>768</v>
      </c>
      <c r="AS57" t="s">
        <v>769</v>
      </c>
    </row>
    <row r="58" spans="1:45" x14ac:dyDescent="0.45">
      <c r="A58">
        <v>57</v>
      </c>
      <c r="B58">
        <v>2047</v>
      </c>
      <c r="C58" t="s">
        <v>72</v>
      </c>
      <c r="D58" t="s">
        <v>73</v>
      </c>
      <c r="E58" t="s">
        <v>74</v>
      </c>
      <c r="F58" t="s">
        <v>77</v>
      </c>
      <c r="G58" t="s">
        <v>76</v>
      </c>
      <c r="H58">
        <v>14.434261083054142</v>
      </c>
      <c r="I58">
        <v>2</v>
      </c>
      <c r="J58">
        <v>9</v>
      </c>
      <c r="K58">
        <v>10</v>
      </c>
      <c r="L58">
        <v>-1</v>
      </c>
      <c r="M58">
        <v>8</v>
      </c>
      <c r="N58">
        <v>10</v>
      </c>
      <c r="O58">
        <v>-2</v>
      </c>
      <c r="P58">
        <v>9</v>
      </c>
      <c r="Q58">
        <v>1</v>
      </c>
      <c r="R58">
        <v>8</v>
      </c>
      <c r="S58">
        <v>8</v>
      </c>
      <c r="T58">
        <v>5</v>
      </c>
      <c r="U58">
        <v>3</v>
      </c>
      <c r="V58">
        <v>9</v>
      </c>
      <c r="W58">
        <v>7</v>
      </c>
      <c r="X58">
        <v>2</v>
      </c>
      <c r="Y58">
        <v>9</v>
      </c>
      <c r="Z58">
        <v>10</v>
      </c>
      <c r="AA58">
        <v>-1</v>
      </c>
      <c r="AB58">
        <v>8</v>
      </c>
      <c r="AC58">
        <v>9</v>
      </c>
      <c r="AD58">
        <v>-1</v>
      </c>
      <c r="AE58">
        <v>9</v>
      </c>
      <c r="AF58">
        <v>9</v>
      </c>
      <c r="AG58">
        <v>0</v>
      </c>
      <c r="AH58">
        <v>9</v>
      </c>
      <c r="AI58">
        <v>10</v>
      </c>
      <c r="AJ58">
        <v>-1</v>
      </c>
      <c r="AK58" t="s">
        <v>770</v>
      </c>
      <c r="AL58" t="s">
        <v>771</v>
      </c>
      <c r="AM58" t="s">
        <v>772</v>
      </c>
      <c r="AN58" t="s">
        <v>773</v>
      </c>
      <c r="AO58" t="s">
        <v>774</v>
      </c>
      <c r="AP58" t="s">
        <v>775</v>
      </c>
      <c r="AQ58" t="s">
        <v>776</v>
      </c>
      <c r="AR58" t="s">
        <v>777</v>
      </c>
      <c r="AS58" t="s">
        <v>778</v>
      </c>
    </row>
    <row r="59" spans="1:45" x14ac:dyDescent="0.45">
      <c r="A59">
        <v>58</v>
      </c>
      <c r="B59">
        <v>2048</v>
      </c>
      <c r="C59" t="s">
        <v>72</v>
      </c>
      <c r="D59" t="s">
        <v>79</v>
      </c>
      <c r="E59" t="s">
        <v>74</v>
      </c>
      <c r="F59" t="s">
        <v>75</v>
      </c>
      <c r="G59" t="s">
        <v>76</v>
      </c>
      <c r="H59">
        <v>29.227489136000131</v>
      </c>
      <c r="I59">
        <v>1</v>
      </c>
      <c r="J59">
        <v>5</v>
      </c>
      <c r="K59">
        <v>5</v>
      </c>
      <c r="L59">
        <v>0</v>
      </c>
      <c r="M59">
        <v>6</v>
      </c>
      <c r="N59">
        <v>5</v>
      </c>
      <c r="O59">
        <v>1</v>
      </c>
      <c r="P59">
        <v>8</v>
      </c>
      <c r="Q59">
        <v>4</v>
      </c>
      <c r="R59">
        <v>4</v>
      </c>
      <c r="S59">
        <v>7</v>
      </c>
      <c r="T59">
        <v>8</v>
      </c>
      <c r="U59">
        <v>-1</v>
      </c>
      <c r="V59">
        <v>6</v>
      </c>
      <c r="W59">
        <v>5</v>
      </c>
      <c r="X59">
        <v>1</v>
      </c>
      <c r="Y59">
        <v>9</v>
      </c>
      <c r="Z59">
        <v>7</v>
      </c>
      <c r="AA59">
        <v>2</v>
      </c>
      <c r="AB59">
        <v>8</v>
      </c>
      <c r="AC59">
        <v>7</v>
      </c>
      <c r="AD59">
        <v>1</v>
      </c>
      <c r="AE59">
        <v>9</v>
      </c>
      <c r="AF59">
        <v>7</v>
      </c>
      <c r="AG59">
        <v>2</v>
      </c>
      <c r="AH59">
        <v>8</v>
      </c>
      <c r="AI59">
        <v>7</v>
      </c>
      <c r="AJ59">
        <v>1</v>
      </c>
      <c r="AK59" t="s">
        <v>779</v>
      </c>
      <c r="AL59" t="s">
        <v>780</v>
      </c>
      <c r="AM59" t="s">
        <v>781</v>
      </c>
      <c r="AN59" t="s">
        <v>782</v>
      </c>
      <c r="AO59" t="s">
        <v>783</v>
      </c>
      <c r="AP59" t="s">
        <v>784</v>
      </c>
      <c r="AQ59" t="s">
        <v>785</v>
      </c>
      <c r="AR59" t="s">
        <v>786</v>
      </c>
      <c r="AS59" t="s">
        <v>787</v>
      </c>
    </row>
    <row r="60" spans="1:45" x14ac:dyDescent="0.45">
      <c r="A60">
        <v>59</v>
      </c>
      <c r="B60">
        <v>2049</v>
      </c>
      <c r="C60" t="s">
        <v>72</v>
      </c>
      <c r="D60" t="s">
        <v>189</v>
      </c>
      <c r="E60" t="s">
        <v>74</v>
      </c>
      <c r="F60" t="s">
        <v>77</v>
      </c>
      <c r="G60" t="s">
        <v>162</v>
      </c>
      <c r="H60">
        <v>12</v>
      </c>
      <c r="I60">
        <v>0</v>
      </c>
      <c r="J60">
        <v>6</v>
      </c>
      <c r="K60">
        <v>9</v>
      </c>
      <c r="L60">
        <v>-3</v>
      </c>
      <c r="M60">
        <v>6</v>
      </c>
      <c r="N60">
        <v>9</v>
      </c>
      <c r="O60">
        <v>-3</v>
      </c>
      <c r="P60">
        <v>8</v>
      </c>
      <c r="Q60">
        <v>9</v>
      </c>
      <c r="R60">
        <v>-1</v>
      </c>
      <c r="S60">
        <v>7</v>
      </c>
      <c r="T60">
        <v>7</v>
      </c>
      <c r="U60">
        <v>0</v>
      </c>
      <c r="V60">
        <v>9</v>
      </c>
      <c r="W60">
        <v>7</v>
      </c>
      <c r="X60">
        <v>2</v>
      </c>
      <c r="Y60">
        <v>8</v>
      </c>
      <c r="Z60">
        <v>8</v>
      </c>
      <c r="AA60">
        <v>0</v>
      </c>
      <c r="AB60">
        <v>7</v>
      </c>
      <c r="AC60">
        <v>8</v>
      </c>
      <c r="AD60">
        <v>-1</v>
      </c>
      <c r="AE60">
        <v>6</v>
      </c>
      <c r="AF60">
        <v>6</v>
      </c>
      <c r="AG60">
        <v>0</v>
      </c>
      <c r="AH60">
        <v>8</v>
      </c>
      <c r="AI60">
        <v>5</v>
      </c>
      <c r="AJ60">
        <v>3</v>
      </c>
      <c r="AK60" t="s">
        <v>788</v>
      </c>
      <c r="AL60" t="s">
        <v>789</v>
      </c>
      <c r="AM60" t="s">
        <v>790</v>
      </c>
      <c r="AN60" t="s">
        <v>791</v>
      </c>
      <c r="AO60" t="s">
        <v>792</v>
      </c>
      <c r="AP60" t="s">
        <v>793</v>
      </c>
      <c r="AQ60" t="s">
        <v>794</v>
      </c>
      <c r="AR60" t="s">
        <v>795</v>
      </c>
      <c r="AS60" t="s">
        <v>796</v>
      </c>
    </row>
    <row r="61" spans="1:45" x14ac:dyDescent="0.45">
      <c r="A61">
        <v>60</v>
      </c>
      <c r="B61">
        <v>2050</v>
      </c>
      <c r="C61" t="s">
        <v>78</v>
      </c>
      <c r="D61" t="s">
        <v>81</v>
      </c>
      <c r="E61" t="s">
        <v>74</v>
      </c>
      <c r="F61" t="s">
        <v>77</v>
      </c>
      <c r="G61" t="s">
        <v>76</v>
      </c>
      <c r="H61">
        <v>16.233290374231196</v>
      </c>
      <c r="I61">
        <v>0</v>
      </c>
      <c r="J61">
        <v>6</v>
      </c>
      <c r="K61">
        <v>5</v>
      </c>
      <c r="L61">
        <v>1</v>
      </c>
      <c r="M61">
        <v>7</v>
      </c>
      <c r="N61">
        <v>5</v>
      </c>
      <c r="O61">
        <v>2</v>
      </c>
      <c r="P61">
        <v>8</v>
      </c>
      <c r="Q61">
        <v>5</v>
      </c>
      <c r="R61">
        <v>3</v>
      </c>
      <c r="S61">
        <v>9</v>
      </c>
      <c r="T61">
        <v>5</v>
      </c>
      <c r="U61">
        <v>4</v>
      </c>
      <c r="V61">
        <v>7</v>
      </c>
      <c r="W61">
        <v>5</v>
      </c>
      <c r="X61">
        <v>2</v>
      </c>
      <c r="Y61">
        <v>8</v>
      </c>
      <c r="Z61">
        <v>8</v>
      </c>
      <c r="AA61">
        <v>0</v>
      </c>
      <c r="AB61">
        <v>7</v>
      </c>
      <c r="AC61">
        <v>4</v>
      </c>
      <c r="AD61">
        <v>3</v>
      </c>
      <c r="AE61">
        <v>6</v>
      </c>
      <c r="AF61">
        <v>5</v>
      </c>
      <c r="AG61">
        <v>1</v>
      </c>
      <c r="AH61">
        <v>7</v>
      </c>
      <c r="AI61">
        <v>5</v>
      </c>
      <c r="AJ61">
        <v>2</v>
      </c>
      <c r="AK61" t="s">
        <v>797</v>
      </c>
      <c r="AL61" t="s">
        <v>798</v>
      </c>
      <c r="AM61" t="s">
        <v>799</v>
      </c>
      <c r="AN61" t="s">
        <v>800</v>
      </c>
      <c r="AO61" t="s">
        <v>801</v>
      </c>
      <c r="AP61" t="s">
        <v>802</v>
      </c>
      <c r="AQ61" t="s">
        <v>803</v>
      </c>
      <c r="AR61" t="s">
        <v>804</v>
      </c>
      <c r="AS61" t="s">
        <v>805</v>
      </c>
    </row>
    <row r="62" spans="1:45" x14ac:dyDescent="0.45">
      <c r="A62">
        <v>61</v>
      </c>
      <c r="B62">
        <v>2051</v>
      </c>
      <c r="C62" t="s">
        <v>72</v>
      </c>
      <c r="D62" t="s">
        <v>73</v>
      </c>
      <c r="E62" t="s">
        <v>74</v>
      </c>
      <c r="F62" t="s">
        <v>75</v>
      </c>
      <c r="G62" t="s">
        <v>76</v>
      </c>
      <c r="H62">
        <v>20.266279166118991</v>
      </c>
      <c r="I62">
        <v>1</v>
      </c>
      <c r="J62">
        <v>7</v>
      </c>
      <c r="K62">
        <v>8</v>
      </c>
      <c r="L62">
        <v>-1</v>
      </c>
      <c r="M62">
        <v>8</v>
      </c>
      <c r="N62">
        <v>9</v>
      </c>
      <c r="O62">
        <v>-1</v>
      </c>
      <c r="P62">
        <v>9</v>
      </c>
      <c r="Q62">
        <v>9</v>
      </c>
      <c r="R62">
        <v>0</v>
      </c>
      <c r="S62">
        <v>8</v>
      </c>
      <c r="T62">
        <v>9</v>
      </c>
      <c r="U62">
        <v>-1</v>
      </c>
      <c r="V62">
        <v>9</v>
      </c>
      <c r="W62">
        <v>9</v>
      </c>
      <c r="X62">
        <v>0</v>
      </c>
      <c r="Y62">
        <v>9</v>
      </c>
      <c r="Z62">
        <v>8</v>
      </c>
      <c r="AA62">
        <v>1</v>
      </c>
      <c r="AB62">
        <v>9</v>
      </c>
      <c r="AC62">
        <v>8</v>
      </c>
      <c r="AD62">
        <v>1</v>
      </c>
      <c r="AE62">
        <v>8</v>
      </c>
      <c r="AF62">
        <v>8</v>
      </c>
      <c r="AG62">
        <v>0</v>
      </c>
      <c r="AH62">
        <v>9</v>
      </c>
      <c r="AI62">
        <v>9</v>
      </c>
      <c r="AJ62">
        <v>0</v>
      </c>
      <c r="AK62" t="s">
        <v>806</v>
      </c>
      <c r="AL62" t="s">
        <v>807</v>
      </c>
      <c r="AM62" t="s">
        <v>808</v>
      </c>
      <c r="AN62" t="s">
        <v>809</v>
      </c>
      <c r="AO62" t="s">
        <v>810</v>
      </c>
      <c r="AP62" t="s">
        <v>811</v>
      </c>
      <c r="AQ62" t="s">
        <v>812</v>
      </c>
      <c r="AR62" t="s">
        <v>813</v>
      </c>
      <c r="AS62" t="s">
        <v>814</v>
      </c>
    </row>
    <row r="63" spans="1:45" x14ac:dyDescent="0.45">
      <c r="A63">
        <v>62</v>
      </c>
      <c r="B63">
        <v>2052</v>
      </c>
      <c r="C63" t="s">
        <v>72</v>
      </c>
      <c r="D63" t="s">
        <v>81</v>
      </c>
      <c r="E63" t="s">
        <v>74</v>
      </c>
      <c r="F63" t="s">
        <v>75</v>
      </c>
      <c r="G63" t="s">
        <v>76</v>
      </c>
      <c r="H63">
        <v>26.00260731617913</v>
      </c>
      <c r="I63">
        <v>0</v>
      </c>
      <c r="J63">
        <v>8</v>
      </c>
      <c r="K63">
        <v>9</v>
      </c>
      <c r="L63">
        <v>-1</v>
      </c>
      <c r="M63">
        <v>7</v>
      </c>
      <c r="N63">
        <v>9</v>
      </c>
      <c r="O63">
        <v>-2</v>
      </c>
      <c r="P63">
        <v>9</v>
      </c>
      <c r="Q63">
        <v>7</v>
      </c>
      <c r="R63">
        <v>2</v>
      </c>
      <c r="S63">
        <v>8</v>
      </c>
      <c r="T63">
        <v>6</v>
      </c>
      <c r="U63">
        <v>2</v>
      </c>
      <c r="V63">
        <v>7</v>
      </c>
      <c r="W63">
        <v>7</v>
      </c>
      <c r="X63">
        <v>0</v>
      </c>
      <c r="Y63">
        <v>9</v>
      </c>
      <c r="Z63">
        <v>5</v>
      </c>
      <c r="AA63">
        <v>4</v>
      </c>
      <c r="AB63">
        <v>7</v>
      </c>
      <c r="AC63">
        <v>6</v>
      </c>
      <c r="AD63">
        <v>1</v>
      </c>
      <c r="AE63">
        <v>8</v>
      </c>
      <c r="AF63">
        <v>8</v>
      </c>
      <c r="AG63">
        <v>0</v>
      </c>
      <c r="AH63">
        <v>9</v>
      </c>
      <c r="AI63">
        <v>5</v>
      </c>
      <c r="AJ63">
        <v>4</v>
      </c>
      <c r="AK63" t="s">
        <v>815</v>
      </c>
      <c r="AL63" t="s">
        <v>816</v>
      </c>
      <c r="AM63" t="s">
        <v>817</v>
      </c>
      <c r="AN63" t="s">
        <v>818</v>
      </c>
      <c r="AO63" t="s">
        <v>819</v>
      </c>
      <c r="AP63" t="s">
        <v>820</v>
      </c>
      <c r="AQ63" t="s">
        <v>821</v>
      </c>
      <c r="AR63" t="s">
        <v>822</v>
      </c>
      <c r="AS63" t="s">
        <v>823</v>
      </c>
    </row>
    <row r="64" spans="1:45" x14ac:dyDescent="0.45">
      <c r="A64">
        <v>63</v>
      </c>
      <c r="B64">
        <v>2053</v>
      </c>
      <c r="C64" t="s">
        <v>72</v>
      </c>
      <c r="D64" t="s">
        <v>191</v>
      </c>
      <c r="E64" t="s">
        <v>80</v>
      </c>
      <c r="F64" t="s">
        <v>77</v>
      </c>
      <c r="G64" t="s">
        <v>76</v>
      </c>
      <c r="H64">
        <v>21.061271422574787</v>
      </c>
      <c r="I64">
        <v>1</v>
      </c>
      <c r="J64">
        <v>7</v>
      </c>
      <c r="K64">
        <v>9</v>
      </c>
      <c r="L64">
        <v>-2</v>
      </c>
      <c r="M64">
        <v>8</v>
      </c>
      <c r="N64">
        <v>9</v>
      </c>
      <c r="O64">
        <v>-1</v>
      </c>
      <c r="P64">
        <v>6</v>
      </c>
      <c r="Q64">
        <v>9</v>
      </c>
      <c r="R64">
        <v>-3</v>
      </c>
      <c r="S64">
        <v>9</v>
      </c>
      <c r="T64">
        <v>9</v>
      </c>
      <c r="U64">
        <v>0</v>
      </c>
      <c r="V64">
        <v>7</v>
      </c>
      <c r="W64">
        <v>8</v>
      </c>
      <c r="X64">
        <v>-1</v>
      </c>
      <c r="Y64">
        <v>8</v>
      </c>
      <c r="Z64">
        <v>9</v>
      </c>
      <c r="AA64">
        <v>-1</v>
      </c>
      <c r="AB64">
        <v>6</v>
      </c>
      <c r="AC64">
        <v>9</v>
      </c>
      <c r="AD64">
        <v>-3</v>
      </c>
      <c r="AE64">
        <v>7</v>
      </c>
      <c r="AF64">
        <v>8</v>
      </c>
      <c r="AG64">
        <v>-1</v>
      </c>
      <c r="AH64">
        <v>9</v>
      </c>
      <c r="AI64">
        <v>7</v>
      </c>
      <c r="AJ64">
        <v>2</v>
      </c>
      <c r="AK64" t="s">
        <v>824</v>
      </c>
      <c r="AL64" t="s">
        <v>825</v>
      </c>
      <c r="AM64" t="s">
        <v>826</v>
      </c>
      <c r="AN64" t="s">
        <v>827</v>
      </c>
      <c r="AO64" t="s">
        <v>828</v>
      </c>
      <c r="AP64" t="s">
        <v>829</v>
      </c>
      <c r="AQ64" t="s">
        <v>830</v>
      </c>
      <c r="AR64" t="s">
        <v>831</v>
      </c>
      <c r="AS64" t="s">
        <v>832</v>
      </c>
    </row>
    <row r="65" spans="1:45" x14ac:dyDescent="0.45">
      <c r="A65">
        <v>64</v>
      </c>
      <c r="B65">
        <v>2054</v>
      </c>
      <c r="C65" t="s">
        <v>72</v>
      </c>
      <c r="D65" t="s">
        <v>73</v>
      </c>
      <c r="E65" t="s">
        <v>74</v>
      </c>
      <c r="F65" t="s">
        <v>77</v>
      </c>
      <c r="G65" t="s">
        <v>162</v>
      </c>
      <c r="H65">
        <v>176.49749807574759</v>
      </c>
      <c r="I65">
        <v>2</v>
      </c>
      <c r="J65">
        <v>9</v>
      </c>
      <c r="K65">
        <v>9</v>
      </c>
      <c r="L65">
        <v>0</v>
      </c>
      <c r="M65">
        <v>8</v>
      </c>
      <c r="N65">
        <v>10</v>
      </c>
      <c r="O65">
        <v>-2</v>
      </c>
      <c r="P65">
        <v>7</v>
      </c>
      <c r="Q65">
        <v>9</v>
      </c>
      <c r="R65">
        <v>-2</v>
      </c>
      <c r="S65">
        <v>8</v>
      </c>
      <c r="T65">
        <v>10</v>
      </c>
      <c r="U65">
        <v>-2</v>
      </c>
      <c r="V65">
        <v>9</v>
      </c>
      <c r="W65">
        <v>10</v>
      </c>
      <c r="X65">
        <v>-1</v>
      </c>
      <c r="Y65">
        <v>8</v>
      </c>
      <c r="Z65">
        <v>5</v>
      </c>
      <c r="AA65">
        <v>3</v>
      </c>
      <c r="AB65">
        <v>9</v>
      </c>
      <c r="AC65">
        <v>10</v>
      </c>
      <c r="AD65">
        <v>-1</v>
      </c>
      <c r="AE65">
        <v>8</v>
      </c>
      <c r="AF65">
        <v>7</v>
      </c>
      <c r="AG65">
        <v>1</v>
      </c>
      <c r="AH65">
        <v>9</v>
      </c>
      <c r="AI65">
        <v>9</v>
      </c>
      <c r="AJ65">
        <v>0</v>
      </c>
      <c r="AK65" t="s">
        <v>833</v>
      </c>
      <c r="AL65" t="s">
        <v>834</v>
      </c>
      <c r="AM65" t="s">
        <v>835</v>
      </c>
      <c r="AN65" t="s">
        <v>836</v>
      </c>
      <c r="AO65" t="s">
        <v>837</v>
      </c>
      <c r="AP65" t="s">
        <v>838</v>
      </c>
      <c r="AQ65" t="s">
        <v>839</v>
      </c>
      <c r="AR65" t="s">
        <v>840</v>
      </c>
      <c r="AS65" t="s">
        <v>841</v>
      </c>
    </row>
    <row r="66" spans="1:45" x14ac:dyDescent="0.45">
      <c r="A66">
        <v>65</v>
      </c>
      <c r="B66">
        <v>2055</v>
      </c>
      <c r="C66" t="s">
        <v>72</v>
      </c>
      <c r="D66" t="s">
        <v>79</v>
      </c>
      <c r="E66" t="s">
        <v>80</v>
      </c>
      <c r="F66" t="s">
        <v>77</v>
      </c>
      <c r="G66" t="s">
        <v>76</v>
      </c>
      <c r="H66">
        <v>12</v>
      </c>
      <c r="I66">
        <v>2</v>
      </c>
      <c r="J66">
        <v>7</v>
      </c>
      <c r="K66">
        <v>10</v>
      </c>
      <c r="L66">
        <v>-3</v>
      </c>
      <c r="M66">
        <v>6</v>
      </c>
      <c r="N66">
        <v>10</v>
      </c>
      <c r="O66">
        <v>-4</v>
      </c>
      <c r="P66">
        <v>9</v>
      </c>
      <c r="Q66">
        <v>10</v>
      </c>
      <c r="R66">
        <v>-1</v>
      </c>
      <c r="S66">
        <v>8</v>
      </c>
      <c r="T66">
        <v>10</v>
      </c>
      <c r="U66">
        <v>-2</v>
      </c>
      <c r="V66">
        <v>9</v>
      </c>
      <c r="W66">
        <v>10</v>
      </c>
      <c r="X66">
        <v>-1</v>
      </c>
      <c r="Y66">
        <v>8</v>
      </c>
      <c r="Z66">
        <v>10</v>
      </c>
      <c r="AA66">
        <v>-2</v>
      </c>
      <c r="AB66">
        <v>7</v>
      </c>
      <c r="AC66">
        <v>10</v>
      </c>
      <c r="AD66">
        <v>-3</v>
      </c>
      <c r="AE66">
        <v>8</v>
      </c>
      <c r="AF66">
        <v>10</v>
      </c>
      <c r="AG66">
        <v>-2</v>
      </c>
      <c r="AH66">
        <v>9</v>
      </c>
      <c r="AI66">
        <v>10</v>
      </c>
      <c r="AJ66">
        <v>-1</v>
      </c>
      <c r="AK66" t="s">
        <v>842</v>
      </c>
      <c r="AL66" t="s">
        <v>843</v>
      </c>
      <c r="AM66" t="s">
        <v>844</v>
      </c>
      <c r="AN66" t="s">
        <v>845</v>
      </c>
      <c r="AO66" t="s">
        <v>846</v>
      </c>
      <c r="AP66" t="s">
        <v>847</v>
      </c>
      <c r="AQ66" t="s">
        <v>848</v>
      </c>
      <c r="AR66" t="s">
        <v>849</v>
      </c>
      <c r="AS66" t="s">
        <v>850</v>
      </c>
    </row>
    <row r="67" spans="1:45" x14ac:dyDescent="0.45">
      <c r="A67">
        <v>66</v>
      </c>
      <c r="B67">
        <v>2056</v>
      </c>
      <c r="C67" t="s">
        <v>72</v>
      </c>
      <c r="D67" t="s">
        <v>81</v>
      </c>
      <c r="E67" t="s">
        <v>74</v>
      </c>
      <c r="F67" t="s">
        <v>190</v>
      </c>
      <c r="G67" t="s">
        <v>76</v>
      </c>
      <c r="H67">
        <v>16.226287990479388</v>
      </c>
      <c r="I67">
        <v>0</v>
      </c>
      <c r="J67">
        <v>6</v>
      </c>
      <c r="K67">
        <v>7</v>
      </c>
      <c r="L67">
        <v>-1</v>
      </c>
      <c r="M67">
        <v>6</v>
      </c>
      <c r="N67">
        <v>5</v>
      </c>
      <c r="O67">
        <v>1</v>
      </c>
      <c r="P67">
        <v>9</v>
      </c>
      <c r="Q67">
        <v>3</v>
      </c>
      <c r="R67">
        <v>6</v>
      </c>
      <c r="S67">
        <v>9</v>
      </c>
      <c r="T67">
        <v>5</v>
      </c>
      <c r="U67">
        <v>4</v>
      </c>
      <c r="V67">
        <v>7</v>
      </c>
      <c r="W67">
        <v>4</v>
      </c>
      <c r="X67">
        <v>3</v>
      </c>
      <c r="Y67">
        <v>9</v>
      </c>
      <c r="Z67">
        <v>3</v>
      </c>
      <c r="AA67">
        <v>6</v>
      </c>
      <c r="AB67">
        <v>7</v>
      </c>
      <c r="AC67">
        <v>5</v>
      </c>
      <c r="AD67">
        <v>2</v>
      </c>
      <c r="AE67">
        <v>8</v>
      </c>
      <c r="AF67">
        <v>6</v>
      </c>
      <c r="AG67">
        <v>2</v>
      </c>
      <c r="AH67">
        <v>9</v>
      </c>
      <c r="AI67">
        <v>6</v>
      </c>
      <c r="AJ67">
        <v>3</v>
      </c>
      <c r="AK67" t="s">
        <v>851</v>
      </c>
      <c r="AL67" t="s">
        <v>852</v>
      </c>
      <c r="AM67" t="s">
        <v>853</v>
      </c>
      <c r="AN67" t="s">
        <v>854</v>
      </c>
      <c r="AO67" t="s">
        <v>855</v>
      </c>
      <c r="AP67" t="s">
        <v>856</v>
      </c>
      <c r="AQ67" t="s">
        <v>857</v>
      </c>
      <c r="AR67" t="s">
        <v>858</v>
      </c>
      <c r="AS67" t="s">
        <v>859</v>
      </c>
    </row>
    <row r="68" spans="1:45" x14ac:dyDescent="0.45">
      <c r="A68">
        <v>67</v>
      </c>
      <c r="B68">
        <v>2057</v>
      </c>
      <c r="C68" t="s">
        <v>78</v>
      </c>
      <c r="D68" t="s">
        <v>79</v>
      </c>
      <c r="E68" t="s">
        <v>74</v>
      </c>
      <c r="F68" t="s">
        <v>75</v>
      </c>
      <c r="G68" t="s">
        <v>76</v>
      </c>
      <c r="H68">
        <v>99.597505023334961</v>
      </c>
      <c r="I68">
        <v>2</v>
      </c>
      <c r="J68">
        <v>7</v>
      </c>
      <c r="K68">
        <v>5</v>
      </c>
      <c r="L68">
        <v>2</v>
      </c>
      <c r="M68">
        <v>8</v>
      </c>
      <c r="N68">
        <v>5</v>
      </c>
      <c r="O68">
        <v>3</v>
      </c>
      <c r="P68">
        <v>6</v>
      </c>
      <c r="Q68">
        <v>4</v>
      </c>
      <c r="R68">
        <v>2</v>
      </c>
      <c r="S68">
        <v>9</v>
      </c>
      <c r="T68">
        <v>4</v>
      </c>
      <c r="U68">
        <v>5</v>
      </c>
      <c r="V68">
        <v>7</v>
      </c>
      <c r="W68">
        <v>2</v>
      </c>
      <c r="X68">
        <v>5</v>
      </c>
      <c r="Y68">
        <v>9</v>
      </c>
      <c r="Z68">
        <v>3</v>
      </c>
      <c r="AA68">
        <v>6</v>
      </c>
      <c r="AB68">
        <v>7</v>
      </c>
      <c r="AC68">
        <v>2</v>
      </c>
      <c r="AD68">
        <v>5</v>
      </c>
      <c r="AE68">
        <v>8</v>
      </c>
      <c r="AF68">
        <v>3</v>
      </c>
      <c r="AG68">
        <v>5</v>
      </c>
      <c r="AH68">
        <v>9</v>
      </c>
      <c r="AI68">
        <v>3</v>
      </c>
      <c r="AJ68">
        <v>6</v>
      </c>
      <c r="AK68" t="s">
        <v>860</v>
      </c>
      <c r="AL68" t="s">
        <v>861</v>
      </c>
      <c r="AM68" t="s">
        <v>862</v>
      </c>
      <c r="AN68" t="s">
        <v>863</v>
      </c>
      <c r="AO68" t="s">
        <v>864</v>
      </c>
      <c r="AP68" t="s">
        <v>865</v>
      </c>
      <c r="AQ68" t="s">
        <v>866</v>
      </c>
      <c r="AR68" t="s">
        <v>867</v>
      </c>
      <c r="AS68" t="s">
        <v>868</v>
      </c>
    </row>
    <row r="69" spans="1:45" x14ac:dyDescent="0.45">
      <c r="A69">
        <v>68</v>
      </c>
      <c r="B69">
        <v>2058</v>
      </c>
      <c r="C69" t="s">
        <v>72</v>
      </c>
      <c r="D69" t="s">
        <v>79</v>
      </c>
      <c r="E69" t="s">
        <v>74</v>
      </c>
      <c r="F69" t="s">
        <v>77</v>
      </c>
      <c r="G69" t="s">
        <v>76</v>
      </c>
      <c r="H69">
        <v>60.426836504796071</v>
      </c>
      <c r="I69">
        <v>2</v>
      </c>
      <c r="J69">
        <v>6</v>
      </c>
      <c r="K69">
        <v>4</v>
      </c>
      <c r="L69">
        <v>2</v>
      </c>
      <c r="M69">
        <v>7</v>
      </c>
      <c r="N69">
        <v>3</v>
      </c>
      <c r="O69">
        <v>4</v>
      </c>
      <c r="P69">
        <v>8</v>
      </c>
      <c r="Q69">
        <v>1</v>
      </c>
      <c r="R69">
        <v>7</v>
      </c>
      <c r="S69">
        <v>9</v>
      </c>
      <c r="T69">
        <v>5</v>
      </c>
      <c r="U69">
        <v>4</v>
      </c>
      <c r="V69">
        <v>7</v>
      </c>
      <c r="W69">
        <v>4</v>
      </c>
      <c r="X69">
        <v>3</v>
      </c>
      <c r="Y69">
        <v>9</v>
      </c>
      <c r="Z69">
        <v>3</v>
      </c>
      <c r="AA69">
        <v>6</v>
      </c>
      <c r="AB69">
        <v>7</v>
      </c>
      <c r="AC69">
        <v>1</v>
      </c>
      <c r="AD69">
        <v>6</v>
      </c>
      <c r="AE69">
        <v>6</v>
      </c>
      <c r="AF69">
        <v>3</v>
      </c>
      <c r="AG69">
        <v>3</v>
      </c>
      <c r="AH69">
        <v>9</v>
      </c>
      <c r="AI69">
        <v>5</v>
      </c>
      <c r="AJ69">
        <v>4</v>
      </c>
      <c r="AK69" t="s">
        <v>869</v>
      </c>
      <c r="AL69" t="s">
        <v>870</v>
      </c>
      <c r="AM69" t="s">
        <v>871</v>
      </c>
      <c r="AN69" t="s">
        <v>872</v>
      </c>
      <c r="AO69" t="s">
        <v>873</v>
      </c>
      <c r="AP69" t="s">
        <v>874</v>
      </c>
      <c r="AQ69" t="s">
        <v>875</v>
      </c>
      <c r="AR69" t="s">
        <v>876</v>
      </c>
      <c r="AS69" t="s">
        <v>877</v>
      </c>
    </row>
    <row r="70" spans="1:45" x14ac:dyDescent="0.45">
      <c r="A70">
        <v>69</v>
      </c>
      <c r="B70">
        <v>2059</v>
      </c>
      <c r="C70" t="s">
        <v>78</v>
      </c>
      <c r="D70" t="s">
        <v>81</v>
      </c>
      <c r="E70" t="s">
        <v>74</v>
      </c>
      <c r="F70" t="s">
        <v>77</v>
      </c>
      <c r="G70" t="s">
        <v>76</v>
      </c>
      <c r="H70">
        <v>19.117716651787891</v>
      </c>
      <c r="I70">
        <v>0</v>
      </c>
      <c r="J70">
        <v>7</v>
      </c>
      <c r="K70">
        <v>7</v>
      </c>
      <c r="L70">
        <v>0</v>
      </c>
      <c r="M70">
        <v>7</v>
      </c>
      <c r="N70">
        <v>7</v>
      </c>
      <c r="O70">
        <v>0</v>
      </c>
      <c r="P70">
        <v>8</v>
      </c>
      <c r="Q70">
        <v>8</v>
      </c>
      <c r="R70">
        <v>0</v>
      </c>
      <c r="S70">
        <v>9</v>
      </c>
      <c r="T70">
        <v>9</v>
      </c>
      <c r="U70">
        <v>0</v>
      </c>
      <c r="V70">
        <v>8</v>
      </c>
      <c r="W70">
        <v>8</v>
      </c>
      <c r="X70">
        <v>0</v>
      </c>
      <c r="Y70">
        <v>9</v>
      </c>
      <c r="Z70">
        <v>10</v>
      </c>
      <c r="AA70">
        <v>-1</v>
      </c>
      <c r="AB70">
        <v>8</v>
      </c>
      <c r="AC70">
        <v>9</v>
      </c>
      <c r="AD70">
        <v>-1</v>
      </c>
      <c r="AE70">
        <v>9</v>
      </c>
      <c r="AF70">
        <v>9</v>
      </c>
      <c r="AG70">
        <v>0</v>
      </c>
      <c r="AH70">
        <v>9</v>
      </c>
      <c r="AI70">
        <v>9</v>
      </c>
      <c r="AJ70">
        <v>0</v>
      </c>
      <c r="AK70" t="s">
        <v>878</v>
      </c>
      <c r="AL70" t="s">
        <v>879</v>
      </c>
      <c r="AM70" t="s">
        <v>880</v>
      </c>
      <c r="AN70" t="s">
        <v>881</v>
      </c>
      <c r="AO70" t="s">
        <v>882</v>
      </c>
      <c r="AP70" t="s">
        <v>883</v>
      </c>
      <c r="AQ70" t="s">
        <v>884</v>
      </c>
      <c r="AR70" t="s">
        <v>885</v>
      </c>
      <c r="AS70" t="s">
        <v>886</v>
      </c>
    </row>
    <row r="71" spans="1:45" x14ac:dyDescent="0.45">
      <c r="A71">
        <v>70</v>
      </c>
      <c r="B71">
        <v>2060</v>
      </c>
      <c r="C71" t="s">
        <v>78</v>
      </c>
      <c r="D71" t="s">
        <v>79</v>
      </c>
      <c r="E71" t="s">
        <v>74</v>
      </c>
      <c r="F71" t="s">
        <v>75</v>
      </c>
      <c r="G71" t="s">
        <v>162</v>
      </c>
      <c r="H71">
        <v>247.17734811541334</v>
      </c>
      <c r="I71">
        <v>1</v>
      </c>
      <c r="J71">
        <v>8</v>
      </c>
      <c r="K71">
        <v>6</v>
      </c>
      <c r="L71">
        <v>2</v>
      </c>
      <c r="M71">
        <v>9</v>
      </c>
      <c r="N71">
        <v>6</v>
      </c>
      <c r="O71">
        <v>3</v>
      </c>
      <c r="P71">
        <v>7</v>
      </c>
      <c r="Q71">
        <v>5</v>
      </c>
      <c r="R71">
        <v>2</v>
      </c>
      <c r="S71">
        <v>9</v>
      </c>
      <c r="T71">
        <v>5</v>
      </c>
      <c r="U71">
        <v>4</v>
      </c>
      <c r="V71">
        <v>7</v>
      </c>
      <c r="W71">
        <v>5</v>
      </c>
      <c r="X71">
        <v>2</v>
      </c>
      <c r="Y71">
        <v>8</v>
      </c>
      <c r="Z71">
        <v>1</v>
      </c>
      <c r="AA71">
        <v>7</v>
      </c>
      <c r="AB71">
        <v>7</v>
      </c>
      <c r="AC71">
        <v>5</v>
      </c>
      <c r="AD71">
        <v>2</v>
      </c>
      <c r="AE71">
        <v>8</v>
      </c>
      <c r="AF71">
        <v>5</v>
      </c>
      <c r="AG71">
        <v>3</v>
      </c>
      <c r="AH71">
        <v>8</v>
      </c>
      <c r="AI71">
        <v>5</v>
      </c>
      <c r="AJ71">
        <v>3</v>
      </c>
      <c r="AK71" t="s">
        <v>887</v>
      </c>
      <c r="AL71" t="s">
        <v>888</v>
      </c>
      <c r="AM71" t="s">
        <v>889</v>
      </c>
      <c r="AN71" t="s">
        <v>890</v>
      </c>
      <c r="AO71" t="s">
        <v>891</v>
      </c>
      <c r="AP71" t="s">
        <v>892</v>
      </c>
      <c r="AQ71" t="s">
        <v>893</v>
      </c>
      <c r="AR71" t="s">
        <v>894</v>
      </c>
      <c r="AS71" t="s">
        <v>895</v>
      </c>
    </row>
    <row r="72" spans="1:45" x14ac:dyDescent="0.45">
      <c r="A72">
        <v>71</v>
      </c>
      <c r="B72">
        <v>2061</v>
      </c>
      <c r="C72" t="s">
        <v>72</v>
      </c>
      <c r="D72" t="s">
        <v>73</v>
      </c>
      <c r="E72" t="s">
        <v>74</v>
      </c>
      <c r="F72" t="s">
        <v>75</v>
      </c>
      <c r="G72" t="s">
        <v>76</v>
      </c>
      <c r="H72">
        <v>24.225859396582763</v>
      </c>
      <c r="I72">
        <v>2</v>
      </c>
      <c r="J72">
        <v>7</v>
      </c>
      <c r="K72">
        <v>3</v>
      </c>
      <c r="L72">
        <v>4</v>
      </c>
      <c r="M72">
        <v>8</v>
      </c>
      <c r="N72">
        <v>3</v>
      </c>
      <c r="O72">
        <v>5</v>
      </c>
      <c r="P72">
        <v>9</v>
      </c>
      <c r="Q72">
        <v>3</v>
      </c>
      <c r="R72">
        <v>6</v>
      </c>
      <c r="S72">
        <v>9</v>
      </c>
      <c r="T72">
        <v>5</v>
      </c>
      <c r="U72">
        <v>4</v>
      </c>
      <c r="V72">
        <v>8</v>
      </c>
      <c r="W72">
        <v>3</v>
      </c>
      <c r="X72">
        <v>5</v>
      </c>
      <c r="Y72">
        <v>9</v>
      </c>
      <c r="Z72">
        <v>3</v>
      </c>
      <c r="AA72">
        <v>6</v>
      </c>
      <c r="AB72">
        <v>8</v>
      </c>
      <c r="AC72">
        <v>3</v>
      </c>
      <c r="AD72">
        <v>5</v>
      </c>
      <c r="AE72">
        <v>7</v>
      </c>
      <c r="AF72">
        <v>3</v>
      </c>
      <c r="AG72">
        <v>4</v>
      </c>
      <c r="AH72">
        <v>9</v>
      </c>
      <c r="AI72">
        <v>4</v>
      </c>
      <c r="AJ72">
        <v>5</v>
      </c>
      <c r="AK72" t="s">
        <v>896</v>
      </c>
      <c r="AL72" t="s">
        <v>897</v>
      </c>
      <c r="AM72" t="s">
        <v>898</v>
      </c>
      <c r="AN72" t="s">
        <v>899</v>
      </c>
      <c r="AO72" t="s">
        <v>900</v>
      </c>
      <c r="AP72" t="s">
        <v>901</v>
      </c>
      <c r="AQ72" t="s">
        <v>902</v>
      </c>
      <c r="AR72" t="s">
        <v>903</v>
      </c>
      <c r="AS72" t="s">
        <v>904</v>
      </c>
    </row>
    <row r="73" spans="1:45" x14ac:dyDescent="0.45">
      <c r="A73">
        <v>72</v>
      </c>
      <c r="B73">
        <v>2062</v>
      </c>
      <c r="C73" t="s">
        <v>78</v>
      </c>
      <c r="D73" t="s">
        <v>73</v>
      </c>
      <c r="E73" t="s">
        <v>74</v>
      </c>
      <c r="F73" t="s">
        <v>77</v>
      </c>
      <c r="G73" t="s">
        <v>162</v>
      </c>
      <c r="H73">
        <v>21.534208899275797</v>
      </c>
      <c r="I73">
        <v>3</v>
      </c>
      <c r="J73">
        <v>7</v>
      </c>
      <c r="K73">
        <v>8</v>
      </c>
      <c r="L73">
        <v>-1</v>
      </c>
      <c r="M73">
        <v>6</v>
      </c>
      <c r="N73">
        <v>8</v>
      </c>
      <c r="O73">
        <v>-2</v>
      </c>
      <c r="P73">
        <v>8</v>
      </c>
      <c r="Q73">
        <v>4</v>
      </c>
      <c r="R73">
        <v>4</v>
      </c>
      <c r="S73">
        <v>9</v>
      </c>
      <c r="T73">
        <v>2</v>
      </c>
      <c r="U73">
        <v>7</v>
      </c>
      <c r="V73">
        <v>7</v>
      </c>
      <c r="W73">
        <v>6</v>
      </c>
      <c r="X73">
        <v>1</v>
      </c>
      <c r="Y73">
        <v>8</v>
      </c>
      <c r="Z73">
        <v>3</v>
      </c>
      <c r="AA73">
        <v>5</v>
      </c>
      <c r="AB73">
        <v>7</v>
      </c>
      <c r="AC73">
        <v>8</v>
      </c>
      <c r="AD73">
        <v>-1</v>
      </c>
      <c r="AE73">
        <v>6</v>
      </c>
      <c r="AF73">
        <v>4</v>
      </c>
      <c r="AG73">
        <v>2</v>
      </c>
      <c r="AH73">
        <v>8</v>
      </c>
      <c r="AI73">
        <v>8</v>
      </c>
      <c r="AJ73">
        <v>0</v>
      </c>
      <c r="AK73" t="s">
        <v>905</v>
      </c>
      <c r="AL73" t="s">
        <v>906</v>
      </c>
      <c r="AM73" t="s">
        <v>907</v>
      </c>
      <c r="AN73" t="s">
        <v>908</v>
      </c>
      <c r="AO73" t="s">
        <v>909</v>
      </c>
      <c r="AP73" t="s">
        <v>910</v>
      </c>
      <c r="AQ73" t="s">
        <v>911</v>
      </c>
      <c r="AR73" t="s">
        <v>912</v>
      </c>
      <c r="AS73" t="s">
        <v>913</v>
      </c>
    </row>
    <row r="74" spans="1:45" x14ac:dyDescent="0.45">
      <c r="A74">
        <v>73</v>
      </c>
      <c r="B74">
        <v>2063</v>
      </c>
      <c r="C74" t="s">
        <v>78</v>
      </c>
      <c r="D74" t="s">
        <v>189</v>
      </c>
      <c r="E74" t="s">
        <v>74</v>
      </c>
      <c r="F74" t="s">
        <v>192</v>
      </c>
      <c r="G74" t="s">
        <v>76</v>
      </c>
      <c r="H74">
        <v>13.59025283310098</v>
      </c>
      <c r="I74">
        <v>0</v>
      </c>
      <c r="J74">
        <v>7</v>
      </c>
      <c r="K74">
        <v>5</v>
      </c>
      <c r="L74">
        <v>2</v>
      </c>
      <c r="M74">
        <v>8</v>
      </c>
      <c r="N74">
        <v>5</v>
      </c>
      <c r="O74">
        <v>3</v>
      </c>
      <c r="P74">
        <v>6</v>
      </c>
      <c r="Q74">
        <v>5</v>
      </c>
      <c r="R74">
        <v>1</v>
      </c>
      <c r="S74">
        <v>9</v>
      </c>
      <c r="T74">
        <v>5</v>
      </c>
      <c r="U74">
        <v>4</v>
      </c>
      <c r="V74">
        <v>7</v>
      </c>
      <c r="W74">
        <v>5</v>
      </c>
      <c r="X74">
        <v>2</v>
      </c>
      <c r="Y74">
        <v>9</v>
      </c>
      <c r="Z74">
        <v>10</v>
      </c>
      <c r="AA74">
        <v>-1</v>
      </c>
      <c r="AB74">
        <v>7</v>
      </c>
      <c r="AC74">
        <v>5</v>
      </c>
      <c r="AD74">
        <v>2</v>
      </c>
      <c r="AE74">
        <v>6</v>
      </c>
      <c r="AF74">
        <v>5</v>
      </c>
      <c r="AG74">
        <v>1</v>
      </c>
      <c r="AH74">
        <v>5</v>
      </c>
      <c r="AI74">
        <v>10</v>
      </c>
      <c r="AJ74">
        <v>-5</v>
      </c>
      <c r="AK74" t="s">
        <v>914</v>
      </c>
      <c r="AL74" t="s">
        <v>915</v>
      </c>
      <c r="AM74" t="s">
        <v>916</v>
      </c>
      <c r="AN74" t="s">
        <v>917</v>
      </c>
      <c r="AO74" t="s">
        <v>918</v>
      </c>
      <c r="AP74" t="s">
        <v>919</v>
      </c>
      <c r="AQ74" t="s">
        <v>920</v>
      </c>
      <c r="AR74" t="s">
        <v>921</v>
      </c>
      <c r="AS74" t="s">
        <v>922</v>
      </c>
    </row>
    <row r="75" spans="1:45" x14ac:dyDescent="0.45">
      <c r="A75">
        <v>74</v>
      </c>
      <c r="B75">
        <v>2064</v>
      </c>
      <c r="C75" t="s">
        <v>72</v>
      </c>
      <c r="D75" t="s">
        <v>73</v>
      </c>
      <c r="E75" t="s">
        <v>74</v>
      </c>
      <c r="F75" t="s">
        <v>77</v>
      </c>
      <c r="G75" t="s">
        <v>162</v>
      </c>
      <c r="H75">
        <v>20.608193558112948</v>
      </c>
      <c r="I75">
        <v>1</v>
      </c>
      <c r="J75">
        <v>7</v>
      </c>
      <c r="K75">
        <v>5</v>
      </c>
      <c r="L75">
        <v>2</v>
      </c>
      <c r="M75">
        <v>6</v>
      </c>
      <c r="N75">
        <v>10</v>
      </c>
      <c r="O75">
        <v>-4</v>
      </c>
      <c r="P75">
        <v>9</v>
      </c>
      <c r="Q75">
        <v>2</v>
      </c>
      <c r="R75">
        <v>7</v>
      </c>
      <c r="S75">
        <v>8</v>
      </c>
      <c r="T75">
        <v>8</v>
      </c>
      <c r="U75">
        <v>0</v>
      </c>
      <c r="V75">
        <v>9</v>
      </c>
      <c r="W75">
        <v>5</v>
      </c>
      <c r="X75">
        <v>4</v>
      </c>
      <c r="Y75">
        <v>8</v>
      </c>
      <c r="Z75">
        <v>5</v>
      </c>
      <c r="AA75">
        <v>3</v>
      </c>
      <c r="AB75">
        <v>7</v>
      </c>
      <c r="AC75">
        <v>1</v>
      </c>
      <c r="AD75">
        <v>6</v>
      </c>
      <c r="AE75">
        <v>8</v>
      </c>
      <c r="AF75">
        <v>4</v>
      </c>
      <c r="AG75">
        <v>4</v>
      </c>
      <c r="AH75">
        <v>9</v>
      </c>
      <c r="AI75">
        <v>5</v>
      </c>
      <c r="AJ75">
        <v>4</v>
      </c>
      <c r="AK75" t="s">
        <v>923</v>
      </c>
      <c r="AL75" t="s">
        <v>924</v>
      </c>
      <c r="AM75" t="s">
        <v>925</v>
      </c>
      <c r="AN75" t="s">
        <v>926</v>
      </c>
      <c r="AO75" t="s">
        <v>927</v>
      </c>
      <c r="AP75" t="s">
        <v>928</v>
      </c>
      <c r="AQ75" t="s">
        <v>929</v>
      </c>
      <c r="AR75" t="s">
        <v>930</v>
      </c>
      <c r="AS75" t="s">
        <v>931</v>
      </c>
    </row>
    <row r="76" spans="1:45" x14ac:dyDescent="0.45">
      <c r="A76">
        <v>75</v>
      </c>
      <c r="B76">
        <v>2065</v>
      </c>
      <c r="C76" t="s">
        <v>78</v>
      </c>
      <c r="D76" t="s">
        <v>79</v>
      </c>
      <c r="E76" t="s">
        <v>74</v>
      </c>
      <c r="F76" t="s">
        <v>75</v>
      </c>
      <c r="G76" t="s">
        <v>76</v>
      </c>
      <c r="H76">
        <v>63.766022638741298</v>
      </c>
      <c r="I76">
        <v>2</v>
      </c>
      <c r="J76">
        <v>8</v>
      </c>
      <c r="K76">
        <v>8</v>
      </c>
      <c r="L76">
        <v>0</v>
      </c>
      <c r="M76">
        <v>9</v>
      </c>
      <c r="N76">
        <v>9</v>
      </c>
      <c r="O76">
        <v>0</v>
      </c>
      <c r="P76">
        <v>10</v>
      </c>
      <c r="Q76">
        <v>9</v>
      </c>
      <c r="R76">
        <v>1</v>
      </c>
      <c r="S76">
        <v>10</v>
      </c>
      <c r="T76">
        <v>9</v>
      </c>
      <c r="U76">
        <v>1</v>
      </c>
      <c r="V76">
        <v>9</v>
      </c>
      <c r="W76">
        <v>3</v>
      </c>
      <c r="X76">
        <v>6</v>
      </c>
      <c r="Y76">
        <v>10</v>
      </c>
      <c r="Z76">
        <v>3</v>
      </c>
      <c r="AA76">
        <v>7</v>
      </c>
      <c r="AB76">
        <v>9</v>
      </c>
      <c r="AC76">
        <v>2</v>
      </c>
      <c r="AD76">
        <v>7</v>
      </c>
      <c r="AE76">
        <v>9</v>
      </c>
      <c r="AF76">
        <v>2</v>
      </c>
      <c r="AG76">
        <v>7</v>
      </c>
      <c r="AH76">
        <v>10</v>
      </c>
      <c r="AI76">
        <v>6</v>
      </c>
      <c r="AJ76">
        <v>4</v>
      </c>
      <c r="AK76" t="s">
        <v>932</v>
      </c>
      <c r="AL76" t="s">
        <v>933</v>
      </c>
      <c r="AM76" t="s">
        <v>934</v>
      </c>
      <c r="AN76" t="s">
        <v>935</v>
      </c>
      <c r="AO76" t="s">
        <v>936</v>
      </c>
      <c r="AP76" t="s">
        <v>937</v>
      </c>
      <c r="AQ76" t="s">
        <v>938</v>
      </c>
      <c r="AR76" t="s">
        <v>939</v>
      </c>
      <c r="AS76" t="s">
        <v>940</v>
      </c>
    </row>
    <row r="77" spans="1:45" x14ac:dyDescent="0.45">
      <c r="A77">
        <v>76</v>
      </c>
      <c r="B77">
        <v>2066</v>
      </c>
      <c r="C77" t="s">
        <v>78</v>
      </c>
      <c r="D77" t="s">
        <v>79</v>
      </c>
      <c r="E77" t="s">
        <v>80</v>
      </c>
      <c r="F77" t="s">
        <v>192</v>
      </c>
      <c r="G77" t="s">
        <v>162</v>
      </c>
      <c r="H77">
        <v>12.049198880927142</v>
      </c>
      <c r="I77">
        <v>3</v>
      </c>
      <c r="J77">
        <v>6</v>
      </c>
      <c r="K77">
        <v>5</v>
      </c>
      <c r="L77">
        <v>1</v>
      </c>
      <c r="M77">
        <v>7</v>
      </c>
      <c r="N77">
        <v>5</v>
      </c>
      <c r="O77">
        <v>2</v>
      </c>
      <c r="P77">
        <v>5</v>
      </c>
      <c r="Q77">
        <v>5</v>
      </c>
      <c r="R77">
        <v>0</v>
      </c>
      <c r="S77">
        <v>6</v>
      </c>
      <c r="T77">
        <v>5</v>
      </c>
      <c r="U77">
        <v>1</v>
      </c>
      <c r="V77">
        <v>9</v>
      </c>
      <c r="W77">
        <v>5</v>
      </c>
      <c r="X77">
        <v>4</v>
      </c>
      <c r="Y77">
        <v>8</v>
      </c>
      <c r="Z77">
        <v>5</v>
      </c>
      <c r="AA77">
        <v>3</v>
      </c>
      <c r="AB77">
        <v>9</v>
      </c>
      <c r="AC77">
        <v>5</v>
      </c>
      <c r="AD77">
        <v>4</v>
      </c>
      <c r="AE77">
        <v>5</v>
      </c>
      <c r="AF77">
        <v>5</v>
      </c>
      <c r="AG77">
        <v>0</v>
      </c>
      <c r="AH77">
        <v>7</v>
      </c>
      <c r="AI77">
        <v>5</v>
      </c>
      <c r="AJ77">
        <v>2</v>
      </c>
      <c r="AK77" t="s">
        <v>941</v>
      </c>
      <c r="AL77" t="s">
        <v>942</v>
      </c>
      <c r="AM77" t="s">
        <v>943</v>
      </c>
      <c r="AN77" t="s">
        <v>944</v>
      </c>
      <c r="AO77" t="s">
        <v>945</v>
      </c>
      <c r="AP77" t="s">
        <v>946</v>
      </c>
      <c r="AQ77" t="s">
        <v>947</v>
      </c>
      <c r="AR77" t="s">
        <v>948</v>
      </c>
      <c r="AS77" t="s">
        <v>949</v>
      </c>
    </row>
    <row r="78" spans="1:45" x14ac:dyDescent="0.45">
      <c r="A78">
        <v>77</v>
      </c>
      <c r="B78">
        <v>2067</v>
      </c>
      <c r="C78" t="s">
        <v>72</v>
      </c>
      <c r="D78" t="s">
        <v>191</v>
      </c>
      <c r="E78" t="s">
        <v>74</v>
      </c>
      <c r="F78" t="s">
        <v>77</v>
      </c>
      <c r="G78" t="s">
        <v>76</v>
      </c>
      <c r="H78">
        <v>16.163866161295601</v>
      </c>
      <c r="I78">
        <v>2</v>
      </c>
      <c r="J78">
        <v>6</v>
      </c>
      <c r="K78">
        <v>8</v>
      </c>
      <c r="L78">
        <v>-2</v>
      </c>
      <c r="M78">
        <v>7</v>
      </c>
      <c r="N78">
        <v>8</v>
      </c>
      <c r="O78">
        <v>-1</v>
      </c>
      <c r="P78">
        <v>9</v>
      </c>
      <c r="Q78">
        <v>8</v>
      </c>
      <c r="R78">
        <v>1</v>
      </c>
      <c r="S78">
        <v>9</v>
      </c>
      <c r="T78">
        <v>8</v>
      </c>
      <c r="U78">
        <v>1</v>
      </c>
      <c r="V78">
        <v>7</v>
      </c>
      <c r="W78">
        <v>9</v>
      </c>
      <c r="X78">
        <v>-2</v>
      </c>
      <c r="Y78">
        <v>9</v>
      </c>
      <c r="Z78">
        <v>7</v>
      </c>
      <c r="AA78">
        <v>2</v>
      </c>
      <c r="AB78">
        <v>7</v>
      </c>
      <c r="AC78">
        <v>9</v>
      </c>
      <c r="AD78">
        <v>-2</v>
      </c>
      <c r="AE78">
        <v>7</v>
      </c>
      <c r="AF78">
        <v>10</v>
      </c>
      <c r="AG78">
        <v>-3</v>
      </c>
      <c r="AH78">
        <v>8</v>
      </c>
      <c r="AI78">
        <v>8</v>
      </c>
      <c r="AJ78">
        <v>0</v>
      </c>
      <c r="AK78" t="s">
        <v>950</v>
      </c>
      <c r="AL78" t="s">
        <v>951</v>
      </c>
      <c r="AM78" t="s">
        <v>952</v>
      </c>
      <c r="AN78" t="s">
        <v>953</v>
      </c>
      <c r="AO78" t="s">
        <v>954</v>
      </c>
      <c r="AP78" t="s">
        <v>955</v>
      </c>
      <c r="AQ78" t="s">
        <v>956</v>
      </c>
      <c r="AR78" t="s">
        <v>957</v>
      </c>
      <c r="AS78" t="s">
        <v>958</v>
      </c>
    </row>
    <row r="79" spans="1:45" x14ac:dyDescent="0.45">
      <c r="A79">
        <v>78</v>
      </c>
      <c r="B79">
        <v>2068</v>
      </c>
      <c r="C79" t="s">
        <v>72</v>
      </c>
      <c r="D79" t="s">
        <v>73</v>
      </c>
      <c r="E79" t="s">
        <v>74</v>
      </c>
      <c r="F79" t="s">
        <v>75</v>
      </c>
      <c r="G79" t="s">
        <v>76</v>
      </c>
      <c r="H79">
        <v>43.928510667121479</v>
      </c>
      <c r="I79">
        <v>2</v>
      </c>
      <c r="J79">
        <v>7</v>
      </c>
      <c r="K79">
        <v>8</v>
      </c>
      <c r="L79">
        <v>-1</v>
      </c>
      <c r="M79">
        <v>6</v>
      </c>
      <c r="N79">
        <v>7</v>
      </c>
      <c r="O79">
        <v>-1</v>
      </c>
      <c r="P79">
        <v>8</v>
      </c>
      <c r="Q79">
        <v>9</v>
      </c>
      <c r="R79">
        <v>-1</v>
      </c>
      <c r="S79">
        <v>9</v>
      </c>
      <c r="T79">
        <v>8</v>
      </c>
      <c r="U79">
        <v>1</v>
      </c>
      <c r="V79">
        <v>7</v>
      </c>
      <c r="W79">
        <v>8</v>
      </c>
      <c r="X79">
        <v>-1</v>
      </c>
      <c r="Y79">
        <v>8</v>
      </c>
      <c r="Z79">
        <v>8</v>
      </c>
      <c r="AA79">
        <v>0</v>
      </c>
      <c r="AB79">
        <v>6</v>
      </c>
      <c r="AC79">
        <v>6</v>
      </c>
      <c r="AD79">
        <v>0</v>
      </c>
      <c r="AE79">
        <v>7</v>
      </c>
      <c r="AF79">
        <v>6</v>
      </c>
      <c r="AG79">
        <v>1</v>
      </c>
      <c r="AH79">
        <v>8</v>
      </c>
      <c r="AI79">
        <v>7</v>
      </c>
      <c r="AJ79">
        <v>1</v>
      </c>
      <c r="AK79" t="s">
        <v>959</v>
      </c>
      <c r="AL79" t="s">
        <v>960</v>
      </c>
      <c r="AM79" t="s">
        <v>961</v>
      </c>
      <c r="AN79" t="s">
        <v>962</v>
      </c>
      <c r="AO79" t="s">
        <v>963</v>
      </c>
      <c r="AP79" t="s">
        <v>964</v>
      </c>
      <c r="AQ79" t="s">
        <v>965</v>
      </c>
      <c r="AR79" t="s">
        <v>966</v>
      </c>
      <c r="AS79" t="s">
        <v>967</v>
      </c>
    </row>
    <row r="80" spans="1:45" x14ac:dyDescent="0.45">
      <c r="A80">
        <v>79</v>
      </c>
      <c r="B80">
        <v>2069</v>
      </c>
      <c r="C80" t="s">
        <v>72</v>
      </c>
      <c r="D80" t="s">
        <v>193</v>
      </c>
      <c r="E80" t="s">
        <v>74</v>
      </c>
      <c r="F80" t="s">
        <v>192</v>
      </c>
      <c r="G80" t="s">
        <v>162</v>
      </c>
      <c r="H80">
        <v>13.564374857538178</v>
      </c>
      <c r="I80">
        <v>0</v>
      </c>
      <c r="J80">
        <v>6</v>
      </c>
      <c r="K80">
        <v>6</v>
      </c>
      <c r="L80">
        <v>0</v>
      </c>
      <c r="M80">
        <v>7</v>
      </c>
      <c r="N80">
        <v>2</v>
      </c>
      <c r="O80">
        <v>5</v>
      </c>
      <c r="P80">
        <v>8</v>
      </c>
      <c r="Q80">
        <v>3</v>
      </c>
      <c r="R80">
        <v>5</v>
      </c>
      <c r="S80">
        <v>9</v>
      </c>
      <c r="T80">
        <v>2</v>
      </c>
      <c r="U80">
        <v>7</v>
      </c>
      <c r="V80">
        <v>7</v>
      </c>
      <c r="W80">
        <v>3</v>
      </c>
      <c r="X80">
        <v>4</v>
      </c>
      <c r="Y80">
        <v>8</v>
      </c>
      <c r="Z80">
        <v>7</v>
      </c>
      <c r="AA80">
        <v>1</v>
      </c>
      <c r="AB80">
        <v>7</v>
      </c>
      <c r="AC80">
        <v>5</v>
      </c>
      <c r="AD80">
        <v>2</v>
      </c>
      <c r="AE80">
        <v>6</v>
      </c>
      <c r="AF80">
        <v>5</v>
      </c>
      <c r="AG80">
        <v>1</v>
      </c>
      <c r="AH80">
        <v>8</v>
      </c>
      <c r="AI80">
        <v>7</v>
      </c>
      <c r="AJ80">
        <v>1</v>
      </c>
      <c r="AK80" t="s">
        <v>968</v>
      </c>
      <c r="AL80" t="s">
        <v>969</v>
      </c>
      <c r="AM80" t="s">
        <v>970</v>
      </c>
      <c r="AN80" t="s">
        <v>971</v>
      </c>
      <c r="AO80" t="s">
        <v>972</v>
      </c>
      <c r="AP80" t="s">
        <v>973</v>
      </c>
      <c r="AQ80" t="s">
        <v>974</v>
      </c>
      <c r="AR80" t="s">
        <v>975</v>
      </c>
      <c r="AS80" t="s">
        <v>976</v>
      </c>
    </row>
    <row r="81" spans="1:45" x14ac:dyDescent="0.45">
      <c r="A81">
        <v>80</v>
      </c>
      <c r="B81">
        <v>2070</v>
      </c>
      <c r="C81" t="s">
        <v>78</v>
      </c>
      <c r="D81" t="s">
        <v>81</v>
      </c>
      <c r="E81" t="s">
        <v>74</v>
      </c>
      <c r="F81" t="s">
        <v>77</v>
      </c>
      <c r="G81" t="s">
        <v>76</v>
      </c>
      <c r="H81">
        <v>13.25907015471039</v>
      </c>
      <c r="I81">
        <v>0</v>
      </c>
      <c r="J81">
        <v>7</v>
      </c>
      <c r="K81">
        <v>8</v>
      </c>
      <c r="L81">
        <v>-1</v>
      </c>
      <c r="M81">
        <v>8</v>
      </c>
      <c r="N81">
        <v>8</v>
      </c>
      <c r="O81">
        <v>0</v>
      </c>
      <c r="P81">
        <v>9</v>
      </c>
      <c r="Q81">
        <v>8</v>
      </c>
      <c r="R81">
        <v>1</v>
      </c>
      <c r="S81">
        <v>9</v>
      </c>
      <c r="T81">
        <v>8</v>
      </c>
      <c r="U81">
        <v>1</v>
      </c>
      <c r="V81">
        <v>7</v>
      </c>
      <c r="W81">
        <v>8</v>
      </c>
      <c r="X81">
        <v>-1</v>
      </c>
      <c r="Y81">
        <v>8</v>
      </c>
      <c r="Z81">
        <v>8</v>
      </c>
      <c r="AA81">
        <v>0</v>
      </c>
      <c r="AB81">
        <v>7</v>
      </c>
      <c r="AC81">
        <v>8</v>
      </c>
      <c r="AD81">
        <v>-1</v>
      </c>
      <c r="AE81">
        <v>8</v>
      </c>
      <c r="AF81">
        <v>8</v>
      </c>
      <c r="AG81">
        <v>0</v>
      </c>
      <c r="AH81">
        <v>9</v>
      </c>
      <c r="AI81">
        <v>8</v>
      </c>
      <c r="AJ81">
        <v>1</v>
      </c>
      <c r="AK81" t="s">
        <v>977</v>
      </c>
      <c r="AL81" t="s">
        <v>978</v>
      </c>
      <c r="AM81" t="s">
        <v>979</v>
      </c>
      <c r="AN81" t="s">
        <v>980</v>
      </c>
      <c r="AO81" t="s">
        <v>981</v>
      </c>
      <c r="AP81" t="s">
        <v>982</v>
      </c>
      <c r="AQ81" t="s">
        <v>983</v>
      </c>
      <c r="AR81" t="s">
        <v>984</v>
      </c>
      <c r="AS81" t="s">
        <v>985</v>
      </c>
    </row>
    <row r="82" spans="1:45" x14ac:dyDescent="0.45">
      <c r="A82">
        <v>81</v>
      </c>
      <c r="B82">
        <v>2071</v>
      </c>
      <c r="C82" t="s">
        <v>78</v>
      </c>
      <c r="D82" t="s">
        <v>193</v>
      </c>
      <c r="E82" t="s">
        <v>74</v>
      </c>
      <c r="F82" t="s">
        <v>75</v>
      </c>
      <c r="G82" t="s">
        <v>162</v>
      </c>
      <c r="H82">
        <v>12</v>
      </c>
      <c r="I82">
        <v>0</v>
      </c>
      <c r="J82">
        <v>6</v>
      </c>
      <c r="K82">
        <v>7</v>
      </c>
      <c r="L82">
        <v>-1</v>
      </c>
      <c r="M82">
        <v>7</v>
      </c>
      <c r="N82">
        <v>7</v>
      </c>
      <c r="O82">
        <v>0</v>
      </c>
      <c r="P82">
        <v>8</v>
      </c>
      <c r="Q82">
        <v>5</v>
      </c>
      <c r="R82">
        <v>3</v>
      </c>
      <c r="S82">
        <v>9</v>
      </c>
      <c r="T82">
        <v>5</v>
      </c>
      <c r="U82">
        <v>4</v>
      </c>
      <c r="V82">
        <v>6</v>
      </c>
      <c r="W82">
        <v>6</v>
      </c>
      <c r="X82">
        <v>0</v>
      </c>
      <c r="Y82">
        <v>8</v>
      </c>
      <c r="Z82">
        <v>5</v>
      </c>
      <c r="AA82">
        <v>3</v>
      </c>
      <c r="AB82">
        <v>7</v>
      </c>
      <c r="AC82">
        <v>8</v>
      </c>
      <c r="AD82">
        <v>-1</v>
      </c>
      <c r="AE82">
        <v>8</v>
      </c>
      <c r="AF82">
        <v>6</v>
      </c>
      <c r="AG82">
        <v>2</v>
      </c>
      <c r="AH82">
        <v>9</v>
      </c>
      <c r="AI82">
        <v>8</v>
      </c>
      <c r="AJ82">
        <v>1</v>
      </c>
      <c r="AK82" t="s">
        <v>986</v>
      </c>
      <c r="AL82" t="s">
        <v>987</v>
      </c>
      <c r="AM82" t="s">
        <v>988</v>
      </c>
      <c r="AN82" t="s">
        <v>989</v>
      </c>
      <c r="AO82" t="s">
        <v>990</v>
      </c>
      <c r="AP82" t="s">
        <v>991</v>
      </c>
      <c r="AQ82" t="s">
        <v>992</v>
      </c>
      <c r="AR82" t="s">
        <v>993</v>
      </c>
      <c r="AS82" t="s">
        <v>994</v>
      </c>
    </row>
    <row r="83" spans="1:45" x14ac:dyDescent="0.45">
      <c r="A83">
        <v>82</v>
      </c>
      <c r="B83">
        <v>2072</v>
      </c>
      <c r="C83" t="s">
        <v>72</v>
      </c>
      <c r="D83" t="s">
        <v>193</v>
      </c>
      <c r="E83" t="s">
        <v>74</v>
      </c>
      <c r="F83" t="s">
        <v>77</v>
      </c>
      <c r="G83" t="s">
        <v>162</v>
      </c>
      <c r="H83">
        <v>13.436490089019367</v>
      </c>
      <c r="I83">
        <v>1</v>
      </c>
      <c r="J83">
        <v>5</v>
      </c>
      <c r="K83">
        <v>8</v>
      </c>
      <c r="L83">
        <v>-3</v>
      </c>
      <c r="M83">
        <v>4</v>
      </c>
      <c r="N83">
        <v>9</v>
      </c>
      <c r="O83">
        <v>-5</v>
      </c>
      <c r="P83">
        <v>7</v>
      </c>
      <c r="Q83">
        <v>5</v>
      </c>
      <c r="R83">
        <v>2</v>
      </c>
      <c r="S83">
        <v>9</v>
      </c>
      <c r="T83">
        <v>5</v>
      </c>
      <c r="U83">
        <v>4</v>
      </c>
      <c r="V83">
        <v>8</v>
      </c>
      <c r="W83">
        <v>5</v>
      </c>
      <c r="X83">
        <v>3</v>
      </c>
      <c r="Y83">
        <v>9</v>
      </c>
      <c r="Z83">
        <v>5</v>
      </c>
      <c r="AA83">
        <v>4</v>
      </c>
      <c r="AB83">
        <v>8</v>
      </c>
      <c r="AC83">
        <v>1</v>
      </c>
      <c r="AD83">
        <v>7</v>
      </c>
      <c r="AE83">
        <v>7</v>
      </c>
      <c r="AF83">
        <v>5</v>
      </c>
      <c r="AG83">
        <v>2</v>
      </c>
      <c r="AH83">
        <v>8</v>
      </c>
      <c r="AI83">
        <v>5</v>
      </c>
      <c r="AJ83">
        <v>3</v>
      </c>
      <c r="AK83" t="s">
        <v>995</v>
      </c>
      <c r="AL83" t="s">
        <v>996</v>
      </c>
      <c r="AM83" t="s">
        <v>997</v>
      </c>
      <c r="AN83" t="s">
        <v>998</v>
      </c>
      <c r="AO83" t="s">
        <v>999</v>
      </c>
      <c r="AP83" t="s">
        <v>1000</v>
      </c>
      <c r="AQ83" t="s">
        <v>1001</v>
      </c>
      <c r="AR83" t="s">
        <v>1002</v>
      </c>
      <c r="AS83" t="s">
        <v>1003</v>
      </c>
    </row>
    <row r="84" spans="1:45" x14ac:dyDescent="0.45">
      <c r="A84">
        <v>83</v>
      </c>
      <c r="B84">
        <v>2073</v>
      </c>
      <c r="C84" t="s">
        <v>72</v>
      </c>
      <c r="D84" t="s">
        <v>79</v>
      </c>
      <c r="E84" t="s">
        <v>74</v>
      </c>
      <c r="F84" t="s">
        <v>75</v>
      </c>
      <c r="G84" t="s">
        <v>76</v>
      </c>
      <c r="H84">
        <v>16.910354443510919</v>
      </c>
      <c r="I84">
        <v>2</v>
      </c>
      <c r="J84">
        <v>8</v>
      </c>
      <c r="K84">
        <v>10</v>
      </c>
      <c r="L84">
        <v>-2</v>
      </c>
      <c r="M84">
        <v>7</v>
      </c>
      <c r="N84">
        <v>8</v>
      </c>
      <c r="O84">
        <v>-1</v>
      </c>
      <c r="P84">
        <v>9</v>
      </c>
      <c r="Q84">
        <v>8</v>
      </c>
      <c r="R84">
        <v>1</v>
      </c>
      <c r="S84">
        <v>8</v>
      </c>
      <c r="T84">
        <v>7</v>
      </c>
      <c r="U84">
        <v>1</v>
      </c>
      <c r="V84">
        <v>9</v>
      </c>
      <c r="W84">
        <v>7</v>
      </c>
      <c r="X84">
        <v>2</v>
      </c>
      <c r="Y84">
        <v>8</v>
      </c>
      <c r="Z84">
        <v>6</v>
      </c>
      <c r="AA84">
        <v>2</v>
      </c>
      <c r="AB84">
        <v>9</v>
      </c>
      <c r="AC84">
        <v>7</v>
      </c>
      <c r="AD84">
        <v>2</v>
      </c>
      <c r="AE84">
        <v>8</v>
      </c>
      <c r="AF84">
        <v>6</v>
      </c>
      <c r="AG84">
        <v>2</v>
      </c>
      <c r="AH84">
        <v>9</v>
      </c>
      <c r="AI84">
        <v>8</v>
      </c>
      <c r="AJ84">
        <v>1</v>
      </c>
      <c r="AK84" t="s">
        <v>1004</v>
      </c>
      <c r="AL84" t="s">
        <v>1005</v>
      </c>
      <c r="AM84" t="s">
        <v>1006</v>
      </c>
      <c r="AN84" t="s">
        <v>1007</v>
      </c>
      <c r="AO84" t="s">
        <v>1008</v>
      </c>
      <c r="AP84" t="s">
        <v>1009</v>
      </c>
      <c r="AQ84" t="s">
        <v>1010</v>
      </c>
      <c r="AR84" t="s">
        <v>1011</v>
      </c>
      <c r="AS84" t="s">
        <v>1012</v>
      </c>
    </row>
    <row r="85" spans="1:45" x14ac:dyDescent="0.45">
      <c r="A85">
        <v>84</v>
      </c>
      <c r="B85">
        <v>2074</v>
      </c>
      <c r="C85" t="s">
        <v>72</v>
      </c>
      <c r="D85" t="s">
        <v>73</v>
      </c>
      <c r="E85" t="s">
        <v>74</v>
      </c>
      <c r="F85" t="s">
        <v>190</v>
      </c>
      <c r="G85" t="s">
        <v>76</v>
      </c>
      <c r="H85">
        <v>12.849936354493103</v>
      </c>
      <c r="I85">
        <v>1</v>
      </c>
      <c r="J85">
        <v>9</v>
      </c>
      <c r="K85">
        <v>6</v>
      </c>
      <c r="L85">
        <v>3</v>
      </c>
      <c r="M85">
        <v>8</v>
      </c>
      <c r="N85">
        <v>7</v>
      </c>
      <c r="O85">
        <v>1</v>
      </c>
      <c r="P85">
        <v>9</v>
      </c>
      <c r="Q85">
        <v>5</v>
      </c>
      <c r="R85">
        <v>4</v>
      </c>
      <c r="S85">
        <v>8</v>
      </c>
      <c r="T85">
        <v>5</v>
      </c>
      <c r="U85">
        <v>3</v>
      </c>
      <c r="V85">
        <v>9</v>
      </c>
      <c r="W85">
        <v>5</v>
      </c>
      <c r="X85">
        <v>4</v>
      </c>
      <c r="Y85">
        <v>8</v>
      </c>
      <c r="Z85">
        <v>5</v>
      </c>
      <c r="AA85">
        <v>3</v>
      </c>
      <c r="AB85">
        <v>9</v>
      </c>
      <c r="AC85">
        <v>5</v>
      </c>
      <c r="AD85">
        <v>4</v>
      </c>
      <c r="AE85">
        <v>8</v>
      </c>
      <c r="AF85">
        <v>5</v>
      </c>
      <c r="AG85">
        <v>3</v>
      </c>
      <c r="AH85">
        <v>9</v>
      </c>
      <c r="AI85">
        <v>5</v>
      </c>
      <c r="AJ85">
        <v>4</v>
      </c>
      <c r="AK85" t="s">
        <v>1013</v>
      </c>
      <c r="AL85" t="s">
        <v>1014</v>
      </c>
      <c r="AM85" t="s">
        <v>1015</v>
      </c>
      <c r="AN85" t="s">
        <v>1016</v>
      </c>
      <c r="AO85" t="s">
        <v>1017</v>
      </c>
      <c r="AP85" t="s">
        <v>1018</v>
      </c>
      <c r="AQ85" t="s">
        <v>1019</v>
      </c>
      <c r="AR85" t="s">
        <v>1020</v>
      </c>
      <c r="AS85" t="s">
        <v>1021</v>
      </c>
    </row>
    <row r="86" spans="1:45" x14ac:dyDescent="0.45">
      <c r="A86">
        <v>85</v>
      </c>
      <c r="B86">
        <v>2075</v>
      </c>
      <c r="C86" t="s">
        <v>72</v>
      </c>
      <c r="D86" t="s">
        <v>79</v>
      </c>
      <c r="E86" t="s">
        <v>74</v>
      </c>
      <c r="F86" t="s">
        <v>77</v>
      </c>
      <c r="G86" t="s">
        <v>76</v>
      </c>
      <c r="H86">
        <v>15.171834045282333</v>
      </c>
      <c r="I86">
        <v>2</v>
      </c>
      <c r="J86">
        <v>6</v>
      </c>
      <c r="K86">
        <v>9</v>
      </c>
      <c r="L86">
        <v>-3</v>
      </c>
      <c r="M86">
        <v>7</v>
      </c>
      <c r="N86">
        <v>9</v>
      </c>
      <c r="O86">
        <v>-2</v>
      </c>
      <c r="P86">
        <v>9</v>
      </c>
      <c r="Q86">
        <v>8</v>
      </c>
      <c r="R86">
        <v>1</v>
      </c>
      <c r="S86">
        <v>8</v>
      </c>
      <c r="T86">
        <v>9</v>
      </c>
      <c r="U86">
        <v>-1</v>
      </c>
      <c r="V86">
        <v>9</v>
      </c>
      <c r="W86">
        <v>9</v>
      </c>
      <c r="X86">
        <v>0</v>
      </c>
      <c r="Y86">
        <v>8</v>
      </c>
      <c r="Z86">
        <v>9</v>
      </c>
      <c r="AA86">
        <v>-1</v>
      </c>
      <c r="AB86">
        <v>9</v>
      </c>
      <c r="AC86">
        <v>7</v>
      </c>
      <c r="AD86">
        <v>2</v>
      </c>
      <c r="AE86">
        <v>7</v>
      </c>
      <c r="AF86">
        <v>8</v>
      </c>
      <c r="AG86">
        <v>-1</v>
      </c>
      <c r="AH86">
        <v>8</v>
      </c>
      <c r="AI86">
        <v>8</v>
      </c>
      <c r="AJ86">
        <v>0</v>
      </c>
      <c r="AK86" t="s">
        <v>202</v>
      </c>
      <c r="AL86" t="s">
        <v>202</v>
      </c>
      <c r="AM86" t="s">
        <v>202</v>
      </c>
      <c r="AN86" t="s">
        <v>202</v>
      </c>
      <c r="AO86" t="s">
        <v>202</v>
      </c>
      <c r="AP86" t="s">
        <v>202</v>
      </c>
      <c r="AQ86" t="s">
        <v>202</v>
      </c>
      <c r="AR86" t="s">
        <v>202</v>
      </c>
      <c r="AS86" t="s">
        <v>202</v>
      </c>
    </row>
    <row r="87" spans="1:45" x14ac:dyDescent="0.45">
      <c r="A87">
        <v>86</v>
      </c>
      <c r="B87">
        <v>2076</v>
      </c>
      <c r="C87" t="s">
        <v>78</v>
      </c>
      <c r="D87" t="s">
        <v>73</v>
      </c>
      <c r="E87" t="s">
        <v>80</v>
      </c>
      <c r="F87" t="s">
        <v>77</v>
      </c>
      <c r="G87" t="s">
        <v>76</v>
      </c>
      <c r="H87">
        <v>12.678193407051058</v>
      </c>
      <c r="I87">
        <v>0</v>
      </c>
      <c r="J87">
        <v>6</v>
      </c>
      <c r="K87">
        <v>5</v>
      </c>
      <c r="L87">
        <v>1</v>
      </c>
      <c r="M87">
        <v>5</v>
      </c>
      <c r="N87">
        <v>5</v>
      </c>
      <c r="O87">
        <v>0</v>
      </c>
      <c r="P87">
        <v>9</v>
      </c>
      <c r="Q87">
        <v>10</v>
      </c>
      <c r="R87">
        <v>-1</v>
      </c>
      <c r="S87">
        <v>8</v>
      </c>
      <c r="T87">
        <v>4</v>
      </c>
      <c r="U87">
        <v>4</v>
      </c>
      <c r="V87">
        <v>9</v>
      </c>
      <c r="W87">
        <v>4</v>
      </c>
      <c r="X87">
        <v>5</v>
      </c>
      <c r="Y87">
        <v>8</v>
      </c>
      <c r="Z87">
        <v>5</v>
      </c>
      <c r="AA87">
        <v>3</v>
      </c>
      <c r="AB87">
        <v>9</v>
      </c>
      <c r="AC87">
        <v>5</v>
      </c>
      <c r="AD87">
        <v>4</v>
      </c>
      <c r="AE87">
        <v>8</v>
      </c>
      <c r="AF87">
        <v>8</v>
      </c>
      <c r="AG87">
        <v>0</v>
      </c>
      <c r="AH87">
        <v>9</v>
      </c>
      <c r="AI87">
        <v>8</v>
      </c>
      <c r="AJ87">
        <v>1</v>
      </c>
      <c r="AK87" t="s">
        <v>1022</v>
      </c>
      <c r="AL87" t="s">
        <v>1023</v>
      </c>
      <c r="AM87" t="s">
        <v>1024</v>
      </c>
      <c r="AN87" t="s">
        <v>1025</v>
      </c>
      <c r="AO87" t="s">
        <v>1026</v>
      </c>
      <c r="AP87" t="s">
        <v>1027</v>
      </c>
      <c r="AQ87" t="s">
        <v>1028</v>
      </c>
      <c r="AR87" t="s">
        <v>1029</v>
      </c>
      <c r="AS87" t="s">
        <v>1030</v>
      </c>
    </row>
    <row r="88" spans="1:45" x14ac:dyDescent="0.45">
      <c r="A88">
        <v>87</v>
      </c>
      <c r="B88">
        <v>2077</v>
      </c>
      <c r="C88" t="s">
        <v>78</v>
      </c>
      <c r="D88" t="s">
        <v>79</v>
      </c>
      <c r="E88" t="s">
        <v>74</v>
      </c>
      <c r="F88" t="s">
        <v>77</v>
      </c>
      <c r="G88" t="s">
        <v>76</v>
      </c>
      <c r="H88">
        <v>16.885397967793473</v>
      </c>
      <c r="I88">
        <v>2</v>
      </c>
      <c r="J88">
        <v>8</v>
      </c>
      <c r="K88">
        <v>10</v>
      </c>
      <c r="L88">
        <v>-2</v>
      </c>
      <c r="M88">
        <v>9</v>
      </c>
      <c r="N88">
        <v>9</v>
      </c>
      <c r="O88">
        <v>0</v>
      </c>
      <c r="P88">
        <v>8</v>
      </c>
      <c r="Q88">
        <v>9</v>
      </c>
      <c r="R88">
        <v>-1</v>
      </c>
      <c r="S88">
        <v>9</v>
      </c>
      <c r="T88">
        <v>9</v>
      </c>
      <c r="U88">
        <v>0</v>
      </c>
      <c r="V88">
        <v>8</v>
      </c>
      <c r="W88">
        <v>9</v>
      </c>
      <c r="X88">
        <v>-1</v>
      </c>
      <c r="Y88">
        <v>9</v>
      </c>
      <c r="Z88">
        <v>9</v>
      </c>
      <c r="AA88">
        <v>0</v>
      </c>
      <c r="AB88">
        <v>8</v>
      </c>
      <c r="AC88">
        <v>10</v>
      </c>
      <c r="AD88">
        <v>-2</v>
      </c>
      <c r="AE88">
        <v>9</v>
      </c>
      <c r="AF88">
        <v>9</v>
      </c>
      <c r="AG88">
        <v>0</v>
      </c>
      <c r="AH88">
        <v>8</v>
      </c>
      <c r="AI88">
        <v>10</v>
      </c>
      <c r="AJ88">
        <v>-2</v>
      </c>
      <c r="AK88" t="s">
        <v>1031</v>
      </c>
      <c r="AL88" t="s">
        <v>1032</v>
      </c>
      <c r="AM88" t="s">
        <v>1033</v>
      </c>
      <c r="AN88" t="s">
        <v>1034</v>
      </c>
      <c r="AO88" t="s">
        <v>255</v>
      </c>
      <c r="AP88" t="s">
        <v>1035</v>
      </c>
      <c r="AQ88" t="s">
        <v>1036</v>
      </c>
      <c r="AR88" t="s">
        <v>1037</v>
      </c>
      <c r="AS88" t="s">
        <v>1038</v>
      </c>
    </row>
    <row r="89" spans="1:45" x14ac:dyDescent="0.45">
      <c r="A89">
        <v>88</v>
      </c>
      <c r="B89">
        <v>2078</v>
      </c>
      <c r="C89" t="s">
        <v>72</v>
      </c>
      <c r="D89" t="s">
        <v>79</v>
      </c>
      <c r="E89" t="s">
        <v>74</v>
      </c>
      <c r="F89" t="s">
        <v>192</v>
      </c>
      <c r="G89" t="s">
        <v>76</v>
      </c>
      <c r="H89">
        <v>12</v>
      </c>
      <c r="I89">
        <v>2</v>
      </c>
      <c r="J89">
        <v>9</v>
      </c>
      <c r="K89">
        <v>10</v>
      </c>
      <c r="L89">
        <v>-1</v>
      </c>
      <c r="M89">
        <v>8</v>
      </c>
      <c r="N89">
        <v>10</v>
      </c>
      <c r="O89">
        <v>-2</v>
      </c>
      <c r="P89">
        <v>9</v>
      </c>
      <c r="Q89">
        <v>10</v>
      </c>
      <c r="R89">
        <v>-1</v>
      </c>
      <c r="S89">
        <v>8</v>
      </c>
      <c r="T89">
        <v>10</v>
      </c>
      <c r="U89">
        <v>-2</v>
      </c>
      <c r="V89">
        <v>9</v>
      </c>
      <c r="W89">
        <v>10</v>
      </c>
      <c r="X89">
        <v>-1</v>
      </c>
      <c r="Y89">
        <v>8</v>
      </c>
      <c r="Z89">
        <v>10</v>
      </c>
      <c r="AA89">
        <v>-2</v>
      </c>
      <c r="AB89">
        <v>7</v>
      </c>
      <c r="AC89">
        <v>10</v>
      </c>
      <c r="AD89">
        <v>-3</v>
      </c>
      <c r="AE89">
        <v>8</v>
      </c>
      <c r="AF89">
        <v>10</v>
      </c>
      <c r="AG89">
        <v>-2</v>
      </c>
      <c r="AH89">
        <v>9</v>
      </c>
      <c r="AI89">
        <v>10</v>
      </c>
      <c r="AJ89">
        <v>-1</v>
      </c>
      <c r="AK89" t="s">
        <v>1039</v>
      </c>
      <c r="AL89" t="s">
        <v>1040</v>
      </c>
      <c r="AM89" t="s">
        <v>1041</v>
      </c>
      <c r="AN89" t="s">
        <v>1042</v>
      </c>
      <c r="AO89" t="s">
        <v>1043</v>
      </c>
      <c r="AP89" t="s">
        <v>1044</v>
      </c>
      <c r="AQ89" t="s">
        <v>1045</v>
      </c>
      <c r="AR89" t="s">
        <v>1046</v>
      </c>
      <c r="AS89" t="s">
        <v>1047</v>
      </c>
    </row>
    <row r="90" spans="1:45" x14ac:dyDescent="0.45">
      <c r="A90">
        <v>89</v>
      </c>
      <c r="B90">
        <v>2079</v>
      </c>
      <c r="C90" t="s">
        <v>72</v>
      </c>
      <c r="D90" t="s">
        <v>73</v>
      </c>
      <c r="E90" t="s">
        <v>74</v>
      </c>
      <c r="F90" t="s">
        <v>190</v>
      </c>
      <c r="G90" t="s">
        <v>76</v>
      </c>
      <c r="H90">
        <v>12</v>
      </c>
      <c r="I90">
        <v>1</v>
      </c>
      <c r="J90">
        <v>6</v>
      </c>
      <c r="K90">
        <v>10</v>
      </c>
      <c r="L90">
        <v>-4</v>
      </c>
      <c r="M90">
        <v>8</v>
      </c>
      <c r="N90">
        <v>9</v>
      </c>
      <c r="O90">
        <v>-1</v>
      </c>
      <c r="P90">
        <v>9</v>
      </c>
      <c r="Q90">
        <v>9</v>
      </c>
      <c r="R90">
        <v>0</v>
      </c>
      <c r="S90">
        <v>8</v>
      </c>
      <c r="T90">
        <v>9</v>
      </c>
      <c r="U90">
        <v>-1</v>
      </c>
      <c r="V90">
        <v>7</v>
      </c>
      <c r="W90">
        <v>10</v>
      </c>
      <c r="X90">
        <v>-3</v>
      </c>
      <c r="Y90">
        <v>9</v>
      </c>
      <c r="Z90">
        <v>9</v>
      </c>
      <c r="AA90">
        <v>0</v>
      </c>
      <c r="AB90">
        <v>7</v>
      </c>
      <c r="AC90">
        <v>9</v>
      </c>
      <c r="AD90">
        <v>-2</v>
      </c>
      <c r="AE90">
        <v>8</v>
      </c>
      <c r="AF90">
        <v>8</v>
      </c>
      <c r="AG90">
        <v>0</v>
      </c>
      <c r="AH90">
        <v>9</v>
      </c>
      <c r="AI90">
        <v>9</v>
      </c>
      <c r="AJ90">
        <v>0</v>
      </c>
      <c r="AK90" t="s">
        <v>1048</v>
      </c>
      <c r="AL90" t="s">
        <v>1049</v>
      </c>
      <c r="AM90" t="s">
        <v>1050</v>
      </c>
      <c r="AN90" t="s">
        <v>1051</v>
      </c>
      <c r="AO90" t="s">
        <v>1052</v>
      </c>
      <c r="AP90" t="s">
        <v>1053</v>
      </c>
      <c r="AQ90" t="s">
        <v>1054</v>
      </c>
      <c r="AR90" t="s">
        <v>1055</v>
      </c>
      <c r="AS90" t="s">
        <v>1056</v>
      </c>
    </row>
    <row r="91" spans="1:45" x14ac:dyDescent="0.45">
      <c r="A91">
        <v>90</v>
      </c>
      <c r="B91">
        <v>2080</v>
      </c>
      <c r="C91" t="s">
        <v>72</v>
      </c>
      <c r="D91" t="s">
        <v>73</v>
      </c>
      <c r="E91" t="s">
        <v>80</v>
      </c>
      <c r="F91" t="s">
        <v>77</v>
      </c>
      <c r="G91" t="s">
        <v>76</v>
      </c>
      <c r="H91">
        <v>12</v>
      </c>
      <c r="I91">
        <v>4</v>
      </c>
      <c r="J91">
        <v>6</v>
      </c>
      <c r="K91">
        <v>6</v>
      </c>
      <c r="L91">
        <v>0</v>
      </c>
      <c r="M91">
        <v>7</v>
      </c>
      <c r="N91">
        <v>10</v>
      </c>
      <c r="O91">
        <v>-3</v>
      </c>
      <c r="P91">
        <v>8</v>
      </c>
      <c r="Q91">
        <v>8</v>
      </c>
      <c r="R91">
        <v>0</v>
      </c>
      <c r="S91">
        <v>9</v>
      </c>
      <c r="T91">
        <v>9</v>
      </c>
      <c r="U91">
        <v>0</v>
      </c>
      <c r="V91">
        <v>7</v>
      </c>
      <c r="W91">
        <v>9</v>
      </c>
      <c r="X91">
        <v>-2</v>
      </c>
      <c r="Y91">
        <v>9</v>
      </c>
      <c r="Z91">
        <v>9</v>
      </c>
      <c r="AA91">
        <v>0</v>
      </c>
      <c r="AB91">
        <v>8</v>
      </c>
      <c r="AC91">
        <v>8</v>
      </c>
      <c r="AD91">
        <v>0</v>
      </c>
      <c r="AE91">
        <v>9</v>
      </c>
      <c r="AF91">
        <v>8</v>
      </c>
      <c r="AG91">
        <v>1</v>
      </c>
      <c r="AH91">
        <v>9</v>
      </c>
      <c r="AI91">
        <v>9</v>
      </c>
      <c r="AJ91">
        <v>0</v>
      </c>
      <c r="AK91" t="s">
        <v>1057</v>
      </c>
      <c r="AL91" t="s">
        <v>1058</v>
      </c>
      <c r="AM91" t="s">
        <v>1059</v>
      </c>
      <c r="AN91" t="s">
        <v>1060</v>
      </c>
      <c r="AO91" t="s">
        <v>1061</v>
      </c>
      <c r="AP91" t="s">
        <v>1062</v>
      </c>
      <c r="AQ91" t="s">
        <v>82</v>
      </c>
      <c r="AR91" t="s">
        <v>1063</v>
      </c>
      <c r="AS91" t="s">
        <v>1064</v>
      </c>
    </row>
    <row r="92" spans="1:45" x14ac:dyDescent="0.45">
      <c r="A92">
        <v>91</v>
      </c>
      <c r="B92">
        <v>2081</v>
      </c>
      <c r="C92" t="s">
        <v>72</v>
      </c>
      <c r="D92" t="s">
        <v>73</v>
      </c>
      <c r="E92" t="s">
        <v>74</v>
      </c>
      <c r="F92" t="s">
        <v>77</v>
      </c>
      <c r="G92" t="s">
        <v>76</v>
      </c>
      <c r="H92">
        <v>12</v>
      </c>
      <c r="I92">
        <v>2</v>
      </c>
      <c r="J92">
        <v>8</v>
      </c>
      <c r="K92">
        <v>10</v>
      </c>
      <c r="L92">
        <v>-2</v>
      </c>
      <c r="M92">
        <v>7</v>
      </c>
      <c r="N92">
        <v>9</v>
      </c>
      <c r="O92">
        <v>-2</v>
      </c>
      <c r="P92">
        <v>9</v>
      </c>
      <c r="Q92">
        <v>9</v>
      </c>
      <c r="R92">
        <v>0</v>
      </c>
      <c r="S92">
        <v>8</v>
      </c>
      <c r="T92">
        <v>9</v>
      </c>
      <c r="U92">
        <v>-1</v>
      </c>
      <c r="V92">
        <v>9</v>
      </c>
      <c r="W92">
        <v>10</v>
      </c>
      <c r="X92">
        <v>-1</v>
      </c>
      <c r="Y92">
        <v>8</v>
      </c>
      <c r="Z92">
        <v>9</v>
      </c>
      <c r="AA92">
        <v>-1</v>
      </c>
      <c r="AB92">
        <v>9</v>
      </c>
      <c r="AC92">
        <v>8</v>
      </c>
      <c r="AD92">
        <v>1</v>
      </c>
      <c r="AE92">
        <v>8</v>
      </c>
      <c r="AF92">
        <v>8</v>
      </c>
      <c r="AG92">
        <v>0</v>
      </c>
      <c r="AH92">
        <v>9</v>
      </c>
      <c r="AI92">
        <v>10</v>
      </c>
      <c r="AJ92">
        <v>-1</v>
      </c>
      <c r="AK92" t="s">
        <v>1065</v>
      </c>
      <c r="AL92" t="s">
        <v>1066</v>
      </c>
      <c r="AM92" t="s">
        <v>1067</v>
      </c>
      <c r="AN92" t="s">
        <v>1068</v>
      </c>
      <c r="AO92" t="s">
        <v>1069</v>
      </c>
      <c r="AP92" t="s">
        <v>1070</v>
      </c>
      <c r="AQ92" t="s">
        <v>1071</v>
      </c>
      <c r="AR92" t="s">
        <v>1072</v>
      </c>
      <c r="AS92" t="s">
        <v>1073</v>
      </c>
    </row>
    <row r="93" spans="1:45" x14ac:dyDescent="0.45">
      <c r="A93">
        <v>92</v>
      </c>
      <c r="B93">
        <v>2082</v>
      </c>
      <c r="C93" t="s">
        <v>78</v>
      </c>
      <c r="D93" t="s">
        <v>73</v>
      </c>
      <c r="E93" t="s">
        <v>74</v>
      </c>
      <c r="F93" t="s">
        <v>77</v>
      </c>
      <c r="G93" t="s">
        <v>76</v>
      </c>
      <c r="H93">
        <v>12</v>
      </c>
      <c r="I93">
        <v>2</v>
      </c>
      <c r="J93">
        <v>9</v>
      </c>
      <c r="K93">
        <v>10</v>
      </c>
      <c r="L93">
        <v>-1</v>
      </c>
      <c r="M93">
        <v>8</v>
      </c>
      <c r="N93">
        <v>10</v>
      </c>
      <c r="O93">
        <v>-2</v>
      </c>
      <c r="P93">
        <v>7</v>
      </c>
      <c r="Q93">
        <v>10</v>
      </c>
      <c r="R93">
        <v>-3</v>
      </c>
      <c r="S93">
        <v>9</v>
      </c>
      <c r="T93">
        <v>10</v>
      </c>
      <c r="U93">
        <v>-1</v>
      </c>
      <c r="V93">
        <v>8</v>
      </c>
      <c r="W93">
        <v>10</v>
      </c>
      <c r="X93">
        <v>-2</v>
      </c>
      <c r="Y93">
        <v>9</v>
      </c>
      <c r="Z93">
        <v>1</v>
      </c>
      <c r="AA93">
        <v>8</v>
      </c>
      <c r="AB93">
        <v>8</v>
      </c>
      <c r="AC93">
        <v>10</v>
      </c>
      <c r="AD93">
        <v>-2</v>
      </c>
      <c r="AE93">
        <v>9</v>
      </c>
      <c r="AF93">
        <v>10</v>
      </c>
      <c r="AG93">
        <v>-1</v>
      </c>
      <c r="AH93">
        <v>10</v>
      </c>
      <c r="AI93">
        <v>10</v>
      </c>
      <c r="AJ93">
        <v>0</v>
      </c>
      <c r="AK93" t="s">
        <v>1074</v>
      </c>
      <c r="AL93" t="s">
        <v>1075</v>
      </c>
      <c r="AM93" t="s">
        <v>1076</v>
      </c>
      <c r="AN93" t="s">
        <v>1077</v>
      </c>
      <c r="AO93" t="s">
        <v>1078</v>
      </c>
      <c r="AP93" t="s">
        <v>1079</v>
      </c>
      <c r="AQ93" t="s">
        <v>1080</v>
      </c>
      <c r="AR93" t="s">
        <v>1081</v>
      </c>
      <c r="AS93" t="s">
        <v>1082</v>
      </c>
    </row>
    <row r="94" spans="1:45" x14ac:dyDescent="0.45">
      <c r="A94">
        <v>93</v>
      </c>
      <c r="B94">
        <v>2083</v>
      </c>
      <c r="C94" t="s">
        <v>78</v>
      </c>
      <c r="D94" t="s">
        <v>73</v>
      </c>
      <c r="E94" t="s">
        <v>74</v>
      </c>
      <c r="F94" t="s">
        <v>77</v>
      </c>
      <c r="G94" t="s">
        <v>76</v>
      </c>
      <c r="H94">
        <v>46.571428374809159</v>
      </c>
      <c r="I94">
        <v>2</v>
      </c>
      <c r="J94">
        <v>6</v>
      </c>
      <c r="K94">
        <v>5</v>
      </c>
      <c r="L94">
        <v>1</v>
      </c>
      <c r="M94">
        <v>7</v>
      </c>
      <c r="N94">
        <v>8</v>
      </c>
      <c r="O94">
        <v>-1</v>
      </c>
      <c r="P94">
        <v>6</v>
      </c>
      <c r="Q94">
        <v>4</v>
      </c>
      <c r="R94">
        <v>2</v>
      </c>
      <c r="S94">
        <v>9</v>
      </c>
      <c r="T94">
        <v>9</v>
      </c>
      <c r="U94">
        <v>0</v>
      </c>
      <c r="V94">
        <v>7</v>
      </c>
      <c r="W94">
        <v>7</v>
      </c>
      <c r="X94">
        <v>0</v>
      </c>
      <c r="Y94">
        <v>9</v>
      </c>
      <c r="Z94">
        <v>5</v>
      </c>
      <c r="AA94">
        <v>4</v>
      </c>
      <c r="AB94">
        <v>7</v>
      </c>
      <c r="AC94">
        <v>7</v>
      </c>
      <c r="AD94">
        <v>0</v>
      </c>
      <c r="AE94">
        <v>6</v>
      </c>
      <c r="AF94">
        <v>8</v>
      </c>
      <c r="AG94">
        <v>-2</v>
      </c>
      <c r="AH94">
        <v>9</v>
      </c>
      <c r="AI94">
        <v>10</v>
      </c>
      <c r="AJ94">
        <v>-1</v>
      </c>
      <c r="AK94" t="s">
        <v>1083</v>
      </c>
      <c r="AL94" t="s">
        <v>1084</v>
      </c>
      <c r="AM94" t="s">
        <v>1085</v>
      </c>
      <c r="AN94" t="s">
        <v>1086</v>
      </c>
      <c r="AO94" t="s">
        <v>1087</v>
      </c>
      <c r="AP94" t="s">
        <v>1088</v>
      </c>
      <c r="AQ94" t="s">
        <v>1089</v>
      </c>
      <c r="AR94" t="s">
        <v>1090</v>
      </c>
      <c r="AS94" t="s">
        <v>1091</v>
      </c>
    </row>
    <row r="95" spans="1:45" x14ac:dyDescent="0.45">
      <c r="A95">
        <v>94</v>
      </c>
      <c r="B95">
        <v>2084</v>
      </c>
      <c r="C95" t="s">
        <v>72</v>
      </c>
      <c r="D95" t="s">
        <v>73</v>
      </c>
      <c r="E95" t="s">
        <v>74</v>
      </c>
      <c r="F95" t="s">
        <v>75</v>
      </c>
      <c r="G95" t="s">
        <v>76</v>
      </c>
      <c r="H95">
        <v>12</v>
      </c>
      <c r="I95">
        <v>0</v>
      </c>
      <c r="J95">
        <v>7</v>
      </c>
      <c r="K95">
        <v>9</v>
      </c>
      <c r="L95">
        <v>-2</v>
      </c>
      <c r="M95">
        <v>8</v>
      </c>
      <c r="N95">
        <v>7</v>
      </c>
      <c r="O95">
        <v>1</v>
      </c>
      <c r="P95">
        <v>9</v>
      </c>
      <c r="Q95">
        <v>5</v>
      </c>
      <c r="R95">
        <v>4</v>
      </c>
      <c r="S95">
        <v>8</v>
      </c>
      <c r="T95">
        <v>7</v>
      </c>
      <c r="U95">
        <v>1</v>
      </c>
      <c r="V95">
        <v>9</v>
      </c>
      <c r="W95">
        <v>5</v>
      </c>
      <c r="X95">
        <v>4</v>
      </c>
      <c r="Y95">
        <v>8</v>
      </c>
      <c r="Z95">
        <v>8</v>
      </c>
      <c r="AA95">
        <v>0</v>
      </c>
      <c r="AB95">
        <v>9</v>
      </c>
      <c r="AC95">
        <v>5</v>
      </c>
      <c r="AD95">
        <v>4</v>
      </c>
      <c r="AE95">
        <v>8</v>
      </c>
      <c r="AF95">
        <v>5</v>
      </c>
      <c r="AG95">
        <v>3</v>
      </c>
      <c r="AH95">
        <v>9</v>
      </c>
      <c r="AI95">
        <v>7</v>
      </c>
      <c r="AJ95">
        <v>2</v>
      </c>
      <c r="AK95" t="s">
        <v>1092</v>
      </c>
      <c r="AL95" t="s">
        <v>1093</v>
      </c>
      <c r="AM95" t="s">
        <v>1094</v>
      </c>
      <c r="AN95" t="s">
        <v>1095</v>
      </c>
      <c r="AO95" t="s">
        <v>1096</v>
      </c>
      <c r="AP95" t="s">
        <v>1097</v>
      </c>
      <c r="AQ95" t="s">
        <v>1098</v>
      </c>
      <c r="AR95" t="s">
        <v>1099</v>
      </c>
      <c r="AS95" t="s">
        <v>1100</v>
      </c>
    </row>
    <row r="96" spans="1:45" x14ac:dyDescent="0.45">
      <c r="A96">
        <v>95</v>
      </c>
      <c r="B96">
        <v>2085</v>
      </c>
      <c r="C96" t="s">
        <v>72</v>
      </c>
      <c r="D96" t="s">
        <v>79</v>
      </c>
      <c r="E96" t="s">
        <v>74</v>
      </c>
      <c r="F96" t="s">
        <v>77</v>
      </c>
      <c r="G96" t="s">
        <v>76</v>
      </c>
      <c r="H96">
        <v>41.081099114666415</v>
      </c>
      <c r="I96">
        <v>3</v>
      </c>
      <c r="J96">
        <v>9</v>
      </c>
      <c r="K96">
        <v>4</v>
      </c>
      <c r="L96">
        <v>5</v>
      </c>
      <c r="M96">
        <v>8</v>
      </c>
      <c r="N96">
        <v>6</v>
      </c>
      <c r="O96">
        <v>2</v>
      </c>
      <c r="P96">
        <v>9</v>
      </c>
      <c r="Q96">
        <v>5</v>
      </c>
      <c r="R96">
        <v>4</v>
      </c>
      <c r="S96">
        <v>8</v>
      </c>
      <c r="T96">
        <v>5</v>
      </c>
      <c r="U96">
        <v>3</v>
      </c>
      <c r="V96">
        <v>9</v>
      </c>
      <c r="W96">
        <v>4</v>
      </c>
      <c r="X96">
        <v>5</v>
      </c>
      <c r="Y96">
        <v>8</v>
      </c>
      <c r="Z96">
        <v>4</v>
      </c>
      <c r="AA96">
        <v>4</v>
      </c>
      <c r="AB96">
        <v>9</v>
      </c>
      <c r="AC96">
        <v>3</v>
      </c>
      <c r="AD96">
        <v>6</v>
      </c>
      <c r="AE96">
        <v>8</v>
      </c>
      <c r="AF96">
        <v>4</v>
      </c>
      <c r="AG96">
        <v>4</v>
      </c>
      <c r="AH96">
        <v>9</v>
      </c>
      <c r="AI96">
        <v>3</v>
      </c>
      <c r="AJ96">
        <v>6</v>
      </c>
      <c r="AK96" t="s">
        <v>1101</v>
      </c>
      <c r="AL96" t="s">
        <v>1102</v>
      </c>
      <c r="AM96" t="s">
        <v>1103</v>
      </c>
      <c r="AN96" t="s">
        <v>1104</v>
      </c>
      <c r="AO96" t="s">
        <v>1105</v>
      </c>
      <c r="AP96" t="s">
        <v>1106</v>
      </c>
      <c r="AQ96" t="s">
        <v>1107</v>
      </c>
      <c r="AR96" t="s">
        <v>1108</v>
      </c>
      <c r="AS96" t="s">
        <v>1109</v>
      </c>
    </row>
    <row r="97" spans="1:45" x14ac:dyDescent="0.45">
      <c r="A97">
        <v>96</v>
      </c>
      <c r="B97">
        <v>2086</v>
      </c>
      <c r="C97" t="s">
        <v>78</v>
      </c>
      <c r="D97" t="s">
        <v>189</v>
      </c>
      <c r="E97" t="s">
        <v>74</v>
      </c>
      <c r="F97" t="s">
        <v>77</v>
      </c>
      <c r="G97" t="s">
        <v>76</v>
      </c>
      <c r="H97">
        <v>12</v>
      </c>
      <c r="I97">
        <v>0</v>
      </c>
      <c r="J97">
        <v>7</v>
      </c>
      <c r="K97">
        <v>8</v>
      </c>
      <c r="L97">
        <v>-1</v>
      </c>
      <c r="M97">
        <v>8</v>
      </c>
      <c r="N97">
        <v>7</v>
      </c>
      <c r="O97">
        <v>1</v>
      </c>
      <c r="P97">
        <v>9</v>
      </c>
      <c r="Q97">
        <v>5</v>
      </c>
      <c r="R97">
        <v>4</v>
      </c>
      <c r="S97">
        <v>10</v>
      </c>
      <c r="T97">
        <v>7</v>
      </c>
      <c r="U97">
        <v>3</v>
      </c>
      <c r="V97">
        <v>9</v>
      </c>
      <c r="W97">
        <v>7</v>
      </c>
      <c r="X97">
        <v>2</v>
      </c>
      <c r="Y97">
        <v>9</v>
      </c>
      <c r="Z97">
        <v>5</v>
      </c>
      <c r="AA97">
        <v>4</v>
      </c>
      <c r="AB97">
        <v>8</v>
      </c>
      <c r="AC97">
        <v>5</v>
      </c>
      <c r="AD97">
        <v>3</v>
      </c>
      <c r="AE97">
        <v>9</v>
      </c>
      <c r="AF97">
        <v>7</v>
      </c>
      <c r="AG97">
        <v>2</v>
      </c>
      <c r="AH97">
        <v>8</v>
      </c>
      <c r="AI97">
        <v>7</v>
      </c>
      <c r="AJ97">
        <v>1</v>
      </c>
      <c r="AK97" t="s">
        <v>1110</v>
      </c>
      <c r="AL97" t="s">
        <v>1111</v>
      </c>
      <c r="AM97" t="s">
        <v>1112</v>
      </c>
      <c r="AN97" t="s">
        <v>1113</v>
      </c>
      <c r="AO97" t="s">
        <v>1114</v>
      </c>
      <c r="AP97" t="s">
        <v>1115</v>
      </c>
      <c r="AQ97" t="s">
        <v>1116</v>
      </c>
      <c r="AR97" t="s">
        <v>1117</v>
      </c>
      <c r="AS97" t="s">
        <v>1118</v>
      </c>
    </row>
    <row r="98" spans="1:45" x14ac:dyDescent="0.45">
      <c r="A98">
        <v>97</v>
      </c>
      <c r="B98">
        <v>2087</v>
      </c>
      <c r="C98" t="s">
        <v>72</v>
      </c>
      <c r="D98" t="s">
        <v>193</v>
      </c>
      <c r="E98" t="s">
        <v>74</v>
      </c>
      <c r="F98" t="s">
        <v>77</v>
      </c>
      <c r="G98" t="s">
        <v>162</v>
      </c>
      <c r="H98">
        <v>163.82657445953265</v>
      </c>
      <c r="I98">
        <v>4</v>
      </c>
      <c r="J98">
        <v>6</v>
      </c>
      <c r="K98">
        <v>6</v>
      </c>
      <c r="L98">
        <v>0</v>
      </c>
      <c r="M98">
        <v>7</v>
      </c>
      <c r="N98">
        <v>6</v>
      </c>
      <c r="O98">
        <v>1</v>
      </c>
      <c r="P98">
        <v>8</v>
      </c>
      <c r="Q98">
        <v>5</v>
      </c>
      <c r="R98">
        <v>3</v>
      </c>
      <c r="S98">
        <v>9</v>
      </c>
      <c r="T98">
        <v>5</v>
      </c>
      <c r="U98">
        <v>4</v>
      </c>
      <c r="V98">
        <v>7</v>
      </c>
      <c r="W98">
        <v>5</v>
      </c>
      <c r="X98">
        <v>2</v>
      </c>
      <c r="Y98">
        <v>9</v>
      </c>
      <c r="Z98">
        <v>5</v>
      </c>
      <c r="AA98">
        <v>4</v>
      </c>
      <c r="AB98">
        <v>7</v>
      </c>
      <c r="AC98">
        <v>5</v>
      </c>
      <c r="AD98">
        <v>2</v>
      </c>
      <c r="AE98">
        <v>8</v>
      </c>
      <c r="AF98">
        <v>5</v>
      </c>
      <c r="AG98">
        <v>3</v>
      </c>
      <c r="AH98">
        <v>9</v>
      </c>
      <c r="AI98">
        <v>5</v>
      </c>
      <c r="AJ98">
        <v>4</v>
      </c>
      <c r="AK98" t="s">
        <v>1119</v>
      </c>
      <c r="AL98" t="s">
        <v>1120</v>
      </c>
      <c r="AM98" t="s">
        <v>1121</v>
      </c>
      <c r="AN98" t="s">
        <v>1122</v>
      </c>
      <c r="AO98" t="s">
        <v>1123</v>
      </c>
      <c r="AP98" t="s">
        <v>1124</v>
      </c>
      <c r="AQ98" t="s">
        <v>1125</v>
      </c>
      <c r="AR98" t="s">
        <v>1126</v>
      </c>
      <c r="AS98" t="s">
        <v>1127</v>
      </c>
    </row>
    <row r="99" spans="1:45" x14ac:dyDescent="0.45">
      <c r="A99">
        <v>98</v>
      </c>
      <c r="B99">
        <v>2088</v>
      </c>
      <c r="C99" t="s">
        <v>72</v>
      </c>
      <c r="D99" t="s">
        <v>73</v>
      </c>
      <c r="E99" t="s">
        <v>80</v>
      </c>
      <c r="F99" t="s">
        <v>77</v>
      </c>
      <c r="G99" t="s">
        <v>76</v>
      </c>
      <c r="H99">
        <v>19.176103235392247</v>
      </c>
      <c r="I99">
        <v>0</v>
      </c>
      <c r="J99">
        <v>8</v>
      </c>
      <c r="K99">
        <v>8</v>
      </c>
      <c r="L99">
        <v>0</v>
      </c>
      <c r="M99">
        <v>7</v>
      </c>
      <c r="N99">
        <v>8</v>
      </c>
      <c r="O99">
        <v>-1</v>
      </c>
      <c r="P99">
        <v>9</v>
      </c>
      <c r="Q99">
        <v>5</v>
      </c>
      <c r="R99">
        <v>4</v>
      </c>
      <c r="S99">
        <v>10</v>
      </c>
      <c r="T99">
        <v>8</v>
      </c>
      <c r="U99">
        <v>2</v>
      </c>
      <c r="V99">
        <v>8</v>
      </c>
      <c r="W99">
        <v>6</v>
      </c>
      <c r="X99">
        <v>2</v>
      </c>
      <c r="Y99">
        <v>9</v>
      </c>
      <c r="Z99">
        <v>9</v>
      </c>
      <c r="AA99">
        <v>0</v>
      </c>
      <c r="AB99">
        <v>8</v>
      </c>
      <c r="AC99">
        <v>5</v>
      </c>
      <c r="AD99">
        <v>3</v>
      </c>
      <c r="AE99">
        <v>7</v>
      </c>
      <c r="AF99">
        <v>7</v>
      </c>
      <c r="AG99">
        <v>0</v>
      </c>
      <c r="AH99">
        <v>9</v>
      </c>
      <c r="AI99">
        <v>8</v>
      </c>
      <c r="AJ99">
        <v>1</v>
      </c>
      <c r="AK99" t="s">
        <v>1128</v>
      </c>
      <c r="AL99" t="s">
        <v>1129</v>
      </c>
      <c r="AM99" t="s">
        <v>1130</v>
      </c>
      <c r="AN99" t="s">
        <v>1131</v>
      </c>
      <c r="AO99" t="s">
        <v>1132</v>
      </c>
      <c r="AP99" t="s">
        <v>1133</v>
      </c>
      <c r="AQ99" t="s">
        <v>1134</v>
      </c>
      <c r="AR99" t="s">
        <v>1135</v>
      </c>
      <c r="AS99" t="s">
        <v>259</v>
      </c>
    </row>
    <row r="100" spans="1:45" x14ac:dyDescent="0.45">
      <c r="A100">
        <v>99</v>
      </c>
      <c r="B100">
        <v>2089</v>
      </c>
      <c r="C100" t="s">
        <v>78</v>
      </c>
      <c r="D100" t="s">
        <v>81</v>
      </c>
      <c r="E100" t="s">
        <v>74</v>
      </c>
      <c r="F100" t="s">
        <v>77</v>
      </c>
      <c r="G100" t="s">
        <v>76</v>
      </c>
      <c r="H100">
        <v>23.814557790619137</v>
      </c>
      <c r="I100">
        <v>1</v>
      </c>
      <c r="J100">
        <v>7</v>
      </c>
      <c r="K100">
        <v>6</v>
      </c>
      <c r="L100">
        <v>1</v>
      </c>
      <c r="M100">
        <v>8</v>
      </c>
      <c r="N100">
        <v>6</v>
      </c>
      <c r="O100">
        <v>2</v>
      </c>
      <c r="P100">
        <v>6</v>
      </c>
      <c r="Q100">
        <v>3</v>
      </c>
      <c r="R100">
        <v>3</v>
      </c>
      <c r="S100">
        <v>9</v>
      </c>
      <c r="T100">
        <v>6</v>
      </c>
      <c r="U100">
        <v>3</v>
      </c>
      <c r="V100">
        <v>8</v>
      </c>
      <c r="W100">
        <v>5</v>
      </c>
      <c r="X100">
        <v>3</v>
      </c>
      <c r="Y100">
        <v>9</v>
      </c>
      <c r="Z100">
        <v>6</v>
      </c>
      <c r="AA100">
        <v>3</v>
      </c>
      <c r="AB100">
        <v>8</v>
      </c>
      <c r="AC100">
        <v>5</v>
      </c>
      <c r="AD100">
        <v>3</v>
      </c>
      <c r="AE100">
        <v>7</v>
      </c>
      <c r="AF100">
        <v>6</v>
      </c>
      <c r="AG100">
        <v>1</v>
      </c>
      <c r="AH100">
        <v>9</v>
      </c>
      <c r="AI100">
        <v>6</v>
      </c>
      <c r="AJ100">
        <v>3</v>
      </c>
      <c r="AK100" t="s">
        <v>1136</v>
      </c>
      <c r="AL100" t="s">
        <v>1137</v>
      </c>
      <c r="AM100" t="s">
        <v>1138</v>
      </c>
      <c r="AN100" t="s">
        <v>1139</v>
      </c>
      <c r="AO100" t="s">
        <v>1140</v>
      </c>
      <c r="AP100" t="s">
        <v>1141</v>
      </c>
      <c r="AQ100" t="s">
        <v>1142</v>
      </c>
      <c r="AR100" t="s">
        <v>1143</v>
      </c>
      <c r="AS100" t="s">
        <v>1144</v>
      </c>
    </row>
    <row r="101" spans="1:45" x14ac:dyDescent="0.45">
      <c r="A101">
        <v>100</v>
      </c>
      <c r="B101">
        <v>2090</v>
      </c>
      <c r="C101" t="s">
        <v>72</v>
      </c>
      <c r="D101" t="s">
        <v>193</v>
      </c>
      <c r="E101" t="s">
        <v>74</v>
      </c>
      <c r="F101" t="s">
        <v>77</v>
      </c>
      <c r="G101" t="s">
        <v>76</v>
      </c>
      <c r="H101">
        <v>14.496198766757509</v>
      </c>
      <c r="I101">
        <v>1</v>
      </c>
      <c r="J101">
        <v>7</v>
      </c>
      <c r="K101">
        <v>8</v>
      </c>
      <c r="L101">
        <v>-1</v>
      </c>
      <c r="M101">
        <v>6</v>
      </c>
      <c r="N101">
        <v>8</v>
      </c>
      <c r="O101">
        <v>-2</v>
      </c>
      <c r="P101">
        <v>9</v>
      </c>
      <c r="Q101">
        <v>8</v>
      </c>
      <c r="R101">
        <v>1</v>
      </c>
      <c r="S101">
        <v>8</v>
      </c>
      <c r="T101">
        <v>10</v>
      </c>
      <c r="U101">
        <v>-2</v>
      </c>
      <c r="V101">
        <v>9</v>
      </c>
      <c r="W101">
        <v>10</v>
      </c>
      <c r="X101">
        <v>-1</v>
      </c>
      <c r="Y101">
        <v>8</v>
      </c>
      <c r="Z101">
        <v>10</v>
      </c>
      <c r="AA101">
        <v>-2</v>
      </c>
      <c r="AB101">
        <v>9</v>
      </c>
      <c r="AC101">
        <v>10</v>
      </c>
      <c r="AD101">
        <v>-1</v>
      </c>
      <c r="AE101">
        <v>8</v>
      </c>
      <c r="AF101">
        <v>10</v>
      </c>
      <c r="AG101">
        <v>-2</v>
      </c>
      <c r="AH101">
        <v>9</v>
      </c>
      <c r="AI101">
        <v>10</v>
      </c>
      <c r="AJ101">
        <v>-1</v>
      </c>
      <c r="AK101" t="s">
        <v>1145</v>
      </c>
      <c r="AL101" t="s">
        <v>1146</v>
      </c>
      <c r="AM101" t="s">
        <v>1147</v>
      </c>
      <c r="AN101" t="s">
        <v>1148</v>
      </c>
      <c r="AO101" t="s">
        <v>1149</v>
      </c>
      <c r="AP101" t="s">
        <v>1150</v>
      </c>
      <c r="AQ101" t="s">
        <v>1151</v>
      </c>
      <c r="AR101" t="s">
        <v>1152</v>
      </c>
      <c r="AS101" t="s">
        <v>1153</v>
      </c>
    </row>
    <row r="102" spans="1:45" x14ac:dyDescent="0.45">
      <c r="A102">
        <v>101</v>
      </c>
      <c r="B102">
        <v>2091</v>
      </c>
      <c r="C102" t="s">
        <v>72</v>
      </c>
      <c r="D102" t="s">
        <v>191</v>
      </c>
      <c r="E102" t="s">
        <v>74</v>
      </c>
      <c r="F102" t="s">
        <v>75</v>
      </c>
      <c r="G102" t="s">
        <v>76</v>
      </c>
      <c r="H102">
        <v>75.396638625455793</v>
      </c>
      <c r="I102">
        <v>4</v>
      </c>
      <c r="J102">
        <v>5</v>
      </c>
      <c r="K102">
        <v>8</v>
      </c>
      <c r="L102">
        <v>-3</v>
      </c>
      <c r="M102">
        <v>4</v>
      </c>
      <c r="N102">
        <v>8</v>
      </c>
      <c r="O102">
        <v>-4</v>
      </c>
      <c r="P102">
        <v>7</v>
      </c>
      <c r="Q102">
        <v>7</v>
      </c>
      <c r="R102">
        <v>0</v>
      </c>
      <c r="S102">
        <v>9</v>
      </c>
      <c r="T102">
        <v>8</v>
      </c>
      <c r="U102">
        <v>1</v>
      </c>
      <c r="V102">
        <v>6</v>
      </c>
      <c r="W102">
        <v>8</v>
      </c>
      <c r="X102">
        <v>-2</v>
      </c>
      <c r="Y102">
        <v>9</v>
      </c>
      <c r="Z102">
        <v>7</v>
      </c>
      <c r="AA102">
        <v>2</v>
      </c>
      <c r="AB102">
        <v>7</v>
      </c>
      <c r="AC102">
        <v>7</v>
      </c>
      <c r="AD102">
        <v>0</v>
      </c>
      <c r="AE102">
        <v>8</v>
      </c>
      <c r="AF102">
        <v>7</v>
      </c>
      <c r="AG102">
        <v>1</v>
      </c>
      <c r="AH102">
        <v>9</v>
      </c>
      <c r="AI102">
        <v>8</v>
      </c>
      <c r="AJ102">
        <v>1</v>
      </c>
      <c r="AK102" t="s">
        <v>1154</v>
      </c>
      <c r="AL102" t="s">
        <v>1155</v>
      </c>
      <c r="AM102" t="s">
        <v>1156</v>
      </c>
      <c r="AN102" t="s">
        <v>1157</v>
      </c>
      <c r="AO102" t="s">
        <v>1158</v>
      </c>
      <c r="AP102" t="s">
        <v>1159</v>
      </c>
      <c r="AQ102" t="s">
        <v>1160</v>
      </c>
      <c r="AR102" t="s">
        <v>1161</v>
      </c>
      <c r="AS102" t="s">
        <v>1162</v>
      </c>
    </row>
    <row r="103" spans="1:45" x14ac:dyDescent="0.45">
      <c r="A103">
        <v>102</v>
      </c>
      <c r="B103">
        <v>2092</v>
      </c>
      <c r="C103" t="s">
        <v>78</v>
      </c>
      <c r="D103" t="s">
        <v>189</v>
      </c>
      <c r="E103" t="s">
        <v>74</v>
      </c>
      <c r="F103" t="s">
        <v>77</v>
      </c>
      <c r="G103" t="s">
        <v>76</v>
      </c>
      <c r="H103">
        <v>15.68299098328216</v>
      </c>
      <c r="I103">
        <v>0</v>
      </c>
      <c r="J103">
        <v>7</v>
      </c>
      <c r="K103">
        <v>5</v>
      </c>
      <c r="L103">
        <v>2</v>
      </c>
      <c r="M103">
        <v>8</v>
      </c>
      <c r="N103">
        <v>5</v>
      </c>
      <c r="O103">
        <v>3</v>
      </c>
      <c r="P103">
        <v>9</v>
      </c>
      <c r="Q103">
        <v>5</v>
      </c>
      <c r="R103">
        <v>4</v>
      </c>
      <c r="S103">
        <v>10</v>
      </c>
      <c r="T103">
        <v>5</v>
      </c>
      <c r="U103">
        <v>5</v>
      </c>
      <c r="V103">
        <v>9</v>
      </c>
      <c r="W103">
        <v>5</v>
      </c>
      <c r="X103">
        <v>4</v>
      </c>
      <c r="Y103">
        <v>9</v>
      </c>
      <c r="Z103">
        <v>5</v>
      </c>
      <c r="AA103">
        <v>4</v>
      </c>
      <c r="AB103">
        <v>8</v>
      </c>
      <c r="AC103">
        <v>5</v>
      </c>
      <c r="AD103">
        <v>3</v>
      </c>
      <c r="AE103">
        <v>9</v>
      </c>
      <c r="AF103">
        <v>5</v>
      </c>
      <c r="AG103">
        <v>4</v>
      </c>
      <c r="AH103">
        <v>10</v>
      </c>
      <c r="AI103">
        <v>5</v>
      </c>
      <c r="AJ103">
        <v>5</v>
      </c>
      <c r="AK103" t="s">
        <v>1163</v>
      </c>
      <c r="AL103" t="s">
        <v>1164</v>
      </c>
      <c r="AM103" t="s">
        <v>1165</v>
      </c>
      <c r="AN103" t="s">
        <v>1166</v>
      </c>
      <c r="AO103" t="s">
        <v>1167</v>
      </c>
      <c r="AP103" t="s">
        <v>1168</v>
      </c>
      <c r="AQ103" t="s">
        <v>1169</v>
      </c>
      <c r="AR103" t="s">
        <v>1170</v>
      </c>
      <c r="AS103" t="s">
        <v>1171</v>
      </c>
    </row>
    <row r="104" spans="1:45" x14ac:dyDescent="0.45">
      <c r="A104">
        <v>103</v>
      </c>
      <c r="B104">
        <v>2093</v>
      </c>
      <c r="C104" t="s">
        <v>72</v>
      </c>
      <c r="D104" t="s">
        <v>193</v>
      </c>
      <c r="E104" t="s">
        <v>74</v>
      </c>
      <c r="F104" t="s">
        <v>77</v>
      </c>
      <c r="G104" t="s">
        <v>76</v>
      </c>
      <c r="H104">
        <v>46.528268987524349</v>
      </c>
      <c r="I104">
        <v>2</v>
      </c>
      <c r="J104">
        <v>7</v>
      </c>
      <c r="K104">
        <v>8</v>
      </c>
      <c r="L104">
        <v>-1</v>
      </c>
      <c r="M104">
        <v>6</v>
      </c>
      <c r="N104">
        <v>8</v>
      </c>
      <c r="O104">
        <v>-2</v>
      </c>
      <c r="P104">
        <v>8</v>
      </c>
      <c r="Q104">
        <v>5</v>
      </c>
      <c r="R104">
        <v>3</v>
      </c>
      <c r="S104">
        <v>9</v>
      </c>
      <c r="T104">
        <v>8</v>
      </c>
      <c r="U104">
        <v>1</v>
      </c>
      <c r="V104">
        <v>7</v>
      </c>
      <c r="W104">
        <v>5</v>
      </c>
      <c r="X104">
        <v>2</v>
      </c>
      <c r="Y104">
        <v>9</v>
      </c>
      <c r="Z104">
        <v>5</v>
      </c>
      <c r="AA104">
        <v>4</v>
      </c>
      <c r="AB104">
        <v>7</v>
      </c>
      <c r="AC104">
        <v>6</v>
      </c>
      <c r="AD104">
        <v>1</v>
      </c>
      <c r="AE104">
        <v>8</v>
      </c>
      <c r="AF104">
        <v>6</v>
      </c>
      <c r="AG104">
        <v>2</v>
      </c>
      <c r="AH104">
        <v>9</v>
      </c>
      <c r="AI104">
        <v>5</v>
      </c>
      <c r="AJ104">
        <v>4</v>
      </c>
      <c r="AK104" t="s">
        <v>1172</v>
      </c>
      <c r="AL104" t="s">
        <v>1173</v>
      </c>
      <c r="AM104" t="s">
        <v>1174</v>
      </c>
      <c r="AN104" t="s">
        <v>1175</v>
      </c>
      <c r="AO104" t="s">
        <v>1176</v>
      </c>
      <c r="AP104" t="s">
        <v>1177</v>
      </c>
      <c r="AQ104" t="s">
        <v>1178</v>
      </c>
      <c r="AR104" t="s">
        <v>1179</v>
      </c>
      <c r="AS104" t="s">
        <v>1180</v>
      </c>
    </row>
    <row r="105" spans="1:45" x14ac:dyDescent="0.45">
      <c r="A105">
        <v>104</v>
      </c>
      <c r="B105">
        <v>2094</v>
      </c>
      <c r="C105" t="s">
        <v>78</v>
      </c>
      <c r="D105" t="s">
        <v>73</v>
      </c>
      <c r="E105" t="s">
        <v>74</v>
      </c>
      <c r="F105" t="s">
        <v>77</v>
      </c>
      <c r="G105" t="s">
        <v>76</v>
      </c>
      <c r="H105">
        <v>18.177356308135195</v>
      </c>
      <c r="I105">
        <v>0</v>
      </c>
      <c r="J105">
        <v>6</v>
      </c>
      <c r="K105">
        <v>6</v>
      </c>
      <c r="L105">
        <v>0</v>
      </c>
      <c r="M105">
        <v>7</v>
      </c>
      <c r="N105">
        <v>7</v>
      </c>
      <c r="O105">
        <v>0</v>
      </c>
      <c r="P105">
        <v>8</v>
      </c>
      <c r="Q105">
        <v>6</v>
      </c>
      <c r="R105">
        <v>2</v>
      </c>
      <c r="S105">
        <v>9</v>
      </c>
      <c r="T105">
        <v>8</v>
      </c>
      <c r="U105">
        <v>1</v>
      </c>
      <c r="V105">
        <v>6</v>
      </c>
      <c r="W105">
        <v>6</v>
      </c>
      <c r="X105">
        <v>0</v>
      </c>
      <c r="Y105">
        <v>9</v>
      </c>
      <c r="Z105">
        <v>7</v>
      </c>
      <c r="AA105">
        <v>2</v>
      </c>
      <c r="AB105">
        <v>8</v>
      </c>
      <c r="AC105">
        <v>6</v>
      </c>
      <c r="AD105">
        <v>2</v>
      </c>
      <c r="AE105">
        <v>7</v>
      </c>
      <c r="AF105">
        <v>6</v>
      </c>
      <c r="AG105">
        <v>1</v>
      </c>
      <c r="AH105">
        <v>8</v>
      </c>
      <c r="AI105">
        <v>7</v>
      </c>
      <c r="AJ105">
        <v>1</v>
      </c>
      <c r="AK105" t="s">
        <v>1181</v>
      </c>
      <c r="AL105" t="s">
        <v>1182</v>
      </c>
      <c r="AM105" t="s">
        <v>1183</v>
      </c>
      <c r="AN105" t="s">
        <v>1184</v>
      </c>
      <c r="AO105" t="s">
        <v>1185</v>
      </c>
      <c r="AP105" t="s">
        <v>1186</v>
      </c>
      <c r="AQ105" t="s">
        <v>1187</v>
      </c>
      <c r="AR105" t="s">
        <v>1188</v>
      </c>
      <c r="AS105" t="s">
        <v>1189</v>
      </c>
    </row>
    <row r="106" spans="1:45" x14ac:dyDescent="0.45">
      <c r="A106">
        <v>105</v>
      </c>
      <c r="B106">
        <v>2095</v>
      </c>
      <c r="C106" t="s">
        <v>78</v>
      </c>
      <c r="D106" t="s">
        <v>81</v>
      </c>
      <c r="E106" t="s">
        <v>74</v>
      </c>
      <c r="F106" t="s">
        <v>77</v>
      </c>
      <c r="G106" t="s">
        <v>76</v>
      </c>
      <c r="H106">
        <v>16.488618968984962</v>
      </c>
      <c r="I106">
        <v>1</v>
      </c>
      <c r="J106">
        <v>7</v>
      </c>
      <c r="K106">
        <v>9</v>
      </c>
      <c r="L106">
        <v>-2</v>
      </c>
      <c r="M106">
        <v>6</v>
      </c>
      <c r="N106">
        <v>10</v>
      </c>
      <c r="O106">
        <v>-4</v>
      </c>
      <c r="P106">
        <v>8</v>
      </c>
      <c r="Q106">
        <v>8</v>
      </c>
      <c r="R106">
        <v>0</v>
      </c>
      <c r="S106">
        <v>9</v>
      </c>
      <c r="T106">
        <v>8</v>
      </c>
      <c r="U106">
        <v>1</v>
      </c>
      <c r="V106">
        <v>8</v>
      </c>
      <c r="W106">
        <v>9</v>
      </c>
      <c r="X106">
        <v>-1</v>
      </c>
      <c r="Y106">
        <v>9</v>
      </c>
      <c r="Z106">
        <v>9</v>
      </c>
      <c r="AA106">
        <v>0</v>
      </c>
      <c r="AB106">
        <v>8</v>
      </c>
      <c r="AC106">
        <v>8</v>
      </c>
      <c r="AD106">
        <v>0</v>
      </c>
      <c r="AE106">
        <v>7</v>
      </c>
      <c r="AF106">
        <v>6</v>
      </c>
      <c r="AG106">
        <v>1</v>
      </c>
      <c r="AH106">
        <v>9</v>
      </c>
      <c r="AI106">
        <v>9</v>
      </c>
      <c r="AJ106">
        <v>0</v>
      </c>
      <c r="AK106" t="s">
        <v>1190</v>
      </c>
      <c r="AL106" t="s">
        <v>1191</v>
      </c>
      <c r="AM106" t="s">
        <v>1192</v>
      </c>
      <c r="AN106" t="s">
        <v>1193</v>
      </c>
      <c r="AO106" t="s">
        <v>1194</v>
      </c>
      <c r="AP106" t="s">
        <v>1195</v>
      </c>
      <c r="AQ106" t="s">
        <v>1196</v>
      </c>
      <c r="AR106" t="s">
        <v>1197</v>
      </c>
      <c r="AS106" t="s">
        <v>271</v>
      </c>
    </row>
    <row r="107" spans="1:45" x14ac:dyDescent="0.45">
      <c r="A107">
        <v>106</v>
      </c>
      <c r="B107">
        <v>2096</v>
      </c>
      <c r="C107" t="s">
        <v>72</v>
      </c>
      <c r="D107" t="s">
        <v>81</v>
      </c>
      <c r="E107" t="s">
        <v>74</v>
      </c>
      <c r="F107" t="s">
        <v>77</v>
      </c>
      <c r="G107" t="s">
        <v>76</v>
      </c>
      <c r="H107">
        <v>12</v>
      </c>
      <c r="I107">
        <v>0</v>
      </c>
      <c r="J107">
        <v>8</v>
      </c>
      <c r="K107">
        <v>10</v>
      </c>
      <c r="L107">
        <v>-2</v>
      </c>
      <c r="M107">
        <v>7</v>
      </c>
      <c r="N107">
        <v>5</v>
      </c>
      <c r="O107">
        <v>2</v>
      </c>
      <c r="P107">
        <v>9</v>
      </c>
      <c r="Q107">
        <v>8</v>
      </c>
      <c r="R107">
        <v>1</v>
      </c>
      <c r="S107">
        <v>9</v>
      </c>
      <c r="T107">
        <v>8</v>
      </c>
      <c r="U107">
        <v>1</v>
      </c>
      <c r="V107">
        <v>8</v>
      </c>
      <c r="W107">
        <v>10</v>
      </c>
      <c r="X107">
        <v>-2</v>
      </c>
      <c r="Y107">
        <v>9</v>
      </c>
      <c r="Z107">
        <v>10</v>
      </c>
      <c r="AA107">
        <v>-1</v>
      </c>
      <c r="AB107">
        <v>8</v>
      </c>
      <c r="AC107">
        <v>10</v>
      </c>
      <c r="AD107">
        <v>-2</v>
      </c>
      <c r="AE107">
        <v>7</v>
      </c>
      <c r="AF107">
        <v>10</v>
      </c>
      <c r="AG107">
        <v>-3</v>
      </c>
      <c r="AH107">
        <v>9</v>
      </c>
      <c r="AI107">
        <v>10</v>
      </c>
      <c r="AJ107">
        <v>-1</v>
      </c>
      <c r="AK107" t="s">
        <v>1198</v>
      </c>
      <c r="AL107" t="s">
        <v>1199</v>
      </c>
      <c r="AM107" t="s">
        <v>1200</v>
      </c>
      <c r="AN107" t="s">
        <v>1201</v>
      </c>
      <c r="AO107" t="s">
        <v>1202</v>
      </c>
      <c r="AP107" t="s">
        <v>1203</v>
      </c>
      <c r="AQ107" t="s">
        <v>1204</v>
      </c>
      <c r="AR107" t="s">
        <v>1205</v>
      </c>
      <c r="AS107" t="s">
        <v>1206</v>
      </c>
    </row>
    <row r="108" spans="1:45" x14ac:dyDescent="0.45">
      <c r="A108">
        <v>107</v>
      </c>
      <c r="B108">
        <v>2097</v>
      </c>
      <c r="C108" t="s">
        <v>72</v>
      </c>
      <c r="D108" t="s">
        <v>79</v>
      </c>
      <c r="E108" t="s">
        <v>74</v>
      </c>
      <c r="F108" t="s">
        <v>77</v>
      </c>
      <c r="G108" t="s">
        <v>76</v>
      </c>
      <c r="H108">
        <v>23.823548121673934</v>
      </c>
      <c r="I108">
        <v>1</v>
      </c>
      <c r="J108">
        <v>6</v>
      </c>
      <c r="K108">
        <v>7</v>
      </c>
      <c r="L108">
        <v>-1</v>
      </c>
      <c r="M108">
        <v>7</v>
      </c>
      <c r="N108">
        <v>7</v>
      </c>
      <c r="O108">
        <v>0</v>
      </c>
      <c r="P108">
        <v>8</v>
      </c>
      <c r="Q108">
        <v>7</v>
      </c>
      <c r="R108">
        <v>1</v>
      </c>
      <c r="S108">
        <v>9</v>
      </c>
      <c r="T108">
        <v>7</v>
      </c>
      <c r="U108">
        <v>2</v>
      </c>
      <c r="V108">
        <v>8</v>
      </c>
      <c r="W108">
        <v>7</v>
      </c>
      <c r="X108">
        <v>1</v>
      </c>
      <c r="Y108">
        <v>9</v>
      </c>
      <c r="Z108">
        <v>7</v>
      </c>
      <c r="AA108">
        <v>2</v>
      </c>
      <c r="AB108">
        <v>8</v>
      </c>
      <c r="AC108">
        <v>7</v>
      </c>
      <c r="AD108">
        <v>1</v>
      </c>
      <c r="AE108">
        <v>7</v>
      </c>
      <c r="AF108">
        <v>7</v>
      </c>
      <c r="AG108">
        <v>0</v>
      </c>
      <c r="AH108">
        <v>9</v>
      </c>
      <c r="AI108">
        <v>8</v>
      </c>
      <c r="AJ108">
        <v>1</v>
      </c>
      <c r="AK108" t="s">
        <v>1207</v>
      </c>
      <c r="AL108" t="s">
        <v>1208</v>
      </c>
      <c r="AM108" t="s">
        <v>1209</v>
      </c>
      <c r="AN108" t="s">
        <v>1210</v>
      </c>
      <c r="AO108" t="s">
        <v>1211</v>
      </c>
      <c r="AP108" t="s">
        <v>1212</v>
      </c>
      <c r="AQ108" t="s">
        <v>1213</v>
      </c>
      <c r="AR108" t="s">
        <v>1214</v>
      </c>
      <c r="AS108" t="s">
        <v>1215</v>
      </c>
    </row>
    <row r="109" spans="1:45" x14ac:dyDescent="0.45">
      <c r="A109">
        <v>108</v>
      </c>
      <c r="B109">
        <v>2098</v>
      </c>
      <c r="C109" t="s">
        <v>72</v>
      </c>
      <c r="D109" t="s">
        <v>79</v>
      </c>
      <c r="E109" t="s">
        <v>74</v>
      </c>
      <c r="F109" t="s">
        <v>77</v>
      </c>
      <c r="G109" t="s">
        <v>76</v>
      </c>
      <c r="H109">
        <v>14.186306823579844</v>
      </c>
      <c r="I109">
        <v>1</v>
      </c>
      <c r="J109">
        <v>7</v>
      </c>
      <c r="K109">
        <v>5</v>
      </c>
      <c r="L109">
        <v>2</v>
      </c>
      <c r="M109">
        <v>7</v>
      </c>
      <c r="N109">
        <v>10</v>
      </c>
      <c r="O109">
        <v>-3</v>
      </c>
      <c r="P109">
        <v>8</v>
      </c>
      <c r="Q109">
        <v>5</v>
      </c>
      <c r="R109">
        <v>3</v>
      </c>
      <c r="S109">
        <v>9</v>
      </c>
      <c r="T109">
        <v>5</v>
      </c>
      <c r="U109">
        <v>4</v>
      </c>
      <c r="V109">
        <v>9</v>
      </c>
      <c r="W109">
        <v>5</v>
      </c>
      <c r="X109">
        <v>4</v>
      </c>
      <c r="Y109">
        <v>9</v>
      </c>
      <c r="Z109">
        <v>5</v>
      </c>
      <c r="AA109">
        <v>4</v>
      </c>
      <c r="AB109">
        <v>8</v>
      </c>
      <c r="AC109">
        <v>8</v>
      </c>
      <c r="AD109">
        <v>0</v>
      </c>
      <c r="AE109">
        <v>6</v>
      </c>
      <c r="AF109">
        <v>5</v>
      </c>
      <c r="AG109">
        <v>1</v>
      </c>
      <c r="AH109">
        <v>8</v>
      </c>
      <c r="AI109">
        <v>6</v>
      </c>
      <c r="AJ109">
        <v>2</v>
      </c>
      <c r="AK109" t="s">
        <v>1216</v>
      </c>
      <c r="AL109" t="s">
        <v>1217</v>
      </c>
      <c r="AM109" t="s">
        <v>1218</v>
      </c>
      <c r="AN109" t="s">
        <v>1219</v>
      </c>
      <c r="AO109" t="s">
        <v>1220</v>
      </c>
      <c r="AP109" t="s">
        <v>1221</v>
      </c>
      <c r="AQ109" t="s">
        <v>1222</v>
      </c>
      <c r="AR109" t="s">
        <v>1223</v>
      </c>
      <c r="AS109" t="s">
        <v>1224</v>
      </c>
    </row>
    <row r="110" spans="1:45" x14ac:dyDescent="0.45">
      <c r="A110">
        <v>109</v>
      </c>
      <c r="B110">
        <v>2099</v>
      </c>
      <c r="C110" t="s">
        <v>72</v>
      </c>
      <c r="D110" t="s">
        <v>79</v>
      </c>
      <c r="E110" t="s">
        <v>74</v>
      </c>
      <c r="F110" t="s">
        <v>77</v>
      </c>
      <c r="G110" t="s">
        <v>76</v>
      </c>
      <c r="H110">
        <v>14.887271696794896</v>
      </c>
      <c r="I110">
        <v>1</v>
      </c>
      <c r="J110">
        <v>9</v>
      </c>
      <c r="K110">
        <v>10</v>
      </c>
      <c r="L110">
        <v>-1</v>
      </c>
      <c r="M110">
        <v>8</v>
      </c>
      <c r="N110">
        <v>10</v>
      </c>
      <c r="O110">
        <v>-2</v>
      </c>
      <c r="P110">
        <v>9</v>
      </c>
      <c r="Q110">
        <v>10</v>
      </c>
      <c r="R110">
        <v>-1</v>
      </c>
      <c r="S110">
        <v>8</v>
      </c>
      <c r="T110">
        <v>10</v>
      </c>
      <c r="U110">
        <v>-2</v>
      </c>
      <c r="V110">
        <v>9</v>
      </c>
      <c r="W110">
        <v>10</v>
      </c>
      <c r="X110">
        <v>-1</v>
      </c>
      <c r="Y110">
        <v>8</v>
      </c>
      <c r="Z110">
        <v>10</v>
      </c>
      <c r="AA110">
        <v>-2</v>
      </c>
      <c r="AB110">
        <v>9</v>
      </c>
      <c r="AC110">
        <v>10</v>
      </c>
      <c r="AD110">
        <v>-1</v>
      </c>
      <c r="AE110">
        <v>8</v>
      </c>
      <c r="AF110">
        <v>10</v>
      </c>
      <c r="AG110">
        <v>-2</v>
      </c>
      <c r="AH110">
        <v>9</v>
      </c>
      <c r="AI110">
        <v>10</v>
      </c>
      <c r="AJ110">
        <v>-1</v>
      </c>
      <c r="AK110" t="s">
        <v>1225</v>
      </c>
      <c r="AL110" t="s">
        <v>1226</v>
      </c>
      <c r="AM110" t="s">
        <v>1227</v>
      </c>
      <c r="AN110" t="s">
        <v>1228</v>
      </c>
      <c r="AO110" t="s">
        <v>1229</v>
      </c>
      <c r="AP110" t="s">
        <v>1230</v>
      </c>
      <c r="AQ110" t="s">
        <v>1231</v>
      </c>
      <c r="AR110" t="s">
        <v>1232</v>
      </c>
      <c r="AS110" t="s">
        <v>1233</v>
      </c>
    </row>
    <row r="111" spans="1:45" x14ac:dyDescent="0.45">
      <c r="A111">
        <v>110</v>
      </c>
      <c r="B111">
        <v>2100</v>
      </c>
      <c r="C111" t="s">
        <v>78</v>
      </c>
      <c r="D111" t="s">
        <v>73</v>
      </c>
      <c r="E111" t="s">
        <v>74</v>
      </c>
      <c r="F111" t="s">
        <v>77</v>
      </c>
      <c r="G111" t="s">
        <v>76</v>
      </c>
      <c r="H111">
        <v>54.279779262352179</v>
      </c>
      <c r="I111">
        <v>2</v>
      </c>
      <c r="J111">
        <v>6</v>
      </c>
      <c r="K111">
        <v>7</v>
      </c>
      <c r="L111">
        <v>-1</v>
      </c>
      <c r="M111">
        <v>7</v>
      </c>
      <c r="N111">
        <v>6</v>
      </c>
      <c r="O111">
        <v>1</v>
      </c>
      <c r="P111">
        <v>8</v>
      </c>
      <c r="Q111">
        <v>8</v>
      </c>
      <c r="R111">
        <v>0</v>
      </c>
      <c r="S111">
        <v>9</v>
      </c>
      <c r="T111">
        <v>8</v>
      </c>
      <c r="U111">
        <v>1</v>
      </c>
      <c r="V111">
        <v>8</v>
      </c>
      <c r="W111">
        <v>7</v>
      </c>
      <c r="X111">
        <v>1</v>
      </c>
      <c r="Y111">
        <v>9</v>
      </c>
      <c r="Z111">
        <v>6</v>
      </c>
      <c r="AA111">
        <v>3</v>
      </c>
      <c r="AB111">
        <v>8</v>
      </c>
      <c r="AC111">
        <v>5</v>
      </c>
      <c r="AD111">
        <v>3</v>
      </c>
      <c r="AE111">
        <v>7</v>
      </c>
      <c r="AF111">
        <v>5</v>
      </c>
      <c r="AG111">
        <v>2</v>
      </c>
      <c r="AH111">
        <v>9</v>
      </c>
      <c r="AI111">
        <v>8</v>
      </c>
      <c r="AJ111">
        <v>1</v>
      </c>
      <c r="AK111" t="s">
        <v>1234</v>
      </c>
      <c r="AL111" t="s">
        <v>1235</v>
      </c>
      <c r="AM111" t="s">
        <v>1236</v>
      </c>
      <c r="AN111" t="s">
        <v>1237</v>
      </c>
      <c r="AO111" t="s">
        <v>1238</v>
      </c>
      <c r="AP111" t="s">
        <v>1239</v>
      </c>
      <c r="AQ111" t="s">
        <v>1240</v>
      </c>
      <c r="AR111" t="s">
        <v>1241</v>
      </c>
      <c r="AS111" t="s">
        <v>1242</v>
      </c>
    </row>
    <row r="112" spans="1:45" x14ac:dyDescent="0.45">
      <c r="A112">
        <v>111</v>
      </c>
      <c r="B112">
        <v>2101</v>
      </c>
      <c r="C112" t="s">
        <v>78</v>
      </c>
      <c r="D112" t="s">
        <v>191</v>
      </c>
      <c r="E112" t="s">
        <v>74</v>
      </c>
      <c r="F112" t="s">
        <v>77</v>
      </c>
      <c r="G112" t="s">
        <v>76</v>
      </c>
      <c r="H112">
        <v>23.865364861513175</v>
      </c>
      <c r="I112">
        <v>1</v>
      </c>
      <c r="J112">
        <v>8</v>
      </c>
      <c r="K112">
        <v>8</v>
      </c>
      <c r="L112">
        <v>0</v>
      </c>
      <c r="M112">
        <v>7</v>
      </c>
      <c r="N112">
        <v>8</v>
      </c>
      <c r="O112">
        <v>-1</v>
      </c>
      <c r="P112">
        <v>9</v>
      </c>
      <c r="Q112">
        <v>6</v>
      </c>
      <c r="R112">
        <v>3</v>
      </c>
      <c r="S112">
        <v>9</v>
      </c>
      <c r="T112">
        <v>7</v>
      </c>
      <c r="U112">
        <v>2</v>
      </c>
      <c r="V112">
        <v>8</v>
      </c>
      <c r="W112">
        <v>6</v>
      </c>
      <c r="X112">
        <v>2</v>
      </c>
      <c r="Y112">
        <v>9</v>
      </c>
      <c r="Z112">
        <v>7</v>
      </c>
      <c r="AA112">
        <v>2</v>
      </c>
      <c r="AB112">
        <v>8</v>
      </c>
      <c r="AC112">
        <v>5</v>
      </c>
      <c r="AD112">
        <v>3</v>
      </c>
      <c r="AE112">
        <v>7</v>
      </c>
      <c r="AF112">
        <v>5</v>
      </c>
      <c r="AG112">
        <v>2</v>
      </c>
      <c r="AH112">
        <v>8</v>
      </c>
      <c r="AI112">
        <v>5</v>
      </c>
      <c r="AJ112">
        <v>3</v>
      </c>
      <c r="AK112" t="s">
        <v>1243</v>
      </c>
      <c r="AL112" t="s">
        <v>1244</v>
      </c>
      <c r="AM112" t="s">
        <v>1245</v>
      </c>
      <c r="AN112" t="s">
        <v>1246</v>
      </c>
      <c r="AO112" t="s">
        <v>1247</v>
      </c>
      <c r="AP112" t="s">
        <v>1248</v>
      </c>
      <c r="AQ112" t="s">
        <v>1249</v>
      </c>
      <c r="AR112" t="s">
        <v>1250</v>
      </c>
      <c r="AS112" t="s">
        <v>1251</v>
      </c>
    </row>
    <row r="113" spans="1:45" x14ac:dyDescent="0.45">
      <c r="A113">
        <v>112</v>
      </c>
      <c r="B113">
        <v>2102</v>
      </c>
      <c r="C113" t="s">
        <v>72</v>
      </c>
      <c r="D113" t="s">
        <v>79</v>
      </c>
      <c r="E113" t="s">
        <v>74</v>
      </c>
      <c r="F113" t="s">
        <v>77</v>
      </c>
      <c r="G113" t="s">
        <v>76</v>
      </c>
      <c r="H113">
        <v>18.581680431978473</v>
      </c>
      <c r="I113">
        <v>2</v>
      </c>
      <c r="J113">
        <v>7</v>
      </c>
      <c r="K113">
        <v>7</v>
      </c>
      <c r="L113">
        <v>0</v>
      </c>
      <c r="M113">
        <v>6</v>
      </c>
      <c r="N113">
        <v>8</v>
      </c>
      <c r="O113">
        <v>-2</v>
      </c>
      <c r="P113">
        <v>9</v>
      </c>
      <c r="Q113">
        <v>8</v>
      </c>
      <c r="R113">
        <v>1</v>
      </c>
      <c r="S113">
        <v>8</v>
      </c>
      <c r="T113">
        <v>8</v>
      </c>
      <c r="U113">
        <v>0</v>
      </c>
      <c r="V113">
        <v>9</v>
      </c>
      <c r="W113">
        <v>8</v>
      </c>
      <c r="X113">
        <v>1</v>
      </c>
      <c r="Y113">
        <v>8</v>
      </c>
      <c r="Z113">
        <v>8</v>
      </c>
      <c r="AA113">
        <v>0</v>
      </c>
      <c r="AB113">
        <v>9</v>
      </c>
      <c r="AC113">
        <v>8</v>
      </c>
      <c r="AD113">
        <v>1</v>
      </c>
      <c r="AE113">
        <v>8</v>
      </c>
      <c r="AF113">
        <v>8</v>
      </c>
      <c r="AG113">
        <v>0</v>
      </c>
      <c r="AH113">
        <v>9</v>
      </c>
      <c r="AI113">
        <v>8</v>
      </c>
      <c r="AJ113">
        <v>1</v>
      </c>
      <c r="AK113" t="s">
        <v>1252</v>
      </c>
      <c r="AL113" t="s">
        <v>1253</v>
      </c>
      <c r="AM113" t="s">
        <v>1254</v>
      </c>
      <c r="AN113" t="s">
        <v>1255</v>
      </c>
      <c r="AO113" t="s">
        <v>1256</v>
      </c>
      <c r="AP113" t="s">
        <v>1257</v>
      </c>
      <c r="AQ113" t="s">
        <v>1258</v>
      </c>
      <c r="AR113" t="s">
        <v>1259</v>
      </c>
      <c r="AS113" t="s">
        <v>1260</v>
      </c>
    </row>
    <row r="114" spans="1:45" x14ac:dyDescent="0.45">
      <c r="A114">
        <v>113</v>
      </c>
      <c r="B114">
        <v>2103</v>
      </c>
      <c r="C114" t="s">
        <v>72</v>
      </c>
      <c r="D114" t="s">
        <v>73</v>
      </c>
      <c r="E114" t="s">
        <v>74</v>
      </c>
      <c r="F114" t="s">
        <v>77</v>
      </c>
      <c r="G114" t="s">
        <v>76</v>
      </c>
      <c r="H114">
        <v>12</v>
      </c>
      <c r="I114">
        <v>3</v>
      </c>
      <c r="J114">
        <v>7</v>
      </c>
      <c r="K114">
        <v>1</v>
      </c>
      <c r="L114">
        <v>6</v>
      </c>
      <c r="M114">
        <v>6</v>
      </c>
      <c r="N114">
        <v>1</v>
      </c>
      <c r="O114">
        <v>5</v>
      </c>
      <c r="P114">
        <v>8</v>
      </c>
      <c r="Q114">
        <v>1</v>
      </c>
      <c r="R114">
        <v>7</v>
      </c>
      <c r="S114">
        <v>9</v>
      </c>
      <c r="T114">
        <v>1</v>
      </c>
      <c r="U114">
        <v>8</v>
      </c>
      <c r="V114">
        <v>8</v>
      </c>
      <c r="W114">
        <v>1</v>
      </c>
      <c r="X114">
        <v>7</v>
      </c>
      <c r="Y114">
        <v>7</v>
      </c>
      <c r="Z114">
        <v>1</v>
      </c>
      <c r="AA114">
        <v>6</v>
      </c>
      <c r="AB114">
        <v>8</v>
      </c>
      <c r="AC114">
        <v>1</v>
      </c>
      <c r="AD114">
        <v>7</v>
      </c>
      <c r="AE114">
        <v>9</v>
      </c>
      <c r="AF114">
        <v>1</v>
      </c>
      <c r="AG114">
        <v>8</v>
      </c>
      <c r="AH114">
        <v>8</v>
      </c>
      <c r="AI114">
        <v>1</v>
      </c>
      <c r="AJ114">
        <v>7</v>
      </c>
      <c r="AK114" t="s">
        <v>1261</v>
      </c>
      <c r="AL114" t="s">
        <v>1262</v>
      </c>
      <c r="AM114" t="s">
        <v>1263</v>
      </c>
      <c r="AN114" t="s">
        <v>1264</v>
      </c>
      <c r="AO114" t="s">
        <v>1265</v>
      </c>
      <c r="AP114" t="s">
        <v>1266</v>
      </c>
      <c r="AQ114" t="s">
        <v>1267</v>
      </c>
      <c r="AR114" t="s">
        <v>1268</v>
      </c>
      <c r="AS114" t="s">
        <v>1269</v>
      </c>
    </row>
    <row r="115" spans="1:45" x14ac:dyDescent="0.45">
      <c r="A115">
        <v>114</v>
      </c>
      <c r="B115">
        <v>2104</v>
      </c>
      <c r="C115" t="s">
        <v>72</v>
      </c>
      <c r="D115" t="s">
        <v>79</v>
      </c>
      <c r="E115" t="s">
        <v>74</v>
      </c>
      <c r="F115" t="s">
        <v>77</v>
      </c>
      <c r="G115" t="s">
        <v>76</v>
      </c>
      <c r="H115">
        <v>20.635026001096445</v>
      </c>
      <c r="I115">
        <v>4</v>
      </c>
      <c r="J115">
        <v>8</v>
      </c>
      <c r="K115">
        <v>10</v>
      </c>
      <c r="L115">
        <v>-2</v>
      </c>
      <c r="M115">
        <v>7</v>
      </c>
      <c r="N115">
        <v>10</v>
      </c>
      <c r="O115">
        <v>-3</v>
      </c>
      <c r="P115">
        <v>9</v>
      </c>
      <c r="Q115">
        <v>10</v>
      </c>
      <c r="R115">
        <v>-1</v>
      </c>
      <c r="S115">
        <v>9</v>
      </c>
      <c r="T115">
        <v>10</v>
      </c>
      <c r="U115">
        <v>-1</v>
      </c>
      <c r="V115">
        <v>8</v>
      </c>
      <c r="W115">
        <v>10</v>
      </c>
      <c r="X115">
        <v>-2</v>
      </c>
      <c r="Y115">
        <v>9</v>
      </c>
      <c r="Z115">
        <v>10</v>
      </c>
      <c r="AA115">
        <v>-1</v>
      </c>
      <c r="AB115">
        <v>8</v>
      </c>
      <c r="AC115">
        <v>10</v>
      </c>
      <c r="AD115">
        <v>-2</v>
      </c>
      <c r="AE115">
        <v>7</v>
      </c>
      <c r="AF115">
        <v>10</v>
      </c>
      <c r="AG115">
        <v>-3</v>
      </c>
      <c r="AH115">
        <v>9</v>
      </c>
      <c r="AI115">
        <v>10</v>
      </c>
      <c r="AJ115">
        <v>-1</v>
      </c>
      <c r="AK115" t="s">
        <v>1270</v>
      </c>
      <c r="AL115" t="s">
        <v>1271</v>
      </c>
      <c r="AM115" t="s">
        <v>1272</v>
      </c>
      <c r="AN115" t="s">
        <v>1273</v>
      </c>
      <c r="AO115" t="s">
        <v>1274</v>
      </c>
      <c r="AP115" t="s">
        <v>1275</v>
      </c>
      <c r="AQ115" t="s">
        <v>1276</v>
      </c>
      <c r="AR115" t="s">
        <v>1277</v>
      </c>
      <c r="AS115" t="s">
        <v>1278</v>
      </c>
    </row>
    <row r="116" spans="1:45" x14ac:dyDescent="0.45">
      <c r="A116">
        <v>115</v>
      </c>
      <c r="B116">
        <v>2105</v>
      </c>
      <c r="C116" t="s">
        <v>72</v>
      </c>
      <c r="D116" t="s">
        <v>79</v>
      </c>
      <c r="E116" t="s">
        <v>74</v>
      </c>
      <c r="F116" t="s">
        <v>75</v>
      </c>
      <c r="G116" t="s">
        <v>76</v>
      </c>
      <c r="H116">
        <v>16.660673825493227</v>
      </c>
      <c r="I116">
        <v>4</v>
      </c>
      <c r="J116">
        <v>3</v>
      </c>
      <c r="K116">
        <v>1</v>
      </c>
      <c r="L116">
        <v>2</v>
      </c>
      <c r="M116">
        <v>3</v>
      </c>
      <c r="N116">
        <v>1</v>
      </c>
      <c r="O116">
        <v>2</v>
      </c>
      <c r="P116">
        <v>8</v>
      </c>
      <c r="Q116">
        <v>1</v>
      </c>
      <c r="R116">
        <v>7</v>
      </c>
      <c r="S116">
        <v>9</v>
      </c>
      <c r="T116">
        <v>1</v>
      </c>
      <c r="U116">
        <v>8</v>
      </c>
      <c r="V116">
        <v>7</v>
      </c>
      <c r="W116">
        <v>1</v>
      </c>
      <c r="X116">
        <v>6</v>
      </c>
      <c r="Y116">
        <v>8</v>
      </c>
      <c r="Z116">
        <v>1</v>
      </c>
      <c r="AA116">
        <v>7</v>
      </c>
      <c r="AB116">
        <v>7</v>
      </c>
      <c r="AC116">
        <v>1</v>
      </c>
      <c r="AD116">
        <v>6</v>
      </c>
      <c r="AE116">
        <v>8</v>
      </c>
      <c r="AF116">
        <v>1</v>
      </c>
      <c r="AG116">
        <v>7</v>
      </c>
      <c r="AH116">
        <v>9</v>
      </c>
      <c r="AI116">
        <v>1</v>
      </c>
      <c r="AJ116">
        <v>8</v>
      </c>
      <c r="AK116" t="s">
        <v>1279</v>
      </c>
      <c r="AL116" t="s">
        <v>1280</v>
      </c>
      <c r="AM116" t="s">
        <v>1281</v>
      </c>
      <c r="AN116" t="s">
        <v>1282</v>
      </c>
      <c r="AO116" t="s">
        <v>1283</v>
      </c>
      <c r="AP116" t="s">
        <v>1284</v>
      </c>
      <c r="AQ116" t="s">
        <v>1285</v>
      </c>
      <c r="AR116" t="s">
        <v>1286</v>
      </c>
      <c r="AS116" t="s">
        <v>1287</v>
      </c>
    </row>
    <row r="117" spans="1:45" x14ac:dyDescent="0.45">
      <c r="A117">
        <v>116</v>
      </c>
      <c r="B117">
        <v>2106</v>
      </c>
      <c r="C117" t="s">
        <v>72</v>
      </c>
      <c r="D117" t="s">
        <v>79</v>
      </c>
      <c r="E117" t="s">
        <v>74</v>
      </c>
      <c r="F117" t="s">
        <v>75</v>
      </c>
      <c r="G117" t="s">
        <v>76</v>
      </c>
      <c r="H117">
        <v>14.311612335351752</v>
      </c>
      <c r="I117">
        <v>0</v>
      </c>
      <c r="J117">
        <v>6</v>
      </c>
      <c r="K117">
        <v>9</v>
      </c>
      <c r="L117">
        <v>-3</v>
      </c>
      <c r="M117">
        <v>7</v>
      </c>
      <c r="N117">
        <v>9</v>
      </c>
      <c r="O117">
        <v>-2</v>
      </c>
      <c r="P117">
        <v>8</v>
      </c>
      <c r="Q117">
        <v>9</v>
      </c>
      <c r="R117">
        <v>-1</v>
      </c>
      <c r="S117">
        <v>9</v>
      </c>
      <c r="T117">
        <v>9</v>
      </c>
      <c r="U117">
        <v>0</v>
      </c>
      <c r="V117">
        <v>7</v>
      </c>
      <c r="W117">
        <v>9</v>
      </c>
      <c r="X117">
        <v>-2</v>
      </c>
      <c r="Y117">
        <v>9</v>
      </c>
      <c r="Z117">
        <v>9</v>
      </c>
      <c r="AA117">
        <v>0</v>
      </c>
      <c r="AB117">
        <v>8</v>
      </c>
      <c r="AC117">
        <v>9</v>
      </c>
      <c r="AD117">
        <v>-1</v>
      </c>
      <c r="AE117">
        <v>9</v>
      </c>
      <c r="AF117">
        <v>8</v>
      </c>
      <c r="AG117">
        <v>1</v>
      </c>
      <c r="AH117">
        <v>10</v>
      </c>
      <c r="AI117">
        <v>9</v>
      </c>
      <c r="AJ117">
        <v>1</v>
      </c>
      <c r="AK117" t="s">
        <v>1288</v>
      </c>
      <c r="AL117" t="s">
        <v>1289</v>
      </c>
      <c r="AM117" t="s">
        <v>1290</v>
      </c>
      <c r="AN117" t="s">
        <v>1291</v>
      </c>
      <c r="AO117" t="s">
        <v>1292</v>
      </c>
      <c r="AP117" t="s">
        <v>1293</v>
      </c>
      <c r="AQ117" t="s">
        <v>1294</v>
      </c>
      <c r="AR117" t="s">
        <v>1295</v>
      </c>
      <c r="AS117" t="s">
        <v>1296</v>
      </c>
    </row>
    <row r="118" spans="1:45" x14ac:dyDescent="0.45">
      <c r="A118">
        <v>117</v>
      </c>
      <c r="B118">
        <v>2107</v>
      </c>
      <c r="C118" t="s">
        <v>72</v>
      </c>
      <c r="D118" t="s">
        <v>79</v>
      </c>
      <c r="E118" t="s">
        <v>74</v>
      </c>
      <c r="F118" t="s">
        <v>77</v>
      </c>
      <c r="G118" t="s">
        <v>76</v>
      </c>
      <c r="H118">
        <v>55.422761197604416</v>
      </c>
      <c r="I118">
        <v>0</v>
      </c>
      <c r="J118">
        <v>8</v>
      </c>
      <c r="K118">
        <v>8</v>
      </c>
      <c r="L118">
        <v>0</v>
      </c>
      <c r="M118">
        <v>9</v>
      </c>
      <c r="N118">
        <v>9</v>
      </c>
      <c r="O118">
        <v>0</v>
      </c>
      <c r="P118">
        <v>8</v>
      </c>
      <c r="Q118">
        <v>8</v>
      </c>
      <c r="R118">
        <v>0</v>
      </c>
      <c r="S118">
        <v>9</v>
      </c>
      <c r="T118">
        <v>6</v>
      </c>
      <c r="U118">
        <v>3</v>
      </c>
      <c r="V118">
        <v>7</v>
      </c>
      <c r="W118">
        <v>8</v>
      </c>
      <c r="X118">
        <v>-1</v>
      </c>
      <c r="Y118">
        <v>9</v>
      </c>
      <c r="Z118">
        <v>8</v>
      </c>
      <c r="AA118">
        <v>1</v>
      </c>
      <c r="AB118">
        <v>8</v>
      </c>
      <c r="AC118">
        <v>8</v>
      </c>
      <c r="AD118">
        <v>0</v>
      </c>
      <c r="AE118">
        <v>7</v>
      </c>
      <c r="AF118">
        <v>8</v>
      </c>
      <c r="AG118">
        <v>-1</v>
      </c>
      <c r="AH118">
        <v>8</v>
      </c>
      <c r="AI118">
        <v>6</v>
      </c>
      <c r="AJ118">
        <v>2</v>
      </c>
      <c r="AK118" t="s">
        <v>1297</v>
      </c>
      <c r="AL118" t="s">
        <v>1298</v>
      </c>
      <c r="AM118" t="s">
        <v>1299</v>
      </c>
      <c r="AN118" t="s">
        <v>1300</v>
      </c>
      <c r="AO118" t="s">
        <v>1301</v>
      </c>
      <c r="AP118" t="s">
        <v>1302</v>
      </c>
      <c r="AQ118" t="s">
        <v>1303</v>
      </c>
      <c r="AR118" t="s">
        <v>1304</v>
      </c>
      <c r="AS118" t="s">
        <v>1305</v>
      </c>
    </row>
    <row r="119" spans="1:45" x14ac:dyDescent="0.45">
      <c r="A119">
        <v>118</v>
      </c>
      <c r="B119">
        <v>2108</v>
      </c>
      <c r="C119" t="s">
        <v>78</v>
      </c>
      <c r="D119" t="s">
        <v>73</v>
      </c>
      <c r="E119" t="s">
        <v>74</v>
      </c>
      <c r="F119" t="s">
        <v>75</v>
      </c>
      <c r="G119" t="s">
        <v>76</v>
      </c>
      <c r="H119">
        <v>38.873279714361246</v>
      </c>
      <c r="I119">
        <v>1</v>
      </c>
      <c r="J119">
        <v>7</v>
      </c>
      <c r="K119">
        <v>4</v>
      </c>
      <c r="L119">
        <v>3</v>
      </c>
      <c r="M119">
        <v>8</v>
      </c>
      <c r="N119">
        <v>1</v>
      </c>
      <c r="O119">
        <v>7</v>
      </c>
      <c r="P119">
        <v>6</v>
      </c>
      <c r="Q119">
        <v>1</v>
      </c>
      <c r="R119">
        <v>5</v>
      </c>
      <c r="S119">
        <v>9</v>
      </c>
      <c r="T119">
        <v>5</v>
      </c>
      <c r="U119">
        <v>4</v>
      </c>
      <c r="V119">
        <v>8</v>
      </c>
      <c r="W119">
        <v>1</v>
      </c>
      <c r="X119">
        <v>7</v>
      </c>
      <c r="Y119">
        <v>9</v>
      </c>
      <c r="Z119">
        <v>3</v>
      </c>
      <c r="AA119">
        <v>6</v>
      </c>
      <c r="AB119">
        <v>8</v>
      </c>
      <c r="AC119">
        <v>1</v>
      </c>
      <c r="AD119">
        <v>7</v>
      </c>
      <c r="AE119">
        <v>7</v>
      </c>
      <c r="AF119">
        <v>1</v>
      </c>
      <c r="AG119">
        <v>6</v>
      </c>
      <c r="AH119">
        <v>9</v>
      </c>
      <c r="AI119">
        <v>5</v>
      </c>
      <c r="AJ119">
        <v>4</v>
      </c>
      <c r="AK119" t="s">
        <v>1306</v>
      </c>
      <c r="AL119" t="s">
        <v>1307</v>
      </c>
      <c r="AM119" t="s">
        <v>1308</v>
      </c>
      <c r="AN119" t="s">
        <v>1309</v>
      </c>
      <c r="AO119" t="s">
        <v>1310</v>
      </c>
      <c r="AP119" t="s">
        <v>1311</v>
      </c>
      <c r="AQ119" t="s">
        <v>1312</v>
      </c>
      <c r="AR119" t="s">
        <v>1313</v>
      </c>
      <c r="AS119" t="s">
        <v>1314</v>
      </c>
    </row>
    <row r="120" spans="1:45" x14ac:dyDescent="0.45">
      <c r="A120">
        <v>119</v>
      </c>
      <c r="B120">
        <v>2109</v>
      </c>
      <c r="C120" t="s">
        <v>72</v>
      </c>
      <c r="D120" t="s">
        <v>193</v>
      </c>
      <c r="E120" t="s">
        <v>74</v>
      </c>
      <c r="F120" t="s">
        <v>77</v>
      </c>
      <c r="G120" t="s">
        <v>76</v>
      </c>
      <c r="H120">
        <v>52.814063505627445</v>
      </c>
      <c r="I120">
        <v>4</v>
      </c>
      <c r="J120">
        <v>6</v>
      </c>
      <c r="K120">
        <v>8</v>
      </c>
      <c r="L120">
        <v>-2</v>
      </c>
      <c r="M120">
        <v>8</v>
      </c>
      <c r="N120">
        <v>8</v>
      </c>
      <c r="O120">
        <v>0</v>
      </c>
      <c r="P120">
        <v>9</v>
      </c>
      <c r="Q120">
        <v>6</v>
      </c>
      <c r="R120">
        <v>3</v>
      </c>
      <c r="S120">
        <v>8</v>
      </c>
      <c r="T120">
        <v>9</v>
      </c>
      <c r="U120">
        <v>-1</v>
      </c>
      <c r="V120">
        <v>7</v>
      </c>
      <c r="W120">
        <v>8</v>
      </c>
      <c r="X120">
        <v>-1</v>
      </c>
      <c r="Y120">
        <v>9</v>
      </c>
      <c r="Z120">
        <v>7</v>
      </c>
      <c r="AA120">
        <v>2</v>
      </c>
      <c r="AB120">
        <v>8</v>
      </c>
      <c r="AC120">
        <v>7</v>
      </c>
      <c r="AD120">
        <v>1</v>
      </c>
      <c r="AE120">
        <v>6</v>
      </c>
      <c r="AF120">
        <v>7</v>
      </c>
      <c r="AG120">
        <v>-1</v>
      </c>
      <c r="AH120">
        <v>9</v>
      </c>
      <c r="AI120">
        <v>7</v>
      </c>
      <c r="AJ120">
        <v>2</v>
      </c>
      <c r="AK120" t="s">
        <v>1315</v>
      </c>
      <c r="AL120" t="s">
        <v>1316</v>
      </c>
      <c r="AM120" t="s">
        <v>1317</v>
      </c>
      <c r="AN120" t="s">
        <v>1318</v>
      </c>
      <c r="AO120" t="s">
        <v>1319</v>
      </c>
      <c r="AP120" t="s">
        <v>1320</v>
      </c>
      <c r="AQ120" t="s">
        <v>1321</v>
      </c>
      <c r="AR120" t="s">
        <v>1322</v>
      </c>
      <c r="AS120" t="s">
        <v>1323</v>
      </c>
    </row>
    <row r="121" spans="1:45" x14ac:dyDescent="0.45">
      <c r="A121">
        <v>120</v>
      </c>
      <c r="B121">
        <v>2110</v>
      </c>
      <c r="C121" t="s">
        <v>72</v>
      </c>
      <c r="D121" t="s">
        <v>79</v>
      </c>
      <c r="E121" t="s">
        <v>80</v>
      </c>
      <c r="F121" t="s">
        <v>77</v>
      </c>
      <c r="G121" t="s">
        <v>76</v>
      </c>
      <c r="H121">
        <v>26.65643394692502</v>
      </c>
      <c r="I121">
        <v>3</v>
      </c>
      <c r="J121">
        <v>7</v>
      </c>
      <c r="K121">
        <v>6</v>
      </c>
      <c r="L121">
        <v>1</v>
      </c>
      <c r="M121">
        <v>6</v>
      </c>
      <c r="N121">
        <v>6</v>
      </c>
      <c r="O121">
        <v>0</v>
      </c>
      <c r="P121">
        <v>9</v>
      </c>
      <c r="Q121">
        <v>6</v>
      </c>
      <c r="R121">
        <v>3</v>
      </c>
      <c r="S121">
        <v>8</v>
      </c>
      <c r="T121">
        <v>6</v>
      </c>
      <c r="U121">
        <v>2</v>
      </c>
      <c r="V121">
        <v>7</v>
      </c>
      <c r="W121">
        <v>6</v>
      </c>
      <c r="X121">
        <v>1</v>
      </c>
      <c r="Y121">
        <v>8</v>
      </c>
      <c r="Z121">
        <v>6</v>
      </c>
      <c r="AA121">
        <v>2</v>
      </c>
      <c r="AB121">
        <v>6</v>
      </c>
      <c r="AC121">
        <v>6</v>
      </c>
      <c r="AD121">
        <v>0</v>
      </c>
      <c r="AE121">
        <v>9</v>
      </c>
      <c r="AF121">
        <v>6</v>
      </c>
      <c r="AG121">
        <v>3</v>
      </c>
      <c r="AH121">
        <v>7</v>
      </c>
      <c r="AI121">
        <v>6</v>
      </c>
      <c r="AJ121">
        <v>1</v>
      </c>
      <c r="AK121" t="s">
        <v>1324</v>
      </c>
      <c r="AL121" t="s">
        <v>1325</v>
      </c>
      <c r="AM121" t="s">
        <v>1326</v>
      </c>
      <c r="AN121" t="s">
        <v>1327</v>
      </c>
      <c r="AO121" t="s">
        <v>1328</v>
      </c>
      <c r="AP121" t="s">
        <v>1329</v>
      </c>
      <c r="AQ121" t="s">
        <v>1330</v>
      </c>
      <c r="AR121" t="s">
        <v>1331</v>
      </c>
      <c r="AS121" t="s">
        <v>1332</v>
      </c>
    </row>
    <row r="122" spans="1:45" x14ac:dyDescent="0.45">
      <c r="A122">
        <v>121</v>
      </c>
      <c r="B122">
        <v>2111</v>
      </c>
      <c r="C122" t="s">
        <v>78</v>
      </c>
      <c r="D122" t="s">
        <v>191</v>
      </c>
      <c r="E122" t="s">
        <v>74</v>
      </c>
      <c r="F122" t="s">
        <v>75</v>
      </c>
      <c r="G122" t="s">
        <v>162</v>
      </c>
      <c r="H122">
        <v>201.27275496241441</v>
      </c>
      <c r="I122">
        <v>4</v>
      </c>
      <c r="J122">
        <v>7</v>
      </c>
      <c r="K122">
        <v>1</v>
      </c>
      <c r="L122">
        <v>6</v>
      </c>
      <c r="M122">
        <v>6</v>
      </c>
      <c r="N122">
        <v>1</v>
      </c>
      <c r="O122">
        <v>5</v>
      </c>
      <c r="P122">
        <v>8</v>
      </c>
      <c r="Q122">
        <v>1</v>
      </c>
      <c r="R122">
        <v>7</v>
      </c>
      <c r="S122">
        <v>9</v>
      </c>
      <c r="T122">
        <v>5</v>
      </c>
      <c r="U122">
        <v>4</v>
      </c>
      <c r="V122">
        <v>7</v>
      </c>
      <c r="W122">
        <v>1</v>
      </c>
      <c r="X122">
        <v>6</v>
      </c>
      <c r="Y122">
        <v>9</v>
      </c>
      <c r="Z122">
        <v>1</v>
      </c>
      <c r="AA122">
        <v>8</v>
      </c>
      <c r="AB122">
        <v>8</v>
      </c>
      <c r="AC122">
        <v>1</v>
      </c>
      <c r="AD122">
        <v>7</v>
      </c>
      <c r="AE122">
        <v>7</v>
      </c>
      <c r="AF122">
        <v>1</v>
      </c>
      <c r="AG122">
        <v>6</v>
      </c>
      <c r="AH122">
        <v>9</v>
      </c>
      <c r="AI122">
        <v>5</v>
      </c>
      <c r="AJ122">
        <v>4</v>
      </c>
      <c r="AK122" t="s">
        <v>1333</v>
      </c>
      <c r="AL122" t="s">
        <v>1334</v>
      </c>
      <c r="AM122" t="s">
        <v>1335</v>
      </c>
      <c r="AN122" t="s">
        <v>1336</v>
      </c>
      <c r="AO122" t="s">
        <v>1337</v>
      </c>
      <c r="AP122" t="s">
        <v>1338</v>
      </c>
      <c r="AQ122" t="s">
        <v>1339</v>
      </c>
      <c r="AR122" t="s">
        <v>1340</v>
      </c>
      <c r="AS122" t="s">
        <v>1341</v>
      </c>
    </row>
    <row r="123" spans="1:45" x14ac:dyDescent="0.45">
      <c r="A123">
        <v>122</v>
      </c>
      <c r="B123">
        <v>2112</v>
      </c>
      <c r="C123" t="s">
        <v>78</v>
      </c>
      <c r="D123" t="s">
        <v>79</v>
      </c>
      <c r="E123" t="s">
        <v>74</v>
      </c>
      <c r="F123" t="s">
        <v>77</v>
      </c>
      <c r="G123" t="s">
        <v>76</v>
      </c>
      <c r="H123">
        <v>114.48265751466442</v>
      </c>
      <c r="I123">
        <v>0</v>
      </c>
      <c r="J123">
        <v>9</v>
      </c>
      <c r="K123">
        <v>4</v>
      </c>
      <c r="L123">
        <v>5</v>
      </c>
      <c r="M123">
        <v>8</v>
      </c>
      <c r="N123">
        <v>4</v>
      </c>
      <c r="O123">
        <v>4</v>
      </c>
      <c r="P123">
        <v>9</v>
      </c>
      <c r="Q123">
        <v>2</v>
      </c>
      <c r="R123">
        <v>7</v>
      </c>
      <c r="S123">
        <v>8</v>
      </c>
      <c r="T123">
        <v>5</v>
      </c>
      <c r="U123">
        <v>3</v>
      </c>
      <c r="V123">
        <v>9</v>
      </c>
      <c r="W123">
        <v>1</v>
      </c>
      <c r="X123">
        <v>8</v>
      </c>
      <c r="Y123">
        <v>8</v>
      </c>
      <c r="Z123">
        <v>1</v>
      </c>
      <c r="AA123">
        <v>7</v>
      </c>
      <c r="AB123">
        <v>9</v>
      </c>
      <c r="AC123">
        <v>1</v>
      </c>
      <c r="AD123">
        <v>8</v>
      </c>
      <c r="AE123">
        <v>8</v>
      </c>
      <c r="AF123">
        <v>4</v>
      </c>
      <c r="AG123">
        <v>4</v>
      </c>
      <c r="AH123">
        <v>9</v>
      </c>
      <c r="AI123">
        <v>4</v>
      </c>
      <c r="AJ123">
        <v>5</v>
      </c>
      <c r="AK123" t="s">
        <v>1342</v>
      </c>
      <c r="AL123" t="s">
        <v>1343</v>
      </c>
      <c r="AM123" t="s">
        <v>1344</v>
      </c>
      <c r="AN123" t="s">
        <v>1345</v>
      </c>
      <c r="AO123" t="s">
        <v>1346</v>
      </c>
      <c r="AP123" t="s">
        <v>1347</v>
      </c>
      <c r="AQ123" t="s">
        <v>1348</v>
      </c>
      <c r="AR123" t="s">
        <v>1349</v>
      </c>
      <c r="AS123" t="s">
        <v>1350</v>
      </c>
    </row>
    <row r="124" spans="1:45" x14ac:dyDescent="0.45">
      <c r="A124">
        <v>123</v>
      </c>
      <c r="B124">
        <v>2113</v>
      </c>
      <c r="C124" t="s">
        <v>72</v>
      </c>
      <c r="D124" t="s">
        <v>189</v>
      </c>
      <c r="E124" t="s">
        <v>74</v>
      </c>
      <c r="F124" t="s">
        <v>77</v>
      </c>
      <c r="G124" t="s">
        <v>76</v>
      </c>
      <c r="H124">
        <v>12</v>
      </c>
      <c r="I124">
        <v>0</v>
      </c>
      <c r="J124">
        <v>8</v>
      </c>
      <c r="K124">
        <v>7</v>
      </c>
      <c r="L124">
        <v>1</v>
      </c>
      <c r="M124">
        <v>7</v>
      </c>
      <c r="N124">
        <v>7</v>
      </c>
      <c r="O124">
        <v>0</v>
      </c>
      <c r="P124">
        <v>9</v>
      </c>
      <c r="Q124">
        <v>7</v>
      </c>
      <c r="R124">
        <v>2</v>
      </c>
      <c r="S124">
        <v>9</v>
      </c>
      <c r="T124">
        <v>7</v>
      </c>
      <c r="U124">
        <v>2</v>
      </c>
      <c r="V124">
        <v>8</v>
      </c>
      <c r="W124">
        <v>7</v>
      </c>
      <c r="X124">
        <v>1</v>
      </c>
      <c r="Y124">
        <v>9</v>
      </c>
      <c r="Z124">
        <v>7</v>
      </c>
      <c r="AA124">
        <v>2</v>
      </c>
      <c r="AB124">
        <v>8</v>
      </c>
      <c r="AC124">
        <v>7</v>
      </c>
      <c r="AD124">
        <v>1</v>
      </c>
      <c r="AE124">
        <v>9</v>
      </c>
      <c r="AF124">
        <v>7</v>
      </c>
      <c r="AG124">
        <v>2</v>
      </c>
      <c r="AH124">
        <v>10</v>
      </c>
      <c r="AI124">
        <v>8</v>
      </c>
      <c r="AJ124">
        <v>2</v>
      </c>
      <c r="AK124" t="s">
        <v>1351</v>
      </c>
      <c r="AL124" t="s">
        <v>1352</v>
      </c>
      <c r="AM124" t="s">
        <v>1353</v>
      </c>
      <c r="AN124" t="s">
        <v>1354</v>
      </c>
      <c r="AO124" t="s">
        <v>1355</v>
      </c>
      <c r="AP124" t="s">
        <v>1356</v>
      </c>
      <c r="AQ124" t="s">
        <v>1357</v>
      </c>
      <c r="AR124" t="s">
        <v>1358</v>
      </c>
      <c r="AS124" t="s">
        <v>1359</v>
      </c>
    </row>
    <row r="125" spans="1:45" x14ac:dyDescent="0.45">
      <c r="A125">
        <v>124</v>
      </c>
      <c r="B125">
        <v>2114</v>
      </c>
      <c r="C125" t="s">
        <v>72</v>
      </c>
      <c r="D125" t="s">
        <v>191</v>
      </c>
      <c r="E125" t="s">
        <v>74</v>
      </c>
      <c r="F125" t="s">
        <v>75</v>
      </c>
      <c r="G125" t="s">
        <v>76</v>
      </c>
      <c r="H125">
        <v>43.908955926566975</v>
      </c>
      <c r="I125">
        <v>1</v>
      </c>
      <c r="J125">
        <v>7</v>
      </c>
      <c r="K125">
        <v>10</v>
      </c>
      <c r="L125">
        <v>-3</v>
      </c>
      <c r="M125">
        <v>8</v>
      </c>
      <c r="N125">
        <v>9</v>
      </c>
      <c r="O125">
        <v>-1</v>
      </c>
      <c r="P125">
        <v>9</v>
      </c>
      <c r="Q125">
        <v>10</v>
      </c>
      <c r="R125">
        <v>-1</v>
      </c>
      <c r="S125">
        <v>8</v>
      </c>
      <c r="T125">
        <v>10</v>
      </c>
      <c r="U125">
        <v>-2</v>
      </c>
      <c r="V125">
        <v>7</v>
      </c>
      <c r="W125">
        <v>10</v>
      </c>
      <c r="X125">
        <v>-3</v>
      </c>
      <c r="Y125">
        <v>9</v>
      </c>
      <c r="Z125">
        <v>8</v>
      </c>
      <c r="AA125">
        <v>1</v>
      </c>
      <c r="AB125">
        <v>7</v>
      </c>
      <c r="AC125">
        <v>9</v>
      </c>
      <c r="AD125">
        <v>-2</v>
      </c>
      <c r="AE125">
        <v>8</v>
      </c>
      <c r="AF125">
        <v>9</v>
      </c>
      <c r="AG125">
        <v>-1</v>
      </c>
      <c r="AH125">
        <v>9</v>
      </c>
      <c r="AI125">
        <v>9</v>
      </c>
      <c r="AJ125">
        <v>0</v>
      </c>
      <c r="AK125" t="s">
        <v>1360</v>
      </c>
      <c r="AL125" t="s">
        <v>1361</v>
      </c>
      <c r="AM125" t="s">
        <v>1362</v>
      </c>
      <c r="AN125" t="s">
        <v>1363</v>
      </c>
      <c r="AO125" t="s">
        <v>1364</v>
      </c>
      <c r="AP125" t="s">
        <v>1365</v>
      </c>
      <c r="AQ125" t="s">
        <v>1366</v>
      </c>
      <c r="AR125" t="s">
        <v>1367</v>
      </c>
      <c r="AS125" t="s">
        <v>1368</v>
      </c>
    </row>
    <row r="126" spans="1:45" x14ac:dyDescent="0.45">
      <c r="A126">
        <v>125</v>
      </c>
      <c r="B126">
        <v>2115</v>
      </c>
      <c r="C126" t="s">
        <v>72</v>
      </c>
      <c r="D126" t="s">
        <v>189</v>
      </c>
      <c r="E126" t="s">
        <v>74</v>
      </c>
      <c r="F126" t="s">
        <v>77</v>
      </c>
      <c r="G126" t="s">
        <v>76</v>
      </c>
      <c r="H126">
        <v>14.281202914237561</v>
      </c>
      <c r="I126">
        <v>2</v>
      </c>
      <c r="J126">
        <v>7</v>
      </c>
      <c r="K126">
        <v>10</v>
      </c>
      <c r="L126">
        <v>-3</v>
      </c>
      <c r="M126">
        <v>8</v>
      </c>
      <c r="N126">
        <v>10</v>
      </c>
      <c r="O126">
        <v>-2</v>
      </c>
      <c r="P126">
        <v>6</v>
      </c>
      <c r="Q126">
        <v>10</v>
      </c>
      <c r="R126">
        <v>-4</v>
      </c>
      <c r="S126">
        <v>9</v>
      </c>
      <c r="T126">
        <v>10</v>
      </c>
      <c r="U126">
        <v>-1</v>
      </c>
      <c r="V126">
        <v>7</v>
      </c>
      <c r="W126">
        <v>10</v>
      </c>
      <c r="X126">
        <v>-3</v>
      </c>
      <c r="Y126">
        <v>8</v>
      </c>
      <c r="Z126">
        <v>10</v>
      </c>
      <c r="AA126">
        <v>-2</v>
      </c>
      <c r="AB126">
        <v>7</v>
      </c>
      <c r="AC126">
        <v>10</v>
      </c>
      <c r="AD126">
        <v>-3</v>
      </c>
      <c r="AE126">
        <v>6</v>
      </c>
      <c r="AF126">
        <v>10</v>
      </c>
      <c r="AG126">
        <v>-4</v>
      </c>
      <c r="AH126">
        <v>8</v>
      </c>
      <c r="AI126">
        <v>10</v>
      </c>
      <c r="AJ126">
        <v>-2</v>
      </c>
      <c r="AK126" t="s">
        <v>1369</v>
      </c>
      <c r="AL126" t="s">
        <v>1370</v>
      </c>
      <c r="AM126" t="s">
        <v>1371</v>
      </c>
      <c r="AN126" t="s">
        <v>1372</v>
      </c>
      <c r="AO126" t="s">
        <v>1373</v>
      </c>
      <c r="AP126" t="s">
        <v>1374</v>
      </c>
      <c r="AQ126" t="s">
        <v>253</v>
      </c>
      <c r="AR126" t="s">
        <v>1375</v>
      </c>
      <c r="AS126" t="s">
        <v>1376</v>
      </c>
    </row>
    <row r="127" spans="1:45" x14ac:dyDescent="0.45">
      <c r="A127">
        <v>126</v>
      </c>
      <c r="B127">
        <v>2116</v>
      </c>
      <c r="C127" t="s">
        <v>78</v>
      </c>
      <c r="D127" t="s">
        <v>81</v>
      </c>
      <c r="E127" t="s">
        <v>74</v>
      </c>
      <c r="F127" t="s">
        <v>77</v>
      </c>
      <c r="G127" t="s">
        <v>76</v>
      </c>
      <c r="H127">
        <v>29.500889130141879</v>
      </c>
      <c r="I127">
        <v>0</v>
      </c>
      <c r="J127">
        <v>7</v>
      </c>
      <c r="K127">
        <v>8</v>
      </c>
      <c r="L127">
        <v>-1</v>
      </c>
      <c r="M127">
        <v>8</v>
      </c>
      <c r="N127">
        <v>8</v>
      </c>
      <c r="O127">
        <v>0</v>
      </c>
      <c r="P127">
        <v>6</v>
      </c>
      <c r="Q127">
        <v>5</v>
      </c>
      <c r="R127">
        <v>1</v>
      </c>
      <c r="S127">
        <v>5</v>
      </c>
      <c r="T127">
        <v>8</v>
      </c>
      <c r="U127">
        <v>-3</v>
      </c>
      <c r="V127">
        <v>7</v>
      </c>
      <c r="W127">
        <v>8</v>
      </c>
      <c r="X127">
        <v>-1</v>
      </c>
      <c r="Y127">
        <v>6</v>
      </c>
      <c r="Z127">
        <v>8</v>
      </c>
      <c r="AA127">
        <v>-2</v>
      </c>
      <c r="AB127">
        <v>7</v>
      </c>
      <c r="AC127">
        <v>7</v>
      </c>
      <c r="AD127">
        <v>0</v>
      </c>
      <c r="AE127">
        <v>6</v>
      </c>
      <c r="AF127">
        <v>7</v>
      </c>
      <c r="AG127">
        <v>-1</v>
      </c>
      <c r="AH127">
        <v>8</v>
      </c>
      <c r="AI127">
        <v>8</v>
      </c>
      <c r="AJ127">
        <v>0</v>
      </c>
      <c r="AK127" t="s">
        <v>1377</v>
      </c>
      <c r="AL127" t="s">
        <v>1378</v>
      </c>
      <c r="AM127" t="s">
        <v>1379</v>
      </c>
      <c r="AN127" t="s">
        <v>1380</v>
      </c>
      <c r="AO127" t="s">
        <v>1381</v>
      </c>
      <c r="AP127" t="s">
        <v>1382</v>
      </c>
      <c r="AQ127" t="s">
        <v>1383</v>
      </c>
      <c r="AR127" t="s">
        <v>1384</v>
      </c>
      <c r="AS127" t="s">
        <v>1385</v>
      </c>
    </row>
    <row r="128" spans="1:45" x14ac:dyDescent="0.45">
      <c r="A128">
        <v>127</v>
      </c>
      <c r="B128">
        <v>2117</v>
      </c>
      <c r="C128" t="s">
        <v>72</v>
      </c>
      <c r="D128" t="s">
        <v>79</v>
      </c>
      <c r="E128" t="s">
        <v>74</v>
      </c>
      <c r="F128" t="s">
        <v>77</v>
      </c>
      <c r="G128" t="s">
        <v>76</v>
      </c>
      <c r="H128">
        <v>152.15850504787139</v>
      </c>
      <c r="I128">
        <v>4</v>
      </c>
      <c r="J128">
        <v>7</v>
      </c>
      <c r="K128">
        <v>1</v>
      </c>
      <c r="L128">
        <v>6</v>
      </c>
      <c r="M128">
        <v>6</v>
      </c>
      <c r="N128">
        <v>1</v>
      </c>
      <c r="O128">
        <v>5</v>
      </c>
      <c r="P128">
        <v>9</v>
      </c>
      <c r="Q128">
        <v>1</v>
      </c>
      <c r="R128">
        <v>8</v>
      </c>
      <c r="S128">
        <v>8</v>
      </c>
      <c r="T128">
        <v>5</v>
      </c>
      <c r="U128">
        <v>3</v>
      </c>
      <c r="V128">
        <v>7</v>
      </c>
      <c r="W128">
        <v>1</v>
      </c>
      <c r="X128">
        <v>6</v>
      </c>
      <c r="Y128">
        <v>8</v>
      </c>
      <c r="Z128">
        <v>1</v>
      </c>
      <c r="AA128">
        <v>7</v>
      </c>
      <c r="AB128">
        <v>7</v>
      </c>
      <c r="AC128">
        <v>1</v>
      </c>
      <c r="AD128">
        <v>6</v>
      </c>
      <c r="AE128">
        <v>6</v>
      </c>
      <c r="AF128">
        <v>5</v>
      </c>
      <c r="AG128">
        <v>1</v>
      </c>
      <c r="AH128">
        <v>8</v>
      </c>
      <c r="AI128">
        <v>5</v>
      </c>
      <c r="AJ128">
        <v>3</v>
      </c>
      <c r="AK128" t="s">
        <v>1386</v>
      </c>
      <c r="AL128" t="s">
        <v>1387</v>
      </c>
      <c r="AM128" t="s">
        <v>1388</v>
      </c>
      <c r="AN128" t="s">
        <v>1389</v>
      </c>
      <c r="AO128" t="s">
        <v>1390</v>
      </c>
      <c r="AP128" t="s">
        <v>1391</v>
      </c>
      <c r="AQ128" t="s">
        <v>1392</v>
      </c>
      <c r="AR128" t="s">
        <v>1393</v>
      </c>
      <c r="AS128" t="s">
        <v>1394</v>
      </c>
    </row>
    <row r="129" spans="1:45" x14ac:dyDescent="0.45">
      <c r="A129">
        <v>128</v>
      </c>
      <c r="B129">
        <v>2118</v>
      </c>
      <c r="C129" t="s">
        <v>78</v>
      </c>
      <c r="D129" t="s">
        <v>191</v>
      </c>
      <c r="E129" t="s">
        <v>74</v>
      </c>
      <c r="F129" t="s">
        <v>77</v>
      </c>
      <c r="G129" t="s">
        <v>76</v>
      </c>
      <c r="H129">
        <v>149.1450310838473</v>
      </c>
      <c r="I129">
        <v>4</v>
      </c>
      <c r="J129">
        <v>7</v>
      </c>
      <c r="K129">
        <v>6</v>
      </c>
      <c r="L129">
        <v>1</v>
      </c>
      <c r="M129">
        <v>8</v>
      </c>
      <c r="N129">
        <v>6</v>
      </c>
      <c r="O129">
        <v>2</v>
      </c>
      <c r="P129">
        <v>9</v>
      </c>
      <c r="Q129">
        <v>6</v>
      </c>
      <c r="R129">
        <v>3</v>
      </c>
      <c r="S129">
        <v>8</v>
      </c>
      <c r="T129">
        <v>8</v>
      </c>
      <c r="U129">
        <v>0</v>
      </c>
      <c r="V129">
        <v>9</v>
      </c>
      <c r="W129">
        <v>6</v>
      </c>
      <c r="X129">
        <v>3</v>
      </c>
      <c r="Y129">
        <v>9</v>
      </c>
      <c r="Z129">
        <v>3</v>
      </c>
      <c r="AA129">
        <v>6</v>
      </c>
      <c r="AB129">
        <v>9</v>
      </c>
      <c r="AC129">
        <v>5</v>
      </c>
      <c r="AD129">
        <v>4</v>
      </c>
      <c r="AE129">
        <v>7</v>
      </c>
      <c r="AF129">
        <v>5</v>
      </c>
      <c r="AG129">
        <v>2</v>
      </c>
      <c r="AH129">
        <v>9</v>
      </c>
      <c r="AI129">
        <v>4</v>
      </c>
      <c r="AJ129">
        <v>5</v>
      </c>
      <c r="AK129" t="s">
        <v>1395</v>
      </c>
      <c r="AL129" t="s">
        <v>1396</v>
      </c>
      <c r="AM129" t="s">
        <v>260</v>
      </c>
      <c r="AN129" t="s">
        <v>1397</v>
      </c>
      <c r="AO129" t="s">
        <v>1398</v>
      </c>
      <c r="AP129" t="s">
        <v>1399</v>
      </c>
      <c r="AQ129" t="s">
        <v>1400</v>
      </c>
      <c r="AR129" t="s">
        <v>1401</v>
      </c>
      <c r="AS129" t="s">
        <v>1402</v>
      </c>
    </row>
    <row r="130" spans="1:45" x14ac:dyDescent="0.45">
      <c r="A130">
        <v>129</v>
      </c>
      <c r="B130">
        <v>2119</v>
      </c>
      <c r="C130" t="s">
        <v>78</v>
      </c>
      <c r="D130" t="s">
        <v>191</v>
      </c>
      <c r="E130" t="s">
        <v>74</v>
      </c>
      <c r="F130" t="s">
        <v>75</v>
      </c>
      <c r="G130" t="s">
        <v>76</v>
      </c>
      <c r="H130">
        <v>118.84447262218022</v>
      </c>
      <c r="I130">
        <v>3</v>
      </c>
      <c r="J130">
        <v>9</v>
      </c>
      <c r="K130">
        <v>6</v>
      </c>
      <c r="L130">
        <v>3</v>
      </c>
      <c r="M130">
        <v>8</v>
      </c>
      <c r="N130">
        <v>6</v>
      </c>
      <c r="O130">
        <v>2</v>
      </c>
      <c r="P130">
        <v>9</v>
      </c>
      <c r="Q130">
        <v>4</v>
      </c>
      <c r="R130">
        <v>5</v>
      </c>
      <c r="S130">
        <v>8</v>
      </c>
      <c r="T130">
        <v>5</v>
      </c>
      <c r="U130">
        <v>3</v>
      </c>
      <c r="V130">
        <v>9</v>
      </c>
      <c r="W130">
        <v>5</v>
      </c>
      <c r="X130">
        <v>4</v>
      </c>
      <c r="Y130">
        <v>8</v>
      </c>
      <c r="Z130">
        <v>1</v>
      </c>
      <c r="AA130">
        <v>7</v>
      </c>
      <c r="AB130">
        <v>9</v>
      </c>
      <c r="AC130">
        <v>5</v>
      </c>
      <c r="AD130">
        <v>4</v>
      </c>
      <c r="AE130">
        <v>8</v>
      </c>
      <c r="AF130">
        <v>4</v>
      </c>
      <c r="AG130">
        <v>4</v>
      </c>
      <c r="AH130">
        <v>9</v>
      </c>
      <c r="AI130">
        <v>5</v>
      </c>
      <c r="AJ130">
        <v>4</v>
      </c>
      <c r="AK130" t="s">
        <v>1403</v>
      </c>
      <c r="AL130" t="s">
        <v>1404</v>
      </c>
      <c r="AM130" t="s">
        <v>1405</v>
      </c>
      <c r="AN130" t="s">
        <v>1406</v>
      </c>
      <c r="AO130" t="s">
        <v>1407</v>
      </c>
      <c r="AP130" t="s">
        <v>1408</v>
      </c>
      <c r="AQ130" t="s">
        <v>1409</v>
      </c>
      <c r="AR130" t="s">
        <v>1410</v>
      </c>
      <c r="AS130" t="s">
        <v>1411</v>
      </c>
    </row>
    <row r="131" spans="1:45" x14ac:dyDescent="0.45">
      <c r="A131">
        <v>130</v>
      </c>
      <c r="B131">
        <v>2120</v>
      </c>
      <c r="C131" t="s">
        <v>72</v>
      </c>
      <c r="D131" t="s">
        <v>193</v>
      </c>
      <c r="E131" t="s">
        <v>74</v>
      </c>
      <c r="F131" t="s">
        <v>75</v>
      </c>
      <c r="G131" t="s">
        <v>76</v>
      </c>
      <c r="H131">
        <v>71.647553831807301</v>
      </c>
      <c r="I131">
        <v>2</v>
      </c>
      <c r="J131">
        <v>7</v>
      </c>
      <c r="K131">
        <v>5</v>
      </c>
      <c r="L131">
        <v>2</v>
      </c>
      <c r="M131">
        <v>6</v>
      </c>
      <c r="N131">
        <v>5</v>
      </c>
      <c r="O131">
        <v>1</v>
      </c>
      <c r="P131">
        <v>8</v>
      </c>
      <c r="Q131">
        <v>1</v>
      </c>
      <c r="R131">
        <v>7</v>
      </c>
      <c r="S131">
        <v>9</v>
      </c>
      <c r="T131">
        <v>4</v>
      </c>
      <c r="U131">
        <v>5</v>
      </c>
      <c r="V131">
        <v>7</v>
      </c>
      <c r="W131">
        <v>2</v>
      </c>
      <c r="X131">
        <v>5</v>
      </c>
      <c r="Y131">
        <v>8</v>
      </c>
      <c r="Z131">
        <v>1</v>
      </c>
      <c r="AA131">
        <v>7</v>
      </c>
      <c r="AB131">
        <v>7</v>
      </c>
      <c r="AC131">
        <v>1</v>
      </c>
      <c r="AD131">
        <v>6</v>
      </c>
      <c r="AE131">
        <v>6</v>
      </c>
      <c r="AF131">
        <v>1</v>
      </c>
      <c r="AG131">
        <v>5</v>
      </c>
      <c r="AH131">
        <v>9</v>
      </c>
      <c r="AI131">
        <v>5</v>
      </c>
      <c r="AJ131">
        <v>4</v>
      </c>
      <c r="AK131" t="s">
        <v>1412</v>
      </c>
      <c r="AL131" t="s">
        <v>1413</v>
      </c>
      <c r="AM131" t="s">
        <v>1414</v>
      </c>
      <c r="AN131" t="s">
        <v>1415</v>
      </c>
      <c r="AO131" t="s">
        <v>1416</v>
      </c>
      <c r="AP131" t="s">
        <v>1417</v>
      </c>
      <c r="AQ131" t="s">
        <v>1418</v>
      </c>
      <c r="AR131" t="s">
        <v>1419</v>
      </c>
      <c r="AS131" t="s">
        <v>1420</v>
      </c>
    </row>
    <row r="132" spans="1:45" x14ac:dyDescent="0.45">
      <c r="A132">
        <v>131</v>
      </c>
      <c r="B132">
        <v>2121</v>
      </c>
      <c r="C132" t="s">
        <v>72</v>
      </c>
      <c r="D132" t="s">
        <v>73</v>
      </c>
      <c r="E132" t="s">
        <v>74</v>
      </c>
      <c r="F132" t="s">
        <v>75</v>
      </c>
      <c r="G132" t="s">
        <v>76</v>
      </c>
      <c r="H132">
        <v>84.822633815383583</v>
      </c>
      <c r="I132">
        <v>1</v>
      </c>
      <c r="J132">
        <v>8</v>
      </c>
      <c r="K132">
        <v>8</v>
      </c>
      <c r="L132">
        <v>0</v>
      </c>
      <c r="M132">
        <v>8</v>
      </c>
      <c r="N132">
        <v>9</v>
      </c>
      <c r="O132">
        <v>-1</v>
      </c>
      <c r="P132">
        <v>9</v>
      </c>
      <c r="Q132">
        <v>5</v>
      </c>
      <c r="R132">
        <v>4</v>
      </c>
      <c r="S132">
        <v>9</v>
      </c>
      <c r="T132">
        <v>5</v>
      </c>
      <c r="U132">
        <v>4</v>
      </c>
      <c r="V132">
        <v>8</v>
      </c>
      <c r="W132">
        <v>5</v>
      </c>
      <c r="X132">
        <v>3</v>
      </c>
      <c r="Y132">
        <v>8</v>
      </c>
      <c r="Z132">
        <v>4</v>
      </c>
      <c r="AA132">
        <v>4</v>
      </c>
      <c r="AB132">
        <v>8</v>
      </c>
      <c r="AC132">
        <v>5</v>
      </c>
      <c r="AD132">
        <v>3</v>
      </c>
      <c r="AE132">
        <v>8</v>
      </c>
      <c r="AF132">
        <v>5</v>
      </c>
      <c r="AG132">
        <v>3</v>
      </c>
      <c r="AH132">
        <v>9</v>
      </c>
      <c r="AI132">
        <v>5</v>
      </c>
      <c r="AJ132">
        <v>4</v>
      </c>
      <c r="AK132" t="s">
        <v>1421</v>
      </c>
      <c r="AL132" t="s">
        <v>1422</v>
      </c>
      <c r="AM132" t="s">
        <v>1423</v>
      </c>
      <c r="AN132" t="s">
        <v>1424</v>
      </c>
      <c r="AO132" t="s">
        <v>1425</v>
      </c>
      <c r="AP132" t="s">
        <v>1426</v>
      </c>
      <c r="AQ132" t="s">
        <v>1427</v>
      </c>
      <c r="AR132" t="s">
        <v>1428</v>
      </c>
      <c r="AS132" t="s">
        <v>1429</v>
      </c>
    </row>
    <row r="133" spans="1:45" x14ac:dyDescent="0.45">
      <c r="A133">
        <v>132</v>
      </c>
      <c r="B133">
        <v>2122</v>
      </c>
      <c r="C133" t="s">
        <v>78</v>
      </c>
      <c r="D133" t="s">
        <v>189</v>
      </c>
      <c r="E133" t="s">
        <v>74</v>
      </c>
      <c r="F133" t="s">
        <v>77</v>
      </c>
      <c r="G133" t="s">
        <v>76</v>
      </c>
      <c r="H133">
        <v>15.286572647208111</v>
      </c>
      <c r="I133">
        <v>0</v>
      </c>
      <c r="J133">
        <v>8</v>
      </c>
      <c r="K133">
        <v>9</v>
      </c>
      <c r="L133">
        <v>-1</v>
      </c>
      <c r="M133">
        <v>9</v>
      </c>
      <c r="N133">
        <v>9</v>
      </c>
      <c r="O133">
        <v>0</v>
      </c>
      <c r="P133">
        <v>10</v>
      </c>
      <c r="Q133">
        <v>9</v>
      </c>
      <c r="R133">
        <v>1</v>
      </c>
      <c r="S133">
        <v>9</v>
      </c>
      <c r="T133">
        <v>9</v>
      </c>
      <c r="U133">
        <v>0</v>
      </c>
      <c r="V133">
        <v>8</v>
      </c>
      <c r="W133">
        <v>7</v>
      </c>
      <c r="X133">
        <v>1</v>
      </c>
      <c r="Y133">
        <v>9</v>
      </c>
      <c r="Z133">
        <v>10</v>
      </c>
      <c r="AA133">
        <v>-1</v>
      </c>
      <c r="AB133">
        <v>8</v>
      </c>
      <c r="AC133">
        <v>5</v>
      </c>
      <c r="AD133">
        <v>3</v>
      </c>
      <c r="AE133">
        <v>9</v>
      </c>
      <c r="AF133">
        <v>5</v>
      </c>
      <c r="AG133">
        <v>4</v>
      </c>
      <c r="AH133">
        <v>10</v>
      </c>
      <c r="AI133">
        <v>9</v>
      </c>
      <c r="AJ133">
        <v>1</v>
      </c>
      <c r="AK133" t="s">
        <v>1430</v>
      </c>
      <c r="AL133" t="s">
        <v>1431</v>
      </c>
      <c r="AM133" t="s">
        <v>1432</v>
      </c>
      <c r="AN133" t="s">
        <v>1433</v>
      </c>
      <c r="AO133" t="s">
        <v>1434</v>
      </c>
      <c r="AP133" t="s">
        <v>1435</v>
      </c>
      <c r="AQ133" t="s">
        <v>1436</v>
      </c>
      <c r="AR133" t="s">
        <v>1437</v>
      </c>
      <c r="AS133" t="s">
        <v>1438</v>
      </c>
    </row>
    <row r="134" spans="1:45" x14ac:dyDescent="0.45">
      <c r="A134">
        <v>133</v>
      </c>
      <c r="B134">
        <v>2123</v>
      </c>
      <c r="C134" t="s">
        <v>78</v>
      </c>
      <c r="D134" t="s">
        <v>81</v>
      </c>
      <c r="E134" t="s">
        <v>74</v>
      </c>
      <c r="F134" t="s">
        <v>190</v>
      </c>
      <c r="G134" t="s">
        <v>76</v>
      </c>
      <c r="H134">
        <v>35.477346230917526</v>
      </c>
      <c r="I134">
        <v>0</v>
      </c>
      <c r="J134">
        <v>9</v>
      </c>
      <c r="K134">
        <v>5</v>
      </c>
      <c r="L134">
        <v>4</v>
      </c>
      <c r="M134">
        <v>8</v>
      </c>
      <c r="N134">
        <v>5</v>
      </c>
      <c r="O134">
        <v>3</v>
      </c>
      <c r="P134">
        <v>9</v>
      </c>
      <c r="Q134">
        <v>5</v>
      </c>
      <c r="R134">
        <v>4</v>
      </c>
      <c r="S134">
        <v>8</v>
      </c>
      <c r="T134">
        <v>5</v>
      </c>
      <c r="U134">
        <v>3</v>
      </c>
      <c r="V134">
        <v>9</v>
      </c>
      <c r="W134">
        <v>5</v>
      </c>
      <c r="X134">
        <v>4</v>
      </c>
      <c r="Y134">
        <v>8</v>
      </c>
      <c r="Z134">
        <v>5</v>
      </c>
      <c r="AA134">
        <v>3</v>
      </c>
      <c r="AB134">
        <v>9</v>
      </c>
      <c r="AC134">
        <v>5</v>
      </c>
      <c r="AD134">
        <v>4</v>
      </c>
      <c r="AE134">
        <v>8</v>
      </c>
      <c r="AF134">
        <v>5</v>
      </c>
      <c r="AG134">
        <v>3</v>
      </c>
      <c r="AH134">
        <v>9</v>
      </c>
      <c r="AI134">
        <v>5</v>
      </c>
      <c r="AJ134">
        <v>4</v>
      </c>
      <c r="AK134" t="s">
        <v>1439</v>
      </c>
      <c r="AL134" t="s">
        <v>1440</v>
      </c>
      <c r="AM134" t="s">
        <v>1441</v>
      </c>
      <c r="AN134" t="s">
        <v>1442</v>
      </c>
      <c r="AO134" t="s">
        <v>1443</v>
      </c>
      <c r="AP134" t="s">
        <v>1444</v>
      </c>
      <c r="AQ134" t="s">
        <v>258</v>
      </c>
      <c r="AR134" t="s">
        <v>1445</v>
      </c>
      <c r="AS134" t="s">
        <v>1446</v>
      </c>
    </row>
    <row r="135" spans="1:45" x14ac:dyDescent="0.45">
      <c r="A135">
        <v>134</v>
      </c>
      <c r="B135">
        <v>2124</v>
      </c>
      <c r="C135" t="s">
        <v>72</v>
      </c>
      <c r="D135" t="s">
        <v>189</v>
      </c>
      <c r="E135" t="s">
        <v>74</v>
      </c>
      <c r="F135" t="s">
        <v>77</v>
      </c>
      <c r="G135" t="s">
        <v>76</v>
      </c>
      <c r="H135">
        <v>19.621506850513263</v>
      </c>
      <c r="I135">
        <v>0</v>
      </c>
      <c r="J135">
        <v>8</v>
      </c>
      <c r="K135">
        <v>9</v>
      </c>
      <c r="L135">
        <v>-1</v>
      </c>
      <c r="M135">
        <v>8</v>
      </c>
      <c r="N135">
        <v>9</v>
      </c>
      <c r="O135">
        <v>-1</v>
      </c>
      <c r="P135">
        <v>7</v>
      </c>
      <c r="Q135">
        <v>5</v>
      </c>
      <c r="R135">
        <v>2</v>
      </c>
      <c r="S135">
        <v>9</v>
      </c>
      <c r="T135">
        <v>9</v>
      </c>
      <c r="U135">
        <v>0</v>
      </c>
      <c r="V135">
        <v>9</v>
      </c>
      <c r="W135">
        <v>8</v>
      </c>
      <c r="X135">
        <v>1</v>
      </c>
      <c r="Y135">
        <v>9</v>
      </c>
      <c r="Z135">
        <v>10</v>
      </c>
      <c r="AA135">
        <v>-1</v>
      </c>
      <c r="AB135">
        <v>8</v>
      </c>
      <c r="AC135">
        <v>5</v>
      </c>
      <c r="AD135">
        <v>3</v>
      </c>
      <c r="AE135">
        <v>7</v>
      </c>
      <c r="AF135">
        <v>5</v>
      </c>
      <c r="AG135">
        <v>2</v>
      </c>
      <c r="AH135">
        <v>9</v>
      </c>
      <c r="AI135">
        <v>7</v>
      </c>
      <c r="AJ135">
        <v>2</v>
      </c>
      <c r="AK135" t="s">
        <v>1447</v>
      </c>
      <c r="AL135" t="s">
        <v>1448</v>
      </c>
      <c r="AM135" t="s">
        <v>1449</v>
      </c>
      <c r="AN135" t="s">
        <v>1450</v>
      </c>
      <c r="AO135" t="s">
        <v>1451</v>
      </c>
      <c r="AP135" t="s">
        <v>1452</v>
      </c>
      <c r="AQ135" t="s">
        <v>1453</v>
      </c>
      <c r="AR135" t="s">
        <v>1454</v>
      </c>
      <c r="AS135" t="s">
        <v>1455</v>
      </c>
    </row>
    <row r="136" spans="1:45" x14ac:dyDescent="0.45">
      <c r="A136">
        <v>135</v>
      </c>
      <c r="B136">
        <v>2125</v>
      </c>
      <c r="C136" t="s">
        <v>78</v>
      </c>
      <c r="D136" t="s">
        <v>189</v>
      </c>
      <c r="E136" t="s">
        <v>74</v>
      </c>
      <c r="F136" t="s">
        <v>77</v>
      </c>
      <c r="G136" t="s">
        <v>76</v>
      </c>
      <c r="H136">
        <v>13.971867425319756</v>
      </c>
      <c r="I136">
        <v>0</v>
      </c>
      <c r="J136">
        <v>7</v>
      </c>
      <c r="K136">
        <v>5</v>
      </c>
      <c r="L136">
        <v>2</v>
      </c>
      <c r="M136">
        <v>6</v>
      </c>
      <c r="N136">
        <v>5</v>
      </c>
      <c r="O136">
        <v>1</v>
      </c>
      <c r="P136">
        <v>8</v>
      </c>
      <c r="Q136">
        <v>5</v>
      </c>
      <c r="R136">
        <v>3</v>
      </c>
      <c r="S136">
        <v>9</v>
      </c>
      <c r="T136">
        <v>6</v>
      </c>
      <c r="U136">
        <v>3</v>
      </c>
      <c r="V136">
        <v>8</v>
      </c>
      <c r="W136">
        <v>6</v>
      </c>
      <c r="X136">
        <v>2</v>
      </c>
      <c r="Y136">
        <v>9</v>
      </c>
      <c r="Z136">
        <v>6</v>
      </c>
      <c r="AA136">
        <v>3</v>
      </c>
      <c r="AB136">
        <v>8</v>
      </c>
      <c r="AC136">
        <v>6</v>
      </c>
      <c r="AD136">
        <v>2</v>
      </c>
      <c r="AE136">
        <v>9</v>
      </c>
      <c r="AF136">
        <v>6</v>
      </c>
      <c r="AG136">
        <v>3</v>
      </c>
      <c r="AH136">
        <v>9</v>
      </c>
      <c r="AI136">
        <v>6</v>
      </c>
      <c r="AJ136">
        <v>3</v>
      </c>
      <c r="AK136" t="s">
        <v>1456</v>
      </c>
      <c r="AL136" t="s">
        <v>1457</v>
      </c>
      <c r="AM136" t="s">
        <v>1458</v>
      </c>
      <c r="AN136" t="s">
        <v>1459</v>
      </c>
      <c r="AO136" t="s">
        <v>1460</v>
      </c>
      <c r="AP136" t="s">
        <v>1461</v>
      </c>
      <c r="AQ136" t="s">
        <v>1462</v>
      </c>
      <c r="AR136" t="s">
        <v>1463</v>
      </c>
      <c r="AS136" t="s">
        <v>1464</v>
      </c>
    </row>
    <row r="137" spans="1:45" x14ac:dyDescent="0.45">
      <c r="A137">
        <v>136</v>
      </c>
      <c r="B137">
        <v>2126</v>
      </c>
      <c r="C137" t="s">
        <v>72</v>
      </c>
      <c r="D137" t="s">
        <v>193</v>
      </c>
      <c r="E137" t="s">
        <v>74</v>
      </c>
      <c r="F137" t="s">
        <v>77</v>
      </c>
      <c r="G137" t="s">
        <v>162</v>
      </c>
      <c r="H137">
        <v>12</v>
      </c>
      <c r="I137">
        <v>0</v>
      </c>
      <c r="J137">
        <v>7</v>
      </c>
      <c r="K137">
        <v>8</v>
      </c>
      <c r="L137">
        <v>-1</v>
      </c>
      <c r="M137">
        <v>7</v>
      </c>
      <c r="N137">
        <v>8</v>
      </c>
      <c r="O137">
        <v>-1</v>
      </c>
      <c r="P137">
        <v>9</v>
      </c>
      <c r="Q137">
        <v>8</v>
      </c>
      <c r="R137">
        <v>1</v>
      </c>
      <c r="S137">
        <v>9</v>
      </c>
      <c r="T137">
        <v>8</v>
      </c>
      <c r="U137">
        <v>1</v>
      </c>
      <c r="V137">
        <v>8</v>
      </c>
      <c r="W137">
        <v>10</v>
      </c>
      <c r="X137">
        <v>-2</v>
      </c>
      <c r="Y137">
        <v>9</v>
      </c>
      <c r="Z137">
        <v>10</v>
      </c>
      <c r="AA137">
        <v>-1</v>
      </c>
      <c r="AB137">
        <v>8</v>
      </c>
      <c r="AC137">
        <v>10</v>
      </c>
      <c r="AD137">
        <v>-2</v>
      </c>
      <c r="AE137">
        <v>7</v>
      </c>
      <c r="AF137">
        <v>10</v>
      </c>
      <c r="AG137">
        <v>-3</v>
      </c>
      <c r="AH137">
        <v>9</v>
      </c>
      <c r="AI137">
        <v>10</v>
      </c>
      <c r="AJ137">
        <v>-1</v>
      </c>
      <c r="AK137" t="s">
        <v>1465</v>
      </c>
      <c r="AL137" t="s">
        <v>1466</v>
      </c>
      <c r="AM137" t="s">
        <v>1467</v>
      </c>
      <c r="AN137" t="s">
        <v>1468</v>
      </c>
      <c r="AO137" t="s">
        <v>199</v>
      </c>
      <c r="AP137" t="s">
        <v>1469</v>
      </c>
      <c r="AQ137" t="s">
        <v>1470</v>
      </c>
      <c r="AR137" t="s">
        <v>269</v>
      </c>
      <c r="AS137" t="s">
        <v>1471</v>
      </c>
    </row>
    <row r="138" spans="1:45" x14ac:dyDescent="0.45">
      <c r="A138">
        <v>137</v>
      </c>
      <c r="B138">
        <v>2127</v>
      </c>
      <c r="C138" t="s">
        <v>78</v>
      </c>
      <c r="D138" t="s">
        <v>191</v>
      </c>
      <c r="E138" t="s">
        <v>74</v>
      </c>
      <c r="F138" t="s">
        <v>77</v>
      </c>
      <c r="G138" t="s">
        <v>76</v>
      </c>
      <c r="H138">
        <v>247.94099676182358</v>
      </c>
      <c r="I138">
        <v>4</v>
      </c>
      <c r="J138">
        <v>9</v>
      </c>
      <c r="K138">
        <v>8</v>
      </c>
      <c r="L138">
        <v>1</v>
      </c>
      <c r="M138">
        <v>8</v>
      </c>
      <c r="N138">
        <v>8</v>
      </c>
      <c r="O138">
        <v>0</v>
      </c>
      <c r="P138">
        <v>9</v>
      </c>
      <c r="Q138">
        <v>8</v>
      </c>
      <c r="R138">
        <v>1</v>
      </c>
      <c r="S138">
        <v>8</v>
      </c>
      <c r="T138">
        <v>8</v>
      </c>
      <c r="U138">
        <v>0</v>
      </c>
      <c r="V138">
        <v>9</v>
      </c>
      <c r="W138">
        <v>8</v>
      </c>
      <c r="X138">
        <v>1</v>
      </c>
      <c r="Y138">
        <v>9</v>
      </c>
      <c r="Z138">
        <v>8</v>
      </c>
      <c r="AA138">
        <v>1</v>
      </c>
      <c r="AB138">
        <v>9</v>
      </c>
      <c r="AC138">
        <v>5</v>
      </c>
      <c r="AD138">
        <v>4</v>
      </c>
      <c r="AE138">
        <v>8</v>
      </c>
      <c r="AF138">
        <v>7</v>
      </c>
      <c r="AG138">
        <v>1</v>
      </c>
      <c r="AH138">
        <v>9</v>
      </c>
      <c r="AI138">
        <v>8</v>
      </c>
      <c r="AJ138">
        <v>1</v>
      </c>
      <c r="AK138" t="s">
        <v>1472</v>
      </c>
      <c r="AL138" t="s">
        <v>1473</v>
      </c>
      <c r="AM138" t="s">
        <v>1474</v>
      </c>
      <c r="AN138" t="s">
        <v>1475</v>
      </c>
      <c r="AO138" t="s">
        <v>1476</v>
      </c>
      <c r="AP138" t="s">
        <v>1477</v>
      </c>
      <c r="AQ138" t="s">
        <v>1478</v>
      </c>
      <c r="AR138" t="s">
        <v>1479</v>
      </c>
      <c r="AS138" t="s">
        <v>1480</v>
      </c>
    </row>
    <row r="139" spans="1:45" x14ac:dyDescent="0.45">
      <c r="A139">
        <v>138</v>
      </c>
      <c r="B139">
        <v>2128</v>
      </c>
      <c r="C139" t="s">
        <v>72</v>
      </c>
      <c r="D139" t="s">
        <v>81</v>
      </c>
      <c r="E139" t="s">
        <v>74</v>
      </c>
      <c r="F139" t="s">
        <v>75</v>
      </c>
      <c r="G139" t="s">
        <v>76</v>
      </c>
      <c r="H139">
        <v>15.774999141099268</v>
      </c>
      <c r="I139">
        <v>0</v>
      </c>
      <c r="J139">
        <v>7</v>
      </c>
      <c r="K139">
        <v>8</v>
      </c>
      <c r="L139">
        <v>-1</v>
      </c>
      <c r="M139">
        <v>8</v>
      </c>
      <c r="N139">
        <v>9</v>
      </c>
      <c r="O139">
        <v>-1</v>
      </c>
      <c r="P139">
        <v>9</v>
      </c>
      <c r="Q139">
        <v>7</v>
      </c>
      <c r="R139">
        <v>2</v>
      </c>
      <c r="S139">
        <v>9</v>
      </c>
      <c r="T139">
        <v>7</v>
      </c>
      <c r="U139">
        <v>2</v>
      </c>
      <c r="V139">
        <v>6</v>
      </c>
      <c r="W139">
        <v>6</v>
      </c>
      <c r="X139">
        <v>0</v>
      </c>
      <c r="Y139">
        <v>8</v>
      </c>
      <c r="Z139">
        <v>6</v>
      </c>
      <c r="AA139">
        <v>2</v>
      </c>
      <c r="AB139">
        <v>7</v>
      </c>
      <c r="AC139">
        <v>2</v>
      </c>
      <c r="AD139">
        <v>5</v>
      </c>
      <c r="AE139">
        <v>6</v>
      </c>
      <c r="AF139">
        <v>5</v>
      </c>
      <c r="AG139">
        <v>1</v>
      </c>
      <c r="AH139">
        <v>9</v>
      </c>
      <c r="AI139">
        <v>6</v>
      </c>
      <c r="AJ139">
        <v>3</v>
      </c>
      <c r="AK139" t="s">
        <v>1481</v>
      </c>
      <c r="AL139" t="s">
        <v>1482</v>
      </c>
      <c r="AM139" t="s">
        <v>1483</v>
      </c>
      <c r="AN139" t="s">
        <v>1484</v>
      </c>
      <c r="AO139" t="s">
        <v>1485</v>
      </c>
      <c r="AP139" t="s">
        <v>1486</v>
      </c>
      <c r="AQ139" t="s">
        <v>1487</v>
      </c>
      <c r="AR139" t="s">
        <v>1488</v>
      </c>
      <c r="AS139" t="s">
        <v>1489</v>
      </c>
    </row>
    <row r="140" spans="1:45" x14ac:dyDescent="0.45">
      <c r="A140">
        <v>139</v>
      </c>
      <c r="B140">
        <v>2129</v>
      </c>
      <c r="C140" t="s">
        <v>72</v>
      </c>
      <c r="D140" t="s">
        <v>79</v>
      </c>
      <c r="E140" t="s">
        <v>74</v>
      </c>
      <c r="F140" t="s">
        <v>75</v>
      </c>
      <c r="G140" t="s">
        <v>76</v>
      </c>
      <c r="H140">
        <v>224.80140609221547</v>
      </c>
      <c r="I140">
        <v>2</v>
      </c>
      <c r="J140">
        <v>8</v>
      </c>
      <c r="K140">
        <v>5</v>
      </c>
      <c r="L140">
        <v>3</v>
      </c>
      <c r="M140">
        <v>7</v>
      </c>
      <c r="N140">
        <v>4</v>
      </c>
      <c r="O140">
        <v>3</v>
      </c>
      <c r="P140">
        <v>6</v>
      </c>
      <c r="Q140">
        <v>7</v>
      </c>
      <c r="R140">
        <v>-1</v>
      </c>
      <c r="S140">
        <v>9</v>
      </c>
      <c r="T140">
        <v>6</v>
      </c>
      <c r="U140">
        <v>3</v>
      </c>
      <c r="V140">
        <v>8</v>
      </c>
      <c r="W140">
        <v>3</v>
      </c>
      <c r="X140">
        <v>5</v>
      </c>
      <c r="Y140">
        <v>9</v>
      </c>
      <c r="Z140">
        <v>4</v>
      </c>
      <c r="AA140">
        <v>5</v>
      </c>
      <c r="AB140">
        <v>8</v>
      </c>
      <c r="AC140">
        <v>4</v>
      </c>
      <c r="AD140">
        <v>4</v>
      </c>
      <c r="AE140">
        <v>7</v>
      </c>
      <c r="AF140">
        <v>5</v>
      </c>
      <c r="AG140">
        <v>2</v>
      </c>
      <c r="AH140">
        <v>9</v>
      </c>
      <c r="AI140">
        <v>5</v>
      </c>
      <c r="AJ140">
        <v>4</v>
      </c>
      <c r="AK140" t="s">
        <v>1490</v>
      </c>
      <c r="AL140" t="s">
        <v>1491</v>
      </c>
      <c r="AM140" t="s">
        <v>1492</v>
      </c>
      <c r="AN140" t="s">
        <v>1493</v>
      </c>
      <c r="AO140" t="s">
        <v>1494</v>
      </c>
      <c r="AP140" t="s">
        <v>1495</v>
      </c>
      <c r="AQ140" t="s">
        <v>1496</v>
      </c>
      <c r="AR140" t="s">
        <v>1497</v>
      </c>
      <c r="AS140" t="s">
        <v>1498</v>
      </c>
    </row>
    <row r="141" spans="1:45" x14ac:dyDescent="0.45">
      <c r="A141">
        <v>140</v>
      </c>
      <c r="B141">
        <v>2130</v>
      </c>
      <c r="C141" t="s">
        <v>72</v>
      </c>
      <c r="D141" t="s">
        <v>73</v>
      </c>
      <c r="E141" t="s">
        <v>74</v>
      </c>
      <c r="F141" t="s">
        <v>77</v>
      </c>
      <c r="G141" t="s">
        <v>76</v>
      </c>
      <c r="H141">
        <v>30.440778914880052</v>
      </c>
      <c r="I141">
        <v>1</v>
      </c>
      <c r="J141">
        <v>8</v>
      </c>
      <c r="K141">
        <v>10</v>
      </c>
      <c r="L141">
        <v>-2</v>
      </c>
      <c r="M141">
        <v>8</v>
      </c>
      <c r="N141">
        <v>9</v>
      </c>
      <c r="O141">
        <v>-1</v>
      </c>
      <c r="P141">
        <v>9</v>
      </c>
      <c r="Q141">
        <v>9</v>
      </c>
      <c r="R141">
        <v>0</v>
      </c>
      <c r="S141">
        <v>9</v>
      </c>
      <c r="T141">
        <v>9</v>
      </c>
      <c r="U141">
        <v>0</v>
      </c>
      <c r="V141">
        <v>8</v>
      </c>
      <c r="W141">
        <v>8</v>
      </c>
      <c r="X141">
        <v>0</v>
      </c>
      <c r="Y141">
        <v>9</v>
      </c>
      <c r="Z141">
        <v>8</v>
      </c>
      <c r="AA141">
        <v>1</v>
      </c>
      <c r="AB141">
        <v>8</v>
      </c>
      <c r="AC141">
        <v>8</v>
      </c>
      <c r="AD141">
        <v>0</v>
      </c>
      <c r="AE141">
        <v>8</v>
      </c>
      <c r="AF141">
        <v>8</v>
      </c>
      <c r="AG141">
        <v>0</v>
      </c>
      <c r="AH141">
        <v>9</v>
      </c>
      <c r="AI141">
        <v>10</v>
      </c>
      <c r="AJ141">
        <v>-1</v>
      </c>
      <c r="AK141" t="s">
        <v>1499</v>
      </c>
      <c r="AL141" t="s">
        <v>1500</v>
      </c>
      <c r="AM141" t="s">
        <v>1501</v>
      </c>
      <c r="AN141" t="s">
        <v>1502</v>
      </c>
      <c r="AO141" t="s">
        <v>1503</v>
      </c>
      <c r="AP141" t="s">
        <v>1504</v>
      </c>
      <c r="AQ141" t="s">
        <v>1505</v>
      </c>
      <c r="AR141" t="s">
        <v>1506</v>
      </c>
      <c r="AS141" t="s">
        <v>1507</v>
      </c>
    </row>
    <row r="142" spans="1:45" x14ac:dyDescent="0.45">
      <c r="A142">
        <v>141</v>
      </c>
      <c r="B142">
        <v>2131</v>
      </c>
      <c r="C142" t="s">
        <v>78</v>
      </c>
      <c r="D142" t="s">
        <v>73</v>
      </c>
      <c r="E142" t="s">
        <v>74</v>
      </c>
      <c r="F142" t="s">
        <v>77</v>
      </c>
      <c r="G142" t="s">
        <v>76</v>
      </c>
      <c r="H142">
        <v>23.367160816515419</v>
      </c>
      <c r="I142">
        <v>1</v>
      </c>
      <c r="J142">
        <v>8</v>
      </c>
      <c r="K142">
        <v>8</v>
      </c>
      <c r="L142">
        <v>0</v>
      </c>
      <c r="M142">
        <v>7</v>
      </c>
      <c r="N142">
        <v>7</v>
      </c>
      <c r="O142">
        <v>0</v>
      </c>
      <c r="P142">
        <v>6</v>
      </c>
      <c r="Q142">
        <v>6</v>
      </c>
      <c r="R142">
        <v>0</v>
      </c>
      <c r="S142">
        <v>9</v>
      </c>
      <c r="T142">
        <v>6</v>
      </c>
      <c r="U142">
        <v>3</v>
      </c>
      <c r="V142">
        <v>7</v>
      </c>
      <c r="W142">
        <v>5</v>
      </c>
      <c r="X142">
        <v>2</v>
      </c>
      <c r="Y142">
        <v>8</v>
      </c>
      <c r="Z142">
        <v>5</v>
      </c>
      <c r="AA142">
        <v>3</v>
      </c>
      <c r="AB142">
        <v>6</v>
      </c>
      <c r="AC142">
        <v>3</v>
      </c>
      <c r="AD142">
        <v>3</v>
      </c>
      <c r="AE142">
        <v>7</v>
      </c>
      <c r="AF142">
        <v>3</v>
      </c>
      <c r="AG142">
        <v>4</v>
      </c>
      <c r="AH142">
        <v>8</v>
      </c>
      <c r="AI142">
        <v>5</v>
      </c>
      <c r="AJ142">
        <v>3</v>
      </c>
      <c r="AK142" t="s">
        <v>1508</v>
      </c>
      <c r="AL142" t="s">
        <v>1509</v>
      </c>
      <c r="AM142" t="s">
        <v>1510</v>
      </c>
      <c r="AN142" t="s">
        <v>1511</v>
      </c>
      <c r="AO142" t="s">
        <v>1512</v>
      </c>
      <c r="AP142" t="s">
        <v>1513</v>
      </c>
      <c r="AQ142" t="s">
        <v>1514</v>
      </c>
      <c r="AR142" t="s">
        <v>1515</v>
      </c>
      <c r="AS142" t="s">
        <v>1516</v>
      </c>
    </row>
    <row r="143" spans="1:45" x14ac:dyDescent="0.45">
      <c r="A143">
        <v>142</v>
      </c>
      <c r="B143">
        <v>2132</v>
      </c>
      <c r="C143" t="s">
        <v>78</v>
      </c>
      <c r="D143" t="s">
        <v>79</v>
      </c>
      <c r="E143" t="s">
        <v>74</v>
      </c>
      <c r="F143" t="s">
        <v>75</v>
      </c>
      <c r="G143" t="s">
        <v>76</v>
      </c>
      <c r="H143">
        <v>12</v>
      </c>
      <c r="I143">
        <v>1</v>
      </c>
      <c r="J143">
        <v>5</v>
      </c>
      <c r="K143">
        <v>5</v>
      </c>
      <c r="L143">
        <v>0</v>
      </c>
      <c r="M143">
        <v>7</v>
      </c>
      <c r="N143">
        <v>6</v>
      </c>
      <c r="O143">
        <v>1</v>
      </c>
      <c r="P143">
        <v>8</v>
      </c>
      <c r="Q143">
        <v>5</v>
      </c>
      <c r="R143">
        <v>3</v>
      </c>
      <c r="S143">
        <v>9</v>
      </c>
      <c r="T143">
        <v>7</v>
      </c>
      <c r="U143">
        <v>2</v>
      </c>
      <c r="V143">
        <v>6</v>
      </c>
      <c r="W143">
        <v>6</v>
      </c>
      <c r="X143">
        <v>0</v>
      </c>
      <c r="Y143">
        <v>9</v>
      </c>
      <c r="Z143">
        <v>6</v>
      </c>
      <c r="AA143">
        <v>3</v>
      </c>
      <c r="AB143">
        <v>6</v>
      </c>
      <c r="AC143">
        <v>6</v>
      </c>
      <c r="AD143">
        <v>0</v>
      </c>
      <c r="AE143">
        <v>7</v>
      </c>
      <c r="AF143">
        <v>7</v>
      </c>
      <c r="AG143">
        <v>0</v>
      </c>
      <c r="AH143">
        <v>6</v>
      </c>
      <c r="AI143">
        <v>7</v>
      </c>
      <c r="AJ143">
        <v>-1</v>
      </c>
      <c r="AK143" t="s">
        <v>1517</v>
      </c>
      <c r="AL143" t="s">
        <v>1518</v>
      </c>
      <c r="AM143" t="s">
        <v>1519</v>
      </c>
      <c r="AN143" t="s">
        <v>1520</v>
      </c>
      <c r="AO143" t="s">
        <v>1521</v>
      </c>
      <c r="AP143" t="s">
        <v>1522</v>
      </c>
      <c r="AQ143" t="s">
        <v>1523</v>
      </c>
      <c r="AR143" t="s">
        <v>1524</v>
      </c>
      <c r="AS143" t="s">
        <v>1525</v>
      </c>
    </row>
    <row r="144" spans="1:45" x14ac:dyDescent="0.45">
      <c r="A144">
        <v>143</v>
      </c>
      <c r="B144">
        <v>2133</v>
      </c>
      <c r="C144" t="s">
        <v>78</v>
      </c>
      <c r="D144" t="s">
        <v>73</v>
      </c>
      <c r="E144" t="s">
        <v>74</v>
      </c>
      <c r="F144" t="s">
        <v>75</v>
      </c>
      <c r="G144" t="s">
        <v>76</v>
      </c>
      <c r="H144">
        <v>139.02703250999451</v>
      </c>
      <c r="I144">
        <v>0</v>
      </c>
      <c r="J144">
        <v>7</v>
      </c>
      <c r="K144">
        <v>1</v>
      </c>
      <c r="L144">
        <v>6</v>
      </c>
      <c r="M144">
        <v>8</v>
      </c>
      <c r="N144">
        <v>1</v>
      </c>
      <c r="O144">
        <v>7</v>
      </c>
      <c r="P144">
        <v>9</v>
      </c>
      <c r="Q144">
        <v>8</v>
      </c>
      <c r="R144">
        <v>1</v>
      </c>
      <c r="S144">
        <v>9</v>
      </c>
      <c r="T144">
        <v>8</v>
      </c>
      <c r="U144">
        <v>1</v>
      </c>
      <c r="V144">
        <v>8</v>
      </c>
      <c r="W144">
        <v>8</v>
      </c>
      <c r="X144">
        <v>0</v>
      </c>
      <c r="Y144">
        <v>9</v>
      </c>
      <c r="Z144">
        <v>8</v>
      </c>
      <c r="AA144">
        <v>1</v>
      </c>
      <c r="AB144">
        <v>8</v>
      </c>
      <c r="AC144">
        <v>8</v>
      </c>
      <c r="AD144">
        <v>0</v>
      </c>
      <c r="AE144">
        <v>9</v>
      </c>
      <c r="AF144">
        <v>8</v>
      </c>
      <c r="AG144">
        <v>1</v>
      </c>
      <c r="AH144">
        <v>8</v>
      </c>
      <c r="AI144">
        <v>8</v>
      </c>
      <c r="AJ144">
        <v>0</v>
      </c>
      <c r="AK144" t="s">
        <v>1526</v>
      </c>
      <c r="AL144" t="s">
        <v>1527</v>
      </c>
      <c r="AM144" t="s">
        <v>1528</v>
      </c>
      <c r="AN144" t="s">
        <v>1529</v>
      </c>
      <c r="AO144" t="s">
        <v>1530</v>
      </c>
      <c r="AP144" t="s">
        <v>1531</v>
      </c>
      <c r="AQ144" t="s">
        <v>1532</v>
      </c>
      <c r="AR144" t="s">
        <v>1533</v>
      </c>
      <c r="AS144" t="s">
        <v>1534</v>
      </c>
    </row>
    <row r="145" spans="1:45" x14ac:dyDescent="0.45">
      <c r="A145">
        <v>144</v>
      </c>
      <c r="B145">
        <v>2134</v>
      </c>
      <c r="C145" t="s">
        <v>72</v>
      </c>
      <c r="D145" t="s">
        <v>191</v>
      </c>
      <c r="E145" t="s">
        <v>74</v>
      </c>
      <c r="F145" t="s">
        <v>77</v>
      </c>
      <c r="G145" t="s">
        <v>76</v>
      </c>
      <c r="H145">
        <v>62.626696236284886</v>
      </c>
      <c r="I145">
        <v>2</v>
      </c>
      <c r="J145">
        <v>7</v>
      </c>
      <c r="K145">
        <v>9</v>
      </c>
      <c r="L145">
        <v>-2</v>
      </c>
      <c r="M145">
        <v>8</v>
      </c>
      <c r="N145">
        <v>9</v>
      </c>
      <c r="O145">
        <v>-1</v>
      </c>
      <c r="P145">
        <v>9</v>
      </c>
      <c r="Q145">
        <v>9</v>
      </c>
      <c r="R145">
        <v>0</v>
      </c>
      <c r="S145">
        <v>9</v>
      </c>
      <c r="T145">
        <v>9</v>
      </c>
      <c r="U145">
        <v>0</v>
      </c>
      <c r="V145">
        <v>7</v>
      </c>
      <c r="W145">
        <v>10</v>
      </c>
      <c r="X145">
        <v>-3</v>
      </c>
      <c r="Y145">
        <v>9</v>
      </c>
      <c r="Z145">
        <v>5</v>
      </c>
      <c r="AA145">
        <v>4</v>
      </c>
      <c r="AB145">
        <v>8</v>
      </c>
      <c r="AC145">
        <v>9</v>
      </c>
      <c r="AD145">
        <v>-1</v>
      </c>
      <c r="AE145">
        <v>6</v>
      </c>
      <c r="AF145">
        <v>9</v>
      </c>
      <c r="AG145">
        <v>-3</v>
      </c>
      <c r="AH145">
        <v>8</v>
      </c>
      <c r="AI145">
        <v>10</v>
      </c>
      <c r="AJ145">
        <v>-2</v>
      </c>
      <c r="AK145" t="s">
        <v>1535</v>
      </c>
      <c r="AL145" t="s">
        <v>1536</v>
      </c>
      <c r="AM145" t="s">
        <v>1537</v>
      </c>
      <c r="AN145" t="s">
        <v>1538</v>
      </c>
      <c r="AO145" t="s">
        <v>1539</v>
      </c>
      <c r="AP145" t="s">
        <v>1540</v>
      </c>
      <c r="AQ145" t="s">
        <v>1541</v>
      </c>
      <c r="AR145" t="s">
        <v>1542</v>
      </c>
      <c r="AS145" t="s">
        <v>1543</v>
      </c>
    </row>
    <row r="146" spans="1:45" x14ac:dyDescent="0.45">
      <c r="A146">
        <v>145</v>
      </c>
      <c r="B146">
        <v>2135</v>
      </c>
      <c r="C146" t="s">
        <v>72</v>
      </c>
      <c r="D146" t="s">
        <v>79</v>
      </c>
      <c r="E146" t="s">
        <v>74</v>
      </c>
      <c r="F146" t="s">
        <v>77</v>
      </c>
      <c r="G146" t="s">
        <v>76</v>
      </c>
      <c r="H146">
        <v>57.646688879409737</v>
      </c>
      <c r="I146">
        <v>2</v>
      </c>
      <c r="J146">
        <v>7</v>
      </c>
      <c r="K146">
        <v>10</v>
      </c>
      <c r="L146">
        <v>-3</v>
      </c>
      <c r="M146">
        <v>6</v>
      </c>
      <c r="N146">
        <v>10</v>
      </c>
      <c r="O146">
        <v>-4</v>
      </c>
      <c r="P146">
        <v>9</v>
      </c>
      <c r="Q146">
        <v>9</v>
      </c>
      <c r="R146">
        <v>0</v>
      </c>
      <c r="S146">
        <v>8</v>
      </c>
      <c r="T146">
        <v>6</v>
      </c>
      <c r="U146">
        <v>2</v>
      </c>
      <c r="V146">
        <v>7</v>
      </c>
      <c r="W146">
        <v>6</v>
      </c>
      <c r="X146">
        <v>1</v>
      </c>
      <c r="Y146">
        <v>9</v>
      </c>
      <c r="Z146">
        <v>3</v>
      </c>
      <c r="AA146">
        <v>6</v>
      </c>
      <c r="AB146">
        <v>8</v>
      </c>
      <c r="AC146">
        <v>5</v>
      </c>
      <c r="AD146">
        <v>3</v>
      </c>
      <c r="AE146">
        <v>7</v>
      </c>
      <c r="AF146">
        <v>5</v>
      </c>
      <c r="AG146">
        <v>2</v>
      </c>
      <c r="AH146">
        <v>9</v>
      </c>
      <c r="AI146">
        <v>1</v>
      </c>
      <c r="AJ146">
        <v>8</v>
      </c>
      <c r="AK146" t="s">
        <v>1544</v>
      </c>
      <c r="AL146" t="s">
        <v>1545</v>
      </c>
      <c r="AM146" t="s">
        <v>1546</v>
      </c>
      <c r="AN146" t="s">
        <v>1547</v>
      </c>
      <c r="AO146" t="s">
        <v>1548</v>
      </c>
      <c r="AP146" t="s">
        <v>1549</v>
      </c>
      <c r="AQ146" t="s">
        <v>1550</v>
      </c>
      <c r="AR146" t="s">
        <v>1551</v>
      </c>
      <c r="AS146" t="s">
        <v>1552</v>
      </c>
    </row>
    <row r="147" spans="1:45" x14ac:dyDescent="0.45">
      <c r="A147">
        <v>146</v>
      </c>
      <c r="B147">
        <v>2136</v>
      </c>
      <c r="C147" t="s">
        <v>72</v>
      </c>
      <c r="D147" t="s">
        <v>79</v>
      </c>
      <c r="E147" t="s">
        <v>74</v>
      </c>
      <c r="F147" t="s">
        <v>77</v>
      </c>
      <c r="G147" t="s">
        <v>76</v>
      </c>
      <c r="H147">
        <v>85.619123253570223</v>
      </c>
      <c r="I147">
        <v>3</v>
      </c>
      <c r="J147">
        <v>7</v>
      </c>
      <c r="K147">
        <v>8</v>
      </c>
      <c r="L147">
        <v>-1</v>
      </c>
      <c r="M147">
        <v>6</v>
      </c>
      <c r="N147">
        <v>8</v>
      </c>
      <c r="O147">
        <v>-2</v>
      </c>
      <c r="P147">
        <v>9</v>
      </c>
      <c r="Q147">
        <v>5</v>
      </c>
      <c r="R147">
        <v>4</v>
      </c>
      <c r="S147">
        <v>8</v>
      </c>
      <c r="T147">
        <v>5</v>
      </c>
      <c r="U147">
        <v>3</v>
      </c>
      <c r="V147">
        <v>7</v>
      </c>
      <c r="W147">
        <v>5</v>
      </c>
      <c r="X147">
        <v>2</v>
      </c>
      <c r="Y147">
        <v>9</v>
      </c>
      <c r="Z147">
        <v>3</v>
      </c>
      <c r="AA147">
        <v>6</v>
      </c>
      <c r="AB147">
        <v>7</v>
      </c>
      <c r="AC147">
        <v>5</v>
      </c>
      <c r="AD147">
        <v>2</v>
      </c>
      <c r="AE147">
        <v>8</v>
      </c>
      <c r="AF147">
        <v>5</v>
      </c>
      <c r="AG147">
        <v>3</v>
      </c>
      <c r="AH147">
        <v>9</v>
      </c>
      <c r="AI147">
        <v>5</v>
      </c>
      <c r="AJ147">
        <v>4</v>
      </c>
      <c r="AK147" t="s">
        <v>1553</v>
      </c>
      <c r="AL147" t="s">
        <v>1554</v>
      </c>
      <c r="AM147" t="s">
        <v>1555</v>
      </c>
      <c r="AN147" t="s">
        <v>1556</v>
      </c>
      <c r="AO147" t="s">
        <v>1557</v>
      </c>
      <c r="AP147" t="s">
        <v>1558</v>
      </c>
      <c r="AQ147" t="s">
        <v>1559</v>
      </c>
      <c r="AR147" t="s">
        <v>256</v>
      </c>
      <c r="AS147" t="s">
        <v>1560</v>
      </c>
    </row>
    <row r="148" spans="1:45" x14ac:dyDescent="0.45">
      <c r="A148">
        <v>147</v>
      </c>
      <c r="B148">
        <v>2137</v>
      </c>
      <c r="C148" t="s">
        <v>72</v>
      </c>
      <c r="D148" t="s">
        <v>193</v>
      </c>
      <c r="E148" t="s">
        <v>74</v>
      </c>
      <c r="F148" t="s">
        <v>75</v>
      </c>
      <c r="G148" t="s">
        <v>76</v>
      </c>
      <c r="H148">
        <v>157.45553892629545</v>
      </c>
      <c r="I148">
        <v>0</v>
      </c>
      <c r="J148">
        <v>8</v>
      </c>
      <c r="K148">
        <v>7</v>
      </c>
      <c r="L148">
        <v>1</v>
      </c>
      <c r="M148">
        <v>9</v>
      </c>
      <c r="N148">
        <v>7</v>
      </c>
      <c r="O148">
        <v>2</v>
      </c>
      <c r="P148">
        <v>9</v>
      </c>
      <c r="Q148">
        <v>1</v>
      </c>
      <c r="R148">
        <v>8</v>
      </c>
      <c r="S148">
        <v>8</v>
      </c>
      <c r="T148">
        <v>6</v>
      </c>
      <c r="U148">
        <v>2</v>
      </c>
      <c r="V148">
        <v>9</v>
      </c>
      <c r="W148">
        <v>3</v>
      </c>
      <c r="X148">
        <v>6</v>
      </c>
      <c r="Y148">
        <v>8</v>
      </c>
      <c r="Z148">
        <v>5</v>
      </c>
      <c r="AA148">
        <v>3</v>
      </c>
      <c r="AB148">
        <v>9</v>
      </c>
      <c r="AC148">
        <v>1</v>
      </c>
      <c r="AD148">
        <v>8</v>
      </c>
      <c r="AE148">
        <v>8</v>
      </c>
      <c r="AF148">
        <v>4</v>
      </c>
      <c r="AG148">
        <v>4</v>
      </c>
      <c r="AH148">
        <v>9</v>
      </c>
      <c r="AI148">
        <v>5</v>
      </c>
      <c r="AJ148">
        <v>4</v>
      </c>
      <c r="AK148" t="s">
        <v>1561</v>
      </c>
      <c r="AL148" t="s">
        <v>1562</v>
      </c>
      <c r="AM148" t="s">
        <v>1563</v>
      </c>
      <c r="AN148" t="s">
        <v>1564</v>
      </c>
      <c r="AO148" t="s">
        <v>1565</v>
      </c>
      <c r="AP148" t="s">
        <v>1566</v>
      </c>
      <c r="AQ148" t="s">
        <v>1567</v>
      </c>
      <c r="AR148" t="s">
        <v>1568</v>
      </c>
      <c r="AS148" t="s">
        <v>1569</v>
      </c>
    </row>
    <row r="149" spans="1:45" x14ac:dyDescent="0.45">
      <c r="A149">
        <v>148</v>
      </c>
      <c r="B149">
        <v>2138</v>
      </c>
      <c r="C149" t="s">
        <v>78</v>
      </c>
      <c r="D149" t="s">
        <v>81</v>
      </c>
      <c r="E149" t="s">
        <v>74</v>
      </c>
      <c r="F149" t="s">
        <v>77</v>
      </c>
      <c r="G149" t="s">
        <v>76</v>
      </c>
      <c r="H149">
        <v>19.480538476970402</v>
      </c>
      <c r="I149">
        <v>0</v>
      </c>
      <c r="J149">
        <v>7</v>
      </c>
      <c r="K149">
        <v>6</v>
      </c>
      <c r="L149">
        <v>1</v>
      </c>
      <c r="M149">
        <v>6</v>
      </c>
      <c r="N149">
        <v>6</v>
      </c>
      <c r="O149">
        <v>0</v>
      </c>
      <c r="P149">
        <v>8</v>
      </c>
      <c r="Q149">
        <v>5</v>
      </c>
      <c r="R149">
        <v>3</v>
      </c>
      <c r="S149">
        <v>9</v>
      </c>
      <c r="T149">
        <v>7</v>
      </c>
      <c r="U149">
        <v>2</v>
      </c>
      <c r="V149">
        <v>7</v>
      </c>
      <c r="W149">
        <v>5</v>
      </c>
      <c r="X149">
        <v>2</v>
      </c>
      <c r="Y149">
        <v>9</v>
      </c>
      <c r="Z149">
        <v>7</v>
      </c>
      <c r="AA149">
        <v>2</v>
      </c>
      <c r="AB149">
        <v>8</v>
      </c>
      <c r="AC149">
        <v>5</v>
      </c>
      <c r="AD149">
        <v>3</v>
      </c>
      <c r="AE149">
        <v>7</v>
      </c>
      <c r="AF149">
        <v>6</v>
      </c>
      <c r="AG149">
        <v>1</v>
      </c>
      <c r="AH149">
        <v>9</v>
      </c>
      <c r="AI149">
        <v>7</v>
      </c>
      <c r="AJ149">
        <v>2</v>
      </c>
      <c r="AK149" t="s">
        <v>1570</v>
      </c>
      <c r="AL149" t="s">
        <v>1571</v>
      </c>
      <c r="AM149" t="s">
        <v>1572</v>
      </c>
      <c r="AN149" t="s">
        <v>1573</v>
      </c>
      <c r="AO149" t="s">
        <v>1574</v>
      </c>
      <c r="AP149" t="s">
        <v>1575</v>
      </c>
      <c r="AQ149" t="s">
        <v>1576</v>
      </c>
      <c r="AR149" t="s">
        <v>1577</v>
      </c>
      <c r="AS149" t="s">
        <v>1578</v>
      </c>
    </row>
    <row r="150" spans="1:45" x14ac:dyDescent="0.45">
      <c r="A150">
        <v>149</v>
      </c>
      <c r="B150">
        <v>2139</v>
      </c>
      <c r="C150" t="s">
        <v>72</v>
      </c>
      <c r="D150" t="s">
        <v>79</v>
      </c>
      <c r="E150" t="s">
        <v>74</v>
      </c>
      <c r="F150" t="s">
        <v>77</v>
      </c>
      <c r="G150" t="s">
        <v>76</v>
      </c>
      <c r="H150">
        <v>224.2269893145295</v>
      </c>
      <c r="I150">
        <v>3</v>
      </c>
      <c r="J150">
        <v>8</v>
      </c>
      <c r="K150">
        <v>10</v>
      </c>
      <c r="L150">
        <v>-2</v>
      </c>
      <c r="M150">
        <v>7</v>
      </c>
      <c r="N150">
        <v>10</v>
      </c>
      <c r="O150">
        <v>-3</v>
      </c>
      <c r="P150">
        <v>7</v>
      </c>
      <c r="Q150">
        <v>7</v>
      </c>
      <c r="R150">
        <v>0</v>
      </c>
      <c r="S150">
        <v>9</v>
      </c>
      <c r="T150">
        <v>8</v>
      </c>
      <c r="U150">
        <v>1</v>
      </c>
      <c r="V150">
        <v>6</v>
      </c>
      <c r="W150">
        <v>8</v>
      </c>
      <c r="X150">
        <v>-2</v>
      </c>
      <c r="Y150">
        <v>8</v>
      </c>
      <c r="Z150">
        <v>4</v>
      </c>
      <c r="AA150">
        <v>4</v>
      </c>
      <c r="AB150">
        <v>6</v>
      </c>
      <c r="AC150">
        <v>1</v>
      </c>
      <c r="AD150">
        <v>5</v>
      </c>
      <c r="AE150">
        <v>7</v>
      </c>
      <c r="AF150">
        <v>3</v>
      </c>
      <c r="AG150">
        <v>4</v>
      </c>
      <c r="AH150">
        <v>8</v>
      </c>
      <c r="AI150">
        <v>6</v>
      </c>
      <c r="AJ150">
        <v>2</v>
      </c>
      <c r="AK150" t="s">
        <v>1579</v>
      </c>
      <c r="AL150" t="s">
        <v>1580</v>
      </c>
      <c r="AM150" t="s">
        <v>1581</v>
      </c>
      <c r="AN150" t="s">
        <v>1582</v>
      </c>
      <c r="AO150" t="s">
        <v>1583</v>
      </c>
      <c r="AP150" t="s">
        <v>1584</v>
      </c>
      <c r="AQ150" t="s">
        <v>1585</v>
      </c>
      <c r="AR150" t="s">
        <v>1586</v>
      </c>
      <c r="AS150" t="s">
        <v>1587</v>
      </c>
    </row>
    <row r="151" spans="1:45" x14ac:dyDescent="0.45">
      <c r="A151">
        <v>150</v>
      </c>
      <c r="B151">
        <v>2140</v>
      </c>
      <c r="C151" t="s">
        <v>72</v>
      </c>
      <c r="D151" t="s">
        <v>79</v>
      </c>
      <c r="E151" t="s">
        <v>74</v>
      </c>
      <c r="F151" t="s">
        <v>77</v>
      </c>
      <c r="G151" t="s">
        <v>76</v>
      </c>
      <c r="H151">
        <v>55.317930506592539</v>
      </c>
      <c r="I151">
        <v>2</v>
      </c>
      <c r="J151">
        <v>8</v>
      </c>
      <c r="K151">
        <v>7</v>
      </c>
      <c r="L151">
        <v>1</v>
      </c>
      <c r="M151">
        <v>9</v>
      </c>
      <c r="N151">
        <v>10</v>
      </c>
      <c r="O151">
        <v>-1</v>
      </c>
      <c r="P151">
        <v>7</v>
      </c>
      <c r="Q151">
        <v>5</v>
      </c>
      <c r="R151">
        <v>2</v>
      </c>
      <c r="S151">
        <v>9</v>
      </c>
      <c r="T151">
        <v>7</v>
      </c>
      <c r="U151">
        <v>2</v>
      </c>
      <c r="V151">
        <v>7</v>
      </c>
      <c r="W151">
        <v>7</v>
      </c>
      <c r="X151">
        <v>0</v>
      </c>
      <c r="Y151">
        <v>8</v>
      </c>
      <c r="Z151">
        <v>7</v>
      </c>
      <c r="AA151">
        <v>1</v>
      </c>
      <c r="AB151">
        <v>7</v>
      </c>
      <c r="AC151">
        <v>7</v>
      </c>
      <c r="AD151">
        <v>0</v>
      </c>
      <c r="AE151">
        <v>8</v>
      </c>
      <c r="AF151">
        <v>7</v>
      </c>
      <c r="AG151">
        <v>1</v>
      </c>
      <c r="AH151">
        <v>9</v>
      </c>
      <c r="AI151">
        <v>10</v>
      </c>
      <c r="AJ151">
        <v>-1</v>
      </c>
      <c r="AK151" t="s">
        <v>1588</v>
      </c>
      <c r="AL151" t="s">
        <v>1589</v>
      </c>
      <c r="AM151" t="s">
        <v>1590</v>
      </c>
      <c r="AN151" t="s">
        <v>1591</v>
      </c>
      <c r="AO151" t="s">
        <v>1592</v>
      </c>
      <c r="AP151" t="s">
        <v>1593</v>
      </c>
      <c r="AQ151" t="s">
        <v>1594</v>
      </c>
      <c r="AR151" t="s">
        <v>1595</v>
      </c>
      <c r="AS151" t="s">
        <v>1596</v>
      </c>
    </row>
    <row r="152" spans="1:45" x14ac:dyDescent="0.45">
      <c r="A152">
        <v>151</v>
      </c>
      <c r="B152">
        <v>2141</v>
      </c>
      <c r="C152" t="s">
        <v>72</v>
      </c>
      <c r="D152" t="s">
        <v>73</v>
      </c>
      <c r="E152" t="s">
        <v>74</v>
      </c>
      <c r="F152" t="s">
        <v>77</v>
      </c>
      <c r="G152" t="s">
        <v>76</v>
      </c>
      <c r="H152">
        <v>74.179101185392796</v>
      </c>
      <c r="I152">
        <v>2</v>
      </c>
      <c r="J152">
        <v>8</v>
      </c>
      <c r="K152">
        <v>8</v>
      </c>
      <c r="L152">
        <v>0</v>
      </c>
      <c r="M152">
        <v>9</v>
      </c>
      <c r="N152">
        <v>8</v>
      </c>
      <c r="O152">
        <v>1</v>
      </c>
      <c r="P152">
        <v>8</v>
      </c>
      <c r="Q152">
        <v>8</v>
      </c>
      <c r="R152">
        <v>0</v>
      </c>
      <c r="S152">
        <v>9</v>
      </c>
      <c r="T152">
        <v>8</v>
      </c>
      <c r="U152">
        <v>1</v>
      </c>
      <c r="V152">
        <v>8</v>
      </c>
      <c r="W152">
        <v>8</v>
      </c>
      <c r="X152">
        <v>0</v>
      </c>
      <c r="Y152">
        <v>7</v>
      </c>
      <c r="Z152">
        <v>8</v>
      </c>
      <c r="AA152">
        <v>-1</v>
      </c>
      <c r="AB152">
        <v>8</v>
      </c>
      <c r="AC152">
        <v>8</v>
      </c>
      <c r="AD152">
        <v>0</v>
      </c>
      <c r="AE152">
        <v>7</v>
      </c>
      <c r="AF152">
        <v>8</v>
      </c>
      <c r="AG152">
        <v>-1</v>
      </c>
      <c r="AH152">
        <v>9</v>
      </c>
      <c r="AI152">
        <v>8</v>
      </c>
      <c r="AJ152">
        <v>1</v>
      </c>
      <c r="AK152" t="s">
        <v>1597</v>
      </c>
      <c r="AL152" t="s">
        <v>1598</v>
      </c>
      <c r="AM152" t="s">
        <v>1599</v>
      </c>
      <c r="AN152" t="s">
        <v>1600</v>
      </c>
      <c r="AO152" t="s">
        <v>1601</v>
      </c>
      <c r="AP152" t="s">
        <v>1602</v>
      </c>
      <c r="AQ152" t="s">
        <v>1603</v>
      </c>
      <c r="AR152" t="s">
        <v>1604</v>
      </c>
      <c r="AS152" t="s">
        <v>1605</v>
      </c>
    </row>
    <row r="153" spans="1:45" x14ac:dyDescent="0.45">
      <c r="A153">
        <v>152</v>
      </c>
      <c r="B153">
        <v>2142</v>
      </c>
      <c r="C153" t="s">
        <v>72</v>
      </c>
      <c r="D153" t="s">
        <v>79</v>
      </c>
      <c r="E153" t="s">
        <v>74</v>
      </c>
      <c r="F153" t="s">
        <v>75</v>
      </c>
      <c r="G153" t="s">
        <v>76</v>
      </c>
      <c r="H153">
        <v>71.547132639694141</v>
      </c>
      <c r="I153">
        <v>2</v>
      </c>
      <c r="J153">
        <v>7</v>
      </c>
      <c r="K153">
        <v>10</v>
      </c>
      <c r="L153">
        <v>-3</v>
      </c>
      <c r="M153">
        <v>8</v>
      </c>
      <c r="N153">
        <v>10</v>
      </c>
      <c r="O153">
        <v>-2</v>
      </c>
      <c r="P153">
        <v>9</v>
      </c>
      <c r="Q153">
        <v>10</v>
      </c>
      <c r="R153">
        <v>-1</v>
      </c>
      <c r="S153">
        <v>9</v>
      </c>
      <c r="T153">
        <v>10</v>
      </c>
      <c r="U153">
        <v>-1</v>
      </c>
      <c r="V153">
        <v>7</v>
      </c>
      <c r="W153">
        <v>10</v>
      </c>
      <c r="X153">
        <v>-3</v>
      </c>
      <c r="Y153">
        <v>8</v>
      </c>
      <c r="Z153">
        <v>10</v>
      </c>
      <c r="AA153">
        <v>-2</v>
      </c>
      <c r="AB153">
        <v>7</v>
      </c>
      <c r="AC153">
        <v>10</v>
      </c>
      <c r="AD153">
        <v>-3</v>
      </c>
      <c r="AE153">
        <v>6</v>
      </c>
      <c r="AF153">
        <v>10</v>
      </c>
      <c r="AG153">
        <v>-4</v>
      </c>
      <c r="AH153">
        <v>8</v>
      </c>
      <c r="AI153">
        <v>10</v>
      </c>
      <c r="AJ153">
        <v>-2</v>
      </c>
      <c r="AK153" t="s">
        <v>1606</v>
      </c>
      <c r="AL153" t="s">
        <v>1607</v>
      </c>
      <c r="AM153" t="s">
        <v>1608</v>
      </c>
      <c r="AN153" t="s">
        <v>1609</v>
      </c>
      <c r="AO153" t="s">
        <v>1610</v>
      </c>
      <c r="AP153" t="s">
        <v>1611</v>
      </c>
      <c r="AQ153" t="s">
        <v>1612</v>
      </c>
      <c r="AR153" t="s">
        <v>1613</v>
      </c>
      <c r="AS153" t="s">
        <v>1614</v>
      </c>
    </row>
    <row r="154" spans="1:45" x14ac:dyDescent="0.45">
      <c r="A154">
        <v>153</v>
      </c>
      <c r="B154">
        <v>2143</v>
      </c>
      <c r="C154" t="s">
        <v>78</v>
      </c>
      <c r="D154" t="s">
        <v>73</v>
      </c>
      <c r="E154" t="s">
        <v>74</v>
      </c>
      <c r="F154" t="s">
        <v>77</v>
      </c>
      <c r="G154" t="s">
        <v>76</v>
      </c>
      <c r="H154">
        <v>12</v>
      </c>
      <c r="I154">
        <v>1</v>
      </c>
      <c r="J154">
        <v>9</v>
      </c>
      <c r="K154">
        <v>7</v>
      </c>
      <c r="L154">
        <v>2</v>
      </c>
      <c r="M154">
        <v>8</v>
      </c>
      <c r="N154">
        <v>7</v>
      </c>
      <c r="O154">
        <v>1</v>
      </c>
      <c r="P154">
        <v>9</v>
      </c>
      <c r="Q154">
        <v>5</v>
      </c>
      <c r="R154">
        <v>4</v>
      </c>
      <c r="S154">
        <v>8</v>
      </c>
      <c r="T154">
        <v>7</v>
      </c>
      <c r="U154">
        <v>1</v>
      </c>
      <c r="V154">
        <v>9</v>
      </c>
      <c r="W154">
        <v>7</v>
      </c>
      <c r="X154">
        <v>2</v>
      </c>
      <c r="Y154">
        <v>8</v>
      </c>
      <c r="Z154">
        <v>7</v>
      </c>
      <c r="AA154">
        <v>1</v>
      </c>
      <c r="AB154">
        <v>9</v>
      </c>
      <c r="AC154">
        <v>7</v>
      </c>
      <c r="AD154">
        <v>2</v>
      </c>
      <c r="AE154">
        <v>8</v>
      </c>
      <c r="AF154">
        <v>7</v>
      </c>
      <c r="AG154">
        <v>1</v>
      </c>
      <c r="AH154">
        <v>9</v>
      </c>
      <c r="AI154">
        <v>7</v>
      </c>
      <c r="AJ154">
        <v>2</v>
      </c>
      <c r="AK154" t="s">
        <v>1615</v>
      </c>
      <c r="AL154" t="s">
        <v>1616</v>
      </c>
      <c r="AM154" t="s">
        <v>1617</v>
      </c>
      <c r="AN154" t="s">
        <v>1618</v>
      </c>
      <c r="AO154" t="s">
        <v>1619</v>
      </c>
      <c r="AP154" t="s">
        <v>1620</v>
      </c>
      <c r="AQ154" t="s">
        <v>1621</v>
      </c>
      <c r="AR154" t="s">
        <v>1622</v>
      </c>
      <c r="AS154" t="s">
        <v>1623</v>
      </c>
    </row>
    <row r="155" spans="1:45" x14ac:dyDescent="0.45">
      <c r="A155">
        <v>154</v>
      </c>
      <c r="B155">
        <v>2144</v>
      </c>
      <c r="C155" t="s">
        <v>72</v>
      </c>
      <c r="D155" t="s">
        <v>81</v>
      </c>
      <c r="E155" t="s">
        <v>74</v>
      </c>
      <c r="F155" t="s">
        <v>77</v>
      </c>
      <c r="G155" t="s">
        <v>76</v>
      </c>
      <c r="H155">
        <v>12</v>
      </c>
      <c r="I155">
        <v>2</v>
      </c>
      <c r="J155">
        <v>8</v>
      </c>
      <c r="K155">
        <v>7</v>
      </c>
      <c r="L155">
        <v>1</v>
      </c>
      <c r="M155">
        <v>7</v>
      </c>
      <c r="N155">
        <v>8</v>
      </c>
      <c r="O155">
        <v>-1</v>
      </c>
      <c r="P155">
        <v>9</v>
      </c>
      <c r="Q155">
        <v>8</v>
      </c>
      <c r="R155">
        <v>1</v>
      </c>
      <c r="S155">
        <v>9</v>
      </c>
      <c r="T155">
        <v>8</v>
      </c>
      <c r="U155">
        <v>1</v>
      </c>
      <c r="V155">
        <v>8</v>
      </c>
      <c r="W155">
        <v>6</v>
      </c>
      <c r="X155">
        <v>2</v>
      </c>
      <c r="Y155">
        <v>9</v>
      </c>
      <c r="Z155">
        <v>8</v>
      </c>
      <c r="AA155">
        <v>1</v>
      </c>
      <c r="AB155">
        <v>8</v>
      </c>
      <c r="AC155">
        <v>5</v>
      </c>
      <c r="AD155">
        <v>3</v>
      </c>
      <c r="AE155">
        <v>9</v>
      </c>
      <c r="AF155">
        <v>8</v>
      </c>
      <c r="AG155">
        <v>1</v>
      </c>
      <c r="AH155">
        <v>10</v>
      </c>
      <c r="AI155">
        <v>8</v>
      </c>
      <c r="AJ155">
        <v>2</v>
      </c>
      <c r="AK155" t="s">
        <v>1624</v>
      </c>
      <c r="AL155" t="s">
        <v>1625</v>
      </c>
      <c r="AM155" t="s">
        <v>1626</v>
      </c>
      <c r="AN155" t="s">
        <v>1627</v>
      </c>
      <c r="AO155" t="s">
        <v>199</v>
      </c>
      <c r="AP155" t="s">
        <v>1628</v>
      </c>
      <c r="AQ155" t="s">
        <v>1629</v>
      </c>
      <c r="AR155" t="s">
        <v>1630</v>
      </c>
      <c r="AS155" t="s">
        <v>1631</v>
      </c>
    </row>
    <row r="156" spans="1:45" x14ac:dyDescent="0.45">
      <c r="A156">
        <v>155</v>
      </c>
      <c r="B156">
        <v>2145</v>
      </c>
      <c r="C156" t="s">
        <v>72</v>
      </c>
      <c r="D156" t="s">
        <v>73</v>
      </c>
      <c r="E156" t="s">
        <v>74</v>
      </c>
      <c r="F156" t="s">
        <v>75</v>
      </c>
      <c r="G156" t="s">
        <v>76</v>
      </c>
      <c r="H156">
        <v>65.294086288736366</v>
      </c>
      <c r="I156">
        <v>1</v>
      </c>
      <c r="J156">
        <v>6</v>
      </c>
      <c r="K156">
        <v>10</v>
      </c>
      <c r="L156">
        <v>-4</v>
      </c>
      <c r="M156">
        <v>7</v>
      </c>
      <c r="N156">
        <v>10</v>
      </c>
      <c r="O156">
        <v>-3</v>
      </c>
      <c r="P156">
        <v>8</v>
      </c>
      <c r="Q156">
        <v>10</v>
      </c>
      <c r="R156">
        <v>-2</v>
      </c>
      <c r="S156">
        <v>9</v>
      </c>
      <c r="T156">
        <v>10</v>
      </c>
      <c r="U156">
        <v>-1</v>
      </c>
      <c r="V156">
        <v>8</v>
      </c>
      <c r="W156">
        <v>10</v>
      </c>
      <c r="X156">
        <v>-2</v>
      </c>
      <c r="Y156">
        <v>9</v>
      </c>
      <c r="Z156">
        <v>10</v>
      </c>
      <c r="AA156">
        <v>-1</v>
      </c>
      <c r="AB156">
        <v>8</v>
      </c>
      <c r="AC156">
        <v>10</v>
      </c>
      <c r="AD156">
        <v>-2</v>
      </c>
      <c r="AE156">
        <v>7</v>
      </c>
      <c r="AF156">
        <v>10</v>
      </c>
      <c r="AG156">
        <v>-3</v>
      </c>
      <c r="AH156">
        <v>9</v>
      </c>
      <c r="AI156">
        <v>10</v>
      </c>
      <c r="AJ156">
        <v>-1</v>
      </c>
      <c r="AK156" t="s">
        <v>1632</v>
      </c>
      <c r="AL156" t="s">
        <v>1633</v>
      </c>
      <c r="AM156" t="s">
        <v>1634</v>
      </c>
      <c r="AN156" t="s">
        <v>1635</v>
      </c>
      <c r="AO156" t="s">
        <v>1636</v>
      </c>
      <c r="AP156" t="s">
        <v>1637</v>
      </c>
      <c r="AQ156" t="s">
        <v>1638</v>
      </c>
      <c r="AR156" t="s">
        <v>1639</v>
      </c>
      <c r="AS156" t="s">
        <v>1640</v>
      </c>
    </row>
    <row r="157" spans="1:45" x14ac:dyDescent="0.45">
      <c r="A157">
        <v>156</v>
      </c>
      <c r="B157">
        <v>2146</v>
      </c>
      <c r="C157" t="s">
        <v>72</v>
      </c>
      <c r="D157" t="s">
        <v>73</v>
      </c>
      <c r="E157" t="s">
        <v>74</v>
      </c>
      <c r="F157" t="s">
        <v>75</v>
      </c>
      <c r="G157" t="s">
        <v>76</v>
      </c>
      <c r="H157">
        <v>23.928243437507259</v>
      </c>
      <c r="I157">
        <v>1</v>
      </c>
      <c r="J157">
        <v>6</v>
      </c>
      <c r="K157">
        <v>10</v>
      </c>
      <c r="L157">
        <v>-4</v>
      </c>
      <c r="M157">
        <v>8</v>
      </c>
      <c r="N157">
        <v>10</v>
      </c>
      <c r="O157">
        <v>-2</v>
      </c>
      <c r="P157">
        <v>9</v>
      </c>
      <c r="Q157">
        <v>10</v>
      </c>
      <c r="R157">
        <v>-1</v>
      </c>
      <c r="S157">
        <v>8</v>
      </c>
      <c r="T157">
        <v>10</v>
      </c>
      <c r="U157">
        <v>-2</v>
      </c>
      <c r="V157">
        <v>9</v>
      </c>
      <c r="W157">
        <v>10</v>
      </c>
      <c r="X157">
        <v>-1</v>
      </c>
      <c r="Y157">
        <v>8</v>
      </c>
      <c r="Z157">
        <v>10</v>
      </c>
      <c r="AA157">
        <v>-2</v>
      </c>
      <c r="AB157">
        <v>7</v>
      </c>
      <c r="AC157">
        <v>10</v>
      </c>
      <c r="AD157">
        <v>-3</v>
      </c>
      <c r="AE157">
        <v>8</v>
      </c>
      <c r="AF157">
        <v>10</v>
      </c>
      <c r="AG157">
        <v>-2</v>
      </c>
      <c r="AH157">
        <v>9</v>
      </c>
      <c r="AI157">
        <v>10</v>
      </c>
      <c r="AJ157">
        <v>-1</v>
      </c>
      <c r="AK157" t="s">
        <v>1641</v>
      </c>
      <c r="AL157" t="s">
        <v>1642</v>
      </c>
      <c r="AM157" t="s">
        <v>1643</v>
      </c>
      <c r="AN157" t="s">
        <v>1644</v>
      </c>
      <c r="AO157" t="s">
        <v>1645</v>
      </c>
      <c r="AP157" t="s">
        <v>1646</v>
      </c>
      <c r="AQ157" t="s">
        <v>1647</v>
      </c>
      <c r="AR157" t="s">
        <v>1648</v>
      </c>
      <c r="AS157" t="s">
        <v>1649</v>
      </c>
    </row>
    <row r="158" spans="1:45" x14ac:dyDescent="0.45">
      <c r="A158">
        <v>157</v>
      </c>
      <c r="B158">
        <v>2147</v>
      </c>
      <c r="C158" t="s">
        <v>78</v>
      </c>
      <c r="D158" t="s">
        <v>73</v>
      </c>
      <c r="E158" t="s">
        <v>74</v>
      </c>
      <c r="F158" t="s">
        <v>77</v>
      </c>
      <c r="G158" t="s">
        <v>76</v>
      </c>
      <c r="H158">
        <v>79.221032608637913</v>
      </c>
      <c r="I158">
        <v>4</v>
      </c>
      <c r="J158">
        <v>7</v>
      </c>
      <c r="K158">
        <v>10</v>
      </c>
      <c r="L158">
        <v>-3</v>
      </c>
      <c r="M158">
        <v>6</v>
      </c>
      <c r="N158">
        <v>10</v>
      </c>
      <c r="O158">
        <v>-4</v>
      </c>
      <c r="P158">
        <v>8</v>
      </c>
      <c r="Q158">
        <v>1</v>
      </c>
      <c r="R158">
        <v>7</v>
      </c>
      <c r="S158">
        <v>9</v>
      </c>
      <c r="T158">
        <v>10</v>
      </c>
      <c r="U158">
        <v>-1</v>
      </c>
      <c r="V158">
        <v>7</v>
      </c>
      <c r="W158">
        <v>1</v>
      </c>
      <c r="X158">
        <v>6</v>
      </c>
      <c r="Y158">
        <v>8</v>
      </c>
      <c r="Z158">
        <v>1</v>
      </c>
      <c r="AA158">
        <v>7</v>
      </c>
      <c r="AB158">
        <v>7</v>
      </c>
      <c r="AC158">
        <v>1</v>
      </c>
      <c r="AD158">
        <v>6</v>
      </c>
      <c r="AE158">
        <v>6</v>
      </c>
      <c r="AF158">
        <v>1</v>
      </c>
      <c r="AG158">
        <v>5</v>
      </c>
      <c r="AH158">
        <v>8</v>
      </c>
      <c r="AI158">
        <v>6</v>
      </c>
      <c r="AJ158">
        <v>2</v>
      </c>
      <c r="AK158" t="s">
        <v>1650</v>
      </c>
      <c r="AL158" t="s">
        <v>1651</v>
      </c>
      <c r="AM158" t="s">
        <v>1652</v>
      </c>
      <c r="AN158" t="s">
        <v>1653</v>
      </c>
      <c r="AO158" t="s">
        <v>1654</v>
      </c>
      <c r="AP158" t="s">
        <v>1655</v>
      </c>
      <c r="AQ158" t="s">
        <v>1656</v>
      </c>
      <c r="AR158" t="s">
        <v>1657</v>
      </c>
      <c r="AS158" t="s">
        <v>1658</v>
      </c>
    </row>
    <row r="159" spans="1:45" x14ac:dyDescent="0.45">
      <c r="A159">
        <v>158</v>
      </c>
      <c r="B159">
        <v>2148</v>
      </c>
      <c r="C159" t="s">
        <v>72</v>
      </c>
      <c r="D159" t="s">
        <v>73</v>
      </c>
      <c r="E159" t="s">
        <v>74</v>
      </c>
      <c r="F159" t="s">
        <v>77</v>
      </c>
      <c r="G159" t="s">
        <v>76</v>
      </c>
      <c r="H159">
        <v>80.819067710457034</v>
      </c>
      <c r="I159">
        <v>2</v>
      </c>
      <c r="J159">
        <v>7</v>
      </c>
      <c r="K159">
        <v>7</v>
      </c>
      <c r="L159">
        <v>0</v>
      </c>
      <c r="M159">
        <v>6</v>
      </c>
      <c r="N159">
        <v>8</v>
      </c>
      <c r="O159">
        <v>-2</v>
      </c>
      <c r="P159">
        <v>8</v>
      </c>
      <c r="Q159">
        <v>6</v>
      </c>
      <c r="R159">
        <v>2</v>
      </c>
      <c r="S159">
        <v>9</v>
      </c>
      <c r="T159">
        <v>6</v>
      </c>
      <c r="U159">
        <v>3</v>
      </c>
      <c r="V159">
        <v>7</v>
      </c>
      <c r="W159">
        <v>7</v>
      </c>
      <c r="X159">
        <v>0</v>
      </c>
      <c r="Y159">
        <v>9</v>
      </c>
      <c r="Z159">
        <v>5</v>
      </c>
      <c r="AA159">
        <v>4</v>
      </c>
      <c r="AB159">
        <v>6</v>
      </c>
      <c r="AC159">
        <v>6</v>
      </c>
      <c r="AD159">
        <v>0</v>
      </c>
      <c r="AE159">
        <v>7</v>
      </c>
      <c r="AF159">
        <v>7</v>
      </c>
      <c r="AG159">
        <v>0</v>
      </c>
      <c r="AH159">
        <v>8</v>
      </c>
      <c r="AI159">
        <v>7</v>
      </c>
      <c r="AJ159">
        <v>1</v>
      </c>
      <c r="AK159" t="s">
        <v>1659</v>
      </c>
      <c r="AL159" t="s">
        <v>1660</v>
      </c>
      <c r="AM159" t="s">
        <v>1661</v>
      </c>
      <c r="AN159" t="s">
        <v>1662</v>
      </c>
      <c r="AO159" t="s">
        <v>1663</v>
      </c>
      <c r="AP159" t="s">
        <v>1664</v>
      </c>
      <c r="AQ159" t="s">
        <v>1665</v>
      </c>
      <c r="AR159" t="s">
        <v>1666</v>
      </c>
      <c r="AS159" t="s">
        <v>1667</v>
      </c>
    </row>
    <row r="160" spans="1:45" x14ac:dyDescent="0.45">
      <c r="A160">
        <v>159</v>
      </c>
      <c r="B160">
        <v>2149</v>
      </c>
      <c r="C160" t="s">
        <v>78</v>
      </c>
      <c r="D160" t="s">
        <v>79</v>
      </c>
      <c r="E160" t="s">
        <v>74</v>
      </c>
      <c r="F160" t="s">
        <v>77</v>
      </c>
      <c r="G160" t="s">
        <v>76</v>
      </c>
      <c r="H160">
        <v>33.46719409588362</v>
      </c>
      <c r="I160">
        <v>0</v>
      </c>
      <c r="J160">
        <v>6</v>
      </c>
      <c r="K160">
        <v>2</v>
      </c>
      <c r="L160">
        <v>4</v>
      </c>
      <c r="M160">
        <v>7</v>
      </c>
      <c r="N160">
        <v>7</v>
      </c>
      <c r="O160">
        <v>0</v>
      </c>
      <c r="P160">
        <v>9</v>
      </c>
      <c r="Q160">
        <v>10</v>
      </c>
      <c r="R160">
        <v>-1</v>
      </c>
      <c r="S160">
        <v>8</v>
      </c>
      <c r="T160">
        <v>2</v>
      </c>
      <c r="U160">
        <v>6</v>
      </c>
      <c r="V160">
        <v>7</v>
      </c>
      <c r="W160">
        <v>10</v>
      </c>
      <c r="X160">
        <v>-3</v>
      </c>
      <c r="Y160">
        <v>8</v>
      </c>
      <c r="Z160">
        <v>5</v>
      </c>
      <c r="AA160">
        <v>3</v>
      </c>
      <c r="AB160">
        <v>7</v>
      </c>
      <c r="AC160">
        <v>10</v>
      </c>
      <c r="AD160">
        <v>-3</v>
      </c>
      <c r="AE160">
        <v>6</v>
      </c>
      <c r="AF160">
        <v>3</v>
      </c>
      <c r="AG160">
        <v>3</v>
      </c>
      <c r="AH160">
        <v>9</v>
      </c>
      <c r="AI160">
        <v>3</v>
      </c>
      <c r="AJ160">
        <v>6</v>
      </c>
      <c r="AK160" t="s">
        <v>1668</v>
      </c>
      <c r="AL160" t="s">
        <v>1669</v>
      </c>
      <c r="AM160" t="s">
        <v>1670</v>
      </c>
      <c r="AN160" t="s">
        <v>1671</v>
      </c>
      <c r="AO160" t="s">
        <v>1672</v>
      </c>
      <c r="AP160" t="s">
        <v>1673</v>
      </c>
      <c r="AQ160" t="s">
        <v>1674</v>
      </c>
      <c r="AR160" t="s">
        <v>1675</v>
      </c>
      <c r="AS160" t="s">
        <v>1676</v>
      </c>
    </row>
    <row r="161" spans="1:45" x14ac:dyDescent="0.45">
      <c r="A161">
        <v>160</v>
      </c>
      <c r="B161">
        <v>2150</v>
      </c>
      <c r="C161" t="s">
        <v>72</v>
      </c>
      <c r="D161" t="s">
        <v>73</v>
      </c>
      <c r="E161" t="s">
        <v>74</v>
      </c>
      <c r="F161" t="s">
        <v>75</v>
      </c>
      <c r="G161" t="s">
        <v>76</v>
      </c>
      <c r="H161">
        <v>45.11869588041683</v>
      </c>
      <c r="I161">
        <v>0</v>
      </c>
      <c r="J161">
        <v>8</v>
      </c>
      <c r="K161">
        <v>9</v>
      </c>
      <c r="L161">
        <v>-1</v>
      </c>
      <c r="M161">
        <v>9</v>
      </c>
      <c r="N161">
        <v>9</v>
      </c>
      <c r="O161">
        <v>0</v>
      </c>
      <c r="P161">
        <v>8</v>
      </c>
      <c r="Q161">
        <v>10</v>
      </c>
      <c r="R161">
        <v>-2</v>
      </c>
      <c r="S161">
        <v>9</v>
      </c>
      <c r="T161">
        <v>2</v>
      </c>
      <c r="U161">
        <v>7</v>
      </c>
      <c r="V161">
        <v>7</v>
      </c>
      <c r="W161">
        <v>9</v>
      </c>
      <c r="X161">
        <v>-2</v>
      </c>
      <c r="Y161">
        <v>8</v>
      </c>
      <c r="Z161">
        <v>9</v>
      </c>
      <c r="AA161">
        <v>-1</v>
      </c>
      <c r="AB161">
        <v>7</v>
      </c>
      <c r="AC161">
        <v>6</v>
      </c>
      <c r="AD161">
        <v>1</v>
      </c>
      <c r="AE161">
        <v>8</v>
      </c>
      <c r="AF161">
        <v>8</v>
      </c>
      <c r="AG161">
        <v>0</v>
      </c>
      <c r="AH161">
        <v>9</v>
      </c>
      <c r="AI161">
        <v>10</v>
      </c>
      <c r="AJ161">
        <v>-1</v>
      </c>
      <c r="AK161" t="s">
        <v>1677</v>
      </c>
      <c r="AL161" t="s">
        <v>1678</v>
      </c>
      <c r="AM161" t="s">
        <v>1679</v>
      </c>
      <c r="AN161" t="s">
        <v>1680</v>
      </c>
      <c r="AO161" t="s">
        <v>1681</v>
      </c>
      <c r="AP161" t="s">
        <v>1682</v>
      </c>
      <c r="AQ161" t="s">
        <v>1683</v>
      </c>
      <c r="AR161" t="s">
        <v>1684</v>
      </c>
      <c r="AS161" t="s">
        <v>1685</v>
      </c>
    </row>
    <row r="162" spans="1:45" x14ac:dyDescent="0.45">
      <c r="A162">
        <v>161</v>
      </c>
      <c r="B162">
        <v>2151</v>
      </c>
      <c r="C162" t="s">
        <v>72</v>
      </c>
      <c r="D162" t="s">
        <v>73</v>
      </c>
      <c r="E162" t="s">
        <v>74</v>
      </c>
      <c r="F162" t="s">
        <v>77</v>
      </c>
      <c r="G162" t="s">
        <v>76</v>
      </c>
      <c r="H162">
        <v>15.442244316243173</v>
      </c>
      <c r="I162">
        <v>0</v>
      </c>
      <c r="J162">
        <v>6</v>
      </c>
      <c r="K162">
        <v>7</v>
      </c>
      <c r="L162">
        <v>-1</v>
      </c>
      <c r="M162">
        <v>6</v>
      </c>
      <c r="N162">
        <v>5</v>
      </c>
      <c r="O162">
        <v>1</v>
      </c>
      <c r="P162">
        <v>9</v>
      </c>
      <c r="Q162">
        <v>7</v>
      </c>
      <c r="R162">
        <v>2</v>
      </c>
      <c r="S162">
        <v>8</v>
      </c>
      <c r="T162">
        <v>5</v>
      </c>
      <c r="U162">
        <v>3</v>
      </c>
      <c r="V162">
        <v>7</v>
      </c>
      <c r="W162">
        <v>3</v>
      </c>
      <c r="X162">
        <v>4</v>
      </c>
      <c r="Y162">
        <v>9</v>
      </c>
      <c r="Z162">
        <v>4</v>
      </c>
      <c r="AA162">
        <v>5</v>
      </c>
      <c r="AB162">
        <v>7</v>
      </c>
      <c r="AC162">
        <v>1</v>
      </c>
      <c r="AD162">
        <v>6</v>
      </c>
      <c r="AE162">
        <v>8</v>
      </c>
      <c r="AF162">
        <v>5</v>
      </c>
      <c r="AG162">
        <v>3</v>
      </c>
      <c r="AH162">
        <v>9</v>
      </c>
      <c r="AI162">
        <v>5</v>
      </c>
      <c r="AJ162">
        <v>4</v>
      </c>
      <c r="AK162" t="s">
        <v>1686</v>
      </c>
      <c r="AL162" t="s">
        <v>1687</v>
      </c>
      <c r="AM162" t="s">
        <v>1688</v>
      </c>
      <c r="AN162" t="s">
        <v>1689</v>
      </c>
      <c r="AO162" t="s">
        <v>1690</v>
      </c>
      <c r="AP162" t="s">
        <v>1691</v>
      </c>
      <c r="AQ162" t="s">
        <v>1692</v>
      </c>
      <c r="AR162" t="s">
        <v>1693</v>
      </c>
      <c r="AS162" t="s">
        <v>1694</v>
      </c>
    </row>
    <row r="163" spans="1:45" x14ac:dyDescent="0.45">
      <c r="A163">
        <v>162</v>
      </c>
      <c r="B163">
        <v>2152</v>
      </c>
      <c r="C163" t="s">
        <v>72</v>
      </c>
      <c r="D163" t="s">
        <v>81</v>
      </c>
      <c r="E163" t="s">
        <v>74</v>
      </c>
      <c r="F163" t="s">
        <v>77</v>
      </c>
      <c r="G163" t="s">
        <v>76</v>
      </c>
      <c r="H163">
        <v>12</v>
      </c>
      <c r="I163">
        <v>0</v>
      </c>
      <c r="J163">
        <v>7</v>
      </c>
      <c r="K163">
        <v>3</v>
      </c>
      <c r="L163">
        <v>4</v>
      </c>
      <c r="M163">
        <v>6</v>
      </c>
      <c r="N163">
        <v>8</v>
      </c>
      <c r="O163">
        <v>-2</v>
      </c>
      <c r="P163">
        <v>8</v>
      </c>
      <c r="Q163">
        <v>4</v>
      </c>
      <c r="R163">
        <v>4</v>
      </c>
      <c r="S163">
        <v>9</v>
      </c>
      <c r="T163">
        <v>5</v>
      </c>
      <c r="U163">
        <v>4</v>
      </c>
      <c r="V163">
        <v>8</v>
      </c>
      <c r="W163">
        <v>5</v>
      </c>
      <c r="X163">
        <v>3</v>
      </c>
      <c r="Y163">
        <v>9</v>
      </c>
      <c r="Z163">
        <v>5</v>
      </c>
      <c r="AA163">
        <v>4</v>
      </c>
      <c r="AB163">
        <v>8</v>
      </c>
      <c r="AC163">
        <v>5</v>
      </c>
      <c r="AD163">
        <v>3</v>
      </c>
      <c r="AE163">
        <v>7</v>
      </c>
      <c r="AF163">
        <v>5</v>
      </c>
      <c r="AG163">
        <v>2</v>
      </c>
      <c r="AH163">
        <v>9</v>
      </c>
      <c r="AI163">
        <v>5</v>
      </c>
      <c r="AJ163">
        <v>4</v>
      </c>
      <c r="AK163" t="s">
        <v>1695</v>
      </c>
      <c r="AL163" t="s">
        <v>1696</v>
      </c>
      <c r="AM163" t="s">
        <v>1697</v>
      </c>
      <c r="AN163" t="s">
        <v>1698</v>
      </c>
      <c r="AO163" t="s">
        <v>1699</v>
      </c>
      <c r="AP163" t="s">
        <v>1700</v>
      </c>
      <c r="AQ163" t="s">
        <v>1701</v>
      </c>
      <c r="AR163" t="s">
        <v>1702</v>
      </c>
      <c r="AS163" t="s">
        <v>1703</v>
      </c>
    </row>
    <row r="164" spans="1:45" x14ac:dyDescent="0.45">
      <c r="A164">
        <v>163</v>
      </c>
      <c r="B164">
        <v>2153</v>
      </c>
      <c r="C164" t="s">
        <v>72</v>
      </c>
      <c r="D164" t="s">
        <v>81</v>
      </c>
      <c r="E164" t="s">
        <v>74</v>
      </c>
      <c r="F164" t="s">
        <v>77</v>
      </c>
      <c r="G164" t="s">
        <v>76</v>
      </c>
      <c r="H164">
        <v>15.35907344478729</v>
      </c>
      <c r="I164">
        <v>0</v>
      </c>
      <c r="J164">
        <v>7</v>
      </c>
      <c r="K164">
        <v>10</v>
      </c>
      <c r="L164">
        <v>-3</v>
      </c>
      <c r="M164">
        <v>7</v>
      </c>
      <c r="N164">
        <v>10</v>
      </c>
      <c r="O164">
        <v>-3</v>
      </c>
      <c r="P164">
        <v>8</v>
      </c>
      <c r="Q164">
        <v>10</v>
      </c>
      <c r="R164">
        <v>-2</v>
      </c>
      <c r="S164">
        <v>9</v>
      </c>
      <c r="T164">
        <v>10</v>
      </c>
      <c r="U164">
        <v>-1</v>
      </c>
      <c r="V164">
        <v>8</v>
      </c>
      <c r="W164">
        <v>10</v>
      </c>
      <c r="X164">
        <v>-2</v>
      </c>
      <c r="Y164">
        <v>9</v>
      </c>
      <c r="Z164">
        <v>10</v>
      </c>
      <c r="AA164">
        <v>-1</v>
      </c>
      <c r="AB164">
        <v>8</v>
      </c>
      <c r="AC164">
        <v>10</v>
      </c>
      <c r="AD164">
        <v>-2</v>
      </c>
      <c r="AE164">
        <v>7</v>
      </c>
      <c r="AF164">
        <v>10</v>
      </c>
      <c r="AG164">
        <v>-3</v>
      </c>
      <c r="AH164">
        <v>9</v>
      </c>
      <c r="AI164">
        <v>10</v>
      </c>
      <c r="AJ164">
        <v>-1</v>
      </c>
      <c r="AK164" t="s">
        <v>1704</v>
      </c>
      <c r="AL164" t="s">
        <v>1705</v>
      </c>
      <c r="AM164" t="s">
        <v>1706</v>
      </c>
      <c r="AN164" t="s">
        <v>1707</v>
      </c>
      <c r="AO164" t="s">
        <v>1708</v>
      </c>
      <c r="AP164" t="s">
        <v>1709</v>
      </c>
      <c r="AQ164" t="s">
        <v>1710</v>
      </c>
      <c r="AR164" t="s">
        <v>1711</v>
      </c>
      <c r="AS164" t="s">
        <v>1712</v>
      </c>
    </row>
    <row r="165" spans="1:45" x14ac:dyDescent="0.45">
      <c r="A165">
        <v>164</v>
      </c>
      <c r="B165">
        <v>2154</v>
      </c>
      <c r="C165" t="s">
        <v>72</v>
      </c>
      <c r="D165" t="s">
        <v>79</v>
      </c>
      <c r="E165" t="s">
        <v>74</v>
      </c>
      <c r="F165" t="s">
        <v>77</v>
      </c>
      <c r="G165" t="s">
        <v>76</v>
      </c>
      <c r="H165">
        <v>39.464682757354907</v>
      </c>
      <c r="I165">
        <v>2</v>
      </c>
      <c r="J165">
        <v>6</v>
      </c>
      <c r="K165">
        <v>8</v>
      </c>
      <c r="L165">
        <v>-2</v>
      </c>
      <c r="M165">
        <v>7</v>
      </c>
      <c r="N165">
        <v>9</v>
      </c>
      <c r="O165">
        <v>-2</v>
      </c>
      <c r="P165">
        <v>8</v>
      </c>
      <c r="Q165">
        <v>9</v>
      </c>
      <c r="R165">
        <v>-1</v>
      </c>
      <c r="S165">
        <v>9</v>
      </c>
      <c r="T165">
        <v>9</v>
      </c>
      <c r="U165">
        <v>0</v>
      </c>
      <c r="V165">
        <v>8</v>
      </c>
      <c r="W165">
        <v>5</v>
      </c>
      <c r="X165">
        <v>3</v>
      </c>
      <c r="Y165">
        <v>9</v>
      </c>
      <c r="Z165">
        <v>7</v>
      </c>
      <c r="AA165">
        <v>2</v>
      </c>
      <c r="AB165">
        <v>8</v>
      </c>
      <c r="AC165">
        <v>5</v>
      </c>
      <c r="AD165">
        <v>3</v>
      </c>
      <c r="AE165">
        <v>7</v>
      </c>
      <c r="AF165">
        <v>7</v>
      </c>
      <c r="AG165">
        <v>0</v>
      </c>
      <c r="AH165">
        <v>9</v>
      </c>
      <c r="AI165">
        <v>7</v>
      </c>
      <c r="AJ165">
        <v>2</v>
      </c>
      <c r="AK165" t="s">
        <v>1713</v>
      </c>
      <c r="AL165" t="s">
        <v>1714</v>
      </c>
      <c r="AM165" t="s">
        <v>1715</v>
      </c>
      <c r="AN165" t="s">
        <v>1716</v>
      </c>
      <c r="AO165" t="s">
        <v>1717</v>
      </c>
      <c r="AP165" t="s">
        <v>1718</v>
      </c>
      <c r="AQ165" t="s">
        <v>1719</v>
      </c>
      <c r="AR165" t="s">
        <v>1720</v>
      </c>
      <c r="AS165" t="s">
        <v>1721</v>
      </c>
    </row>
    <row r="166" spans="1:45" x14ac:dyDescent="0.45">
      <c r="A166">
        <v>165</v>
      </c>
      <c r="B166">
        <v>2155</v>
      </c>
      <c r="C166" t="s">
        <v>72</v>
      </c>
      <c r="D166" t="s">
        <v>73</v>
      </c>
      <c r="E166" t="s">
        <v>74</v>
      </c>
      <c r="F166" t="s">
        <v>75</v>
      </c>
      <c r="G166" t="s">
        <v>76</v>
      </c>
      <c r="H166">
        <v>34.853131575275249</v>
      </c>
      <c r="I166">
        <v>0</v>
      </c>
      <c r="J166">
        <v>8</v>
      </c>
      <c r="K166">
        <v>5</v>
      </c>
      <c r="L166">
        <v>3</v>
      </c>
      <c r="M166">
        <v>9</v>
      </c>
      <c r="N166">
        <v>5</v>
      </c>
      <c r="O166">
        <v>4</v>
      </c>
      <c r="P166">
        <v>8</v>
      </c>
      <c r="Q166">
        <v>6</v>
      </c>
      <c r="R166">
        <v>2</v>
      </c>
      <c r="S166">
        <v>9</v>
      </c>
      <c r="T166">
        <v>6</v>
      </c>
      <c r="U166">
        <v>3</v>
      </c>
      <c r="V166">
        <v>8</v>
      </c>
      <c r="W166">
        <v>6</v>
      </c>
      <c r="X166">
        <v>2</v>
      </c>
      <c r="Y166">
        <v>9</v>
      </c>
      <c r="Z166">
        <v>6</v>
      </c>
      <c r="AA166">
        <v>3</v>
      </c>
      <c r="AB166">
        <v>8</v>
      </c>
      <c r="AC166">
        <v>5</v>
      </c>
      <c r="AD166">
        <v>3</v>
      </c>
      <c r="AE166">
        <v>9</v>
      </c>
      <c r="AF166">
        <v>7</v>
      </c>
      <c r="AG166">
        <v>2</v>
      </c>
      <c r="AH166">
        <v>8</v>
      </c>
      <c r="AI166">
        <v>8</v>
      </c>
      <c r="AJ166">
        <v>0</v>
      </c>
      <c r="AK166" t="s">
        <v>1722</v>
      </c>
      <c r="AL166" t="s">
        <v>1723</v>
      </c>
      <c r="AM166" t="s">
        <v>1724</v>
      </c>
      <c r="AN166" t="s">
        <v>1725</v>
      </c>
      <c r="AO166" t="s">
        <v>1726</v>
      </c>
      <c r="AP166" t="s">
        <v>1727</v>
      </c>
      <c r="AQ166" t="s">
        <v>1728</v>
      </c>
      <c r="AR166" t="s">
        <v>1729</v>
      </c>
      <c r="AS166" t="s">
        <v>1730</v>
      </c>
    </row>
    <row r="167" spans="1:45" x14ac:dyDescent="0.45">
      <c r="A167">
        <v>166</v>
      </c>
      <c r="B167">
        <v>2156</v>
      </c>
      <c r="C167" t="s">
        <v>72</v>
      </c>
      <c r="D167" t="s">
        <v>73</v>
      </c>
      <c r="E167" t="s">
        <v>74</v>
      </c>
      <c r="F167" t="s">
        <v>75</v>
      </c>
      <c r="G167" t="s">
        <v>76</v>
      </c>
      <c r="H167">
        <v>43.309098013494726</v>
      </c>
      <c r="I167">
        <v>1</v>
      </c>
      <c r="J167">
        <v>6</v>
      </c>
      <c r="K167">
        <v>10</v>
      </c>
      <c r="L167">
        <v>-4</v>
      </c>
      <c r="M167">
        <v>6</v>
      </c>
      <c r="N167">
        <v>8</v>
      </c>
      <c r="O167">
        <v>-2</v>
      </c>
      <c r="P167">
        <v>7</v>
      </c>
      <c r="Q167">
        <v>10</v>
      </c>
      <c r="R167">
        <v>-3</v>
      </c>
      <c r="S167">
        <v>9</v>
      </c>
      <c r="T167">
        <v>10</v>
      </c>
      <c r="U167">
        <v>-1</v>
      </c>
      <c r="V167">
        <v>7</v>
      </c>
      <c r="W167">
        <v>10</v>
      </c>
      <c r="X167">
        <v>-3</v>
      </c>
      <c r="Y167">
        <v>9</v>
      </c>
      <c r="Z167">
        <v>10</v>
      </c>
      <c r="AA167">
        <v>-1</v>
      </c>
      <c r="AB167">
        <v>7</v>
      </c>
      <c r="AC167">
        <v>10</v>
      </c>
      <c r="AD167">
        <v>-3</v>
      </c>
      <c r="AE167">
        <v>8</v>
      </c>
      <c r="AF167">
        <v>10</v>
      </c>
      <c r="AG167">
        <v>-2</v>
      </c>
      <c r="AH167">
        <v>9</v>
      </c>
      <c r="AI167">
        <v>8</v>
      </c>
      <c r="AJ167">
        <v>1</v>
      </c>
      <c r="AK167" t="s">
        <v>1731</v>
      </c>
      <c r="AL167" t="s">
        <v>1732</v>
      </c>
      <c r="AM167" t="s">
        <v>1733</v>
      </c>
      <c r="AN167" t="s">
        <v>1734</v>
      </c>
      <c r="AO167" t="s">
        <v>1735</v>
      </c>
      <c r="AP167" t="s">
        <v>1736</v>
      </c>
      <c r="AQ167" t="s">
        <v>1737</v>
      </c>
      <c r="AR167" t="s">
        <v>1738</v>
      </c>
      <c r="AS167" t="s">
        <v>268</v>
      </c>
    </row>
    <row r="168" spans="1:45" x14ac:dyDescent="0.45">
      <c r="A168">
        <v>167</v>
      </c>
      <c r="B168">
        <v>2157</v>
      </c>
      <c r="C168" t="s">
        <v>78</v>
      </c>
      <c r="D168" t="s">
        <v>73</v>
      </c>
      <c r="E168" t="s">
        <v>74</v>
      </c>
      <c r="F168" t="s">
        <v>75</v>
      </c>
      <c r="G168" t="s">
        <v>76</v>
      </c>
      <c r="H168">
        <v>87.962921152290036</v>
      </c>
      <c r="I168">
        <v>0</v>
      </c>
      <c r="J168">
        <v>6</v>
      </c>
      <c r="K168">
        <v>5</v>
      </c>
      <c r="L168">
        <v>1</v>
      </c>
      <c r="M168">
        <v>7</v>
      </c>
      <c r="N168">
        <v>8</v>
      </c>
      <c r="O168">
        <v>-1</v>
      </c>
      <c r="P168">
        <v>9</v>
      </c>
      <c r="Q168">
        <v>5</v>
      </c>
      <c r="R168">
        <v>4</v>
      </c>
      <c r="S168">
        <v>9</v>
      </c>
      <c r="T168">
        <v>8</v>
      </c>
      <c r="U168">
        <v>1</v>
      </c>
      <c r="V168">
        <v>8</v>
      </c>
      <c r="W168">
        <v>4</v>
      </c>
      <c r="X168">
        <v>4</v>
      </c>
      <c r="Y168">
        <v>7</v>
      </c>
      <c r="Z168">
        <v>5</v>
      </c>
      <c r="AA168">
        <v>2</v>
      </c>
      <c r="AB168">
        <v>8</v>
      </c>
      <c r="AC168">
        <v>1</v>
      </c>
      <c r="AD168">
        <v>7</v>
      </c>
      <c r="AE168">
        <v>6</v>
      </c>
      <c r="AF168">
        <v>5</v>
      </c>
      <c r="AG168">
        <v>1</v>
      </c>
      <c r="AH168">
        <v>9</v>
      </c>
      <c r="AI168">
        <v>5</v>
      </c>
      <c r="AJ168">
        <v>4</v>
      </c>
      <c r="AK168" t="s">
        <v>1739</v>
      </c>
      <c r="AL168" t="s">
        <v>1740</v>
      </c>
      <c r="AM168" t="s">
        <v>1741</v>
      </c>
      <c r="AN168" t="s">
        <v>1742</v>
      </c>
      <c r="AO168" t="s">
        <v>1743</v>
      </c>
      <c r="AP168" t="s">
        <v>1744</v>
      </c>
      <c r="AQ168" t="s">
        <v>1745</v>
      </c>
      <c r="AR168" t="s">
        <v>1746</v>
      </c>
      <c r="AS168" t="s">
        <v>1747</v>
      </c>
    </row>
    <row r="169" spans="1:45" x14ac:dyDescent="0.45">
      <c r="A169">
        <v>168</v>
      </c>
      <c r="B169">
        <v>2158</v>
      </c>
      <c r="C169" t="s">
        <v>72</v>
      </c>
      <c r="D169" t="s">
        <v>81</v>
      </c>
      <c r="E169" t="s">
        <v>74</v>
      </c>
      <c r="F169" t="s">
        <v>77</v>
      </c>
      <c r="G169" t="s">
        <v>76</v>
      </c>
      <c r="H169">
        <v>21.442261342216373</v>
      </c>
      <c r="I169">
        <v>0</v>
      </c>
      <c r="J169">
        <v>6</v>
      </c>
      <c r="K169">
        <v>7</v>
      </c>
      <c r="L169">
        <v>-1</v>
      </c>
      <c r="M169">
        <v>7</v>
      </c>
      <c r="N169">
        <v>7</v>
      </c>
      <c r="O169">
        <v>0</v>
      </c>
      <c r="P169">
        <v>8</v>
      </c>
      <c r="Q169">
        <v>8</v>
      </c>
      <c r="R169">
        <v>0</v>
      </c>
      <c r="S169">
        <v>9</v>
      </c>
      <c r="T169">
        <v>8</v>
      </c>
      <c r="U169">
        <v>1</v>
      </c>
      <c r="V169">
        <v>8</v>
      </c>
      <c r="W169">
        <v>7</v>
      </c>
      <c r="X169">
        <v>1</v>
      </c>
      <c r="Y169">
        <v>9</v>
      </c>
      <c r="Z169">
        <v>8</v>
      </c>
      <c r="AA169">
        <v>1</v>
      </c>
      <c r="AB169">
        <v>7</v>
      </c>
      <c r="AC169">
        <v>8</v>
      </c>
      <c r="AD169">
        <v>-1</v>
      </c>
      <c r="AE169">
        <v>8</v>
      </c>
      <c r="AF169">
        <v>8</v>
      </c>
      <c r="AG169">
        <v>0</v>
      </c>
      <c r="AH169">
        <v>9</v>
      </c>
      <c r="AI169">
        <v>9</v>
      </c>
      <c r="AJ169">
        <v>0</v>
      </c>
      <c r="AK169" t="s">
        <v>1748</v>
      </c>
      <c r="AL169" t="s">
        <v>1749</v>
      </c>
      <c r="AM169" t="s">
        <v>1750</v>
      </c>
      <c r="AN169" t="s">
        <v>1751</v>
      </c>
      <c r="AO169" t="s">
        <v>1752</v>
      </c>
      <c r="AP169" t="s">
        <v>1753</v>
      </c>
      <c r="AQ169" t="s">
        <v>266</v>
      </c>
      <c r="AR169" t="s">
        <v>1754</v>
      </c>
      <c r="AS169" t="s">
        <v>1755</v>
      </c>
    </row>
    <row r="170" spans="1:45" x14ac:dyDescent="0.45">
      <c r="A170">
        <v>169</v>
      </c>
      <c r="B170">
        <v>2159</v>
      </c>
      <c r="C170" t="s">
        <v>78</v>
      </c>
      <c r="D170" t="s">
        <v>79</v>
      </c>
      <c r="E170" t="s">
        <v>74</v>
      </c>
      <c r="F170" t="s">
        <v>77</v>
      </c>
      <c r="G170" t="s">
        <v>76</v>
      </c>
      <c r="H170">
        <v>36.33258988407799</v>
      </c>
      <c r="I170">
        <v>0</v>
      </c>
      <c r="J170">
        <v>9</v>
      </c>
      <c r="K170">
        <v>8</v>
      </c>
      <c r="L170">
        <v>1</v>
      </c>
      <c r="M170">
        <v>8</v>
      </c>
      <c r="N170">
        <v>8</v>
      </c>
      <c r="O170">
        <v>0</v>
      </c>
      <c r="P170">
        <v>9</v>
      </c>
      <c r="Q170">
        <v>7</v>
      </c>
      <c r="R170">
        <v>2</v>
      </c>
      <c r="S170">
        <v>8</v>
      </c>
      <c r="T170">
        <v>8</v>
      </c>
      <c r="U170">
        <v>0</v>
      </c>
      <c r="V170">
        <v>8</v>
      </c>
      <c r="W170">
        <v>7</v>
      </c>
      <c r="X170">
        <v>1</v>
      </c>
      <c r="Y170">
        <v>7</v>
      </c>
      <c r="Z170">
        <v>7</v>
      </c>
      <c r="AA170">
        <v>0</v>
      </c>
      <c r="AB170">
        <v>8</v>
      </c>
      <c r="AC170">
        <v>7</v>
      </c>
      <c r="AD170">
        <v>1</v>
      </c>
      <c r="AE170">
        <v>7</v>
      </c>
      <c r="AF170">
        <v>8</v>
      </c>
      <c r="AG170">
        <v>-1</v>
      </c>
      <c r="AH170">
        <v>9</v>
      </c>
      <c r="AI170">
        <v>8</v>
      </c>
      <c r="AJ170">
        <v>1</v>
      </c>
      <c r="AK170" t="s">
        <v>1756</v>
      </c>
      <c r="AL170" t="s">
        <v>1757</v>
      </c>
      <c r="AM170" t="s">
        <v>1758</v>
      </c>
      <c r="AN170" t="s">
        <v>1759</v>
      </c>
      <c r="AO170" t="s">
        <v>1760</v>
      </c>
      <c r="AP170" t="s">
        <v>1761</v>
      </c>
      <c r="AQ170" t="s">
        <v>1762</v>
      </c>
      <c r="AR170" t="s">
        <v>1763</v>
      </c>
      <c r="AS170" t="s">
        <v>1764</v>
      </c>
    </row>
    <row r="171" spans="1:45" x14ac:dyDescent="0.45">
      <c r="A171">
        <v>170</v>
      </c>
      <c r="B171">
        <v>2160</v>
      </c>
      <c r="C171" t="s">
        <v>78</v>
      </c>
      <c r="D171" t="s">
        <v>81</v>
      </c>
      <c r="E171" t="s">
        <v>74</v>
      </c>
      <c r="F171" t="s">
        <v>77</v>
      </c>
      <c r="G171" t="s">
        <v>162</v>
      </c>
      <c r="H171">
        <v>14.7876944821538</v>
      </c>
      <c r="I171">
        <v>0</v>
      </c>
      <c r="J171">
        <v>7</v>
      </c>
      <c r="K171">
        <v>5</v>
      </c>
      <c r="L171">
        <v>2</v>
      </c>
      <c r="M171">
        <v>7</v>
      </c>
      <c r="N171">
        <v>8</v>
      </c>
      <c r="O171">
        <v>-1</v>
      </c>
      <c r="P171">
        <v>9</v>
      </c>
      <c r="Q171">
        <v>7</v>
      </c>
      <c r="R171">
        <v>2</v>
      </c>
      <c r="S171">
        <v>10</v>
      </c>
      <c r="T171">
        <v>8</v>
      </c>
      <c r="U171">
        <v>2</v>
      </c>
      <c r="V171">
        <v>8</v>
      </c>
      <c r="W171">
        <v>1</v>
      </c>
      <c r="X171">
        <v>7</v>
      </c>
      <c r="Y171">
        <v>9</v>
      </c>
      <c r="Z171">
        <v>2</v>
      </c>
      <c r="AA171">
        <v>7</v>
      </c>
      <c r="AB171">
        <v>8</v>
      </c>
      <c r="AC171">
        <v>3</v>
      </c>
      <c r="AD171">
        <v>5</v>
      </c>
      <c r="AE171">
        <v>7</v>
      </c>
      <c r="AF171">
        <v>3</v>
      </c>
      <c r="AG171">
        <v>4</v>
      </c>
      <c r="AH171">
        <v>9</v>
      </c>
      <c r="AI171">
        <v>7</v>
      </c>
      <c r="AJ171">
        <v>2</v>
      </c>
      <c r="AK171" t="s">
        <v>1765</v>
      </c>
      <c r="AL171" t="s">
        <v>1766</v>
      </c>
      <c r="AM171" t="s">
        <v>1767</v>
      </c>
      <c r="AN171" t="s">
        <v>1768</v>
      </c>
      <c r="AO171" t="s">
        <v>1769</v>
      </c>
      <c r="AP171" t="s">
        <v>1770</v>
      </c>
      <c r="AQ171" t="s">
        <v>1771</v>
      </c>
      <c r="AR171" t="s">
        <v>1772</v>
      </c>
      <c r="AS171" t="s">
        <v>1773</v>
      </c>
    </row>
    <row r="172" spans="1:45" x14ac:dyDescent="0.45">
      <c r="A172">
        <v>171</v>
      </c>
      <c r="B172">
        <v>2161</v>
      </c>
      <c r="C172" t="s">
        <v>78</v>
      </c>
      <c r="D172" t="s">
        <v>189</v>
      </c>
      <c r="E172" t="s">
        <v>74</v>
      </c>
      <c r="F172" t="s">
        <v>77</v>
      </c>
      <c r="G172" t="s">
        <v>76</v>
      </c>
      <c r="H172">
        <v>12</v>
      </c>
      <c r="I172">
        <v>0</v>
      </c>
      <c r="J172">
        <v>9</v>
      </c>
      <c r="K172">
        <v>6</v>
      </c>
      <c r="L172">
        <v>3</v>
      </c>
      <c r="M172">
        <v>8</v>
      </c>
      <c r="N172">
        <v>7</v>
      </c>
      <c r="O172">
        <v>1</v>
      </c>
      <c r="P172">
        <v>9</v>
      </c>
      <c r="Q172">
        <v>5</v>
      </c>
      <c r="R172">
        <v>4</v>
      </c>
      <c r="S172">
        <v>8</v>
      </c>
      <c r="T172">
        <v>7</v>
      </c>
      <c r="U172">
        <v>1</v>
      </c>
      <c r="V172">
        <v>9</v>
      </c>
      <c r="W172">
        <v>7</v>
      </c>
      <c r="X172">
        <v>2</v>
      </c>
      <c r="Y172">
        <v>8</v>
      </c>
      <c r="Z172">
        <v>7</v>
      </c>
      <c r="AA172">
        <v>1</v>
      </c>
      <c r="AB172">
        <v>9</v>
      </c>
      <c r="AC172">
        <v>5</v>
      </c>
      <c r="AD172">
        <v>4</v>
      </c>
      <c r="AE172">
        <v>8</v>
      </c>
      <c r="AF172">
        <v>7</v>
      </c>
      <c r="AG172">
        <v>1</v>
      </c>
      <c r="AH172">
        <v>9</v>
      </c>
      <c r="AI172">
        <v>7</v>
      </c>
      <c r="AJ172">
        <v>2</v>
      </c>
      <c r="AK172" t="s">
        <v>1774</v>
      </c>
      <c r="AL172" t="s">
        <v>1775</v>
      </c>
      <c r="AM172" t="s">
        <v>1776</v>
      </c>
      <c r="AN172" t="s">
        <v>1777</v>
      </c>
      <c r="AO172" t="s">
        <v>1778</v>
      </c>
      <c r="AP172" t="s">
        <v>1779</v>
      </c>
      <c r="AQ172" t="s">
        <v>1780</v>
      </c>
      <c r="AR172" t="s">
        <v>1781</v>
      </c>
      <c r="AS172" t="s">
        <v>1782</v>
      </c>
    </row>
    <row r="173" spans="1:45" x14ac:dyDescent="0.45">
      <c r="A173">
        <v>172</v>
      </c>
      <c r="B173">
        <v>2162</v>
      </c>
      <c r="C173" t="s">
        <v>78</v>
      </c>
      <c r="D173" t="s">
        <v>191</v>
      </c>
      <c r="E173" t="s">
        <v>74</v>
      </c>
      <c r="F173" t="s">
        <v>75</v>
      </c>
      <c r="G173" t="s">
        <v>76</v>
      </c>
      <c r="H173">
        <v>158.49332291542495</v>
      </c>
      <c r="I173">
        <v>4</v>
      </c>
      <c r="J173">
        <v>7</v>
      </c>
      <c r="K173">
        <v>8</v>
      </c>
      <c r="L173">
        <v>-1</v>
      </c>
      <c r="M173">
        <v>8</v>
      </c>
      <c r="N173">
        <v>8</v>
      </c>
      <c r="O173">
        <v>0</v>
      </c>
      <c r="P173">
        <v>7</v>
      </c>
      <c r="Q173">
        <v>8</v>
      </c>
      <c r="R173">
        <v>-1</v>
      </c>
      <c r="S173">
        <v>9</v>
      </c>
      <c r="T173">
        <v>9</v>
      </c>
      <c r="U173">
        <v>0</v>
      </c>
      <c r="V173">
        <v>8</v>
      </c>
      <c r="W173">
        <v>9</v>
      </c>
      <c r="X173">
        <v>-1</v>
      </c>
      <c r="Y173">
        <v>7</v>
      </c>
      <c r="Z173">
        <v>5</v>
      </c>
      <c r="AA173">
        <v>2</v>
      </c>
      <c r="AB173">
        <v>8</v>
      </c>
      <c r="AC173">
        <v>5</v>
      </c>
      <c r="AD173">
        <v>3</v>
      </c>
      <c r="AE173">
        <v>6</v>
      </c>
      <c r="AF173">
        <v>8</v>
      </c>
      <c r="AG173">
        <v>-2</v>
      </c>
      <c r="AH173">
        <v>8</v>
      </c>
      <c r="AI173">
        <v>6</v>
      </c>
      <c r="AJ173">
        <v>2</v>
      </c>
      <c r="AK173" t="s">
        <v>1783</v>
      </c>
      <c r="AL173" t="s">
        <v>1784</v>
      </c>
      <c r="AM173" t="s">
        <v>1785</v>
      </c>
      <c r="AN173" t="s">
        <v>1786</v>
      </c>
      <c r="AO173" t="s">
        <v>1787</v>
      </c>
      <c r="AP173" t="s">
        <v>1788</v>
      </c>
      <c r="AQ173" t="s">
        <v>1789</v>
      </c>
      <c r="AR173" t="s">
        <v>1790</v>
      </c>
      <c r="AS173" t="s">
        <v>1791</v>
      </c>
    </row>
    <row r="174" spans="1:45" x14ac:dyDescent="0.45">
      <c r="A174">
        <v>173</v>
      </c>
      <c r="B174">
        <v>2163</v>
      </c>
      <c r="C174" t="s">
        <v>72</v>
      </c>
      <c r="D174" t="s">
        <v>79</v>
      </c>
      <c r="E174" t="s">
        <v>74</v>
      </c>
      <c r="F174" t="s">
        <v>77</v>
      </c>
      <c r="G174" t="s">
        <v>76</v>
      </c>
      <c r="H174">
        <v>94.736136471286372</v>
      </c>
      <c r="I174">
        <v>3</v>
      </c>
      <c r="J174">
        <v>7</v>
      </c>
      <c r="K174">
        <v>5</v>
      </c>
      <c r="L174">
        <v>2</v>
      </c>
      <c r="M174">
        <v>8</v>
      </c>
      <c r="N174">
        <v>5</v>
      </c>
      <c r="O174">
        <v>3</v>
      </c>
      <c r="P174">
        <v>9</v>
      </c>
      <c r="Q174">
        <v>4</v>
      </c>
      <c r="R174">
        <v>5</v>
      </c>
      <c r="S174">
        <v>9</v>
      </c>
      <c r="T174">
        <v>6</v>
      </c>
      <c r="U174">
        <v>3</v>
      </c>
      <c r="V174">
        <v>8</v>
      </c>
      <c r="W174">
        <v>5</v>
      </c>
      <c r="X174">
        <v>3</v>
      </c>
      <c r="Y174">
        <v>9</v>
      </c>
      <c r="Z174">
        <v>4</v>
      </c>
      <c r="AA174">
        <v>5</v>
      </c>
      <c r="AB174">
        <v>8</v>
      </c>
      <c r="AC174">
        <v>4</v>
      </c>
      <c r="AD174">
        <v>4</v>
      </c>
      <c r="AE174">
        <v>7</v>
      </c>
      <c r="AF174">
        <v>5</v>
      </c>
      <c r="AG174">
        <v>2</v>
      </c>
      <c r="AH174">
        <v>9</v>
      </c>
      <c r="AI174">
        <v>5</v>
      </c>
      <c r="AJ174">
        <v>4</v>
      </c>
      <c r="AK174" t="s">
        <v>1792</v>
      </c>
      <c r="AL174" t="s">
        <v>1793</v>
      </c>
      <c r="AM174" t="s">
        <v>1794</v>
      </c>
      <c r="AN174" t="s">
        <v>1795</v>
      </c>
      <c r="AO174" t="s">
        <v>1796</v>
      </c>
      <c r="AP174" t="s">
        <v>1797</v>
      </c>
      <c r="AQ174" t="s">
        <v>1798</v>
      </c>
      <c r="AR174" t="s">
        <v>265</v>
      </c>
      <c r="AS174" t="s">
        <v>1799</v>
      </c>
    </row>
    <row r="175" spans="1:45" x14ac:dyDescent="0.45">
      <c r="A175">
        <v>174</v>
      </c>
      <c r="B175">
        <v>2164</v>
      </c>
      <c r="C175" t="s">
        <v>72</v>
      </c>
      <c r="D175" t="s">
        <v>81</v>
      </c>
      <c r="E175" t="s">
        <v>74</v>
      </c>
      <c r="F175" t="s">
        <v>77</v>
      </c>
      <c r="G175" t="s">
        <v>76</v>
      </c>
      <c r="H175">
        <v>37.205813411436509</v>
      </c>
      <c r="I175">
        <v>1</v>
      </c>
      <c r="J175">
        <v>7</v>
      </c>
      <c r="K175">
        <v>6</v>
      </c>
      <c r="L175">
        <v>1</v>
      </c>
      <c r="M175">
        <v>8</v>
      </c>
      <c r="N175">
        <v>6</v>
      </c>
      <c r="O175">
        <v>2</v>
      </c>
      <c r="P175">
        <v>6</v>
      </c>
      <c r="Q175">
        <v>6</v>
      </c>
      <c r="R175">
        <v>0</v>
      </c>
      <c r="S175">
        <v>9</v>
      </c>
      <c r="T175">
        <v>6</v>
      </c>
      <c r="U175">
        <v>3</v>
      </c>
      <c r="V175">
        <v>7</v>
      </c>
      <c r="W175">
        <v>7</v>
      </c>
      <c r="X175">
        <v>0</v>
      </c>
      <c r="Y175">
        <v>9</v>
      </c>
      <c r="Z175">
        <v>7</v>
      </c>
      <c r="AA175">
        <v>2</v>
      </c>
      <c r="AB175">
        <v>8</v>
      </c>
      <c r="AC175">
        <v>5</v>
      </c>
      <c r="AD175">
        <v>3</v>
      </c>
      <c r="AE175">
        <v>7</v>
      </c>
      <c r="AF175">
        <v>7</v>
      </c>
      <c r="AG175">
        <v>0</v>
      </c>
      <c r="AH175">
        <v>9</v>
      </c>
      <c r="AI175">
        <v>6</v>
      </c>
      <c r="AJ175">
        <v>3</v>
      </c>
      <c r="AK175" t="s">
        <v>1800</v>
      </c>
      <c r="AL175" t="s">
        <v>1801</v>
      </c>
      <c r="AM175" t="s">
        <v>1802</v>
      </c>
      <c r="AN175" t="s">
        <v>1803</v>
      </c>
      <c r="AO175" t="s">
        <v>1804</v>
      </c>
      <c r="AP175" t="s">
        <v>1805</v>
      </c>
      <c r="AQ175" t="s">
        <v>1806</v>
      </c>
      <c r="AR175" t="s">
        <v>1807</v>
      </c>
      <c r="AS175" t="s">
        <v>1808</v>
      </c>
    </row>
    <row r="176" spans="1:45" x14ac:dyDescent="0.45">
      <c r="A176">
        <v>175</v>
      </c>
      <c r="B176">
        <v>2165</v>
      </c>
      <c r="C176" t="s">
        <v>72</v>
      </c>
      <c r="D176" t="s">
        <v>191</v>
      </c>
      <c r="E176" t="s">
        <v>74</v>
      </c>
      <c r="F176" t="s">
        <v>75</v>
      </c>
      <c r="G176" t="s">
        <v>76</v>
      </c>
      <c r="H176">
        <v>222.43464984005288</v>
      </c>
      <c r="I176">
        <v>3</v>
      </c>
      <c r="J176">
        <v>8</v>
      </c>
      <c r="K176">
        <v>4</v>
      </c>
      <c r="L176">
        <v>4</v>
      </c>
      <c r="M176">
        <v>9</v>
      </c>
      <c r="N176">
        <v>5</v>
      </c>
      <c r="O176">
        <v>4</v>
      </c>
      <c r="P176">
        <v>8</v>
      </c>
      <c r="Q176">
        <v>4</v>
      </c>
      <c r="R176">
        <v>4</v>
      </c>
      <c r="S176">
        <v>9</v>
      </c>
      <c r="T176">
        <v>6</v>
      </c>
      <c r="U176">
        <v>3</v>
      </c>
      <c r="V176">
        <v>8</v>
      </c>
      <c r="W176">
        <v>4</v>
      </c>
      <c r="X176">
        <v>4</v>
      </c>
      <c r="Y176">
        <v>9</v>
      </c>
      <c r="Z176">
        <v>4</v>
      </c>
      <c r="AA176">
        <v>5</v>
      </c>
      <c r="AB176">
        <v>8</v>
      </c>
      <c r="AC176">
        <v>4</v>
      </c>
      <c r="AD176">
        <v>4</v>
      </c>
      <c r="AE176">
        <v>9</v>
      </c>
      <c r="AF176">
        <v>5</v>
      </c>
      <c r="AG176">
        <v>4</v>
      </c>
      <c r="AH176">
        <v>10</v>
      </c>
      <c r="AI176">
        <v>4</v>
      </c>
      <c r="AJ176">
        <v>6</v>
      </c>
      <c r="AK176" t="s">
        <v>1809</v>
      </c>
      <c r="AL176" t="s">
        <v>1810</v>
      </c>
      <c r="AM176" t="s">
        <v>1811</v>
      </c>
      <c r="AN176" t="s">
        <v>1812</v>
      </c>
      <c r="AO176" t="s">
        <v>1813</v>
      </c>
      <c r="AP176" t="s">
        <v>1814</v>
      </c>
      <c r="AQ176" t="s">
        <v>1815</v>
      </c>
      <c r="AR176" t="s">
        <v>1816</v>
      </c>
      <c r="AS176" t="s">
        <v>1817</v>
      </c>
    </row>
    <row r="177" spans="1:45" x14ac:dyDescent="0.45">
      <c r="A177">
        <v>176</v>
      </c>
      <c r="B177">
        <v>2166</v>
      </c>
      <c r="C177" t="s">
        <v>72</v>
      </c>
      <c r="D177" t="s">
        <v>193</v>
      </c>
      <c r="E177" t="s">
        <v>80</v>
      </c>
      <c r="F177" t="s">
        <v>75</v>
      </c>
      <c r="G177" t="s">
        <v>76</v>
      </c>
      <c r="H177">
        <v>147.16493116898454</v>
      </c>
      <c r="I177">
        <v>0</v>
      </c>
      <c r="J177">
        <v>6</v>
      </c>
      <c r="K177">
        <v>2</v>
      </c>
      <c r="L177">
        <v>4</v>
      </c>
      <c r="M177">
        <v>5</v>
      </c>
      <c r="N177">
        <v>4</v>
      </c>
      <c r="O177">
        <v>1</v>
      </c>
      <c r="P177">
        <v>8</v>
      </c>
      <c r="Q177">
        <v>3</v>
      </c>
      <c r="R177">
        <v>5</v>
      </c>
      <c r="S177">
        <v>7</v>
      </c>
      <c r="T177">
        <v>5</v>
      </c>
      <c r="U177">
        <v>2</v>
      </c>
      <c r="V177">
        <v>9</v>
      </c>
      <c r="W177">
        <v>4</v>
      </c>
      <c r="X177">
        <v>5</v>
      </c>
      <c r="Y177">
        <v>8</v>
      </c>
      <c r="Z177">
        <v>1</v>
      </c>
      <c r="AA177">
        <v>7</v>
      </c>
      <c r="AB177">
        <v>9</v>
      </c>
      <c r="AC177">
        <v>1</v>
      </c>
      <c r="AD177">
        <v>8</v>
      </c>
      <c r="AE177">
        <v>7</v>
      </c>
      <c r="AF177">
        <v>4</v>
      </c>
      <c r="AG177">
        <v>3</v>
      </c>
      <c r="AH177">
        <v>9</v>
      </c>
      <c r="AI177">
        <v>4</v>
      </c>
      <c r="AJ177">
        <v>5</v>
      </c>
      <c r="AK177" t="s">
        <v>1818</v>
      </c>
      <c r="AL177" t="s">
        <v>1819</v>
      </c>
      <c r="AM177" t="s">
        <v>1820</v>
      </c>
      <c r="AN177" t="s">
        <v>1821</v>
      </c>
      <c r="AO177" t="s">
        <v>1822</v>
      </c>
      <c r="AP177" t="s">
        <v>1823</v>
      </c>
      <c r="AQ177" t="s">
        <v>1824</v>
      </c>
      <c r="AR177" t="s">
        <v>1825</v>
      </c>
      <c r="AS177" t="s">
        <v>1826</v>
      </c>
    </row>
    <row r="178" spans="1:45" x14ac:dyDescent="0.45">
      <c r="A178">
        <v>177</v>
      </c>
      <c r="B178">
        <v>2167</v>
      </c>
      <c r="C178" t="s">
        <v>72</v>
      </c>
      <c r="D178" t="s">
        <v>191</v>
      </c>
      <c r="E178" t="s">
        <v>74</v>
      </c>
      <c r="F178" t="s">
        <v>75</v>
      </c>
      <c r="G178" t="s">
        <v>76</v>
      </c>
      <c r="H178">
        <v>96.316411587907751</v>
      </c>
      <c r="I178">
        <v>2</v>
      </c>
      <c r="J178">
        <v>6</v>
      </c>
      <c r="K178">
        <v>4</v>
      </c>
      <c r="L178">
        <v>2</v>
      </c>
      <c r="M178">
        <v>7</v>
      </c>
      <c r="N178">
        <v>4</v>
      </c>
      <c r="O178">
        <v>3</v>
      </c>
      <c r="P178">
        <v>8</v>
      </c>
      <c r="Q178">
        <v>3</v>
      </c>
      <c r="R178">
        <v>5</v>
      </c>
      <c r="S178">
        <v>9</v>
      </c>
      <c r="T178">
        <v>5</v>
      </c>
      <c r="U178">
        <v>4</v>
      </c>
      <c r="V178">
        <v>7</v>
      </c>
      <c r="W178">
        <v>3</v>
      </c>
      <c r="X178">
        <v>4</v>
      </c>
      <c r="Y178">
        <v>9</v>
      </c>
      <c r="Z178">
        <v>2</v>
      </c>
      <c r="AA178">
        <v>7</v>
      </c>
      <c r="AB178">
        <v>8</v>
      </c>
      <c r="AC178">
        <v>1</v>
      </c>
      <c r="AD178">
        <v>7</v>
      </c>
      <c r="AE178">
        <v>9</v>
      </c>
      <c r="AF178">
        <v>1</v>
      </c>
      <c r="AG178">
        <v>8</v>
      </c>
      <c r="AH178">
        <v>8</v>
      </c>
      <c r="AI178">
        <v>1</v>
      </c>
      <c r="AJ178">
        <v>7</v>
      </c>
      <c r="AK178" t="s">
        <v>1827</v>
      </c>
      <c r="AL178" t="s">
        <v>1828</v>
      </c>
      <c r="AM178" t="s">
        <v>1829</v>
      </c>
      <c r="AN178" t="s">
        <v>1830</v>
      </c>
      <c r="AO178" t="s">
        <v>1831</v>
      </c>
      <c r="AP178" t="s">
        <v>1832</v>
      </c>
      <c r="AQ178" t="s">
        <v>1833</v>
      </c>
      <c r="AR178" t="s">
        <v>1834</v>
      </c>
      <c r="AS178" t="s">
        <v>1835</v>
      </c>
    </row>
    <row r="179" spans="1:45" x14ac:dyDescent="0.45">
      <c r="A179">
        <v>178</v>
      </c>
      <c r="B179">
        <v>2168</v>
      </c>
      <c r="C179" t="s">
        <v>72</v>
      </c>
      <c r="D179" t="s">
        <v>193</v>
      </c>
      <c r="E179" t="s">
        <v>74</v>
      </c>
      <c r="F179" t="s">
        <v>77</v>
      </c>
      <c r="G179" t="s">
        <v>76</v>
      </c>
      <c r="H179">
        <v>39.72833427515674</v>
      </c>
      <c r="I179">
        <v>4</v>
      </c>
      <c r="J179">
        <v>6</v>
      </c>
      <c r="K179">
        <v>6</v>
      </c>
      <c r="L179">
        <v>0</v>
      </c>
      <c r="M179">
        <v>7</v>
      </c>
      <c r="N179">
        <v>7</v>
      </c>
      <c r="O179">
        <v>0</v>
      </c>
      <c r="P179">
        <v>9</v>
      </c>
      <c r="Q179">
        <v>6</v>
      </c>
      <c r="R179">
        <v>3</v>
      </c>
      <c r="S179">
        <v>8</v>
      </c>
      <c r="T179">
        <v>6</v>
      </c>
      <c r="U179">
        <v>2</v>
      </c>
      <c r="V179">
        <v>9</v>
      </c>
      <c r="W179">
        <v>6</v>
      </c>
      <c r="X179">
        <v>3</v>
      </c>
      <c r="Y179">
        <v>9</v>
      </c>
      <c r="Z179">
        <v>7</v>
      </c>
      <c r="AA179">
        <v>2</v>
      </c>
      <c r="AB179">
        <v>8</v>
      </c>
      <c r="AC179">
        <v>5</v>
      </c>
      <c r="AD179">
        <v>3</v>
      </c>
      <c r="AE179">
        <v>9</v>
      </c>
      <c r="AF179">
        <v>6</v>
      </c>
      <c r="AG179">
        <v>3</v>
      </c>
      <c r="AH179">
        <v>8</v>
      </c>
      <c r="AI179">
        <v>7</v>
      </c>
      <c r="AJ179">
        <v>1</v>
      </c>
      <c r="AK179" t="s">
        <v>1836</v>
      </c>
      <c r="AL179" t="s">
        <v>1837</v>
      </c>
      <c r="AM179" t="s">
        <v>1838</v>
      </c>
      <c r="AN179" t="s">
        <v>1839</v>
      </c>
      <c r="AO179" t="s">
        <v>1840</v>
      </c>
      <c r="AP179" t="s">
        <v>1841</v>
      </c>
      <c r="AQ179" t="s">
        <v>1842</v>
      </c>
      <c r="AR179" t="s">
        <v>1843</v>
      </c>
      <c r="AS179" t="s">
        <v>1844</v>
      </c>
    </row>
    <row r="180" spans="1:45" x14ac:dyDescent="0.45">
      <c r="A180">
        <v>179</v>
      </c>
      <c r="B180">
        <v>2169</v>
      </c>
      <c r="C180" t="s">
        <v>72</v>
      </c>
      <c r="D180" t="s">
        <v>73</v>
      </c>
      <c r="E180" t="s">
        <v>74</v>
      </c>
      <c r="F180" t="s">
        <v>75</v>
      </c>
      <c r="G180" t="s">
        <v>76</v>
      </c>
      <c r="H180">
        <v>29.587478458911249</v>
      </c>
      <c r="I180">
        <v>1</v>
      </c>
      <c r="J180">
        <v>7</v>
      </c>
      <c r="K180">
        <v>7</v>
      </c>
      <c r="L180">
        <v>0</v>
      </c>
      <c r="M180">
        <v>6</v>
      </c>
      <c r="N180">
        <v>7</v>
      </c>
      <c r="O180">
        <v>-1</v>
      </c>
      <c r="P180">
        <v>9</v>
      </c>
      <c r="Q180">
        <v>7</v>
      </c>
      <c r="R180">
        <v>2</v>
      </c>
      <c r="S180">
        <v>8</v>
      </c>
      <c r="T180">
        <v>8</v>
      </c>
      <c r="U180">
        <v>0</v>
      </c>
      <c r="V180">
        <v>6</v>
      </c>
      <c r="W180">
        <v>7</v>
      </c>
      <c r="X180">
        <v>-1</v>
      </c>
      <c r="Y180">
        <v>8</v>
      </c>
      <c r="Z180">
        <v>8</v>
      </c>
      <c r="AA180">
        <v>0</v>
      </c>
      <c r="AB180">
        <v>7</v>
      </c>
      <c r="AC180">
        <v>7</v>
      </c>
      <c r="AD180">
        <v>0</v>
      </c>
      <c r="AE180">
        <v>5</v>
      </c>
      <c r="AF180">
        <v>7</v>
      </c>
      <c r="AG180">
        <v>-2</v>
      </c>
      <c r="AH180">
        <v>9</v>
      </c>
      <c r="AI180">
        <v>8</v>
      </c>
      <c r="AJ180">
        <v>1</v>
      </c>
      <c r="AK180" t="s">
        <v>1845</v>
      </c>
      <c r="AL180" t="s">
        <v>1846</v>
      </c>
      <c r="AM180" t="s">
        <v>1847</v>
      </c>
      <c r="AN180" t="s">
        <v>1848</v>
      </c>
      <c r="AO180" t="s">
        <v>1849</v>
      </c>
      <c r="AP180" t="s">
        <v>1850</v>
      </c>
      <c r="AQ180" t="s">
        <v>1851</v>
      </c>
      <c r="AR180" t="s">
        <v>1852</v>
      </c>
      <c r="AS180" t="s">
        <v>1853</v>
      </c>
    </row>
    <row r="181" spans="1:45" x14ac:dyDescent="0.45">
      <c r="A181">
        <v>180</v>
      </c>
      <c r="B181">
        <v>2170</v>
      </c>
      <c r="C181" t="s">
        <v>72</v>
      </c>
      <c r="D181" t="s">
        <v>79</v>
      </c>
      <c r="E181" t="s">
        <v>74</v>
      </c>
      <c r="F181" t="s">
        <v>77</v>
      </c>
      <c r="G181" t="s">
        <v>76</v>
      </c>
      <c r="H181">
        <v>57.142928137015538</v>
      </c>
      <c r="I181">
        <v>1</v>
      </c>
      <c r="J181">
        <v>8</v>
      </c>
      <c r="K181">
        <v>5</v>
      </c>
      <c r="L181">
        <v>3</v>
      </c>
      <c r="M181">
        <v>9</v>
      </c>
      <c r="N181">
        <v>5</v>
      </c>
      <c r="O181">
        <v>4</v>
      </c>
      <c r="P181">
        <v>7</v>
      </c>
      <c r="Q181">
        <v>5</v>
      </c>
      <c r="R181">
        <v>2</v>
      </c>
      <c r="S181">
        <v>9</v>
      </c>
      <c r="T181">
        <v>7</v>
      </c>
      <c r="U181">
        <v>2</v>
      </c>
      <c r="V181">
        <v>8</v>
      </c>
      <c r="W181">
        <v>5</v>
      </c>
      <c r="X181">
        <v>3</v>
      </c>
      <c r="Y181">
        <v>9</v>
      </c>
      <c r="Z181">
        <v>6</v>
      </c>
      <c r="AA181">
        <v>3</v>
      </c>
      <c r="AB181">
        <v>8</v>
      </c>
      <c r="AC181">
        <v>5</v>
      </c>
      <c r="AD181">
        <v>3</v>
      </c>
      <c r="AE181">
        <v>9</v>
      </c>
      <c r="AF181">
        <v>7</v>
      </c>
      <c r="AG181">
        <v>2</v>
      </c>
      <c r="AH181">
        <v>9</v>
      </c>
      <c r="AI181">
        <v>7</v>
      </c>
      <c r="AJ181">
        <v>2</v>
      </c>
      <c r="AK181" t="s">
        <v>1854</v>
      </c>
      <c r="AL181" t="s">
        <v>1855</v>
      </c>
      <c r="AM181" t="s">
        <v>1856</v>
      </c>
      <c r="AN181" t="s">
        <v>1857</v>
      </c>
      <c r="AO181" t="s">
        <v>1858</v>
      </c>
      <c r="AP181" t="s">
        <v>1859</v>
      </c>
      <c r="AQ181" t="s">
        <v>1860</v>
      </c>
      <c r="AR181" t="s">
        <v>1861</v>
      </c>
      <c r="AS181" t="s">
        <v>1862</v>
      </c>
    </row>
    <row r="182" spans="1:45" x14ac:dyDescent="0.45">
      <c r="A182">
        <v>181</v>
      </c>
      <c r="B182">
        <v>2171</v>
      </c>
      <c r="C182" t="s">
        <v>72</v>
      </c>
      <c r="D182" t="s">
        <v>73</v>
      </c>
      <c r="E182" t="s">
        <v>74</v>
      </c>
      <c r="F182" t="s">
        <v>75</v>
      </c>
      <c r="G182" t="s">
        <v>76</v>
      </c>
      <c r="H182">
        <v>59.561958120153506</v>
      </c>
      <c r="I182">
        <v>2</v>
      </c>
      <c r="J182">
        <v>9</v>
      </c>
      <c r="K182">
        <v>6</v>
      </c>
      <c r="L182">
        <v>3</v>
      </c>
      <c r="M182">
        <v>8</v>
      </c>
      <c r="N182">
        <v>7</v>
      </c>
      <c r="O182">
        <v>1</v>
      </c>
      <c r="P182">
        <v>9</v>
      </c>
      <c r="Q182">
        <v>7</v>
      </c>
      <c r="R182">
        <v>2</v>
      </c>
      <c r="S182">
        <v>8</v>
      </c>
      <c r="T182">
        <v>8</v>
      </c>
      <c r="U182">
        <v>0</v>
      </c>
      <c r="V182">
        <v>9</v>
      </c>
      <c r="W182">
        <v>8</v>
      </c>
      <c r="X182">
        <v>1</v>
      </c>
      <c r="Y182">
        <v>8</v>
      </c>
      <c r="Z182">
        <v>7</v>
      </c>
      <c r="AA182">
        <v>1</v>
      </c>
      <c r="AB182">
        <v>9</v>
      </c>
      <c r="AC182">
        <v>5</v>
      </c>
      <c r="AD182">
        <v>4</v>
      </c>
      <c r="AE182">
        <v>8</v>
      </c>
      <c r="AF182">
        <v>7</v>
      </c>
      <c r="AG182">
        <v>1</v>
      </c>
      <c r="AH182">
        <v>9</v>
      </c>
      <c r="AI182">
        <v>7</v>
      </c>
      <c r="AJ182">
        <v>2</v>
      </c>
      <c r="AK182" t="s">
        <v>1863</v>
      </c>
      <c r="AL182" t="s">
        <v>1864</v>
      </c>
      <c r="AM182" t="s">
        <v>1865</v>
      </c>
      <c r="AN182" t="s">
        <v>1866</v>
      </c>
      <c r="AO182" t="s">
        <v>1867</v>
      </c>
      <c r="AP182" t="s">
        <v>1868</v>
      </c>
      <c r="AQ182" t="s">
        <v>1869</v>
      </c>
      <c r="AR182" t="s">
        <v>1870</v>
      </c>
      <c r="AS182" t="s">
        <v>1871</v>
      </c>
    </row>
    <row r="183" spans="1:45" x14ac:dyDescent="0.45">
      <c r="A183">
        <v>182</v>
      </c>
      <c r="B183">
        <v>2172</v>
      </c>
      <c r="C183" t="s">
        <v>72</v>
      </c>
      <c r="D183" t="s">
        <v>81</v>
      </c>
      <c r="E183" t="s">
        <v>74</v>
      </c>
      <c r="F183" t="s">
        <v>77</v>
      </c>
      <c r="G183" t="s">
        <v>76</v>
      </c>
      <c r="H183">
        <v>26.225603420690188</v>
      </c>
      <c r="I183">
        <v>0</v>
      </c>
      <c r="J183">
        <v>7</v>
      </c>
      <c r="K183">
        <v>8</v>
      </c>
      <c r="L183">
        <v>-1</v>
      </c>
      <c r="M183">
        <v>6</v>
      </c>
      <c r="N183">
        <v>8</v>
      </c>
      <c r="O183">
        <v>-2</v>
      </c>
      <c r="P183">
        <v>8</v>
      </c>
      <c r="Q183">
        <v>5</v>
      </c>
      <c r="R183">
        <v>3</v>
      </c>
      <c r="S183">
        <v>9</v>
      </c>
      <c r="T183">
        <v>8</v>
      </c>
      <c r="U183">
        <v>1</v>
      </c>
      <c r="V183">
        <v>7</v>
      </c>
      <c r="W183">
        <v>6</v>
      </c>
      <c r="X183">
        <v>1</v>
      </c>
      <c r="Y183">
        <v>9</v>
      </c>
      <c r="Z183">
        <v>8</v>
      </c>
      <c r="AA183">
        <v>1</v>
      </c>
      <c r="AB183">
        <v>7</v>
      </c>
      <c r="AC183">
        <v>6</v>
      </c>
      <c r="AD183">
        <v>1</v>
      </c>
      <c r="AE183">
        <v>8</v>
      </c>
      <c r="AF183">
        <v>7</v>
      </c>
      <c r="AG183">
        <v>1</v>
      </c>
      <c r="AH183">
        <v>9</v>
      </c>
      <c r="AI183">
        <v>7</v>
      </c>
      <c r="AJ183">
        <v>2</v>
      </c>
      <c r="AK183" t="s">
        <v>1872</v>
      </c>
      <c r="AL183" t="s">
        <v>1873</v>
      </c>
      <c r="AM183" t="s">
        <v>1874</v>
      </c>
      <c r="AN183" t="s">
        <v>1875</v>
      </c>
      <c r="AO183" t="s">
        <v>1876</v>
      </c>
      <c r="AP183" t="s">
        <v>1877</v>
      </c>
      <c r="AQ183" t="s">
        <v>1878</v>
      </c>
      <c r="AR183" t="s">
        <v>1879</v>
      </c>
      <c r="AS183" t="s">
        <v>1880</v>
      </c>
    </row>
    <row r="184" spans="1:45" x14ac:dyDescent="0.45">
      <c r="A184">
        <v>183</v>
      </c>
      <c r="B184">
        <v>2173</v>
      </c>
      <c r="C184" t="s">
        <v>78</v>
      </c>
      <c r="D184" t="s">
        <v>193</v>
      </c>
      <c r="E184" t="s">
        <v>74</v>
      </c>
      <c r="F184" t="s">
        <v>75</v>
      </c>
      <c r="G184" t="s">
        <v>76</v>
      </c>
      <c r="H184">
        <v>204.3397578818587</v>
      </c>
      <c r="I184">
        <v>3</v>
      </c>
      <c r="J184">
        <v>8</v>
      </c>
      <c r="K184">
        <v>2</v>
      </c>
      <c r="L184">
        <v>6</v>
      </c>
      <c r="M184">
        <v>9</v>
      </c>
      <c r="N184">
        <v>5</v>
      </c>
      <c r="O184">
        <v>4</v>
      </c>
      <c r="P184">
        <v>8</v>
      </c>
      <c r="Q184">
        <v>3</v>
      </c>
      <c r="R184">
        <v>5</v>
      </c>
      <c r="S184">
        <v>9</v>
      </c>
      <c r="T184">
        <v>5</v>
      </c>
      <c r="U184">
        <v>4</v>
      </c>
      <c r="V184">
        <v>8</v>
      </c>
      <c r="W184">
        <v>3</v>
      </c>
      <c r="X184">
        <v>5</v>
      </c>
      <c r="Y184">
        <v>9</v>
      </c>
      <c r="Z184">
        <v>2</v>
      </c>
      <c r="AA184">
        <v>7</v>
      </c>
      <c r="AB184">
        <v>8</v>
      </c>
      <c r="AC184">
        <v>1</v>
      </c>
      <c r="AD184">
        <v>7</v>
      </c>
      <c r="AE184">
        <v>9</v>
      </c>
      <c r="AF184">
        <v>5</v>
      </c>
      <c r="AG184">
        <v>4</v>
      </c>
      <c r="AH184">
        <v>8</v>
      </c>
      <c r="AI184">
        <v>5</v>
      </c>
      <c r="AJ184">
        <v>3</v>
      </c>
      <c r="AK184" t="s">
        <v>1881</v>
      </c>
      <c r="AL184" t="s">
        <v>1882</v>
      </c>
      <c r="AM184" t="s">
        <v>1883</v>
      </c>
      <c r="AN184" t="s">
        <v>1884</v>
      </c>
      <c r="AO184" t="s">
        <v>1885</v>
      </c>
      <c r="AP184" t="s">
        <v>1886</v>
      </c>
      <c r="AQ184" t="s">
        <v>1887</v>
      </c>
      <c r="AR184" t="s">
        <v>251</v>
      </c>
      <c r="AS184" t="s">
        <v>1888</v>
      </c>
    </row>
    <row r="185" spans="1:45" x14ac:dyDescent="0.45">
      <c r="A185">
        <v>184</v>
      </c>
      <c r="B185">
        <v>2174</v>
      </c>
      <c r="C185" t="s">
        <v>78</v>
      </c>
      <c r="D185" t="s">
        <v>189</v>
      </c>
      <c r="E185" t="s">
        <v>74</v>
      </c>
      <c r="F185" t="s">
        <v>77</v>
      </c>
      <c r="G185" t="s">
        <v>76</v>
      </c>
      <c r="H185">
        <v>16.660570317314338</v>
      </c>
      <c r="I185">
        <v>0</v>
      </c>
      <c r="J185">
        <v>9</v>
      </c>
      <c r="K185">
        <v>6</v>
      </c>
      <c r="L185">
        <v>3</v>
      </c>
      <c r="M185">
        <v>8</v>
      </c>
      <c r="N185">
        <v>6</v>
      </c>
      <c r="O185">
        <v>2</v>
      </c>
      <c r="P185">
        <v>9</v>
      </c>
      <c r="Q185">
        <v>5</v>
      </c>
      <c r="R185">
        <v>4</v>
      </c>
      <c r="S185">
        <v>8</v>
      </c>
      <c r="T185">
        <v>9</v>
      </c>
      <c r="U185">
        <v>-1</v>
      </c>
      <c r="V185">
        <v>9</v>
      </c>
      <c r="W185">
        <v>7</v>
      </c>
      <c r="X185">
        <v>2</v>
      </c>
      <c r="Y185">
        <v>8</v>
      </c>
      <c r="Z185">
        <v>8</v>
      </c>
      <c r="AA185">
        <v>0</v>
      </c>
      <c r="AB185">
        <v>9</v>
      </c>
      <c r="AC185">
        <v>5</v>
      </c>
      <c r="AD185">
        <v>4</v>
      </c>
      <c r="AE185">
        <v>8</v>
      </c>
      <c r="AF185">
        <v>7</v>
      </c>
      <c r="AG185">
        <v>1</v>
      </c>
      <c r="AH185">
        <v>9</v>
      </c>
      <c r="AI185">
        <v>7</v>
      </c>
      <c r="AJ185">
        <v>2</v>
      </c>
      <c r="AK185" t="s">
        <v>1889</v>
      </c>
      <c r="AL185" t="s">
        <v>1890</v>
      </c>
      <c r="AM185" t="s">
        <v>1891</v>
      </c>
      <c r="AN185" t="s">
        <v>1892</v>
      </c>
      <c r="AO185" t="s">
        <v>1893</v>
      </c>
      <c r="AP185" t="s">
        <v>1894</v>
      </c>
      <c r="AQ185" t="s">
        <v>1895</v>
      </c>
      <c r="AR185" t="s">
        <v>1896</v>
      </c>
      <c r="AS185" t="s">
        <v>1897</v>
      </c>
    </row>
    <row r="186" spans="1:45" x14ac:dyDescent="0.45">
      <c r="A186">
        <v>185</v>
      </c>
      <c r="B186">
        <v>2175</v>
      </c>
      <c r="C186" t="s">
        <v>72</v>
      </c>
      <c r="D186" t="s">
        <v>79</v>
      </c>
      <c r="E186" t="s">
        <v>80</v>
      </c>
      <c r="F186" t="s">
        <v>77</v>
      </c>
      <c r="G186" t="s">
        <v>162</v>
      </c>
      <c r="H186">
        <v>36.919691843798184</v>
      </c>
      <c r="I186">
        <v>3</v>
      </c>
      <c r="J186">
        <v>4</v>
      </c>
      <c r="K186">
        <v>7</v>
      </c>
      <c r="L186">
        <v>-3</v>
      </c>
      <c r="M186">
        <v>6</v>
      </c>
      <c r="N186">
        <v>7</v>
      </c>
      <c r="O186">
        <v>-1</v>
      </c>
      <c r="P186">
        <v>8</v>
      </c>
      <c r="Q186">
        <v>6</v>
      </c>
      <c r="R186">
        <v>2</v>
      </c>
      <c r="S186">
        <v>9</v>
      </c>
      <c r="T186">
        <v>8</v>
      </c>
      <c r="U186">
        <v>1</v>
      </c>
      <c r="V186">
        <v>8</v>
      </c>
      <c r="W186">
        <v>5</v>
      </c>
      <c r="X186">
        <v>3</v>
      </c>
      <c r="Y186">
        <v>9</v>
      </c>
      <c r="Z186">
        <v>5</v>
      </c>
      <c r="AA186">
        <v>4</v>
      </c>
      <c r="AB186">
        <v>8</v>
      </c>
      <c r="AC186">
        <v>5</v>
      </c>
      <c r="AD186">
        <v>3</v>
      </c>
      <c r="AE186">
        <v>7</v>
      </c>
      <c r="AF186">
        <v>6</v>
      </c>
      <c r="AG186">
        <v>1</v>
      </c>
      <c r="AH186">
        <v>9</v>
      </c>
      <c r="AI186">
        <v>5</v>
      </c>
      <c r="AJ186">
        <v>4</v>
      </c>
      <c r="AK186" t="s">
        <v>1898</v>
      </c>
      <c r="AL186" t="s">
        <v>1899</v>
      </c>
      <c r="AM186" t="s">
        <v>1900</v>
      </c>
      <c r="AN186" t="s">
        <v>1901</v>
      </c>
      <c r="AO186" t="s">
        <v>1902</v>
      </c>
      <c r="AP186" t="s">
        <v>1903</v>
      </c>
      <c r="AQ186" t="s">
        <v>1904</v>
      </c>
      <c r="AR186" t="s">
        <v>1905</v>
      </c>
      <c r="AS186" t="s">
        <v>1906</v>
      </c>
    </row>
    <row r="187" spans="1:45" x14ac:dyDescent="0.45">
      <c r="A187">
        <v>186</v>
      </c>
      <c r="B187">
        <v>2176</v>
      </c>
      <c r="C187" t="s">
        <v>72</v>
      </c>
      <c r="D187" t="s">
        <v>193</v>
      </c>
      <c r="E187" t="s">
        <v>74</v>
      </c>
      <c r="F187" t="s">
        <v>77</v>
      </c>
      <c r="G187" t="s">
        <v>162</v>
      </c>
      <c r="H187">
        <v>14.112681507246347</v>
      </c>
      <c r="I187">
        <v>0</v>
      </c>
      <c r="J187">
        <v>8</v>
      </c>
      <c r="K187">
        <v>7</v>
      </c>
      <c r="L187">
        <v>1</v>
      </c>
      <c r="M187">
        <v>7</v>
      </c>
      <c r="N187">
        <v>7</v>
      </c>
      <c r="O187">
        <v>0</v>
      </c>
      <c r="P187">
        <v>6</v>
      </c>
      <c r="Q187">
        <v>5</v>
      </c>
      <c r="R187">
        <v>1</v>
      </c>
      <c r="S187">
        <v>9</v>
      </c>
      <c r="T187">
        <v>7</v>
      </c>
      <c r="U187">
        <v>2</v>
      </c>
      <c r="V187">
        <v>7</v>
      </c>
      <c r="W187">
        <v>5</v>
      </c>
      <c r="X187">
        <v>2</v>
      </c>
      <c r="Y187">
        <v>8</v>
      </c>
      <c r="Z187">
        <v>5</v>
      </c>
      <c r="AA187">
        <v>3</v>
      </c>
      <c r="AB187">
        <v>7</v>
      </c>
      <c r="AC187">
        <v>5</v>
      </c>
      <c r="AD187">
        <v>2</v>
      </c>
      <c r="AE187">
        <v>6</v>
      </c>
      <c r="AF187">
        <v>5</v>
      </c>
      <c r="AG187">
        <v>1</v>
      </c>
      <c r="AH187">
        <v>9</v>
      </c>
      <c r="AI187">
        <v>6</v>
      </c>
      <c r="AJ187">
        <v>3</v>
      </c>
      <c r="AK187" t="s">
        <v>1907</v>
      </c>
      <c r="AL187" t="s">
        <v>1908</v>
      </c>
      <c r="AM187" t="s">
        <v>1909</v>
      </c>
      <c r="AN187" t="s">
        <v>1910</v>
      </c>
      <c r="AO187" t="s">
        <v>1911</v>
      </c>
      <c r="AP187" t="s">
        <v>1912</v>
      </c>
      <c r="AQ187" t="s">
        <v>1913</v>
      </c>
      <c r="AR187" t="s">
        <v>1914</v>
      </c>
      <c r="AS187" t="s">
        <v>1915</v>
      </c>
    </row>
    <row r="188" spans="1:45" x14ac:dyDescent="0.45">
      <c r="A188">
        <v>187</v>
      </c>
      <c r="B188">
        <v>2177</v>
      </c>
      <c r="C188" t="s">
        <v>78</v>
      </c>
      <c r="D188" t="s">
        <v>79</v>
      </c>
      <c r="E188" t="s">
        <v>74</v>
      </c>
      <c r="F188" t="s">
        <v>75</v>
      </c>
      <c r="G188" t="s">
        <v>76</v>
      </c>
      <c r="H188">
        <v>34.639962907137786</v>
      </c>
      <c r="I188">
        <v>2</v>
      </c>
      <c r="J188">
        <v>8</v>
      </c>
      <c r="K188">
        <v>6</v>
      </c>
      <c r="L188">
        <v>2</v>
      </c>
      <c r="M188">
        <v>7</v>
      </c>
      <c r="N188">
        <v>7</v>
      </c>
      <c r="O188">
        <v>0</v>
      </c>
      <c r="P188">
        <v>9</v>
      </c>
      <c r="Q188">
        <v>6</v>
      </c>
      <c r="R188">
        <v>3</v>
      </c>
      <c r="S188">
        <v>8</v>
      </c>
      <c r="T188">
        <v>7</v>
      </c>
      <c r="U188">
        <v>1</v>
      </c>
      <c r="V188">
        <v>9</v>
      </c>
      <c r="W188">
        <v>6</v>
      </c>
      <c r="X188">
        <v>3</v>
      </c>
      <c r="Y188">
        <v>9</v>
      </c>
      <c r="Z188">
        <v>6</v>
      </c>
      <c r="AA188">
        <v>3</v>
      </c>
      <c r="AB188">
        <v>8</v>
      </c>
      <c r="AC188">
        <v>5</v>
      </c>
      <c r="AD188">
        <v>3</v>
      </c>
      <c r="AE188">
        <v>7</v>
      </c>
      <c r="AF188">
        <v>5</v>
      </c>
      <c r="AG188">
        <v>2</v>
      </c>
      <c r="AH188">
        <v>9</v>
      </c>
      <c r="AI188">
        <v>6</v>
      </c>
      <c r="AJ188">
        <v>3</v>
      </c>
      <c r="AK188" t="s">
        <v>261</v>
      </c>
      <c r="AL188" t="s">
        <v>1916</v>
      </c>
      <c r="AM188" t="s">
        <v>1917</v>
      </c>
      <c r="AN188" t="s">
        <v>1918</v>
      </c>
      <c r="AO188" t="s">
        <v>1919</v>
      </c>
      <c r="AP188" t="s">
        <v>1920</v>
      </c>
      <c r="AQ188" t="s">
        <v>1921</v>
      </c>
      <c r="AR188" t="s">
        <v>1922</v>
      </c>
      <c r="AS188" t="s">
        <v>1923</v>
      </c>
    </row>
    <row r="189" spans="1:45" x14ac:dyDescent="0.45">
      <c r="A189">
        <v>188</v>
      </c>
      <c r="B189">
        <v>2178</v>
      </c>
      <c r="C189" t="s">
        <v>78</v>
      </c>
      <c r="D189" t="s">
        <v>81</v>
      </c>
      <c r="E189" t="s">
        <v>74</v>
      </c>
      <c r="F189" t="s">
        <v>77</v>
      </c>
      <c r="G189" t="s">
        <v>76</v>
      </c>
      <c r="H189">
        <v>24.967673096019993</v>
      </c>
      <c r="I189">
        <v>1</v>
      </c>
      <c r="J189">
        <v>7</v>
      </c>
      <c r="K189">
        <v>5</v>
      </c>
      <c r="L189">
        <v>2</v>
      </c>
      <c r="M189">
        <v>8</v>
      </c>
      <c r="N189">
        <v>5</v>
      </c>
      <c r="O189">
        <v>3</v>
      </c>
      <c r="P189">
        <v>9</v>
      </c>
      <c r="Q189">
        <v>4</v>
      </c>
      <c r="R189">
        <v>5</v>
      </c>
      <c r="S189">
        <v>10</v>
      </c>
      <c r="T189">
        <v>6</v>
      </c>
      <c r="U189">
        <v>4</v>
      </c>
      <c r="V189">
        <v>8</v>
      </c>
      <c r="W189">
        <v>5</v>
      </c>
      <c r="X189">
        <v>3</v>
      </c>
      <c r="Y189">
        <v>9</v>
      </c>
      <c r="Z189">
        <v>5</v>
      </c>
      <c r="AA189">
        <v>4</v>
      </c>
      <c r="AB189">
        <v>7</v>
      </c>
      <c r="AC189">
        <v>5</v>
      </c>
      <c r="AD189">
        <v>2</v>
      </c>
      <c r="AE189">
        <v>9</v>
      </c>
      <c r="AF189">
        <v>5</v>
      </c>
      <c r="AG189">
        <v>4</v>
      </c>
      <c r="AH189">
        <v>10</v>
      </c>
      <c r="AI189">
        <v>5</v>
      </c>
      <c r="AJ189">
        <v>5</v>
      </c>
      <c r="AK189" t="s">
        <v>1924</v>
      </c>
      <c r="AL189" t="s">
        <v>1925</v>
      </c>
      <c r="AM189" t="s">
        <v>1926</v>
      </c>
      <c r="AN189" t="s">
        <v>1927</v>
      </c>
      <c r="AO189" t="s">
        <v>1928</v>
      </c>
      <c r="AP189" t="s">
        <v>1929</v>
      </c>
      <c r="AQ189" t="s">
        <v>1930</v>
      </c>
      <c r="AR189" t="s">
        <v>1931</v>
      </c>
      <c r="AS189" t="s">
        <v>1932</v>
      </c>
    </row>
    <row r="190" spans="1:45" x14ac:dyDescent="0.45">
      <c r="A190">
        <v>189</v>
      </c>
      <c r="B190">
        <v>2179</v>
      </c>
      <c r="C190" t="s">
        <v>78</v>
      </c>
      <c r="D190" t="s">
        <v>79</v>
      </c>
      <c r="E190" t="s">
        <v>74</v>
      </c>
      <c r="F190" t="s">
        <v>77</v>
      </c>
      <c r="G190" t="s">
        <v>76</v>
      </c>
      <c r="H190">
        <v>49.025570258721416</v>
      </c>
      <c r="I190">
        <v>2</v>
      </c>
      <c r="J190">
        <v>7</v>
      </c>
      <c r="K190">
        <v>8</v>
      </c>
      <c r="L190">
        <v>-1</v>
      </c>
      <c r="M190">
        <v>8</v>
      </c>
      <c r="N190">
        <v>8</v>
      </c>
      <c r="O190">
        <v>0</v>
      </c>
      <c r="P190">
        <v>6</v>
      </c>
      <c r="Q190">
        <v>5</v>
      </c>
      <c r="R190">
        <v>1</v>
      </c>
      <c r="S190">
        <v>8</v>
      </c>
      <c r="T190">
        <v>7</v>
      </c>
      <c r="U190">
        <v>1</v>
      </c>
      <c r="V190">
        <v>7</v>
      </c>
      <c r="W190">
        <v>6</v>
      </c>
      <c r="X190">
        <v>1</v>
      </c>
      <c r="Y190">
        <v>9</v>
      </c>
      <c r="Z190">
        <v>8</v>
      </c>
      <c r="AA190">
        <v>1</v>
      </c>
      <c r="AB190">
        <v>7</v>
      </c>
      <c r="AC190">
        <v>5</v>
      </c>
      <c r="AD190">
        <v>2</v>
      </c>
      <c r="AE190">
        <v>6</v>
      </c>
      <c r="AF190">
        <v>7</v>
      </c>
      <c r="AG190">
        <v>-1</v>
      </c>
      <c r="AH190">
        <v>8</v>
      </c>
      <c r="AI190">
        <v>8</v>
      </c>
      <c r="AJ190">
        <v>0</v>
      </c>
      <c r="AK190" t="s">
        <v>1933</v>
      </c>
      <c r="AL190" t="s">
        <v>1934</v>
      </c>
      <c r="AM190" t="s">
        <v>1935</v>
      </c>
      <c r="AN190" t="s">
        <v>1936</v>
      </c>
      <c r="AO190" t="s">
        <v>1937</v>
      </c>
      <c r="AP190" t="s">
        <v>1938</v>
      </c>
      <c r="AQ190" t="s">
        <v>1939</v>
      </c>
      <c r="AR190" t="s">
        <v>1940</v>
      </c>
      <c r="AS190" t="s">
        <v>1941</v>
      </c>
    </row>
    <row r="191" spans="1:45" x14ac:dyDescent="0.45">
      <c r="A191">
        <v>190</v>
      </c>
      <c r="B191">
        <v>2180</v>
      </c>
      <c r="C191" t="s">
        <v>78</v>
      </c>
      <c r="D191" t="s">
        <v>81</v>
      </c>
      <c r="E191" t="s">
        <v>74</v>
      </c>
      <c r="F191" t="s">
        <v>75</v>
      </c>
      <c r="G191" t="s">
        <v>76</v>
      </c>
      <c r="H191">
        <v>24.80897648417444</v>
      </c>
      <c r="I191">
        <v>0</v>
      </c>
      <c r="J191">
        <v>6</v>
      </c>
      <c r="K191">
        <v>7</v>
      </c>
      <c r="L191">
        <v>-1</v>
      </c>
      <c r="M191">
        <v>7</v>
      </c>
      <c r="N191">
        <v>7</v>
      </c>
      <c r="O191">
        <v>0</v>
      </c>
      <c r="P191">
        <v>9</v>
      </c>
      <c r="Q191">
        <v>7</v>
      </c>
      <c r="R191">
        <v>2</v>
      </c>
      <c r="S191">
        <v>9</v>
      </c>
      <c r="T191">
        <v>8</v>
      </c>
      <c r="U191">
        <v>1</v>
      </c>
      <c r="V191">
        <v>7</v>
      </c>
      <c r="W191">
        <v>3</v>
      </c>
      <c r="X191">
        <v>4</v>
      </c>
      <c r="Y191">
        <v>9</v>
      </c>
      <c r="Z191">
        <v>3</v>
      </c>
      <c r="AA191">
        <v>6</v>
      </c>
      <c r="AB191">
        <v>8</v>
      </c>
      <c r="AC191">
        <v>2</v>
      </c>
      <c r="AD191">
        <v>6</v>
      </c>
      <c r="AE191">
        <v>6</v>
      </c>
      <c r="AF191">
        <v>3</v>
      </c>
      <c r="AG191">
        <v>3</v>
      </c>
      <c r="AH191">
        <v>9</v>
      </c>
      <c r="AI191">
        <v>8</v>
      </c>
      <c r="AJ191">
        <v>1</v>
      </c>
      <c r="AK191" t="s">
        <v>1942</v>
      </c>
      <c r="AL191" t="s">
        <v>1943</v>
      </c>
      <c r="AM191" t="s">
        <v>1944</v>
      </c>
      <c r="AN191" t="s">
        <v>1945</v>
      </c>
      <c r="AO191" t="s">
        <v>1946</v>
      </c>
      <c r="AP191" t="s">
        <v>1947</v>
      </c>
      <c r="AQ191" t="s">
        <v>1948</v>
      </c>
      <c r="AR191" t="s">
        <v>1949</v>
      </c>
      <c r="AS191" t="s">
        <v>1950</v>
      </c>
    </row>
    <row r="192" spans="1:45" x14ac:dyDescent="0.45">
      <c r="A192">
        <v>191</v>
      </c>
      <c r="B192">
        <v>2181</v>
      </c>
      <c r="C192" t="s">
        <v>78</v>
      </c>
      <c r="D192" t="s">
        <v>73</v>
      </c>
      <c r="E192" t="s">
        <v>74</v>
      </c>
      <c r="F192" t="s">
        <v>75</v>
      </c>
      <c r="G192" t="s">
        <v>76</v>
      </c>
      <c r="H192">
        <v>56.008106866924827</v>
      </c>
      <c r="I192">
        <v>3</v>
      </c>
      <c r="J192">
        <v>7</v>
      </c>
      <c r="K192">
        <v>7</v>
      </c>
      <c r="L192">
        <v>0</v>
      </c>
      <c r="M192">
        <v>8</v>
      </c>
      <c r="N192">
        <v>7</v>
      </c>
      <c r="O192">
        <v>1</v>
      </c>
      <c r="P192">
        <v>9</v>
      </c>
      <c r="Q192">
        <v>6</v>
      </c>
      <c r="R192">
        <v>3</v>
      </c>
      <c r="S192">
        <v>10</v>
      </c>
      <c r="T192">
        <v>8</v>
      </c>
      <c r="U192">
        <v>2</v>
      </c>
      <c r="V192">
        <v>9</v>
      </c>
      <c r="W192">
        <v>7</v>
      </c>
      <c r="X192">
        <v>2</v>
      </c>
      <c r="Y192">
        <v>8</v>
      </c>
      <c r="Z192">
        <v>8</v>
      </c>
      <c r="AA192">
        <v>0</v>
      </c>
      <c r="AB192">
        <v>9</v>
      </c>
      <c r="AC192">
        <v>7</v>
      </c>
      <c r="AD192">
        <v>2</v>
      </c>
      <c r="AE192">
        <v>9</v>
      </c>
      <c r="AF192">
        <v>7</v>
      </c>
      <c r="AG192">
        <v>2</v>
      </c>
      <c r="AH192">
        <v>9</v>
      </c>
      <c r="AI192">
        <v>7</v>
      </c>
      <c r="AJ192">
        <v>2</v>
      </c>
      <c r="AK192" t="s">
        <v>1951</v>
      </c>
      <c r="AL192" t="s">
        <v>1952</v>
      </c>
      <c r="AM192" t="s">
        <v>1953</v>
      </c>
      <c r="AN192" t="s">
        <v>1954</v>
      </c>
      <c r="AO192" t="s">
        <v>1955</v>
      </c>
      <c r="AP192" t="s">
        <v>1956</v>
      </c>
      <c r="AQ192" t="s">
        <v>1957</v>
      </c>
      <c r="AR192" t="s">
        <v>1958</v>
      </c>
      <c r="AS192" t="s">
        <v>1959</v>
      </c>
    </row>
    <row r="193" spans="1:45" x14ac:dyDescent="0.45">
      <c r="A193">
        <v>192</v>
      </c>
      <c r="B193">
        <v>2182</v>
      </c>
      <c r="C193" t="s">
        <v>72</v>
      </c>
      <c r="D193" t="s">
        <v>189</v>
      </c>
      <c r="E193" t="s">
        <v>74</v>
      </c>
      <c r="F193" t="s">
        <v>77</v>
      </c>
      <c r="G193" t="s">
        <v>76</v>
      </c>
      <c r="H193">
        <v>21.006095014974331</v>
      </c>
      <c r="I193">
        <v>0</v>
      </c>
      <c r="J193">
        <v>8</v>
      </c>
      <c r="K193">
        <v>8</v>
      </c>
      <c r="L193">
        <v>0</v>
      </c>
      <c r="M193">
        <v>9</v>
      </c>
      <c r="N193">
        <v>8</v>
      </c>
      <c r="O193">
        <v>1</v>
      </c>
      <c r="P193">
        <v>7</v>
      </c>
      <c r="Q193">
        <v>9</v>
      </c>
      <c r="R193">
        <v>-2</v>
      </c>
      <c r="S193">
        <v>8</v>
      </c>
      <c r="T193">
        <v>9</v>
      </c>
      <c r="U193">
        <v>-1</v>
      </c>
      <c r="V193">
        <v>7</v>
      </c>
      <c r="W193">
        <v>9</v>
      </c>
      <c r="X193">
        <v>-2</v>
      </c>
      <c r="Y193">
        <v>9</v>
      </c>
      <c r="Z193">
        <v>9</v>
      </c>
      <c r="AA193">
        <v>0</v>
      </c>
      <c r="AB193">
        <v>8</v>
      </c>
      <c r="AC193">
        <v>8</v>
      </c>
      <c r="AD193">
        <v>0</v>
      </c>
      <c r="AE193">
        <v>7</v>
      </c>
      <c r="AF193">
        <v>8</v>
      </c>
      <c r="AG193">
        <v>-1</v>
      </c>
      <c r="AH193">
        <v>8</v>
      </c>
      <c r="AI193">
        <v>9</v>
      </c>
      <c r="AJ193">
        <v>-1</v>
      </c>
      <c r="AK193" t="s">
        <v>1960</v>
      </c>
      <c r="AL193" t="s">
        <v>1961</v>
      </c>
      <c r="AM193" t="s">
        <v>1962</v>
      </c>
      <c r="AN193" t="s">
        <v>1963</v>
      </c>
      <c r="AO193" t="s">
        <v>1964</v>
      </c>
      <c r="AP193" t="s">
        <v>1965</v>
      </c>
      <c r="AQ193" t="s">
        <v>1966</v>
      </c>
      <c r="AR193" t="s">
        <v>1967</v>
      </c>
      <c r="AS193" t="s">
        <v>1968</v>
      </c>
    </row>
    <row r="194" spans="1:45" x14ac:dyDescent="0.45">
      <c r="A194">
        <v>193</v>
      </c>
      <c r="B194">
        <v>2183</v>
      </c>
      <c r="C194" t="s">
        <v>72</v>
      </c>
      <c r="D194" t="s">
        <v>79</v>
      </c>
      <c r="E194" t="s">
        <v>74</v>
      </c>
      <c r="F194" t="s">
        <v>77</v>
      </c>
      <c r="G194" t="s">
        <v>76</v>
      </c>
      <c r="H194">
        <v>24.223476505769941</v>
      </c>
      <c r="I194">
        <v>2</v>
      </c>
      <c r="J194">
        <v>8</v>
      </c>
      <c r="K194">
        <v>1</v>
      </c>
      <c r="L194">
        <v>7</v>
      </c>
      <c r="M194">
        <v>9</v>
      </c>
      <c r="N194">
        <v>1</v>
      </c>
      <c r="O194">
        <v>8</v>
      </c>
      <c r="P194">
        <v>8</v>
      </c>
      <c r="Q194">
        <v>7</v>
      </c>
      <c r="R194">
        <v>1</v>
      </c>
      <c r="S194">
        <v>9</v>
      </c>
      <c r="T194">
        <v>5</v>
      </c>
      <c r="U194">
        <v>4</v>
      </c>
      <c r="V194">
        <v>8</v>
      </c>
      <c r="W194">
        <v>5</v>
      </c>
      <c r="X194">
        <v>3</v>
      </c>
      <c r="Y194">
        <v>9</v>
      </c>
      <c r="Z194">
        <v>7</v>
      </c>
      <c r="AA194">
        <v>2</v>
      </c>
      <c r="AB194">
        <v>8</v>
      </c>
      <c r="AC194">
        <v>2</v>
      </c>
      <c r="AD194">
        <v>6</v>
      </c>
      <c r="AE194">
        <v>9</v>
      </c>
      <c r="AF194">
        <v>5</v>
      </c>
      <c r="AG194">
        <v>4</v>
      </c>
      <c r="AH194">
        <v>10</v>
      </c>
      <c r="AI194">
        <v>5</v>
      </c>
      <c r="AJ194">
        <v>5</v>
      </c>
      <c r="AK194" t="s">
        <v>1969</v>
      </c>
      <c r="AL194" t="s">
        <v>1970</v>
      </c>
      <c r="AM194" t="s">
        <v>1971</v>
      </c>
      <c r="AN194" t="s">
        <v>1972</v>
      </c>
      <c r="AO194" t="s">
        <v>1973</v>
      </c>
      <c r="AP194" t="s">
        <v>1974</v>
      </c>
      <c r="AQ194" t="s">
        <v>1975</v>
      </c>
      <c r="AR194" t="s">
        <v>1976</v>
      </c>
      <c r="AS194" t="s">
        <v>1977</v>
      </c>
    </row>
    <row r="195" spans="1:45" x14ac:dyDescent="0.45">
      <c r="A195">
        <v>194</v>
      </c>
      <c r="B195">
        <v>2184</v>
      </c>
      <c r="C195" t="s">
        <v>72</v>
      </c>
      <c r="D195" t="s">
        <v>73</v>
      </c>
      <c r="E195" t="s">
        <v>74</v>
      </c>
      <c r="F195" t="s">
        <v>77</v>
      </c>
      <c r="G195" t="s">
        <v>76</v>
      </c>
      <c r="H195">
        <v>19.31967304171242</v>
      </c>
      <c r="I195">
        <v>1</v>
      </c>
      <c r="J195">
        <v>7</v>
      </c>
      <c r="K195">
        <v>10</v>
      </c>
      <c r="L195">
        <v>-3</v>
      </c>
      <c r="M195">
        <v>8</v>
      </c>
      <c r="N195">
        <v>10</v>
      </c>
      <c r="O195">
        <v>-2</v>
      </c>
      <c r="P195">
        <v>9</v>
      </c>
      <c r="Q195">
        <v>6</v>
      </c>
      <c r="R195">
        <v>3</v>
      </c>
      <c r="S195">
        <v>10</v>
      </c>
      <c r="T195">
        <v>4</v>
      </c>
      <c r="U195">
        <v>6</v>
      </c>
      <c r="V195">
        <v>9</v>
      </c>
      <c r="W195">
        <v>8</v>
      </c>
      <c r="X195">
        <v>1</v>
      </c>
      <c r="Y195">
        <v>8</v>
      </c>
      <c r="Z195">
        <v>3</v>
      </c>
      <c r="AA195">
        <v>5</v>
      </c>
      <c r="AB195">
        <v>9</v>
      </c>
      <c r="AC195">
        <v>10</v>
      </c>
      <c r="AD195">
        <v>-1</v>
      </c>
      <c r="AE195">
        <v>8</v>
      </c>
      <c r="AF195">
        <v>10</v>
      </c>
      <c r="AG195">
        <v>-2</v>
      </c>
      <c r="AH195">
        <v>9</v>
      </c>
      <c r="AI195">
        <v>10</v>
      </c>
      <c r="AJ195">
        <v>-1</v>
      </c>
      <c r="AK195" t="s">
        <v>1978</v>
      </c>
      <c r="AL195" t="s">
        <v>1979</v>
      </c>
      <c r="AM195" t="s">
        <v>1980</v>
      </c>
      <c r="AN195" t="s">
        <v>1981</v>
      </c>
      <c r="AO195" t="s">
        <v>1982</v>
      </c>
      <c r="AP195" t="s">
        <v>1983</v>
      </c>
      <c r="AQ195" t="s">
        <v>1984</v>
      </c>
      <c r="AR195" t="s">
        <v>1985</v>
      </c>
      <c r="AS195" t="s">
        <v>1986</v>
      </c>
    </row>
    <row r="196" spans="1:45" x14ac:dyDescent="0.45">
      <c r="A196">
        <v>195</v>
      </c>
      <c r="B196">
        <v>2185</v>
      </c>
      <c r="C196" t="s">
        <v>72</v>
      </c>
      <c r="D196" t="s">
        <v>81</v>
      </c>
      <c r="E196" t="s">
        <v>74</v>
      </c>
      <c r="F196" t="s">
        <v>77</v>
      </c>
      <c r="G196" t="s">
        <v>76</v>
      </c>
      <c r="H196">
        <v>15.915735914964234</v>
      </c>
      <c r="I196">
        <v>1</v>
      </c>
      <c r="J196">
        <v>9</v>
      </c>
      <c r="K196">
        <v>9</v>
      </c>
      <c r="L196">
        <v>0</v>
      </c>
      <c r="M196">
        <v>8</v>
      </c>
      <c r="N196">
        <v>9</v>
      </c>
      <c r="O196">
        <v>-1</v>
      </c>
      <c r="P196">
        <v>9</v>
      </c>
      <c r="Q196">
        <v>5</v>
      </c>
      <c r="R196">
        <v>4</v>
      </c>
      <c r="S196">
        <v>8</v>
      </c>
      <c r="T196">
        <v>5</v>
      </c>
      <c r="U196">
        <v>3</v>
      </c>
      <c r="V196">
        <v>9</v>
      </c>
      <c r="W196">
        <v>7</v>
      </c>
      <c r="X196">
        <v>2</v>
      </c>
      <c r="Y196">
        <v>8</v>
      </c>
      <c r="Z196">
        <v>7</v>
      </c>
      <c r="AA196">
        <v>1</v>
      </c>
      <c r="AB196">
        <v>9</v>
      </c>
      <c r="AC196">
        <v>8</v>
      </c>
      <c r="AD196">
        <v>1</v>
      </c>
      <c r="AE196">
        <v>8</v>
      </c>
      <c r="AF196">
        <v>8</v>
      </c>
      <c r="AG196">
        <v>0</v>
      </c>
      <c r="AH196">
        <v>9</v>
      </c>
      <c r="AI196">
        <v>8</v>
      </c>
      <c r="AJ196">
        <v>1</v>
      </c>
      <c r="AK196" t="s">
        <v>1987</v>
      </c>
      <c r="AL196" t="s">
        <v>1988</v>
      </c>
      <c r="AM196" t="s">
        <v>1989</v>
      </c>
      <c r="AN196" t="s">
        <v>1990</v>
      </c>
      <c r="AO196" t="s">
        <v>1991</v>
      </c>
      <c r="AP196" t="s">
        <v>1992</v>
      </c>
      <c r="AQ196" t="s">
        <v>1993</v>
      </c>
      <c r="AR196" t="s">
        <v>1994</v>
      </c>
      <c r="AS196" t="s">
        <v>1995</v>
      </c>
    </row>
    <row r="197" spans="1:45" x14ac:dyDescent="0.45">
      <c r="A197">
        <v>196</v>
      </c>
      <c r="B197">
        <v>2186</v>
      </c>
      <c r="C197" t="s">
        <v>78</v>
      </c>
      <c r="D197" t="s">
        <v>79</v>
      </c>
      <c r="E197" t="s">
        <v>74</v>
      </c>
      <c r="F197" t="s">
        <v>77</v>
      </c>
      <c r="G197" t="s">
        <v>76</v>
      </c>
      <c r="H197">
        <v>13.836921905190801</v>
      </c>
      <c r="I197">
        <v>2</v>
      </c>
      <c r="J197">
        <v>6</v>
      </c>
      <c r="K197">
        <v>9</v>
      </c>
      <c r="L197">
        <v>-3</v>
      </c>
      <c r="M197">
        <v>7</v>
      </c>
      <c r="N197">
        <v>9</v>
      </c>
      <c r="O197">
        <v>-2</v>
      </c>
      <c r="P197">
        <v>9</v>
      </c>
      <c r="Q197">
        <v>9</v>
      </c>
      <c r="R197">
        <v>0</v>
      </c>
      <c r="S197">
        <v>8</v>
      </c>
      <c r="T197">
        <v>9</v>
      </c>
      <c r="U197">
        <v>-1</v>
      </c>
      <c r="V197">
        <v>7</v>
      </c>
      <c r="W197">
        <v>9</v>
      </c>
      <c r="X197">
        <v>-2</v>
      </c>
      <c r="Y197">
        <v>8</v>
      </c>
      <c r="Z197">
        <v>9</v>
      </c>
      <c r="AA197">
        <v>-1</v>
      </c>
      <c r="AB197">
        <v>7</v>
      </c>
      <c r="AC197">
        <v>9</v>
      </c>
      <c r="AD197">
        <v>-2</v>
      </c>
      <c r="AE197">
        <v>6</v>
      </c>
      <c r="AF197">
        <v>9</v>
      </c>
      <c r="AG197">
        <v>-3</v>
      </c>
      <c r="AH197">
        <v>9</v>
      </c>
      <c r="AI197">
        <v>9</v>
      </c>
      <c r="AJ197">
        <v>0</v>
      </c>
      <c r="AK197" t="s">
        <v>1996</v>
      </c>
      <c r="AL197" t="s">
        <v>1997</v>
      </c>
      <c r="AM197" t="s">
        <v>1998</v>
      </c>
      <c r="AN197" t="s">
        <v>1999</v>
      </c>
      <c r="AO197" t="s">
        <v>2000</v>
      </c>
      <c r="AP197" t="s">
        <v>2001</v>
      </c>
      <c r="AQ197" t="s">
        <v>2002</v>
      </c>
      <c r="AR197" t="s">
        <v>2003</v>
      </c>
      <c r="AS197" t="s">
        <v>2004</v>
      </c>
    </row>
    <row r="198" spans="1:45" x14ac:dyDescent="0.45">
      <c r="A198">
        <v>197</v>
      </c>
      <c r="B198">
        <v>2187</v>
      </c>
      <c r="C198" t="s">
        <v>72</v>
      </c>
      <c r="D198" t="s">
        <v>79</v>
      </c>
      <c r="E198" t="s">
        <v>74</v>
      </c>
      <c r="F198" t="s">
        <v>75</v>
      </c>
      <c r="G198" t="s">
        <v>76</v>
      </c>
      <c r="H198">
        <v>12.669669982638217</v>
      </c>
      <c r="I198">
        <v>3</v>
      </c>
      <c r="J198">
        <v>9</v>
      </c>
      <c r="K198">
        <v>9</v>
      </c>
      <c r="L198">
        <v>0</v>
      </c>
      <c r="M198">
        <v>8</v>
      </c>
      <c r="N198">
        <v>10</v>
      </c>
      <c r="O198">
        <v>-2</v>
      </c>
      <c r="P198">
        <v>7</v>
      </c>
      <c r="Q198">
        <v>10</v>
      </c>
      <c r="R198">
        <v>-3</v>
      </c>
      <c r="S198">
        <v>8</v>
      </c>
      <c r="T198">
        <v>9</v>
      </c>
      <c r="U198">
        <v>-1</v>
      </c>
      <c r="V198">
        <v>9</v>
      </c>
      <c r="W198">
        <v>10</v>
      </c>
      <c r="X198">
        <v>-1</v>
      </c>
      <c r="Y198">
        <v>8</v>
      </c>
      <c r="Z198">
        <v>10</v>
      </c>
      <c r="AA198">
        <v>-2</v>
      </c>
      <c r="AB198">
        <v>7</v>
      </c>
      <c r="AC198">
        <v>10</v>
      </c>
      <c r="AD198">
        <v>-3</v>
      </c>
      <c r="AE198">
        <v>6</v>
      </c>
      <c r="AF198">
        <v>9</v>
      </c>
      <c r="AG198">
        <v>-3</v>
      </c>
      <c r="AH198">
        <v>8</v>
      </c>
      <c r="AI198">
        <v>10</v>
      </c>
      <c r="AJ198">
        <v>-2</v>
      </c>
      <c r="AK198" t="s">
        <v>2005</v>
      </c>
      <c r="AL198" t="s">
        <v>2006</v>
      </c>
      <c r="AM198" t="s">
        <v>2007</v>
      </c>
      <c r="AN198" t="s">
        <v>2008</v>
      </c>
      <c r="AO198" t="s">
        <v>2009</v>
      </c>
      <c r="AP198" t="s">
        <v>2010</v>
      </c>
      <c r="AQ198" t="s">
        <v>2011</v>
      </c>
      <c r="AR198" t="s">
        <v>2012</v>
      </c>
      <c r="AS198" t="s">
        <v>2013</v>
      </c>
    </row>
    <row r="199" spans="1:45" x14ac:dyDescent="0.45">
      <c r="A199">
        <v>198</v>
      </c>
      <c r="B199">
        <v>2188</v>
      </c>
      <c r="C199" t="s">
        <v>72</v>
      </c>
      <c r="D199" t="s">
        <v>79</v>
      </c>
      <c r="E199" t="s">
        <v>74</v>
      </c>
      <c r="F199" t="s">
        <v>75</v>
      </c>
      <c r="G199" t="s">
        <v>76</v>
      </c>
      <c r="H199">
        <v>12.688219564202335</v>
      </c>
      <c r="I199">
        <v>2</v>
      </c>
      <c r="J199">
        <v>2</v>
      </c>
      <c r="K199">
        <v>5</v>
      </c>
      <c r="L199">
        <v>-3</v>
      </c>
      <c r="M199">
        <v>3</v>
      </c>
      <c r="N199">
        <v>5</v>
      </c>
      <c r="O199">
        <v>-2</v>
      </c>
      <c r="P199">
        <v>8</v>
      </c>
      <c r="Q199">
        <v>5</v>
      </c>
      <c r="R199">
        <v>3</v>
      </c>
      <c r="S199">
        <v>9</v>
      </c>
      <c r="T199">
        <v>5</v>
      </c>
      <c r="U199">
        <v>4</v>
      </c>
      <c r="V199">
        <v>7</v>
      </c>
      <c r="W199">
        <v>5</v>
      </c>
      <c r="X199">
        <v>2</v>
      </c>
      <c r="Y199">
        <v>9</v>
      </c>
      <c r="Z199">
        <v>5</v>
      </c>
      <c r="AA199">
        <v>4</v>
      </c>
      <c r="AB199">
        <v>7</v>
      </c>
      <c r="AC199">
        <v>5</v>
      </c>
      <c r="AD199">
        <v>2</v>
      </c>
      <c r="AE199">
        <v>8</v>
      </c>
      <c r="AF199">
        <v>4</v>
      </c>
      <c r="AG199">
        <v>4</v>
      </c>
      <c r="AH199">
        <v>9</v>
      </c>
      <c r="AI199">
        <v>5</v>
      </c>
      <c r="AJ199">
        <v>4</v>
      </c>
      <c r="AK199" t="s">
        <v>2014</v>
      </c>
      <c r="AL199" t="s">
        <v>2015</v>
      </c>
      <c r="AM199" t="s">
        <v>2016</v>
      </c>
      <c r="AN199" t="s">
        <v>2017</v>
      </c>
      <c r="AO199" t="s">
        <v>2018</v>
      </c>
      <c r="AP199" t="s">
        <v>2019</v>
      </c>
      <c r="AQ199" t="s">
        <v>2020</v>
      </c>
      <c r="AR199" t="s">
        <v>2021</v>
      </c>
      <c r="AS199" t="s">
        <v>2022</v>
      </c>
    </row>
    <row r="200" spans="1:45" x14ac:dyDescent="0.45">
      <c r="A200">
        <v>199</v>
      </c>
      <c r="B200">
        <v>2189</v>
      </c>
      <c r="C200" t="s">
        <v>72</v>
      </c>
      <c r="D200" t="s">
        <v>193</v>
      </c>
      <c r="E200" t="s">
        <v>74</v>
      </c>
      <c r="F200" t="s">
        <v>75</v>
      </c>
      <c r="G200" t="s">
        <v>162</v>
      </c>
      <c r="H200">
        <v>12</v>
      </c>
      <c r="I200">
        <v>1</v>
      </c>
      <c r="J200">
        <v>6</v>
      </c>
      <c r="K200">
        <v>9</v>
      </c>
      <c r="L200">
        <v>-3</v>
      </c>
      <c r="M200">
        <v>5</v>
      </c>
      <c r="N200">
        <v>8</v>
      </c>
      <c r="O200">
        <v>-3</v>
      </c>
      <c r="P200">
        <v>8</v>
      </c>
      <c r="Q200">
        <v>9</v>
      </c>
      <c r="R200">
        <v>-1</v>
      </c>
      <c r="S200">
        <v>9</v>
      </c>
      <c r="T200">
        <v>9</v>
      </c>
      <c r="U200">
        <v>0</v>
      </c>
      <c r="V200">
        <v>7</v>
      </c>
      <c r="W200">
        <v>8</v>
      </c>
      <c r="X200">
        <v>-1</v>
      </c>
      <c r="Y200">
        <v>9</v>
      </c>
      <c r="Z200">
        <v>9</v>
      </c>
      <c r="AA200">
        <v>0</v>
      </c>
      <c r="AB200">
        <v>8</v>
      </c>
      <c r="AC200">
        <v>10</v>
      </c>
      <c r="AD200">
        <v>-2</v>
      </c>
      <c r="AE200">
        <v>6</v>
      </c>
      <c r="AF200">
        <v>9</v>
      </c>
      <c r="AG200">
        <v>-3</v>
      </c>
      <c r="AH200">
        <v>8</v>
      </c>
      <c r="AI200">
        <v>10</v>
      </c>
      <c r="AJ200">
        <v>-2</v>
      </c>
      <c r="AK200" t="s">
        <v>2023</v>
      </c>
      <c r="AL200" t="s">
        <v>2024</v>
      </c>
      <c r="AM200" t="s">
        <v>2025</v>
      </c>
      <c r="AN200" t="s">
        <v>2026</v>
      </c>
      <c r="AO200" t="s">
        <v>2027</v>
      </c>
      <c r="AP200" t="s">
        <v>2028</v>
      </c>
      <c r="AQ200" t="s">
        <v>223</v>
      </c>
      <c r="AR200" t="s">
        <v>2029</v>
      </c>
      <c r="AS200" t="s">
        <v>2030</v>
      </c>
    </row>
    <row r="201" spans="1:45" x14ac:dyDescent="0.45">
      <c r="A201">
        <v>200</v>
      </c>
      <c r="B201">
        <v>2190</v>
      </c>
      <c r="C201" t="s">
        <v>78</v>
      </c>
      <c r="D201" t="s">
        <v>191</v>
      </c>
      <c r="E201" t="s">
        <v>74</v>
      </c>
      <c r="F201" t="s">
        <v>77</v>
      </c>
      <c r="G201" t="s">
        <v>76</v>
      </c>
      <c r="H201">
        <v>87.703893705269323</v>
      </c>
      <c r="I201">
        <v>3</v>
      </c>
      <c r="J201">
        <v>7</v>
      </c>
      <c r="K201">
        <v>4</v>
      </c>
      <c r="L201">
        <v>3</v>
      </c>
      <c r="M201">
        <v>6</v>
      </c>
      <c r="N201">
        <v>4</v>
      </c>
      <c r="O201">
        <v>2</v>
      </c>
      <c r="P201">
        <v>8</v>
      </c>
      <c r="Q201">
        <v>3</v>
      </c>
      <c r="R201">
        <v>5</v>
      </c>
      <c r="S201">
        <v>9</v>
      </c>
      <c r="T201">
        <v>5</v>
      </c>
      <c r="U201">
        <v>4</v>
      </c>
      <c r="V201">
        <v>8</v>
      </c>
      <c r="W201">
        <v>4</v>
      </c>
      <c r="X201">
        <v>4</v>
      </c>
      <c r="Y201">
        <v>9</v>
      </c>
      <c r="Z201">
        <v>5</v>
      </c>
      <c r="AA201">
        <v>4</v>
      </c>
      <c r="AB201">
        <v>7</v>
      </c>
      <c r="AC201">
        <v>1</v>
      </c>
      <c r="AD201">
        <v>6</v>
      </c>
      <c r="AE201">
        <v>8</v>
      </c>
      <c r="AF201">
        <v>5</v>
      </c>
      <c r="AG201">
        <v>3</v>
      </c>
      <c r="AH201">
        <v>9</v>
      </c>
      <c r="AI201">
        <v>5</v>
      </c>
      <c r="AJ201">
        <v>4</v>
      </c>
      <c r="AK201" t="s">
        <v>2031</v>
      </c>
      <c r="AL201" t="s">
        <v>2032</v>
      </c>
      <c r="AM201" t="s">
        <v>2033</v>
      </c>
      <c r="AN201" t="s">
        <v>2034</v>
      </c>
      <c r="AO201" t="s">
        <v>2035</v>
      </c>
      <c r="AP201" t="s">
        <v>2036</v>
      </c>
      <c r="AQ201" t="s">
        <v>2037</v>
      </c>
      <c r="AR201" t="s">
        <v>2038</v>
      </c>
      <c r="AS201" t="s">
        <v>2039</v>
      </c>
    </row>
    <row r="202" spans="1:45" x14ac:dyDescent="0.45">
      <c r="A202">
        <v>201</v>
      </c>
      <c r="B202">
        <v>2191</v>
      </c>
      <c r="C202" t="s">
        <v>72</v>
      </c>
      <c r="D202" t="s">
        <v>193</v>
      </c>
      <c r="E202" t="s">
        <v>74</v>
      </c>
      <c r="F202" t="s">
        <v>75</v>
      </c>
      <c r="G202" t="s">
        <v>76</v>
      </c>
      <c r="H202">
        <v>53.584938230999832</v>
      </c>
      <c r="I202">
        <v>1</v>
      </c>
      <c r="J202">
        <v>9</v>
      </c>
      <c r="K202">
        <v>5</v>
      </c>
      <c r="L202">
        <v>4</v>
      </c>
      <c r="M202">
        <v>8</v>
      </c>
      <c r="N202">
        <v>5</v>
      </c>
      <c r="O202">
        <v>3</v>
      </c>
      <c r="P202">
        <v>9</v>
      </c>
      <c r="Q202">
        <v>1</v>
      </c>
      <c r="R202">
        <v>8</v>
      </c>
      <c r="S202">
        <v>8</v>
      </c>
      <c r="T202">
        <v>5</v>
      </c>
      <c r="U202">
        <v>3</v>
      </c>
      <c r="V202">
        <v>7</v>
      </c>
      <c r="W202">
        <v>4</v>
      </c>
      <c r="X202">
        <v>3</v>
      </c>
      <c r="Y202">
        <v>8</v>
      </c>
      <c r="Z202">
        <v>2</v>
      </c>
      <c r="AA202">
        <v>6</v>
      </c>
      <c r="AB202">
        <v>7</v>
      </c>
      <c r="AC202">
        <v>2</v>
      </c>
      <c r="AD202">
        <v>5</v>
      </c>
      <c r="AE202">
        <v>8</v>
      </c>
      <c r="AF202">
        <v>5</v>
      </c>
      <c r="AG202">
        <v>3</v>
      </c>
      <c r="AH202">
        <v>9</v>
      </c>
      <c r="AI202">
        <v>4</v>
      </c>
      <c r="AJ202">
        <v>5</v>
      </c>
      <c r="AK202" t="s">
        <v>2040</v>
      </c>
      <c r="AL202" t="s">
        <v>2041</v>
      </c>
      <c r="AM202" t="s">
        <v>2042</v>
      </c>
      <c r="AN202" t="s">
        <v>2043</v>
      </c>
      <c r="AO202" t="s">
        <v>2044</v>
      </c>
      <c r="AP202" t="s">
        <v>2045</v>
      </c>
      <c r="AQ202" t="s">
        <v>2046</v>
      </c>
      <c r="AR202" t="s">
        <v>2047</v>
      </c>
      <c r="AS202" t="s">
        <v>2048</v>
      </c>
    </row>
    <row r="203" spans="1:45" x14ac:dyDescent="0.45">
      <c r="A203">
        <v>202</v>
      </c>
      <c r="B203">
        <v>2192</v>
      </c>
      <c r="C203" t="s">
        <v>72</v>
      </c>
      <c r="D203" t="s">
        <v>79</v>
      </c>
      <c r="E203" t="s">
        <v>74</v>
      </c>
      <c r="F203" t="s">
        <v>77</v>
      </c>
      <c r="G203" t="s">
        <v>76</v>
      </c>
      <c r="H203">
        <v>77.321595157775064</v>
      </c>
      <c r="I203">
        <v>4</v>
      </c>
      <c r="J203">
        <v>7</v>
      </c>
      <c r="K203">
        <v>6</v>
      </c>
      <c r="L203">
        <v>1</v>
      </c>
      <c r="M203">
        <v>6</v>
      </c>
      <c r="N203">
        <v>8</v>
      </c>
      <c r="O203">
        <v>-2</v>
      </c>
      <c r="P203">
        <v>8</v>
      </c>
      <c r="Q203">
        <v>8</v>
      </c>
      <c r="R203">
        <v>0</v>
      </c>
      <c r="S203">
        <v>9</v>
      </c>
      <c r="T203">
        <v>9</v>
      </c>
      <c r="U203">
        <v>0</v>
      </c>
      <c r="V203">
        <v>8</v>
      </c>
      <c r="W203">
        <v>7</v>
      </c>
      <c r="X203">
        <v>1</v>
      </c>
      <c r="Y203">
        <v>9</v>
      </c>
      <c r="Z203">
        <v>7</v>
      </c>
      <c r="AA203">
        <v>2</v>
      </c>
      <c r="AB203">
        <v>8</v>
      </c>
      <c r="AC203">
        <v>7</v>
      </c>
      <c r="AD203">
        <v>1</v>
      </c>
      <c r="AE203">
        <v>9</v>
      </c>
      <c r="AF203">
        <v>8</v>
      </c>
      <c r="AG203">
        <v>1</v>
      </c>
      <c r="AH203">
        <v>10</v>
      </c>
      <c r="AI203">
        <v>8</v>
      </c>
      <c r="AJ203">
        <v>2</v>
      </c>
      <c r="AK203" t="s">
        <v>2049</v>
      </c>
      <c r="AL203" t="s">
        <v>2050</v>
      </c>
      <c r="AM203" t="s">
        <v>2051</v>
      </c>
      <c r="AN203" t="s">
        <v>2052</v>
      </c>
      <c r="AO203" t="s">
        <v>2053</v>
      </c>
      <c r="AP203" t="s">
        <v>2054</v>
      </c>
      <c r="AQ203" t="s">
        <v>2055</v>
      </c>
      <c r="AR203" t="s">
        <v>2056</v>
      </c>
      <c r="AS203" t="s">
        <v>2057</v>
      </c>
    </row>
    <row r="204" spans="1:45" x14ac:dyDescent="0.45">
      <c r="A204">
        <v>203</v>
      </c>
      <c r="B204">
        <v>2193</v>
      </c>
      <c r="C204" t="s">
        <v>72</v>
      </c>
      <c r="D204" t="s">
        <v>191</v>
      </c>
      <c r="E204" t="s">
        <v>74</v>
      </c>
      <c r="F204" t="s">
        <v>75</v>
      </c>
      <c r="G204" t="s">
        <v>76</v>
      </c>
      <c r="H204">
        <v>196.62014524304763</v>
      </c>
      <c r="I204">
        <v>3</v>
      </c>
      <c r="J204">
        <v>6</v>
      </c>
      <c r="K204">
        <v>5</v>
      </c>
      <c r="L204">
        <v>1</v>
      </c>
      <c r="M204">
        <v>7</v>
      </c>
      <c r="N204">
        <v>5</v>
      </c>
      <c r="O204">
        <v>2</v>
      </c>
      <c r="P204">
        <v>8</v>
      </c>
      <c r="Q204">
        <v>5</v>
      </c>
      <c r="R204">
        <v>3</v>
      </c>
      <c r="S204">
        <v>9</v>
      </c>
      <c r="T204">
        <v>5</v>
      </c>
      <c r="U204">
        <v>4</v>
      </c>
      <c r="V204">
        <v>8</v>
      </c>
      <c r="W204">
        <v>5</v>
      </c>
      <c r="X204">
        <v>3</v>
      </c>
      <c r="Y204">
        <v>9</v>
      </c>
      <c r="Z204">
        <v>5</v>
      </c>
      <c r="AA204">
        <v>4</v>
      </c>
      <c r="AB204">
        <v>7</v>
      </c>
      <c r="AC204">
        <v>5</v>
      </c>
      <c r="AD204">
        <v>2</v>
      </c>
      <c r="AE204">
        <v>6</v>
      </c>
      <c r="AF204">
        <v>5</v>
      </c>
      <c r="AG204">
        <v>1</v>
      </c>
      <c r="AH204">
        <v>9</v>
      </c>
      <c r="AI204">
        <v>5</v>
      </c>
      <c r="AJ204">
        <v>4</v>
      </c>
      <c r="AK204" t="s">
        <v>2058</v>
      </c>
      <c r="AL204" t="s">
        <v>2059</v>
      </c>
      <c r="AM204" t="s">
        <v>2060</v>
      </c>
      <c r="AN204" t="s">
        <v>2061</v>
      </c>
      <c r="AO204" t="s">
        <v>2062</v>
      </c>
      <c r="AP204" t="s">
        <v>2063</v>
      </c>
      <c r="AQ204" t="s">
        <v>2064</v>
      </c>
      <c r="AR204" t="s">
        <v>2065</v>
      </c>
      <c r="AS204" t="s">
        <v>2066</v>
      </c>
    </row>
    <row r="205" spans="1:45" x14ac:dyDescent="0.45">
      <c r="A205">
        <v>204</v>
      </c>
      <c r="B205">
        <v>2194</v>
      </c>
      <c r="C205" t="s">
        <v>72</v>
      </c>
      <c r="D205" t="s">
        <v>73</v>
      </c>
      <c r="E205" t="s">
        <v>74</v>
      </c>
      <c r="F205" t="s">
        <v>77</v>
      </c>
      <c r="G205" t="s">
        <v>76</v>
      </c>
      <c r="H205">
        <v>39.051620371938974</v>
      </c>
      <c r="I205">
        <v>1</v>
      </c>
      <c r="J205">
        <v>7</v>
      </c>
      <c r="K205">
        <v>7</v>
      </c>
      <c r="L205">
        <v>0</v>
      </c>
      <c r="M205">
        <v>9</v>
      </c>
      <c r="N205">
        <v>7</v>
      </c>
      <c r="O205">
        <v>2</v>
      </c>
      <c r="P205">
        <v>6</v>
      </c>
      <c r="Q205">
        <v>7</v>
      </c>
      <c r="R205">
        <v>-1</v>
      </c>
      <c r="S205">
        <v>8</v>
      </c>
      <c r="T205">
        <v>8</v>
      </c>
      <c r="U205">
        <v>0</v>
      </c>
      <c r="V205">
        <v>6</v>
      </c>
      <c r="W205">
        <v>7</v>
      </c>
      <c r="X205">
        <v>-1</v>
      </c>
      <c r="Y205">
        <v>8</v>
      </c>
      <c r="Z205">
        <v>7</v>
      </c>
      <c r="AA205">
        <v>1</v>
      </c>
      <c r="AB205">
        <v>7</v>
      </c>
      <c r="AC205">
        <v>7</v>
      </c>
      <c r="AD205">
        <v>0</v>
      </c>
      <c r="AE205">
        <v>9</v>
      </c>
      <c r="AF205">
        <v>7</v>
      </c>
      <c r="AG205">
        <v>2</v>
      </c>
      <c r="AH205">
        <v>8</v>
      </c>
      <c r="AI205">
        <v>7</v>
      </c>
      <c r="AJ205">
        <v>1</v>
      </c>
      <c r="AK205" t="s">
        <v>2067</v>
      </c>
      <c r="AL205" t="s">
        <v>2068</v>
      </c>
      <c r="AM205" t="s">
        <v>2069</v>
      </c>
      <c r="AN205" t="s">
        <v>2070</v>
      </c>
      <c r="AO205" t="s">
        <v>2071</v>
      </c>
      <c r="AP205" t="s">
        <v>2072</v>
      </c>
      <c r="AQ205" t="s">
        <v>2073</v>
      </c>
      <c r="AR205" t="s">
        <v>2074</v>
      </c>
      <c r="AS205" t="s">
        <v>2075</v>
      </c>
    </row>
    <row r="206" spans="1:45" x14ac:dyDescent="0.45">
      <c r="A206">
        <v>205</v>
      </c>
      <c r="B206">
        <v>2195</v>
      </c>
      <c r="C206" t="s">
        <v>72</v>
      </c>
      <c r="D206" t="s">
        <v>73</v>
      </c>
      <c r="E206" t="s">
        <v>74</v>
      </c>
      <c r="F206" t="s">
        <v>75</v>
      </c>
      <c r="G206" t="s">
        <v>76</v>
      </c>
      <c r="H206">
        <v>28.020819496571374</v>
      </c>
      <c r="I206">
        <v>0</v>
      </c>
      <c r="J206">
        <v>7</v>
      </c>
      <c r="K206">
        <v>3</v>
      </c>
      <c r="L206">
        <v>4</v>
      </c>
      <c r="M206">
        <v>8</v>
      </c>
      <c r="N206">
        <v>1</v>
      </c>
      <c r="O206">
        <v>7</v>
      </c>
      <c r="P206">
        <v>9</v>
      </c>
      <c r="Q206">
        <v>1</v>
      </c>
      <c r="R206">
        <v>8</v>
      </c>
      <c r="S206">
        <v>9</v>
      </c>
      <c r="T206">
        <v>5</v>
      </c>
      <c r="U206">
        <v>4</v>
      </c>
      <c r="V206">
        <v>7</v>
      </c>
      <c r="W206">
        <v>1</v>
      </c>
      <c r="X206">
        <v>6</v>
      </c>
      <c r="Y206">
        <v>9</v>
      </c>
      <c r="Z206">
        <v>1</v>
      </c>
      <c r="AA206">
        <v>8</v>
      </c>
      <c r="AB206">
        <v>7</v>
      </c>
      <c r="AC206">
        <v>1</v>
      </c>
      <c r="AD206">
        <v>6</v>
      </c>
      <c r="AE206">
        <v>8</v>
      </c>
      <c r="AF206">
        <v>4</v>
      </c>
      <c r="AG206">
        <v>4</v>
      </c>
      <c r="AH206">
        <v>9</v>
      </c>
      <c r="AI206">
        <v>5</v>
      </c>
      <c r="AJ206">
        <v>4</v>
      </c>
      <c r="AK206" t="s">
        <v>2076</v>
      </c>
      <c r="AL206" t="s">
        <v>2077</v>
      </c>
      <c r="AM206" t="s">
        <v>2078</v>
      </c>
      <c r="AN206" t="s">
        <v>2079</v>
      </c>
      <c r="AO206" t="s">
        <v>2080</v>
      </c>
      <c r="AP206" t="s">
        <v>2081</v>
      </c>
      <c r="AQ206" t="s">
        <v>2082</v>
      </c>
      <c r="AR206" t="s">
        <v>2083</v>
      </c>
      <c r="AS206" t="s">
        <v>2084</v>
      </c>
    </row>
    <row r="207" spans="1:45" x14ac:dyDescent="0.45">
      <c r="A207">
        <v>206</v>
      </c>
      <c r="B207">
        <v>2196</v>
      </c>
      <c r="C207" t="s">
        <v>72</v>
      </c>
      <c r="D207" t="s">
        <v>79</v>
      </c>
      <c r="E207" t="s">
        <v>74</v>
      </c>
      <c r="F207" t="s">
        <v>77</v>
      </c>
      <c r="G207" t="s">
        <v>76</v>
      </c>
      <c r="H207">
        <v>67.334763590608418</v>
      </c>
      <c r="I207">
        <v>1</v>
      </c>
      <c r="J207">
        <v>8</v>
      </c>
      <c r="K207">
        <v>8</v>
      </c>
      <c r="L207">
        <v>0</v>
      </c>
      <c r="M207">
        <v>7</v>
      </c>
      <c r="N207">
        <v>8</v>
      </c>
      <c r="O207">
        <v>-1</v>
      </c>
      <c r="P207">
        <v>9</v>
      </c>
      <c r="Q207">
        <v>5</v>
      </c>
      <c r="R207">
        <v>4</v>
      </c>
      <c r="S207">
        <v>10</v>
      </c>
      <c r="T207">
        <v>7</v>
      </c>
      <c r="U207">
        <v>3</v>
      </c>
      <c r="V207">
        <v>8</v>
      </c>
      <c r="W207">
        <v>7</v>
      </c>
      <c r="X207">
        <v>1</v>
      </c>
      <c r="Y207">
        <v>9</v>
      </c>
      <c r="Z207">
        <v>6</v>
      </c>
      <c r="AA207">
        <v>3</v>
      </c>
      <c r="AB207">
        <v>8</v>
      </c>
      <c r="AC207">
        <v>6</v>
      </c>
      <c r="AD207">
        <v>2</v>
      </c>
      <c r="AE207">
        <v>7</v>
      </c>
      <c r="AF207">
        <v>7</v>
      </c>
      <c r="AG207">
        <v>0</v>
      </c>
      <c r="AH207">
        <v>9</v>
      </c>
      <c r="AI207">
        <v>7</v>
      </c>
      <c r="AJ207">
        <v>2</v>
      </c>
      <c r="AK207" t="s">
        <v>2085</v>
      </c>
      <c r="AL207" t="s">
        <v>2086</v>
      </c>
      <c r="AM207" t="s">
        <v>2087</v>
      </c>
      <c r="AN207" t="s">
        <v>2088</v>
      </c>
      <c r="AO207" t="s">
        <v>2089</v>
      </c>
      <c r="AP207" t="s">
        <v>2090</v>
      </c>
      <c r="AQ207" t="s">
        <v>2091</v>
      </c>
      <c r="AR207" t="s">
        <v>2092</v>
      </c>
      <c r="AS207" t="s">
        <v>2093</v>
      </c>
    </row>
    <row r="208" spans="1:45" x14ac:dyDescent="0.45">
      <c r="A208">
        <v>207</v>
      </c>
      <c r="B208">
        <v>2197</v>
      </c>
      <c r="C208" t="s">
        <v>78</v>
      </c>
      <c r="D208" t="s">
        <v>73</v>
      </c>
      <c r="E208" t="s">
        <v>74</v>
      </c>
      <c r="F208" t="s">
        <v>77</v>
      </c>
      <c r="G208" t="s">
        <v>76</v>
      </c>
      <c r="H208">
        <v>60.262001971001808</v>
      </c>
      <c r="I208">
        <v>2</v>
      </c>
      <c r="J208">
        <v>7</v>
      </c>
      <c r="K208">
        <v>4</v>
      </c>
      <c r="L208">
        <v>3</v>
      </c>
      <c r="M208">
        <v>8</v>
      </c>
      <c r="N208">
        <v>3</v>
      </c>
      <c r="O208">
        <v>5</v>
      </c>
      <c r="P208">
        <v>9</v>
      </c>
      <c r="Q208">
        <v>1</v>
      </c>
      <c r="R208">
        <v>8</v>
      </c>
      <c r="S208">
        <v>10</v>
      </c>
      <c r="T208">
        <v>2</v>
      </c>
      <c r="U208">
        <v>8</v>
      </c>
      <c r="V208">
        <v>8</v>
      </c>
      <c r="W208">
        <v>1</v>
      </c>
      <c r="X208">
        <v>7</v>
      </c>
      <c r="Y208">
        <v>9</v>
      </c>
      <c r="Z208">
        <v>1</v>
      </c>
      <c r="AA208">
        <v>8</v>
      </c>
      <c r="AB208">
        <v>7</v>
      </c>
      <c r="AC208">
        <v>1</v>
      </c>
      <c r="AD208">
        <v>6</v>
      </c>
      <c r="AE208">
        <v>6</v>
      </c>
      <c r="AF208">
        <v>4</v>
      </c>
      <c r="AG208">
        <v>2</v>
      </c>
      <c r="AH208">
        <v>9</v>
      </c>
      <c r="AI208">
        <v>2</v>
      </c>
      <c r="AJ208">
        <v>7</v>
      </c>
      <c r="AK208" t="s">
        <v>2094</v>
      </c>
      <c r="AL208" t="s">
        <v>2095</v>
      </c>
      <c r="AM208" t="s">
        <v>2096</v>
      </c>
      <c r="AN208" t="s">
        <v>2097</v>
      </c>
      <c r="AO208" t="s">
        <v>2098</v>
      </c>
      <c r="AP208" t="s">
        <v>2099</v>
      </c>
      <c r="AQ208" t="s">
        <v>2100</v>
      </c>
      <c r="AR208" t="s">
        <v>2101</v>
      </c>
      <c r="AS208" t="s">
        <v>262</v>
      </c>
    </row>
    <row r="209" spans="1:45" x14ac:dyDescent="0.45">
      <c r="A209">
        <v>208</v>
      </c>
      <c r="B209">
        <v>2198</v>
      </c>
      <c r="C209" t="s">
        <v>72</v>
      </c>
      <c r="D209" t="s">
        <v>73</v>
      </c>
      <c r="E209" t="s">
        <v>74</v>
      </c>
      <c r="F209" t="s">
        <v>75</v>
      </c>
      <c r="G209" t="s">
        <v>76</v>
      </c>
      <c r="H209">
        <v>46.752900936072265</v>
      </c>
      <c r="I209">
        <v>1</v>
      </c>
      <c r="J209">
        <v>8</v>
      </c>
      <c r="K209">
        <v>7</v>
      </c>
      <c r="L209">
        <v>1</v>
      </c>
      <c r="M209">
        <v>9</v>
      </c>
      <c r="N209">
        <v>8</v>
      </c>
      <c r="O209">
        <v>1</v>
      </c>
      <c r="P209">
        <v>8</v>
      </c>
      <c r="Q209">
        <v>6</v>
      </c>
      <c r="R209">
        <v>2</v>
      </c>
      <c r="S209">
        <v>9</v>
      </c>
      <c r="T209">
        <v>7</v>
      </c>
      <c r="U209">
        <v>2</v>
      </c>
      <c r="V209">
        <v>9</v>
      </c>
      <c r="W209">
        <v>6</v>
      </c>
      <c r="X209">
        <v>3</v>
      </c>
      <c r="Y209">
        <v>8</v>
      </c>
      <c r="Z209">
        <v>7</v>
      </c>
      <c r="AA209">
        <v>1</v>
      </c>
      <c r="AB209">
        <v>9</v>
      </c>
      <c r="AC209">
        <v>6</v>
      </c>
      <c r="AD209">
        <v>3</v>
      </c>
      <c r="AE209">
        <v>8</v>
      </c>
      <c r="AF209">
        <v>6</v>
      </c>
      <c r="AG209">
        <v>2</v>
      </c>
      <c r="AH209">
        <v>9</v>
      </c>
      <c r="AI209">
        <v>6</v>
      </c>
      <c r="AJ209">
        <v>3</v>
      </c>
      <c r="AK209" t="s">
        <v>2102</v>
      </c>
      <c r="AL209" t="s">
        <v>2103</v>
      </c>
      <c r="AM209" t="s">
        <v>2104</v>
      </c>
      <c r="AN209" t="s">
        <v>2105</v>
      </c>
      <c r="AO209" t="s">
        <v>2106</v>
      </c>
      <c r="AP209" t="s">
        <v>2107</v>
      </c>
      <c r="AQ209" t="s">
        <v>2108</v>
      </c>
      <c r="AR209" t="s">
        <v>2109</v>
      </c>
      <c r="AS209" t="s">
        <v>2110</v>
      </c>
    </row>
    <row r="210" spans="1:45" x14ac:dyDescent="0.45">
      <c r="A210">
        <v>209</v>
      </c>
      <c r="B210">
        <v>2199</v>
      </c>
      <c r="C210" t="s">
        <v>72</v>
      </c>
      <c r="D210" t="s">
        <v>73</v>
      </c>
      <c r="E210" t="s">
        <v>74</v>
      </c>
      <c r="F210" t="s">
        <v>77</v>
      </c>
      <c r="G210" t="s">
        <v>76</v>
      </c>
      <c r="H210">
        <v>43.547367865424363</v>
      </c>
      <c r="I210">
        <v>0</v>
      </c>
      <c r="J210">
        <v>9</v>
      </c>
      <c r="K210">
        <v>6</v>
      </c>
      <c r="L210">
        <v>3</v>
      </c>
      <c r="M210">
        <v>8</v>
      </c>
      <c r="N210">
        <v>6</v>
      </c>
      <c r="O210">
        <v>2</v>
      </c>
      <c r="P210">
        <v>9</v>
      </c>
      <c r="Q210">
        <v>6</v>
      </c>
      <c r="R210">
        <v>3</v>
      </c>
      <c r="S210">
        <v>8</v>
      </c>
      <c r="T210">
        <v>6</v>
      </c>
      <c r="U210">
        <v>2</v>
      </c>
      <c r="V210">
        <v>7</v>
      </c>
      <c r="W210">
        <v>6</v>
      </c>
      <c r="X210">
        <v>1</v>
      </c>
      <c r="Y210">
        <v>8</v>
      </c>
      <c r="Z210">
        <v>5</v>
      </c>
      <c r="AA210">
        <v>3</v>
      </c>
      <c r="AB210">
        <v>7</v>
      </c>
      <c r="AC210">
        <v>6</v>
      </c>
      <c r="AD210">
        <v>1</v>
      </c>
      <c r="AE210">
        <v>8</v>
      </c>
      <c r="AF210">
        <v>6</v>
      </c>
      <c r="AG210">
        <v>2</v>
      </c>
      <c r="AH210">
        <v>9</v>
      </c>
      <c r="AI210">
        <v>6</v>
      </c>
      <c r="AJ210">
        <v>3</v>
      </c>
      <c r="AK210" t="s">
        <v>2111</v>
      </c>
      <c r="AL210" t="s">
        <v>2112</v>
      </c>
      <c r="AM210" t="s">
        <v>2113</v>
      </c>
      <c r="AN210" t="s">
        <v>2114</v>
      </c>
      <c r="AO210" t="s">
        <v>2115</v>
      </c>
      <c r="AP210" t="s">
        <v>2116</v>
      </c>
      <c r="AQ210" t="s">
        <v>2117</v>
      </c>
      <c r="AR210" t="s">
        <v>2118</v>
      </c>
      <c r="AS210" t="s">
        <v>2119</v>
      </c>
    </row>
    <row r="211" spans="1:45" x14ac:dyDescent="0.45">
      <c r="A211">
        <v>210</v>
      </c>
      <c r="B211">
        <v>2200</v>
      </c>
      <c r="C211" t="s">
        <v>78</v>
      </c>
      <c r="D211" t="s">
        <v>73</v>
      </c>
      <c r="E211" t="s">
        <v>74</v>
      </c>
      <c r="F211" t="s">
        <v>77</v>
      </c>
      <c r="G211" t="s">
        <v>76</v>
      </c>
      <c r="H211">
        <v>28.560004683260935</v>
      </c>
      <c r="I211">
        <v>0</v>
      </c>
      <c r="J211">
        <v>8</v>
      </c>
      <c r="K211">
        <v>7</v>
      </c>
      <c r="L211">
        <v>1</v>
      </c>
      <c r="M211">
        <v>10</v>
      </c>
      <c r="N211">
        <v>7</v>
      </c>
      <c r="O211">
        <v>3</v>
      </c>
      <c r="P211">
        <v>10</v>
      </c>
      <c r="Q211">
        <v>8</v>
      </c>
      <c r="R211">
        <v>2</v>
      </c>
      <c r="S211">
        <v>10</v>
      </c>
      <c r="T211">
        <v>8</v>
      </c>
      <c r="U211">
        <v>2</v>
      </c>
      <c r="V211">
        <v>9</v>
      </c>
      <c r="W211">
        <v>8</v>
      </c>
      <c r="X211">
        <v>1</v>
      </c>
      <c r="Y211">
        <v>10</v>
      </c>
      <c r="Z211">
        <v>9</v>
      </c>
      <c r="AA211">
        <v>1</v>
      </c>
      <c r="AB211">
        <v>9</v>
      </c>
      <c r="AC211">
        <v>8</v>
      </c>
      <c r="AD211">
        <v>1</v>
      </c>
      <c r="AE211">
        <v>10</v>
      </c>
      <c r="AF211">
        <v>8</v>
      </c>
      <c r="AG211">
        <v>2</v>
      </c>
      <c r="AH211">
        <v>10</v>
      </c>
      <c r="AI211">
        <v>8</v>
      </c>
      <c r="AJ211">
        <v>2</v>
      </c>
      <c r="AK211" t="s">
        <v>2120</v>
      </c>
      <c r="AL211" t="s">
        <v>2121</v>
      </c>
      <c r="AM211" t="s">
        <v>2122</v>
      </c>
      <c r="AN211" t="s">
        <v>2123</v>
      </c>
      <c r="AO211" t="s">
        <v>2124</v>
      </c>
      <c r="AP211" t="s">
        <v>2125</v>
      </c>
      <c r="AQ211" t="s">
        <v>2126</v>
      </c>
      <c r="AR211" t="s">
        <v>2127</v>
      </c>
      <c r="AS211" t="s">
        <v>2128</v>
      </c>
    </row>
    <row r="212" spans="1:45" x14ac:dyDescent="0.45">
      <c r="A212">
        <v>211</v>
      </c>
      <c r="B212">
        <v>2201</v>
      </c>
      <c r="C212" t="s">
        <v>72</v>
      </c>
      <c r="D212" t="s">
        <v>73</v>
      </c>
      <c r="E212" t="s">
        <v>74</v>
      </c>
      <c r="F212" t="s">
        <v>77</v>
      </c>
      <c r="G212" t="s">
        <v>76</v>
      </c>
      <c r="H212">
        <v>63.416603098597655</v>
      </c>
      <c r="I212">
        <v>1</v>
      </c>
      <c r="J212">
        <v>8</v>
      </c>
      <c r="K212">
        <v>7</v>
      </c>
      <c r="L212">
        <v>1</v>
      </c>
      <c r="M212">
        <v>8</v>
      </c>
      <c r="N212">
        <v>7</v>
      </c>
      <c r="O212">
        <v>1</v>
      </c>
      <c r="P212">
        <v>9</v>
      </c>
      <c r="Q212">
        <v>7</v>
      </c>
      <c r="R212">
        <v>2</v>
      </c>
      <c r="S212">
        <v>9</v>
      </c>
      <c r="T212">
        <v>7</v>
      </c>
      <c r="U212">
        <v>2</v>
      </c>
      <c r="V212">
        <v>8</v>
      </c>
      <c r="W212">
        <v>7</v>
      </c>
      <c r="X212">
        <v>1</v>
      </c>
      <c r="Y212">
        <v>9</v>
      </c>
      <c r="Z212">
        <v>7</v>
      </c>
      <c r="AA212">
        <v>2</v>
      </c>
      <c r="AB212">
        <v>8</v>
      </c>
      <c r="AC212">
        <v>7</v>
      </c>
      <c r="AD212">
        <v>1</v>
      </c>
      <c r="AE212">
        <v>7</v>
      </c>
      <c r="AF212">
        <v>7</v>
      </c>
      <c r="AG212">
        <v>0</v>
      </c>
      <c r="AH212">
        <v>9</v>
      </c>
      <c r="AI212">
        <v>7</v>
      </c>
      <c r="AJ212">
        <v>2</v>
      </c>
      <c r="AK212" t="s">
        <v>2129</v>
      </c>
      <c r="AL212" t="s">
        <v>2130</v>
      </c>
      <c r="AM212" t="s">
        <v>2131</v>
      </c>
      <c r="AN212" t="s">
        <v>2132</v>
      </c>
      <c r="AO212" t="s">
        <v>2133</v>
      </c>
      <c r="AP212" t="s">
        <v>2134</v>
      </c>
      <c r="AQ212" t="s">
        <v>2135</v>
      </c>
      <c r="AR212" t="s">
        <v>2136</v>
      </c>
      <c r="AS212" t="s">
        <v>2137</v>
      </c>
    </row>
    <row r="213" spans="1:45" x14ac:dyDescent="0.45">
      <c r="A213">
        <v>212</v>
      </c>
      <c r="B213">
        <v>2202</v>
      </c>
      <c r="C213" t="s">
        <v>72</v>
      </c>
      <c r="D213" t="s">
        <v>73</v>
      </c>
      <c r="E213" t="s">
        <v>74</v>
      </c>
      <c r="F213" t="s">
        <v>77</v>
      </c>
      <c r="G213" t="s">
        <v>76</v>
      </c>
      <c r="H213">
        <v>62.857520934509097</v>
      </c>
      <c r="I213">
        <v>0</v>
      </c>
      <c r="J213">
        <v>7</v>
      </c>
      <c r="K213">
        <v>5</v>
      </c>
      <c r="L213">
        <v>2</v>
      </c>
      <c r="M213">
        <v>6</v>
      </c>
      <c r="N213">
        <v>5</v>
      </c>
      <c r="O213">
        <v>1</v>
      </c>
      <c r="P213">
        <v>9</v>
      </c>
      <c r="Q213">
        <v>1</v>
      </c>
      <c r="R213">
        <v>8</v>
      </c>
      <c r="S213">
        <v>9</v>
      </c>
      <c r="T213">
        <v>5</v>
      </c>
      <c r="U213">
        <v>4</v>
      </c>
      <c r="V213">
        <v>8</v>
      </c>
      <c r="W213">
        <v>5</v>
      </c>
      <c r="X213">
        <v>3</v>
      </c>
      <c r="Y213">
        <v>9</v>
      </c>
      <c r="Z213">
        <v>5</v>
      </c>
      <c r="AA213">
        <v>4</v>
      </c>
      <c r="AB213">
        <v>8</v>
      </c>
      <c r="AC213">
        <v>4</v>
      </c>
      <c r="AD213">
        <v>4</v>
      </c>
      <c r="AE213">
        <v>7</v>
      </c>
      <c r="AF213">
        <v>5</v>
      </c>
      <c r="AG213">
        <v>2</v>
      </c>
      <c r="AH213">
        <v>9</v>
      </c>
      <c r="AI213">
        <v>5</v>
      </c>
      <c r="AJ213">
        <v>4</v>
      </c>
      <c r="AK213" t="s">
        <v>2138</v>
      </c>
      <c r="AL213" t="s">
        <v>2139</v>
      </c>
      <c r="AM213" t="s">
        <v>2140</v>
      </c>
      <c r="AN213" t="s">
        <v>2141</v>
      </c>
      <c r="AO213" t="s">
        <v>2142</v>
      </c>
      <c r="AP213" t="s">
        <v>2143</v>
      </c>
      <c r="AQ213" t="s">
        <v>2144</v>
      </c>
      <c r="AR213" t="s">
        <v>2145</v>
      </c>
      <c r="AS213" t="s">
        <v>2146</v>
      </c>
    </row>
    <row r="214" spans="1:45" x14ac:dyDescent="0.45">
      <c r="A214">
        <v>213</v>
      </c>
      <c r="B214">
        <v>2203</v>
      </c>
      <c r="C214" t="s">
        <v>72</v>
      </c>
      <c r="D214" t="s">
        <v>73</v>
      </c>
      <c r="E214" t="s">
        <v>74</v>
      </c>
      <c r="F214" t="s">
        <v>77</v>
      </c>
      <c r="G214" t="s">
        <v>76</v>
      </c>
      <c r="H214">
        <v>54.46559089304855</v>
      </c>
      <c r="I214">
        <v>4</v>
      </c>
      <c r="J214">
        <v>9</v>
      </c>
      <c r="K214">
        <v>7</v>
      </c>
      <c r="L214">
        <v>2</v>
      </c>
      <c r="M214">
        <v>8</v>
      </c>
      <c r="N214">
        <v>8</v>
      </c>
      <c r="O214">
        <v>0</v>
      </c>
      <c r="P214">
        <v>9</v>
      </c>
      <c r="Q214">
        <v>8</v>
      </c>
      <c r="R214">
        <v>1</v>
      </c>
      <c r="S214">
        <v>8</v>
      </c>
      <c r="T214">
        <v>8</v>
      </c>
      <c r="U214">
        <v>0</v>
      </c>
      <c r="V214">
        <v>9</v>
      </c>
      <c r="W214">
        <v>8</v>
      </c>
      <c r="X214">
        <v>1</v>
      </c>
      <c r="Y214">
        <v>8</v>
      </c>
      <c r="Z214">
        <v>8</v>
      </c>
      <c r="AA214">
        <v>0</v>
      </c>
      <c r="AB214">
        <v>9</v>
      </c>
      <c r="AC214">
        <v>8</v>
      </c>
      <c r="AD214">
        <v>1</v>
      </c>
      <c r="AE214">
        <v>8</v>
      </c>
      <c r="AF214">
        <v>8</v>
      </c>
      <c r="AG214">
        <v>0</v>
      </c>
      <c r="AH214">
        <v>9</v>
      </c>
      <c r="AI214">
        <v>8</v>
      </c>
      <c r="AJ214">
        <v>1</v>
      </c>
      <c r="AK214" t="s">
        <v>2147</v>
      </c>
      <c r="AL214" t="s">
        <v>2148</v>
      </c>
      <c r="AM214" t="s">
        <v>2149</v>
      </c>
      <c r="AN214" t="s">
        <v>2150</v>
      </c>
      <c r="AO214" t="s">
        <v>2151</v>
      </c>
      <c r="AP214" t="s">
        <v>2152</v>
      </c>
      <c r="AQ214" t="s">
        <v>2153</v>
      </c>
      <c r="AR214" t="s">
        <v>2154</v>
      </c>
      <c r="AS214" t="s">
        <v>2155</v>
      </c>
    </row>
    <row r="215" spans="1:45" x14ac:dyDescent="0.45">
      <c r="A215">
        <v>214</v>
      </c>
      <c r="B215">
        <v>2204</v>
      </c>
      <c r="C215" t="s">
        <v>72</v>
      </c>
      <c r="D215" t="s">
        <v>73</v>
      </c>
      <c r="E215" t="s">
        <v>74</v>
      </c>
      <c r="F215" t="s">
        <v>75</v>
      </c>
      <c r="G215" t="s">
        <v>76</v>
      </c>
      <c r="H215">
        <v>64.809338630682674</v>
      </c>
      <c r="I215">
        <v>4</v>
      </c>
      <c r="J215">
        <v>7</v>
      </c>
      <c r="K215">
        <v>9</v>
      </c>
      <c r="L215">
        <v>-2</v>
      </c>
      <c r="M215">
        <v>6</v>
      </c>
      <c r="N215">
        <v>9</v>
      </c>
      <c r="O215">
        <v>-3</v>
      </c>
      <c r="P215">
        <v>9</v>
      </c>
      <c r="Q215">
        <v>9</v>
      </c>
      <c r="R215">
        <v>0</v>
      </c>
      <c r="S215">
        <v>8</v>
      </c>
      <c r="T215">
        <v>9</v>
      </c>
      <c r="U215">
        <v>-1</v>
      </c>
      <c r="V215">
        <v>7</v>
      </c>
      <c r="W215">
        <v>9</v>
      </c>
      <c r="X215">
        <v>-2</v>
      </c>
      <c r="Y215">
        <v>9</v>
      </c>
      <c r="Z215">
        <v>9</v>
      </c>
      <c r="AA215">
        <v>0</v>
      </c>
      <c r="AB215">
        <v>6</v>
      </c>
      <c r="AC215">
        <v>9</v>
      </c>
      <c r="AD215">
        <v>-3</v>
      </c>
      <c r="AE215">
        <v>8</v>
      </c>
      <c r="AF215">
        <v>9</v>
      </c>
      <c r="AG215">
        <v>-1</v>
      </c>
      <c r="AH215">
        <v>9</v>
      </c>
      <c r="AI215">
        <v>9</v>
      </c>
      <c r="AJ215">
        <v>0</v>
      </c>
      <c r="AK215" t="s">
        <v>2156</v>
      </c>
      <c r="AL215" t="s">
        <v>2157</v>
      </c>
      <c r="AM215" t="s">
        <v>2158</v>
      </c>
      <c r="AN215" t="s">
        <v>2159</v>
      </c>
      <c r="AO215" t="s">
        <v>2160</v>
      </c>
      <c r="AP215" t="s">
        <v>2161</v>
      </c>
      <c r="AQ215" t="s">
        <v>2162</v>
      </c>
      <c r="AR215" t="s">
        <v>2163</v>
      </c>
      <c r="AS215" t="s">
        <v>2164</v>
      </c>
    </row>
    <row r="216" spans="1:45" x14ac:dyDescent="0.45">
      <c r="A216">
        <v>215</v>
      </c>
      <c r="B216">
        <v>2205</v>
      </c>
      <c r="C216" t="s">
        <v>72</v>
      </c>
      <c r="D216" t="s">
        <v>73</v>
      </c>
      <c r="E216" t="s">
        <v>74</v>
      </c>
      <c r="F216" t="s">
        <v>75</v>
      </c>
      <c r="G216" t="s">
        <v>76</v>
      </c>
      <c r="H216">
        <v>19.821571689948538</v>
      </c>
      <c r="I216">
        <v>2</v>
      </c>
      <c r="J216">
        <v>7</v>
      </c>
      <c r="K216">
        <v>5</v>
      </c>
      <c r="L216">
        <v>2</v>
      </c>
      <c r="M216">
        <v>8</v>
      </c>
      <c r="N216">
        <v>5</v>
      </c>
      <c r="O216">
        <v>3</v>
      </c>
      <c r="P216">
        <v>9</v>
      </c>
      <c r="Q216">
        <v>5</v>
      </c>
      <c r="R216">
        <v>4</v>
      </c>
      <c r="S216">
        <v>9</v>
      </c>
      <c r="T216">
        <v>5</v>
      </c>
      <c r="U216">
        <v>4</v>
      </c>
      <c r="V216">
        <v>8</v>
      </c>
      <c r="W216">
        <v>5</v>
      </c>
      <c r="X216">
        <v>3</v>
      </c>
      <c r="Y216">
        <v>9</v>
      </c>
      <c r="Z216">
        <v>5</v>
      </c>
      <c r="AA216">
        <v>4</v>
      </c>
      <c r="AB216">
        <v>8</v>
      </c>
      <c r="AC216">
        <v>5</v>
      </c>
      <c r="AD216">
        <v>3</v>
      </c>
      <c r="AE216">
        <v>7</v>
      </c>
      <c r="AF216">
        <v>5</v>
      </c>
      <c r="AG216">
        <v>2</v>
      </c>
      <c r="AH216">
        <v>9</v>
      </c>
      <c r="AI216">
        <v>5</v>
      </c>
      <c r="AJ216">
        <v>4</v>
      </c>
      <c r="AK216" t="s">
        <v>2165</v>
      </c>
      <c r="AL216" t="s">
        <v>2166</v>
      </c>
      <c r="AM216" t="s">
        <v>2167</v>
      </c>
      <c r="AN216" t="s">
        <v>2168</v>
      </c>
      <c r="AO216" t="s">
        <v>2169</v>
      </c>
      <c r="AP216" t="s">
        <v>2170</v>
      </c>
      <c r="AQ216" t="s">
        <v>2171</v>
      </c>
      <c r="AR216" t="s">
        <v>2172</v>
      </c>
      <c r="AS216" t="s">
        <v>2173</v>
      </c>
    </row>
    <row r="217" spans="1:45" x14ac:dyDescent="0.45">
      <c r="A217">
        <v>216</v>
      </c>
      <c r="B217">
        <v>2206</v>
      </c>
      <c r="C217" t="s">
        <v>72</v>
      </c>
      <c r="D217" t="s">
        <v>73</v>
      </c>
      <c r="E217" t="s">
        <v>74</v>
      </c>
      <c r="F217" t="s">
        <v>75</v>
      </c>
      <c r="G217" t="s">
        <v>76</v>
      </c>
      <c r="H217">
        <v>41.401414327447036</v>
      </c>
      <c r="I217">
        <v>1</v>
      </c>
      <c r="J217">
        <v>8</v>
      </c>
      <c r="K217">
        <v>6</v>
      </c>
      <c r="L217">
        <v>2</v>
      </c>
      <c r="M217">
        <v>9</v>
      </c>
      <c r="N217">
        <v>7</v>
      </c>
      <c r="O217">
        <v>2</v>
      </c>
      <c r="P217">
        <v>7</v>
      </c>
      <c r="Q217">
        <v>7</v>
      </c>
      <c r="R217">
        <v>0</v>
      </c>
      <c r="S217">
        <v>9</v>
      </c>
      <c r="T217">
        <v>7</v>
      </c>
      <c r="U217">
        <v>2</v>
      </c>
      <c r="V217">
        <v>7</v>
      </c>
      <c r="W217">
        <v>6</v>
      </c>
      <c r="X217">
        <v>1</v>
      </c>
      <c r="Y217">
        <v>8</v>
      </c>
      <c r="Z217">
        <v>7</v>
      </c>
      <c r="AA217">
        <v>1</v>
      </c>
      <c r="AB217">
        <v>7</v>
      </c>
      <c r="AC217">
        <v>7</v>
      </c>
      <c r="AD217">
        <v>0</v>
      </c>
      <c r="AE217">
        <v>6</v>
      </c>
      <c r="AF217">
        <v>7</v>
      </c>
      <c r="AG217">
        <v>-1</v>
      </c>
      <c r="AH217">
        <v>8</v>
      </c>
      <c r="AI217">
        <v>7</v>
      </c>
      <c r="AJ217">
        <v>1</v>
      </c>
      <c r="AK217" t="s">
        <v>2174</v>
      </c>
      <c r="AL217" t="s">
        <v>2175</v>
      </c>
      <c r="AM217" t="s">
        <v>2176</v>
      </c>
      <c r="AN217" t="s">
        <v>2177</v>
      </c>
      <c r="AO217" t="s">
        <v>2178</v>
      </c>
      <c r="AP217" t="s">
        <v>2179</v>
      </c>
      <c r="AQ217" t="s">
        <v>2180</v>
      </c>
      <c r="AR217" t="s">
        <v>2181</v>
      </c>
      <c r="AS217" t="s">
        <v>2182</v>
      </c>
    </row>
    <row r="218" spans="1:45" x14ac:dyDescent="0.45">
      <c r="A218">
        <v>217</v>
      </c>
      <c r="B218">
        <v>2207</v>
      </c>
      <c r="C218" t="s">
        <v>78</v>
      </c>
      <c r="D218" t="s">
        <v>73</v>
      </c>
      <c r="E218" t="s">
        <v>74</v>
      </c>
      <c r="F218" t="s">
        <v>77</v>
      </c>
      <c r="G218" t="s">
        <v>76</v>
      </c>
      <c r="H218">
        <v>41.834261296939601</v>
      </c>
      <c r="I218">
        <v>0</v>
      </c>
      <c r="J218">
        <v>6</v>
      </c>
      <c r="K218">
        <v>5</v>
      </c>
      <c r="L218">
        <v>1</v>
      </c>
      <c r="M218">
        <v>7</v>
      </c>
      <c r="N218">
        <v>5</v>
      </c>
      <c r="O218">
        <v>2</v>
      </c>
      <c r="P218">
        <v>8</v>
      </c>
      <c r="Q218">
        <v>5</v>
      </c>
      <c r="R218">
        <v>3</v>
      </c>
      <c r="S218">
        <v>9</v>
      </c>
      <c r="T218">
        <v>6</v>
      </c>
      <c r="U218">
        <v>3</v>
      </c>
      <c r="V218">
        <v>8</v>
      </c>
      <c r="W218">
        <v>5</v>
      </c>
      <c r="X218">
        <v>3</v>
      </c>
      <c r="Y218">
        <v>9</v>
      </c>
      <c r="Z218">
        <v>5</v>
      </c>
      <c r="AA218">
        <v>4</v>
      </c>
      <c r="AB218">
        <v>8</v>
      </c>
      <c r="AC218">
        <v>5</v>
      </c>
      <c r="AD218">
        <v>3</v>
      </c>
      <c r="AE218">
        <v>9</v>
      </c>
      <c r="AF218">
        <v>5</v>
      </c>
      <c r="AG218">
        <v>4</v>
      </c>
      <c r="AH218">
        <v>8</v>
      </c>
      <c r="AI218">
        <v>5</v>
      </c>
      <c r="AJ218">
        <v>3</v>
      </c>
      <c r="AK218" t="s">
        <v>2183</v>
      </c>
      <c r="AL218" t="s">
        <v>2184</v>
      </c>
      <c r="AM218" t="s">
        <v>2185</v>
      </c>
      <c r="AN218" t="s">
        <v>2186</v>
      </c>
      <c r="AO218" t="s">
        <v>2187</v>
      </c>
      <c r="AP218" t="s">
        <v>2188</v>
      </c>
      <c r="AQ218" t="s">
        <v>2189</v>
      </c>
      <c r="AR218" t="s">
        <v>2190</v>
      </c>
      <c r="AS218" t="s">
        <v>2191</v>
      </c>
    </row>
    <row r="219" spans="1:45" x14ac:dyDescent="0.45">
      <c r="A219">
        <v>218</v>
      </c>
      <c r="B219">
        <v>2208</v>
      </c>
      <c r="C219" t="s">
        <v>72</v>
      </c>
      <c r="D219" t="s">
        <v>73</v>
      </c>
      <c r="E219" t="s">
        <v>74</v>
      </c>
      <c r="F219" t="s">
        <v>77</v>
      </c>
      <c r="G219" t="s">
        <v>76</v>
      </c>
      <c r="H219">
        <v>65.255038986454082</v>
      </c>
      <c r="I219">
        <v>3</v>
      </c>
      <c r="J219">
        <v>8</v>
      </c>
      <c r="K219">
        <v>6</v>
      </c>
      <c r="L219">
        <v>2</v>
      </c>
      <c r="M219">
        <v>7</v>
      </c>
      <c r="N219">
        <v>7</v>
      </c>
      <c r="O219">
        <v>0</v>
      </c>
      <c r="P219">
        <v>9</v>
      </c>
      <c r="Q219">
        <v>7</v>
      </c>
      <c r="R219">
        <v>2</v>
      </c>
      <c r="S219">
        <v>10</v>
      </c>
      <c r="T219">
        <v>7</v>
      </c>
      <c r="U219">
        <v>3</v>
      </c>
      <c r="V219">
        <v>8</v>
      </c>
      <c r="W219">
        <v>7</v>
      </c>
      <c r="X219">
        <v>1</v>
      </c>
      <c r="Y219">
        <v>9</v>
      </c>
      <c r="Z219">
        <v>7</v>
      </c>
      <c r="AA219">
        <v>2</v>
      </c>
      <c r="AB219">
        <v>8</v>
      </c>
      <c r="AC219">
        <v>7</v>
      </c>
      <c r="AD219">
        <v>1</v>
      </c>
      <c r="AE219">
        <v>7</v>
      </c>
      <c r="AF219">
        <v>7</v>
      </c>
      <c r="AG219">
        <v>0</v>
      </c>
      <c r="AH219">
        <v>9</v>
      </c>
      <c r="AI219">
        <v>7</v>
      </c>
      <c r="AJ219">
        <v>2</v>
      </c>
      <c r="AK219" t="s">
        <v>2192</v>
      </c>
      <c r="AL219" t="s">
        <v>2193</v>
      </c>
      <c r="AM219" t="s">
        <v>2194</v>
      </c>
      <c r="AN219" t="s">
        <v>2195</v>
      </c>
      <c r="AO219" t="s">
        <v>2196</v>
      </c>
      <c r="AP219" t="s">
        <v>2197</v>
      </c>
      <c r="AQ219" t="s">
        <v>2198</v>
      </c>
      <c r="AR219" t="s">
        <v>2199</v>
      </c>
      <c r="AS219" t="s">
        <v>2200</v>
      </c>
    </row>
    <row r="220" spans="1:45" x14ac:dyDescent="0.45">
      <c r="A220">
        <v>219</v>
      </c>
      <c r="B220">
        <v>2209</v>
      </c>
      <c r="C220" t="s">
        <v>78</v>
      </c>
      <c r="D220" t="s">
        <v>193</v>
      </c>
      <c r="E220" t="s">
        <v>74</v>
      </c>
      <c r="F220" t="s">
        <v>75</v>
      </c>
      <c r="G220" t="s">
        <v>76</v>
      </c>
      <c r="H220">
        <v>149.08467482785926</v>
      </c>
      <c r="I220">
        <v>2</v>
      </c>
      <c r="J220">
        <v>5</v>
      </c>
      <c r="K220">
        <v>7</v>
      </c>
      <c r="L220">
        <v>-2</v>
      </c>
      <c r="M220">
        <v>6</v>
      </c>
      <c r="N220">
        <v>8</v>
      </c>
      <c r="O220">
        <v>-2</v>
      </c>
      <c r="P220">
        <v>7</v>
      </c>
      <c r="Q220">
        <v>8</v>
      </c>
      <c r="R220">
        <v>-1</v>
      </c>
      <c r="S220">
        <v>8</v>
      </c>
      <c r="T220">
        <v>8</v>
      </c>
      <c r="U220">
        <v>0</v>
      </c>
      <c r="V220">
        <v>6</v>
      </c>
      <c r="W220">
        <v>8</v>
      </c>
      <c r="X220">
        <v>-2</v>
      </c>
      <c r="Y220">
        <v>9</v>
      </c>
      <c r="Z220">
        <v>5</v>
      </c>
      <c r="AA220">
        <v>4</v>
      </c>
      <c r="AB220">
        <v>7</v>
      </c>
      <c r="AC220">
        <v>5</v>
      </c>
      <c r="AD220">
        <v>2</v>
      </c>
      <c r="AE220">
        <v>6</v>
      </c>
      <c r="AF220">
        <v>7</v>
      </c>
      <c r="AG220">
        <v>-1</v>
      </c>
      <c r="AH220">
        <v>8</v>
      </c>
      <c r="AI220">
        <v>6</v>
      </c>
      <c r="AJ220">
        <v>2</v>
      </c>
      <c r="AK220" t="s">
        <v>2201</v>
      </c>
      <c r="AL220" t="s">
        <v>2202</v>
      </c>
      <c r="AM220" t="s">
        <v>2203</v>
      </c>
      <c r="AN220" t="s">
        <v>2204</v>
      </c>
      <c r="AO220" t="s">
        <v>2205</v>
      </c>
      <c r="AP220" t="s">
        <v>2206</v>
      </c>
      <c r="AQ220" t="s">
        <v>2207</v>
      </c>
      <c r="AR220" t="s">
        <v>2208</v>
      </c>
      <c r="AS220" t="s">
        <v>2209</v>
      </c>
    </row>
    <row r="221" spans="1:45" x14ac:dyDescent="0.45">
      <c r="A221">
        <v>220</v>
      </c>
      <c r="B221">
        <v>2210</v>
      </c>
      <c r="C221" t="s">
        <v>72</v>
      </c>
      <c r="D221" t="s">
        <v>191</v>
      </c>
      <c r="E221" t="s">
        <v>74</v>
      </c>
      <c r="F221" t="s">
        <v>75</v>
      </c>
      <c r="G221" t="s">
        <v>76</v>
      </c>
      <c r="H221">
        <v>215.45995146555558</v>
      </c>
      <c r="I221">
        <v>1</v>
      </c>
      <c r="J221">
        <v>9</v>
      </c>
      <c r="K221">
        <v>10</v>
      </c>
      <c r="L221">
        <v>-1</v>
      </c>
      <c r="M221">
        <v>9</v>
      </c>
      <c r="N221">
        <v>10</v>
      </c>
      <c r="O221">
        <v>-1</v>
      </c>
      <c r="P221">
        <v>8</v>
      </c>
      <c r="Q221">
        <v>6</v>
      </c>
      <c r="R221">
        <v>2</v>
      </c>
      <c r="S221">
        <v>9</v>
      </c>
      <c r="T221">
        <v>9</v>
      </c>
      <c r="U221">
        <v>0</v>
      </c>
      <c r="V221">
        <v>8</v>
      </c>
      <c r="W221">
        <v>9</v>
      </c>
      <c r="X221">
        <v>-1</v>
      </c>
      <c r="Y221">
        <v>9</v>
      </c>
      <c r="Z221">
        <v>9</v>
      </c>
      <c r="AA221">
        <v>0</v>
      </c>
      <c r="AB221">
        <v>8</v>
      </c>
      <c r="AC221">
        <v>9</v>
      </c>
      <c r="AD221">
        <v>-1</v>
      </c>
      <c r="AE221">
        <v>9</v>
      </c>
      <c r="AF221">
        <v>8</v>
      </c>
      <c r="AG221">
        <v>1</v>
      </c>
      <c r="AH221">
        <v>8</v>
      </c>
      <c r="AI221">
        <v>8</v>
      </c>
      <c r="AJ221">
        <v>0</v>
      </c>
      <c r="AK221" t="s">
        <v>2210</v>
      </c>
      <c r="AL221" t="s">
        <v>2211</v>
      </c>
      <c r="AM221" t="s">
        <v>2212</v>
      </c>
      <c r="AN221" t="s">
        <v>2213</v>
      </c>
      <c r="AO221" t="s">
        <v>2214</v>
      </c>
      <c r="AP221" t="s">
        <v>2215</v>
      </c>
      <c r="AQ221" t="s">
        <v>2216</v>
      </c>
      <c r="AR221" t="s">
        <v>2217</v>
      </c>
      <c r="AS221" t="s">
        <v>2218</v>
      </c>
    </row>
    <row r="222" spans="1:45" x14ac:dyDescent="0.45">
      <c r="A222">
        <v>221</v>
      </c>
      <c r="B222">
        <v>2211</v>
      </c>
      <c r="C222" t="s">
        <v>72</v>
      </c>
      <c r="D222" t="s">
        <v>79</v>
      </c>
      <c r="E222" t="s">
        <v>74</v>
      </c>
      <c r="F222" t="s">
        <v>77</v>
      </c>
      <c r="G222" t="s">
        <v>76</v>
      </c>
      <c r="H222">
        <v>64.305378599568215</v>
      </c>
      <c r="I222">
        <v>1</v>
      </c>
      <c r="J222">
        <v>6</v>
      </c>
      <c r="K222">
        <v>4</v>
      </c>
      <c r="L222">
        <v>2</v>
      </c>
      <c r="M222">
        <v>6</v>
      </c>
      <c r="N222">
        <v>4</v>
      </c>
      <c r="O222">
        <v>2</v>
      </c>
      <c r="P222">
        <v>7</v>
      </c>
      <c r="Q222">
        <v>4</v>
      </c>
      <c r="R222">
        <v>3</v>
      </c>
      <c r="S222">
        <v>7</v>
      </c>
      <c r="T222">
        <v>6</v>
      </c>
      <c r="U222">
        <v>1</v>
      </c>
      <c r="V222">
        <v>8</v>
      </c>
      <c r="W222">
        <v>5</v>
      </c>
      <c r="X222">
        <v>3</v>
      </c>
      <c r="Y222">
        <v>9</v>
      </c>
      <c r="Z222">
        <v>6</v>
      </c>
      <c r="AA222">
        <v>3</v>
      </c>
      <c r="AB222">
        <v>7</v>
      </c>
      <c r="AC222">
        <v>5</v>
      </c>
      <c r="AD222">
        <v>2</v>
      </c>
      <c r="AE222">
        <v>8</v>
      </c>
      <c r="AF222">
        <v>6</v>
      </c>
      <c r="AG222">
        <v>2</v>
      </c>
      <c r="AH222">
        <v>9</v>
      </c>
      <c r="AI222">
        <v>5</v>
      </c>
      <c r="AJ222">
        <v>4</v>
      </c>
      <c r="AK222" t="s">
        <v>2219</v>
      </c>
      <c r="AL222" t="s">
        <v>2220</v>
      </c>
      <c r="AM222" t="s">
        <v>2221</v>
      </c>
      <c r="AN222" t="s">
        <v>2222</v>
      </c>
      <c r="AO222" t="s">
        <v>2223</v>
      </c>
      <c r="AP222" t="s">
        <v>2224</v>
      </c>
      <c r="AQ222" t="s">
        <v>2225</v>
      </c>
      <c r="AR222" t="s">
        <v>2226</v>
      </c>
      <c r="AS222" t="s">
        <v>2227</v>
      </c>
    </row>
    <row r="223" spans="1:45" x14ac:dyDescent="0.45">
      <c r="A223">
        <v>222</v>
      </c>
      <c r="B223">
        <v>2212</v>
      </c>
      <c r="C223" t="s">
        <v>72</v>
      </c>
      <c r="D223" t="s">
        <v>191</v>
      </c>
      <c r="E223" t="s">
        <v>74</v>
      </c>
      <c r="F223" t="s">
        <v>77</v>
      </c>
      <c r="G223" t="s">
        <v>76</v>
      </c>
      <c r="H223">
        <v>64.997736802972142</v>
      </c>
      <c r="I223">
        <v>2</v>
      </c>
      <c r="J223">
        <v>7</v>
      </c>
      <c r="K223">
        <v>4</v>
      </c>
      <c r="L223">
        <v>3</v>
      </c>
      <c r="M223">
        <v>6</v>
      </c>
      <c r="N223">
        <v>5</v>
      </c>
      <c r="O223">
        <v>1</v>
      </c>
      <c r="P223">
        <v>8</v>
      </c>
      <c r="Q223">
        <v>4</v>
      </c>
      <c r="R223">
        <v>4</v>
      </c>
      <c r="S223">
        <v>9</v>
      </c>
      <c r="T223">
        <v>5</v>
      </c>
      <c r="U223">
        <v>4</v>
      </c>
      <c r="V223">
        <v>6</v>
      </c>
      <c r="W223">
        <v>5</v>
      </c>
      <c r="X223">
        <v>1</v>
      </c>
      <c r="Y223">
        <v>8</v>
      </c>
      <c r="Z223">
        <v>5</v>
      </c>
      <c r="AA223">
        <v>3</v>
      </c>
      <c r="AB223">
        <v>7</v>
      </c>
      <c r="AC223">
        <v>5</v>
      </c>
      <c r="AD223">
        <v>2</v>
      </c>
      <c r="AE223">
        <v>5</v>
      </c>
      <c r="AF223">
        <v>5</v>
      </c>
      <c r="AG223">
        <v>0</v>
      </c>
      <c r="AH223">
        <v>8</v>
      </c>
      <c r="AI223">
        <v>5</v>
      </c>
      <c r="AJ223">
        <v>3</v>
      </c>
      <c r="AK223" t="s">
        <v>2228</v>
      </c>
      <c r="AL223" t="s">
        <v>2229</v>
      </c>
      <c r="AM223" t="s">
        <v>2230</v>
      </c>
      <c r="AN223" t="s">
        <v>2231</v>
      </c>
      <c r="AO223" t="s">
        <v>2232</v>
      </c>
      <c r="AP223" t="s">
        <v>2233</v>
      </c>
      <c r="AQ223" t="s">
        <v>2234</v>
      </c>
      <c r="AR223" t="s">
        <v>2235</v>
      </c>
      <c r="AS223" t="s">
        <v>2236</v>
      </c>
    </row>
    <row r="224" spans="1:45" x14ac:dyDescent="0.45">
      <c r="A224">
        <v>223</v>
      </c>
      <c r="B224">
        <v>2213</v>
      </c>
      <c r="C224" t="s">
        <v>78</v>
      </c>
      <c r="D224" t="s">
        <v>73</v>
      </c>
      <c r="E224" t="s">
        <v>74</v>
      </c>
      <c r="F224" t="s">
        <v>77</v>
      </c>
      <c r="G224" t="s">
        <v>76</v>
      </c>
      <c r="H224">
        <v>65.920209687056527</v>
      </c>
      <c r="I224">
        <v>2</v>
      </c>
      <c r="J224">
        <v>9</v>
      </c>
      <c r="K224">
        <v>6</v>
      </c>
      <c r="L224">
        <v>3</v>
      </c>
      <c r="M224">
        <v>8</v>
      </c>
      <c r="N224">
        <v>6</v>
      </c>
      <c r="O224">
        <v>2</v>
      </c>
      <c r="P224">
        <v>9</v>
      </c>
      <c r="Q224">
        <v>7</v>
      </c>
      <c r="R224">
        <v>2</v>
      </c>
      <c r="S224">
        <v>8</v>
      </c>
      <c r="T224">
        <v>7</v>
      </c>
      <c r="U224">
        <v>1</v>
      </c>
      <c r="V224">
        <v>9</v>
      </c>
      <c r="W224">
        <v>6</v>
      </c>
      <c r="X224">
        <v>3</v>
      </c>
      <c r="Y224">
        <v>8</v>
      </c>
      <c r="Z224">
        <v>6</v>
      </c>
      <c r="AA224">
        <v>2</v>
      </c>
      <c r="AB224">
        <v>9</v>
      </c>
      <c r="AC224">
        <v>8</v>
      </c>
      <c r="AD224">
        <v>1</v>
      </c>
      <c r="AE224">
        <v>8</v>
      </c>
      <c r="AF224">
        <v>8</v>
      </c>
      <c r="AG224">
        <v>0</v>
      </c>
      <c r="AH224">
        <v>9</v>
      </c>
      <c r="AI224">
        <v>7</v>
      </c>
      <c r="AJ224">
        <v>2</v>
      </c>
      <c r="AK224" t="s">
        <v>2237</v>
      </c>
      <c r="AL224" t="s">
        <v>2238</v>
      </c>
      <c r="AM224" t="s">
        <v>2239</v>
      </c>
      <c r="AN224" t="s">
        <v>2240</v>
      </c>
      <c r="AO224" t="s">
        <v>2241</v>
      </c>
      <c r="AP224" t="s">
        <v>2242</v>
      </c>
      <c r="AQ224" t="s">
        <v>2243</v>
      </c>
      <c r="AR224" t="s">
        <v>2244</v>
      </c>
      <c r="AS224" t="s">
        <v>2245</v>
      </c>
    </row>
    <row r="225" spans="1:45" x14ac:dyDescent="0.45">
      <c r="A225">
        <v>224</v>
      </c>
      <c r="B225">
        <v>2214</v>
      </c>
      <c r="C225" t="s">
        <v>72</v>
      </c>
      <c r="D225" t="s">
        <v>73</v>
      </c>
      <c r="E225" t="s">
        <v>74</v>
      </c>
      <c r="F225" t="s">
        <v>75</v>
      </c>
      <c r="G225" t="s">
        <v>76</v>
      </c>
      <c r="H225">
        <v>54.0873404483496</v>
      </c>
      <c r="I225">
        <v>0</v>
      </c>
      <c r="J225">
        <v>7</v>
      </c>
      <c r="K225">
        <v>7</v>
      </c>
      <c r="L225">
        <v>0</v>
      </c>
      <c r="M225">
        <v>7</v>
      </c>
      <c r="N225">
        <v>7</v>
      </c>
      <c r="O225">
        <v>0</v>
      </c>
      <c r="P225">
        <v>8</v>
      </c>
      <c r="Q225">
        <v>7</v>
      </c>
      <c r="R225">
        <v>1</v>
      </c>
      <c r="S225">
        <v>9</v>
      </c>
      <c r="T225">
        <v>7</v>
      </c>
      <c r="U225">
        <v>2</v>
      </c>
      <c r="V225">
        <v>8</v>
      </c>
      <c r="W225">
        <v>7</v>
      </c>
      <c r="X225">
        <v>1</v>
      </c>
      <c r="Y225">
        <v>8</v>
      </c>
      <c r="Z225">
        <v>7</v>
      </c>
      <c r="AA225">
        <v>1</v>
      </c>
      <c r="AB225">
        <v>7</v>
      </c>
      <c r="AC225">
        <v>7</v>
      </c>
      <c r="AD225">
        <v>0</v>
      </c>
      <c r="AE225">
        <v>6</v>
      </c>
      <c r="AF225">
        <v>7</v>
      </c>
      <c r="AG225">
        <v>-1</v>
      </c>
      <c r="AH225">
        <v>9</v>
      </c>
      <c r="AI225">
        <v>7</v>
      </c>
      <c r="AJ225">
        <v>2</v>
      </c>
      <c r="AK225" t="s">
        <v>2246</v>
      </c>
      <c r="AL225" t="s">
        <v>2247</v>
      </c>
      <c r="AM225" t="s">
        <v>2248</v>
      </c>
      <c r="AN225" t="s">
        <v>2249</v>
      </c>
      <c r="AO225" t="s">
        <v>2250</v>
      </c>
      <c r="AP225" t="s">
        <v>2251</v>
      </c>
      <c r="AQ225" t="s">
        <v>2252</v>
      </c>
      <c r="AR225" t="s">
        <v>2253</v>
      </c>
      <c r="AS225" t="s">
        <v>2254</v>
      </c>
    </row>
    <row r="226" spans="1:45" x14ac:dyDescent="0.45">
      <c r="A226">
        <v>225</v>
      </c>
      <c r="B226">
        <v>2215</v>
      </c>
      <c r="C226" t="s">
        <v>72</v>
      </c>
      <c r="D226" t="s">
        <v>73</v>
      </c>
      <c r="E226" t="s">
        <v>74</v>
      </c>
      <c r="F226" t="s">
        <v>77</v>
      </c>
      <c r="G226" t="s">
        <v>76</v>
      </c>
      <c r="H226">
        <v>43.414690117838731</v>
      </c>
      <c r="I226">
        <v>1</v>
      </c>
      <c r="J226">
        <v>6</v>
      </c>
      <c r="K226">
        <v>6</v>
      </c>
      <c r="L226">
        <v>0</v>
      </c>
      <c r="M226">
        <v>7</v>
      </c>
      <c r="N226">
        <v>6</v>
      </c>
      <c r="O226">
        <v>1</v>
      </c>
      <c r="P226">
        <v>8</v>
      </c>
      <c r="Q226">
        <v>7</v>
      </c>
      <c r="R226">
        <v>1</v>
      </c>
      <c r="S226">
        <v>9</v>
      </c>
      <c r="T226">
        <v>7</v>
      </c>
      <c r="U226">
        <v>2</v>
      </c>
      <c r="V226">
        <v>7</v>
      </c>
      <c r="W226">
        <v>5</v>
      </c>
      <c r="X226">
        <v>2</v>
      </c>
      <c r="Y226">
        <v>9</v>
      </c>
      <c r="Z226">
        <v>6</v>
      </c>
      <c r="AA226">
        <v>3</v>
      </c>
      <c r="AB226">
        <v>7</v>
      </c>
      <c r="AC226">
        <v>6</v>
      </c>
      <c r="AD226">
        <v>1</v>
      </c>
      <c r="AE226">
        <v>8</v>
      </c>
      <c r="AF226">
        <v>6</v>
      </c>
      <c r="AG226">
        <v>2</v>
      </c>
      <c r="AH226">
        <v>9</v>
      </c>
      <c r="AI226">
        <v>7</v>
      </c>
      <c r="AJ226">
        <v>2</v>
      </c>
      <c r="AK226" t="s">
        <v>2255</v>
      </c>
      <c r="AL226" t="s">
        <v>2256</v>
      </c>
      <c r="AM226" t="s">
        <v>2257</v>
      </c>
      <c r="AN226" t="s">
        <v>2258</v>
      </c>
      <c r="AO226" t="s">
        <v>2259</v>
      </c>
      <c r="AP226" t="s">
        <v>2260</v>
      </c>
      <c r="AQ226" t="s">
        <v>2261</v>
      </c>
      <c r="AR226" t="s">
        <v>2262</v>
      </c>
      <c r="AS226" t="s">
        <v>2263</v>
      </c>
    </row>
    <row r="227" spans="1:45" x14ac:dyDescent="0.45">
      <c r="A227">
        <v>226</v>
      </c>
      <c r="B227">
        <v>2216</v>
      </c>
      <c r="C227" t="s">
        <v>72</v>
      </c>
      <c r="D227" t="s">
        <v>193</v>
      </c>
      <c r="E227" t="s">
        <v>74</v>
      </c>
      <c r="F227" t="s">
        <v>75</v>
      </c>
      <c r="G227" t="s">
        <v>76</v>
      </c>
      <c r="H227">
        <v>84.074035270115829</v>
      </c>
      <c r="I227">
        <v>2</v>
      </c>
      <c r="J227">
        <v>9</v>
      </c>
      <c r="K227">
        <v>7</v>
      </c>
      <c r="L227">
        <v>2</v>
      </c>
      <c r="M227">
        <v>7</v>
      </c>
      <c r="N227">
        <v>7</v>
      </c>
      <c r="O227">
        <v>0</v>
      </c>
      <c r="P227">
        <v>8</v>
      </c>
      <c r="Q227">
        <v>6</v>
      </c>
      <c r="R227">
        <v>2</v>
      </c>
      <c r="S227">
        <v>9</v>
      </c>
      <c r="T227">
        <v>7</v>
      </c>
      <c r="U227">
        <v>2</v>
      </c>
      <c r="V227">
        <v>7</v>
      </c>
      <c r="W227">
        <v>7</v>
      </c>
      <c r="X227">
        <v>0</v>
      </c>
      <c r="Y227">
        <v>8</v>
      </c>
      <c r="Z227">
        <v>7</v>
      </c>
      <c r="AA227">
        <v>1</v>
      </c>
      <c r="AB227">
        <v>7</v>
      </c>
      <c r="AC227">
        <v>7</v>
      </c>
      <c r="AD227">
        <v>0</v>
      </c>
      <c r="AE227">
        <v>6</v>
      </c>
      <c r="AF227">
        <v>7</v>
      </c>
      <c r="AG227">
        <v>-1</v>
      </c>
      <c r="AH227">
        <v>8</v>
      </c>
      <c r="AI227">
        <v>7</v>
      </c>
      <c r="AJ227">
        <v>1</v>
      </c>
      <c r="AK227" t="s">
        <v>2264</v>
      </c>
      <c r="AL227" t="s">
        <v>2265</v>
      </c>
      <c r="AM227" t="s">
        <v>2266</v>
      </c>
      <c r="AN227" t="s">
        <v>2267</v>
      </c>
      <c r="AO227" t="s">
        <v>2268</v>
      </c>
      <c r="AP227" t="s">
        <v>2269</v>
      </c>
      <c r="AQ227" t="s">
        <v>2270</v>
      </c>
      <c r="AR227" t="s">
        <v>2271</v>
      </c>
      <c r="AS227" t="s">
        <v>2272</v>
      </c>
    </row>
    <row r="228" spans="1:45" x14ac:dyDescent="0.45">
      <c r="A228">
        <v>227</v>
      </c>
      <c r="B228">
        <v>2217</v>
      </c>
      <c r="C228" t="s">
        <v>72</v>
      </c>
      <c r="D228" t="s">
        <v>81</v>
      </c>
      <c r="E228" t="s">
        <v>74</v>
      </c>
      <c r="F228" t="s">
        <v>77</v>
      </c>
      <c r="G228" t="s">
        <v>76</v>
      </c>
      <c r="H228">
        <v>26.554586124237517</v>
      </c>
      <c r="I228">
        <v>0</v>
      </c>
      <c r="J228">
        <v>7</v>
      </c>
      <c r="K228">
        <v>6</v>
      </c>
      <c r="L228">
        <v>1</v>
      </c>
      <c r="M228">
        <v>6</v>
      </c>
      <c r="N228">
        <v>6</v>
      </c>
      <c r="O228">
        <v>0</v>
      </c>
      <c r="P228">
        <v>9</v>
      </c>
      <c r="Q228">
        <v>6</v>
      </c>
      <c r="R228">
        <v>3</v>
      </c>
      <c r="S228">
        <v>10</v>
      </c>
      <c r="T228">
        <v>6</v>
      </c>
      <c r="U228">
        <v>4</v>
      </c>
      <c r="V228">
        <v>7</v>
      </c>
      <c r="W228">
        <v>6</v>
      </c>
      <c r="X228">
        <v>1</v>
      </c>
      <c r="Y228">
        <v>8</v>
      </c>
      <c r="Z228">
        <v>6</v>
      </c>
      <c r="AA228">
        <v>2</v>
      </c>
      <c r="AB228">
        <v>7</v>
      </c>
      <c r="AC228">
        <v>6</v>
      </c>
      <c r="AD228">
        <v>1</v>
      </c>
      <c r="AE228">
        <v>6</v>
      </c>
      <c r="AF228">
        <v>6</v>
      </c>
      <c r="AG228">
        <v>0</v>
      </c>
      <c r="AH228">
        <v>9</v>
      </c>
      <c r="AI228">
        <v>6</v>
      </c>
      <c r="AJ228">
        <v>3</v>
      </c>
      <c r="AK228" t="s">
        <v>2273</v>
      </c>
      <c r="AL228" t="s">
        <v>2274</v>
      </c>
      <c r="AM228" t="s">
        <v>2275</v>
      </c>
      <c r="AN228" t="s">
        <v>2276</v>
      </c>
      <c r="AO228" t="s">
        <v>2277</v>
      </c>
      <c r="AP228" t="s">
        <v>2278</v>
      </c>
      <c r="AQ228" t="s">
        <v>2279</v>
      </c>
      <c r="AR228" t="s">
        <v>2280</v>
      </c>
      <c r="AS228" t="s">
        <v>2281</v>
      </c>
    </row>
    <row r="229" spans="1:45" x14ac:dyDescent="0.45">
      <c r="A229">
        <v>228</v>
      </c>
      <c r="B229">
        <v>2218</v>
      </c>
      <c r="C229" t="s">
        <v>72</v>
      </c>
      <c r="D229" t="s">
        <v>81</v>
      </c>
      <c r="E229" t="s">
        <v>74</v>
      </c>
      <c r="F229" t="s">
        <v>77</v>
      </c>
      <c r="G229" t="s">
        <v>76</v>
      </c>
      <c r="H229">
        <v>18.971675083764307</v>
      </c>
      <c r="I229">
        <v>2</v>
      </c>
      <c r="J229">
        <v>6</v>
      </c>
      <c r="K229">
        <v>8</v>
      </c>
      <c r="L229">
        <v>-2</v>
      </c>
      <c r="M229">
        <v>7</v>
      </c>
      <c r="N229">
        <v>9</v>
      </c>
      <c r="O229">
        <v>-2</v>
      </c>
      <c r="P229">
        <v>9</v>
      </c>
      <c r="Q229">
        <v>7</v>
      </c>
      <c r="R229">
        <v>2</v>
      </c>
      <c r="S229">
        <v>8</v>
      </c>
      <c r="T229">
        <v>8</v>
      </c>
      <c r="U229">
        <v>0</v>
      </c>
      <c r="V229">
        <v>9</v>
      </c>
      <c r="W229">
        <v>9</v>
      </c>
      <c r="X229">
        <v>0</v>
      </c>
      <c r="Y229">
        <v>8</v>
      </c>
      <c r="Z229">
        <v>8</v>
      </c>
      <c r="AA229">
        <v>0</v>
      </c>
      <c r="AB229">
        <v>9</v>
      </c>
      <c r="AC229">
        <v>8</v>
      </c>
      <c r="AD229">
        <v>1</v>
      </c>
      <c r="AE229">
        <v>8</v>
      </c>
      <c r="AF229">
        <v>8</v>
      </c>
      <c r="AG229">
        <v>0</v>
      </c>
      <c r="AH229">
        <v>9</v>
      </c>
      <c r="AI229">
        <v>8</v>
      </c>
      <c r="AJ229">
        <v>1</v>
      </c>
      <c r="AK229" t="s">
        <v>2282</v>
      </c>
      <c r="AL229" t="s">
        <v>2283</v>
      </c>
      <c r="AM229" t="s">
        <v>2284</v>
      </c>
      <c r="AN229" t="s">
        <v>2285</v>
      </c>
      <c r="AO229" t="s">
        <v>2286</v>
      </c>
      <c r="AP229" t="s">
        <v>2287</v>
      </c>
      <c r="AQ229" t="s">
        <v>2288</v>
      </c>
      <c r="AR229" t="s">
        <v>2289</v>
      </c>
      <c r="AS229" t="s">
        <v>2290</v>
      </c>
    </row>
    <row r="230" spans="1:45" x14ac:dyDescent="0.45">
      <c r="A230">
        <v>229</v>
      </c>
      <c r="B230">
        <v>2219</v>
      </c>
      <c r="C230" t="s">
        <v>72</v>
      </c>
      <c r="D230" t="s">
        <v>73</v>
      </c>
      <c r="E230" t="s">
        <v>74</v>
      </c>
      <c r="F230" t="s">
        <v>77</v>
      </c>
      <c r="G230" t="s">
        <v>76</v>
      </c>
      <c r="H230">
        <v>62.619751996049857</v>
      </c>
      <c r="I230">
        <v>2</v>
      </c>
      <c r="J230">
        <v>5</v>
      </c>
      <c r="K230">
        <v>6</v>
      </c>
      <c r="L230">
        <v>-1</v>
      </c>
      <c r="M230">
        <v>7</v>
      </c>
      <c r="N230">
        <v>6</v>
      </c>
      <c r="O230">
        <v>1</v>
      </c>
      <c r="P230">
        <v>9</v>
      </c>
      <c r="Q230">
        <v>6</v>
      </c>
      <c r="R230">
        <v>3</v>
      </c>
      <c r="S230">
        <v>8</v>
      </c>
      <c r="T230">
        <v>6</v>
      </c>
      <c r="U230">
        <v>2</v>
      </c>
      <c r="V230">
        <v>7</v>
      </c>
      <c r="W230">
        <v>6</v>
      </c>
      <c r="X230">
        <v>1</v>
      </c>
      <c r="Y230">
        <v>8</v>
      </c>
      <c r="Z230">
        <v>7</v>
      </c>
      <c r="AA230">
        <v>1</v>
      </c>
      <c r="AB230">
        <v>6</v>
      </c>
      <c r="AC230">
        <v>6</v>
      </c>
      <c r="AD230">
        <v>0</v>
      </c>
      <c r="AE230">
        <v>7</v>
      </c>
      <c r="AF230">
        <v>6</v>
      </c>
      <c r="AG230">
        <v>1</v>
      </c>
      <c r="AH230">
        <v>9</v>
      </c>
      <c r="AI230">
        <v>7</v>
      </c>
      <c r="AJ230">
        <v>2</v>
      </c>
      <c r="AK230" t="s">
        <v>2291</v>
      </c>
      <c r="AL230" t="s">
        <v>2292</v>
      </c>
      <c r="AM230" t="s">
        <v>2293</v>
      </c>
      <c r="AN230" t="s">
        <v>2294</v>
      </c>
      <c r="AO230" t="s">
        <v>2295</v>
      </c>
      <c r="AP230" t="s">
        <v>2296</v>
      </c>
      <c r="AQ230" t="s">
        <v>2297</v>
      </c>
      <c r="AR230" t="s">
        <v>2298</v>
      </c>
      <c r="AS230" t="s">
        <v>2299</v>
      </c>
    </row>
    <row r="231" spans="1:45" x14ac:dyDescent="0.45">
      <c r="A231">
        <v>230</v>
      </c>
      <c r="B231">
        <v>2220</v>
      </c>
      <c r="C231" t="s">
        <v>72</v>
      </c>
      <c r="D231" t="s">
        <v>79</v>
      </c>
      <c r="E231" t="s">
        <v>74</v>
      </c>
      <c r="F231" t="s">
        <v>75</v>
      </c>
      <c r="G231" t="s">
        <v>76</v>
      </c>
      <c r="H231">
        <v>95.054824638140062</v>
      </c>
      <c r="I231">
        <v>4</v>
      </c>
      <c r="J231">
        <v>7</v>
      </c>
      <c r="K231">
        <v>4</v>
      </c>
      <c r="L231">
        <v>3</v>
      </c>
      <c r="M231">
        <v>8</v>
      </c>
      <c r="N231">
        <v>5</v>
      </c>
      <c r="O231">
        <v>3</v>
      </c>
      <c r="P231">
        <v>9</v>
      </c>
      <c r="Q231">
        <v>1</v>
      </c>
      <c r="R231">
        <v>8</v>
      </c>
      <c r="S231">
        <v>10</v>
      </c>
      <c r="T231">
        <v>6</v>
      </c>
      <c r="U231">
        <v>4</v>
      </c>
      <c r="V231">
        <v>9</v>
      </c>
      <c r="W231">
        <v>4</v>
      </c>
      <c r="X231">
        <v>5</v>
      </c>
      <c r="Y231">
        <v>8</v>
      </c>
      <c r="Z231">
        <v>4</v>
      </c>
      <c r="AA231">
        <v>4</v>
      </c>
      <c r="AB231">
        <v>9</v>
      </c>
      <c r="AC231">
        <v>5</v>
      </c>
      <c r="AD231">
        <v>4</v>
      </c>
      <c r="AE231">
        <v>7</v>
      </c>
      <c r="AF231">
        <v>5</v>
      </c>
      <c r="AG231">
        <v>2</v>
      </c>
      <c r="AH231">
        <v>8</v>
      </c>
      <c r="AI231">
        <v>5</v>
      </c>
      <c r="AJ231">
        <v>3</v>
      </c>
      <c r="AK231" t="s">
        <v>2300</v>
      </c>
      <c r="AL231" t="s">
        <v>2301</v>
      </c>
      <c r="AM231" t="s">
        <v>2302</v>
      </c>
      <c r="AN231" t="s">
        <v>2303</v>
      </c>
      <c r="AO231" t="s">
        <v>2304</v>
      </c>
      <c r="AP231" t="s">
        <v>2305</v>
      </c>
      <c r="AQ231" t="s">
        <v>2306</v>
      </c>
      <c r="AR231" t="s">
        <v>2307</v>
      </c>
      <c r="AS231" t="s">
        <v>2308</v>
      </c>
    </row>
    <row r="232" spans="1:45" x14ac:dyDescent="0.45">
      <c r="A232">
        <v>231</v>
      </c>
      <c r="B232">
        <v>2221</v>
      </c>
      <c r="C232" t="s">
        <v>78</v>
      </c>
      <c r="D232" t="s">
        <v>193</v>
      </c>
      <c r="E232" t="s">
        <v>74</v>
      </c>
      <c r="F232" t="s">
        <v>75</v>
      </c>
      <c r="G232" t="s">
        <v>76</v>
      </c>
      <c r="H232">
        <v>186.43692716427915</v>
      </c>
      <c r="I232">
        <v>4</v>
      </c>
      <c r="J232">
        <v>6</v>
      </c>
      <c r="K232">
        <v>8</v>
      </c>
      <c r="L232">
        <v>-2</v>
      </c>
      <c r="M232">
        <v>8</v>
      </c>
      <c r="N232">
        <v>8</v>
      </c>
      <c r="O232">
        <v>0</v>
      </c>
      <c r="P232">
        <v>7</v>
      </c>
      <c r="Q232">
        <v>8</v>
      </c>
      <c r="R232">
        <v>-1</v>
      </c>
      <c r="S232">
        <v>9</v>
      </c>
      <c r="T232">
        <v>8</v>
      </c>
      <c r="U232">
        <v>1</v>
      </c>
      <c r="V232">
        <v>7</v>
      </c>
      <c r="W232">
        <v>7</v>
      </c>
      <c r="X232">
        <v>0</v>
      </c>
      <c r="Y232">
        <v>8</v>
      </c>
      <c r="Z232">
        <v>7</v>
      </c>
      <c r="AA232">
        <v>1</v>
      </c>
      <c r="AB232">
        <v>7</v>
      </c>
      <c r="AC232">
        <v>8</v>
      </c>
      <c r="AD232">
        <v>-1</v>
      </c>
      <c r="AE232">
        <v>9</v>
      </c>
      <c r="AF232">
        <v>7</v>
      </c>
      <c r="AG232">
        <v>2</v>
      </c>
      <c r="AH232">
        <v>8</v>
      </c>
      <c r="AI232">
        <v>8</v>
      </c>
      <c r="AJ232">
        <v>0</v>
      </c>
      <c r="AK232" t="s">
        <v>2309</v>
      </c>
      <c r="AL232" t="s">
        <v>2310</v>
      </c>
      <c r="AM232" t="s">
        <v>2311</v>
      </c>
      <c r="AN232" t="s">
        <v>2312</v>
      </c>
      <c r="AO232" t="s">
        <v>2313</v>
      </c>
      <c r="AP232" t="s">
        <v>2314</v>
      </c>
      <c r="AQ232" t="s">
        <v>2315</v>
      </c>
      <c r="AR232" t="s">
        <v>2316</v>
      </c>
      <c r="AS232" t="s">
        <v>2317</v>
      </c>
    </row>
    <row r="233" spans="1:45" x14ac:dyDescent="0.45">
      <c r="A233">
        <v>232</v>
      </c>
      <c r="B233">
        <v>2222</v>
      </c>
      <c r="C233" t="s">
        <v>78</v>
      </c>
      <c r="D233" t="s">
        <v>73</v>
      </c>
      <c r="E233" t="s">
        <v>74</v>
      </c>
      <c r="F233" t="s">
        <v>77</v>
      </c>
      <c r="G233" t="s">
        <v>76</v>
      </c>
      <c r="H233">
        <v>54.677067865377872</v>
      </c>
      <c r="I233">
        <v>2</v>
      </c>
      <c r="J233">
        <v>7</v>
      </c>
      <c r="K233">
        <v>6</v>
      </c>
      <c r="L233">
        <v>1</v>
      </c>
      <c r="M233">
        <v>6</v>
      </c>
      <c r="N233">
        <v>6</v>
      </c>
      <c r="O233">
        <v>0</v>
      </c>
      <c r="P233">
        <v>8</v>
      </c>
      <c r="Q233">
        <v>6</v>
      </c>
      <c r="R233">
        <v>2</v>
      </c>
      <c r="S233">
        <v>9</v>
      </c>
      <c r="T233">
        <v>6</v>
      </c>
      <c r="U233">
        <v>3</v>
      </c>
      <c r="V233">
        <v>8</v>
      </c>
      <c r="W233">
        <v>6</v>
      </c>
      <c r="X233">
        <v>2</v>
      </c>
      <c r="Y233">
        <v>9</v>
      </c>
      <c r="Z233">
        <v>6</v>
      </c>
      <c r="AA233">
        <v>3</v>
      </c>
      <c r="AB233">
        <v>8</v>
      </c>
      <c r="AC233">
        <v>6</v>
      </c>
      <c r="AD233">
        <v>2</v>
      </c>
      <c r="AE233">
        <v>9</v>
      </c>
      <c r="AF233">
        <v>6</v>
      </c>
      <c r="AG233">
        <v>3</v>
      </c>
      <c r="AH233">
        <v>8</v>
      </c>
      <c r="AI233">
        <v>6</v>
      </c>
      <c r="AJ233">
        <v>2</v>
      </c>
      <c r="AK233" t="s">
        <v>2318</v>
      </c>
      <c r="AL233" t="s">
        <v>2319</v>
      </c>
      <c r="AM233" t="s">
        <v>2320</v>
      </c>
      <c r="AN233" t="s">
        <v>2321</v>
      </c>
      <c r="AO233" t="s">
        <v>2322</v>
      </c>
      <c r="AP233" t="s">
        <v>2323</v>
      </c>
      <c r="AQ233" t="s">
        <v>2324</v>
      </c>
      <c r="AR233" t="s">
        <v>2325</v>
      </c>
      <c r="AS233" t="s">
        <v>2326</v>
      </c>
    </row>
    <row r="234" spans="1:45" x14ac:dyDescent="0.45">
      <c r="A234">
        <v>233</v>
      </c>
      <c r="B234">
        <v>2223</v>
      </c>
      <c r="C234" t="s">
        <v>72</v>
      </c>
      <c r="D234" t="s">
        <v>79</v>
      </c>
      <c r="E234" t="s">
        <v>74</v>
      </c>
      <c r="F234" t="s">
        <v>77</v>
      </c>
      <c r="G234" t="s">
        <v>76</v>
      </c>
      <c r="H234">
        <v>13.101521068160853</v>
      </c>
      <c r="I234">
        <v>1</v>
      </c>
      <c r="J234">
        <v>8</v>
      </c>
      <c r="K234">
        <v>8</v>
      </c>
      <c r="L234">
        <v>0</v>
      </c>
      <c r="M234">
        <v>9</v>
      </c>
      <c r="N234">
        <v>8</v>
      </c>
      <c r="O234">
        <v>1</v>
      </c>
      <c r="P234">
        <v>8</v>
      </c>
      <c r="Q234">
        <v>8</v>
      </c>
      <c r="R234">
        <v>0</v>
      </c>
      <c r="S234">
        <v>9</v>
      </c>
      <c r="T234">
        <v>8</v>
      </c>
      <c r="U234">
        <v>1</v>
      </c>
      <c r="V234">
        <v>8</v>
      </c>
      <c r="W234">
        <v>9</v>
      </c>
      <c r="X234">
        <v>-1</v>
      </c>
      <c r="Y234">
        <v>9</v>
      </c>
      <c r="Z234">
        <v>8</v>
      </c>
      <c r="AA234">
        <v>1</v>
      </c>
      <c r="AB234">
        <v>8</v>
      </c>
      <c r="AC234">
        <v>8</v>
      </c>
      <c r="AD234">
        <v>0</v>
      </c>
      <c r="AE234">
        <v>9</v>
      </c>
      <c r="AF234">
        <v>8</v>
      </c>
      <c r="AG234">
        <v>1</v>
      </c>
      <c r="AH234">
        <v>9</v>
      </c>
      <c r="AI234">
        <v>10</v>
      </c>
      <c r="AJ234">
        <v>-1</v>
      </c>
      <c r="AK234" t="s">
        <v>2327</v>
      </c>
      <c r="AL234" t="s">
        <v>2328</v>
      </c>
      <c r="AM234" t="s">
        <v>2329</v>
      </c>
      <c r="AN234" t="s">
        <v>2330</v>
      </c>
      <c r="AO234" t="s">
        <v>2331</v>
      </c>
      <c r="AP234" t="s">
        <v>2332</v>
      </c>
      <c r="AQ234" t="s">
        <v>2333</v>
      </c>
      <c r="AR234" t="s">
        <v>2334</v>
      </c>
      <c r="AS234" t="s">
        <v>2335</v>
      </c>
    </row>
    <row r="235" spans="1:45" x14ac:dyDescent="0.45">
      <c r="A235">
        <v>234</v>
      </c>
      <c r="B235">
        <v>2224</v>
      </c>
      <c r="C235" t="s">
        <v>72</v>
      </c>
      <c r="D235" t="s">
        <v>191</v>
      </c>
      <c r="E235" t="s">
        <v>74</v>
      </c>
      <c r="F235" t="s">
        <v>75</v>
      </c>
      <c r="G235" t="s">
        <v>76</v>
      </c>
      <c r="H235">
        <v>91.549762628109718</v>
      </c>
      <c r="I235">
        <v>3</v>
      </c>
      <c r="J235">
        <v>8</v>
      </c>
      <c r="K235">
        <v>4</v>
      </c>
      <c r="L235">
        <v>4</v>
      </c>
      <c r="M235">
        <v>9</v>
      </c>
      <c r="N235">
        <v>4</v>
      </c>
      <c r="O235">
        <v>5</v>
      </c>
      <c r="P235">
        <v>7</v>
      </c>
      <c r="Q235">
        <v>4</v>
      </c>
      <c r="R235">
        <v>3</v>
      </c>
      <c r="S235">
        <v>9</v>
      </c>
      <c r="T235">
        <v>4</v>
      </c>
      <c r="U235">
        <v>5</v>
      </c>
      <c r="V235">
        <v>7</v>
      </c>
      <c r="W235">
        <v>1</v>
      </c>
      <c r="X235">
        <v>6</v>
      </c>
      <c r="Y235">
        <v>8</v>
      </c>
      <c r="Z235">
        <v>3</v>
      </c>
      <c r="AA235">
        <v>5</v>
      </c>
      <c r="AB235">
        <v>7</v>
      </c>
      <c r="AC235">
        <v>1</v>
      </c>
      <c r="AD235">
        <v>6</v>
      </c>
      <c r="AE235">
        <v>8</v>
      </c>
      <c r="AF235">
        <v>1</v>
      </c>
      <c r="AG235">
        <v>7</v>
      </c>
      <c r="AH235">
        <v>9</v>
      </c>
      <c r="AI235">
        <v>1</v>
      </c>
      <c r="AJ235">
        <v>8</v>
      </c>
      <c r="AK235" t="s">
        <v>2336</v>
      </c>
      <c r="AL235" t="s">
        <v>2337</v>
      </c>
      <c r="AM235" t="s">
        <v>2338</v>
      </c>
      <c r="AN235" t="s">
        <v>2339</v>
      </c>
      <c r="AO235" t="s">
        <v>2340</v>
      </c>
      <c r="AP235" t="s">
        <v>2341</v>
      </c>
      <c r="AQ235" t="s">
        <v>2342</v>
      </c>
      <c r="AR235" t="s">
        <v>2343</v>
      </c>
      <c r="AS235" t="s">
        <v>2344</v>
      </c>
    </row>
    <row r="236" spans="1:45" x14ac:dyDescent="0.45">
      <c r="A236">
        <v>235</v>
      </c>
      <c r="B236">
        <v>2225</v>
      </c>
      <c r="C236" t="s">
        <v>72</v>
      </c>
      <c r="D236" t="s">
        <v>73</v>
      </c>
      <c r="E236" t="s">
        <v>74</v>
      </c>
      <c r="F236" t="s">
        <v>77</v>
      </c>
      <c r="G236" t="s">
        <v>76</v>
      </c>
      <c r="H236">
        <v>35.712238417609569</v>
      </c>
      <c r="I236">
        <v>0</v>
      </c>
      <c r="J236">
        <v>7</v>
      </c>
      <c r="K236">
        <v>6</v>
      </c>
      <c r="L236">
        <v>1</v>
      </c>
      <c r="M236">
        <v>8</v>
      </c>
      <c r="N236">
        <v>6</v>
      </c>
      <c r="O236">
        <v>2</v>
      </c>
      <c r="P236">
        <v>6</v>
      </c>
      <c r="Q236">
        <v>1</v>
      </c>
      <c r="R236">
        <v>5</v>
      </c>
      <c r="S236">
        <v>9</v>
      </c>
      <c r="T236">
        <v>6</v>
      </c>
      <c r="U236">
        <v>3</v>
      </c>
      <c r="V236">
        <v>8</v>
      </c>
      <c r="W236">
        <v>5</v>
      </c>
      <c r="X236">
        <v>3</v>
      </c>
      <c r="Y236">
        <v>9</v>
      </c>
      <c r="Z236">
        <v>6</v>
      </c>
      <c r="AA236">
        <v>3</v>
      </c>
      <c r="AB236">
        <v>8</v>
      </c>
      <c r="AC236">
        <v>5</v>
      </c>
      <c r="AD236">
        <v>3</v>
      </c>
      <c r="AE236">
        <v>7</v>
      </c>
      <c r="AF236">
        <v>6</v>
      </c>
      <c r="AG236">
        <v>1</v>
      </c>
      <c r="AH236">
        <v>9</v>
      </c>
      <c r="AI236">
        <v>6</v>
      </c>
      <c r="AJ236">
        <v>3</v>
      </c>
      <c r="AK236" t="s">
        <v>2345</v>
      </c>
      <c r="AL236" t="s">
        <v>2346</v>
      </c>
      <c r="AM236" t="s">
        <v>2347</v>
      </c>
      <c r="AN236" t="s">
        <v>2348</v>
      </c>
      <c r="AO236" t="s">
        <v>2349</v>
      </c>
      <c r="AP236" t="s">
        <v>2350</v>
      </c>
      <c r="AQ236" t="s">
        <v>2351</v>
      </c>
      <c r="AR236" t="s">
        <v>2352</v>
      </c>
      <c r="AS236" t="s">
        <v>2353</v>
      </c>
    </row>
    <row r="237" spans="1:45" x14ac:dyDescent="0.45">
      <c r="A237">
        <v>236</v>
      </c>
      <c r="B237">
        <v>2226</v>
      </c>
      <c r="C237" t="s">
        <v>72</v>
      </c>
      <c r="D237" t="s">
        <v>73</v>
      </c>
      <c r="E237" t="s">
        <v>74</v>
      </c>
      <c r="F237" t="s">
        <v>75</v>
      </c>
      <c r="G237" t="s">
        <v>76</v>
      </c>
      <c r="H237">
        <v>58.668880008919636</v>
      </c>
      <c r="I237">
        <v>3</v>
      </c>
      <c r="J237">
        <v>6</v>
      </c>
      <c r="K237">
        <v>7</v>
      </c>
      <c r="L237">
        <v>-1</v>
      </c>
      <c r="M237">
        <v>8</v>
      </c>
      <c r="N237">
        <v>7</v>
      </c>
      <c r="O237">
        <v>1</v>
      </c>
      <c r="P237">
        <v>9</v>
      </c>
      <c r="Q237">
        <v>7</v>
      </c>
      <c r="R237">
        <v>2</v>
      </c>
      <c r="S237">
        <v>9</v>
      </c>
      <c r="T237">
        <v>7</v>
      </c>
      <c r="U237">
        <v>2</v>
      </c>
      <c r="V237">
        <v>7</v>
      </c>
      <c r="W237">
        <v>7</v>
      </c>
      <c r="X237">
        <v>0</v>
      </c>
      <c r="Y237">
        <v>8</v>
      </c>
      <c r="Z237">
        <v>7</v>
      </c>
      <c r="AA237">
        <v>1</v>
      </c>
      <c r="AB237">
        <v>7</v>
      </c>
      <c r="AC237">
        <v>7</v>
      </c>
      <c r="AD237">
        <v>0</v>
      </c>
      <c r="AE237">
        <v>8</v>
      </c>
      <c r="AF237">
        <v>7</v>
      </c>
      <c r="AG237">
        <v>1</v>
      </c>
      <c r="AH237">
        <v>9</v>
      </c>
      <c r="AI237">
        <v>7</v>
      </c>
      <c r="AJ237">
        <v>2</v>
      </c>
      <c r="AK237" t="s">
        <v>2354</v>
      </c>
      <c r="AL237" t="s">
        <v>2355</v>
      </c>
      <c r="AM237" t="s">
        <v>2356</v>
      </c>
      <c r="AN237" t="s">
        <v>2357</v>
      </c>
      <c r="AO237" t="s">
        <v>2358</v>
      </c>
      <c r="AP237" t="s">
        <v>2359</v>
      </c>
      <c r="AQ237" t="s">
        <v>2360</v>
      </c>
      <c r="AR237" t="s">
        <v>2361</v>
      </c>
      <c r="AS237" t="s">
        <v>2362</v>
      </c>
    </row>
    <row r="238" spans="1:45" x14ac:dyDescent="0.45">
      <c r="A238">
        <v>237</v>
      </c>
      <c r="B238">
        <v>2227</v>
      </c>
      <c r="C238" t="s">
        <v>78</v>
      </c>
      <c r="D238" t="s">
        <v>73</v>
      </c>
      <c r="E238" t="s">
        <v>74</v>
      </c>
      <c r="F238" t="s">
        <v>75</v>
      </c>
      <c r="G238" t="s">
        <v>162</v>
      </c>
      <c r="H238">
        <v>15.776987206239891</v>
      </c>
      <c r="I238">
        <v>3</v>
      </c>
      <c r="J238">
        <v>5</v>
      </c>
      <c r="K238">
        <v>10</v>
      </c>
      <c r="L238">
        <v>-5</v>
      </c>
      <c r="M238">
        <v>8</v>
      </c>
      <c r="N238">
        <v>10</v>
      </c>
      <c r="O238">
        <v>-2</v>
      </c>
      <c r="P238">
        <v>6</v>
      </c>
      <c r="Q238">
        <v>4</v>
      </c>
      <c r="R238">
        <v>2</v>
      </c>
      <c r="S238">
        <v>7</v>
      </c>
      <c r="T238">
        <v>6</v>
      </c>
      <c r="U238">
        <v>1</v>
      </c>
      <c r="V238">
        <v>6</v>
      </c>
      <c r="W238">
        <v>3</v>
      </c>
      <c r="X238">
        <v>3</v>
      </c>
      <c r="Y238">
        <v>8</v>
      </c>
      <c r="Z238">
        <v>1</v>
      </c>
      <c r="AA238">
        <v>7</v>
      </c>
      <c r="AB238">
        <v>6</v>
      </c>
      <c r="AC238">
        <v>1</v>
      </c>
      <c r="AD238">
        <v>5</v>
      </c>
      <c r="AE238">
        <v>7</v>
      </c>
      <c r="AF238">
        <v>3</v>
      </c>
      <c r="AG238">
        <v>4</v>
      </c>
      <c r="AH238">
        <v>8</v>
      </c>
      <c r="AI238">
        <v>1</v>
      </c>
      <c r="AJ238">
        <v>7</v>
      </c>
      <c r="AK238" t="s">
        <v>2363</v>
      </c>
      <c r="AL238" t="s">
        <v>2364</v>
      </c>
      <c r="AM238" t="s">
        <v>2365</v>
      </c>
      <c r="AN238" t="s">
        <v>2366</v>
      </c>
      <c r="AO238" t="s">
        <v>2367</v>
      </c>
      <c r="AP238" t="s">
        <v>2368</v>
      </c>
      <c r="AQ238" t="s">
        <v>2369</v>
      </c>
      <c r="AR238" t="s">
        <v>2370</v>
      </c>
      <c r="AS238" t="s">
        <v>2371</v>
      </c>
    </row>
    <row r="239" spans="1:45" x14ac:dyDescent="0.45">
      <c r="A239">
        <v>238</v>
      </c>
      <c r="B239">
        <v>2228</v>
      </c>
      <c r="C239" t="s">
        <v>72</v>
      </c>
      <c r="D239" t="s">
        <v>73</v>
      </c>
      <c r="E239" t="s">
        <v>74</v>
      </c>
      <c r="F239" t="s">
        <v>75</v>
      </c>
      <c r="G239" t="s">
        <v>76</v>
      </c>
      <c r="H239">
        <v>28.665414840729056</v>
      </c>
      <c r="I239">
        <v>1</v>
      </c>
      <c r="J239">
        <v>8</v>
      </c>
      <c r="K239">
        <v>8</v>
      </c>
      <c r="L239">
        <v>0</v>
      </c>
      <c r="M239">
        <v>9</v>
      </c>
      <c r="N239">
        <v>10</v>
      </c>
      <c r="O239">
        <v>-1</v>
      </c>
      <c r="P239">
        <v>7</v>
      </c>
      <c r="Q239">
        <v>8</v>
      </c>
      <c r="R239">
        <v>-1</v>
      </c>
      <c r="S239">
        <v>9</v>
      </c>
      <c r="T239">
        <v>10</v>
      </c>
      <c r="U239">
        <v>-1</v>
      </c>
      <c r="V239">
        <v>8</v>
      </c>
      <c r="W239">
        <v>9</v>
      </c>
      <c r="X239">
        <v>-1</v>
      </c>
      <c r="Y239">
        <v>9</v>
      </c>
      <c r="Z239">
        <v>8</v>
      </c>
      <c r="AA239">
        <v>1</v>
      </c>
      <c r="AB239">
        <v>8</v>
      </c>
      <c r="AC239">
        <v>7</v>
      </c>
      <c r="AD239">
        <v>1</v>
      </c>
      <c r="AE239">
        <v>9</v>
      </c>
      <c r="AF239">
        <v>9</v>
      </c>
      <c r="AG239">
        <v>0</v>
      </c>
      <c r="AH239">
        <v>10</v>
      </c>
      <c r="AI239">
        <v>9</v>
      </c>
      <c r="AJ239">
        <v>1</v>
      </c>
      <c r="AK239" t="s">
        <v>2372</v>
      </c>
      <c r="AL239" t="s">
        <v>2373</v>
      </c>
      <c r="AM239" t="s">
        <v>2374</v>
      </c>
      <c r="AN239" t="s">
        <v>2375</v>
      </c>
      <c r="AO239" t="s">
        <v>2376</v>
      </c>
      <c r="AP239" t="s">
        <v>2377</v>
      </c>
      <c r="AQ239" t="s">
        <v>2378</v>
      </c>
      <c r="AR239" t="s">
        <v>2379</v>
      </c>
      <c r="AS239" t="s">
        <v>2380</v>
      </c>
    </row>
    <row r="240" spans="1:45" x14ac:dyDescent="0.45">
      <c r="A240">
        <v>239</v>
      </c>
      <c r="B240">
        <v>2229</v>
      </c>
      <c r="C240" t="s">
        <v>78</v>
      </c>
      <c r="D240" t="s">
        <v>193</v>
      </c>
      <c r="E240" t="s">
        <v>74</v>
      </c>
      <c r="F240" t="s">
        <v>75</v>
      </c>
      <c r="G240" t="s">
        <v>76</v>
      </c>
      <c r="H240">
        <v>70.63326556537244</v>
      </c>
      <c r="I240">
        <v>4</v>
      </c>
      <c r="J240">
        <v>7</v>
      </c>
      <c r="K240">
        <v>6</v>
      </c>
      <c r="L240">
        <v>1</v>
      </c>
      <c r="M240">
        <v>8</v>
      </c>
      <c r="N240">
        <v>6</v>
      </c>
      <c r="O240">
        <v>2</v>
      </c>
      <c r="P240">
        <v>9</v>
      </c>
      <c r="Q240">
        <v>6</v>
      </c>
      <c r="R240">
        <v>3</v>
      </c>
      <c r="S240">
        <v>10</v>
      </c>
      <c r="T240">
        <v>6</v>
      </c>
      <c r="U240">
        <v>4</v>
      </c>
      <c r="V240">
        <v>7</v>
      </c>
      <c r="W240">
        <v>6</v>
      </c>
      <c r="X240">
        <v>1</v>
      </c>
      <c r="Y240">
        <v>9</v>
      </c>
      <c r="Z240">
        <v>6</v>
      </c>
      <c r="AA240">
        <v>3</v>
      </c>
      <c r="AB240">
        <v>6</v>
      </c>
      <c r="AC240">
        <v>6</v>
      </c>
      <c r="AD240">
        <v>0</v>
      </c>
      <c r="AE240">
        <v>8</v>
      </c>
      <c r="AF240">
        <v>7</v>
      </c>
      <c r="AG240">
        <v>1</v>
      </c>
      <c r="AH240">
        <v>9</v>
      </c>
      <c r="AI240">
        <v>6</v>
      </c>
      <c r="AJ240">
        <v>3</v>
      </c>
      <c r="AK240" t="s">
        <v>2381</v>
      </c>
      <c r="AL240" t="s">
        <v>2382</v>
      </c>
      <c r="AM240" t="s">
        <v>2383</v>
      </c>
      <c r="AN240" t="s">
        <v>2384</v>
      </c>
      <c r="AO240" t="s">
        <v>2385</v>
      </c>
      <c r="AP240" t="s">
        <v>2386</v>
      </c>
      <c r="AQ240" t="s">
        <v>2387</v>
      </c>
      <c r="AR240" t="s">
        <v>2388</v>
      </c>
      <c r="AS240" t="s">
        <v>2389</v>
      </c>
    </row>
    <row r="241" spans="1:45" x14ac:dyDescent="0.45">
      <c r="A241">
        <v>240</v>
      </c>
      <c r="B241">
        <v>2230</v>
      </c>
      <c r="C241" t="s">
        <v>72</v>
      </c>
      <c r="D241" t="s">
        <v>73</v>
      </c>
      <c r="E241" t="s">
        <v>74</v>
      </c>
      <c r="F241" t="s">
        <v>77</v>
      </c>
      <c r="G241" t="s">
        <v>76</v>
      </c>
      <c r="H241">
        <v>68.011487226736349</v>
      </c>
      <c r="I241">
        <v>3</v>
      </c>
      <c r="J241">
        <v>6</v>
      </c>
      <c r="K241">
        <v>8</v>
      </c>
      <c r="L241">
        <v>-2</v>
      </c>
      <c r="M241">
        <v>7</v>
      </c>
      <c r="N241">
        <v>8</v>
      </c>
      <c r="O241">
        <v>-1</v>
      </c>
      <c r="P241">
        <v>8</v>
      </c>
      <c r="Q241">
        <v>8</v>
      </c>
      <c r="R241">
        <v>0</v>
      </c>
      <c r="S241">
        <v>9</v>
      </c>
      <c r="T241">
        <v>8</v>
      </c>
      <c r="U241">
        <v>1</v>
      </c>
      <c r="V241">
        <v>7</v>
      </c>
      <c r="W241">
        <v>8</v>
      </c>
      <c r="X241">
        <v>-1</v>
      </c>
      <c r="Y241">
        <v>8</v>
      </c>
      <c r="Z241">
        <v>8</v>
      </c>
      <c r="AA241">
        <v>0</v>
      </c>
      <c r="AB241">
        <v>6</v>
      </c>
      <c r="AC241">
        <v>8</v>
      </c>
      <c r="AD241">
        <v>-2</v>
      </c>
      <c r="AE241">
        <v>8</v>
      </c>
      <c r="AF241">
        <v>8</v>
      </c>
      <c r="AG241">
        <v>0</v>
      </c>
      <c r="AH241">
        <v>9</v>
      </c>
      <c r="AI241">
        <v>8</v>
      </c>
      <c r="AJ241">
        <v>1</v>
      </c>
      <c r="AK241" t="s">
        <v>2390</v>
      </c>
      <c r="AL241" t="s">
        <v>2391</v>
      </c>
      <c r="AM241" t="s">
        <v>2392</v>
      </c>
      <c r="AN241" t="s">
        <v>2393</v>
      </c>
      <c r="AO241" t="s">
        <v>2394</v>
      </c>
      <c r="AP241" t="s">
        <v>2395</v>
      </c>
      <c r="AQ241" t="s">
        <v>2396</v>
      </c>
      <c r="AR241" t="s">
        <v>2397</v>
      </c>
      <c r="AS241" t="s">
        <v>2398</v>
      </c>
    </row>
    <row r="242" spans="1:45" x14ac:dyDescent="0.45">
      <c r="A242">
        <v>241</v>
      </c>
      <c r="B242">
        <v>2231</v>
      </c>
      <c r="C242" t="s">
        <v>72</v>
      </c>
      <c r="D242" t="s">
        <v>73</v>
      </c>
      <c r="E242" t="s">
        <v>74</v>
      </c>
      <c r="F242" t="s">
        <v>75</v>
      </c>
      <c r="G242" t="s">
        <v>76</v>
      </c>
      <c r="H242">
        <v>66.754555655497384</v>
      </c>
      <c r="I242">
        <v>1</v>
      </c>
      <c r="J242">
        <v>8</v>
      </c>
      <c r="K242">
        <v>7</v>
      </c>
      <c r="L242">
        <v>1</v>
      </c>
      <c r="M242">
        <v>7</v>
      </c>
      <c r="N242">
        <v>6</v>
      </c>
      <c r="O242">
        <v>1</v>
      </c>
      <c r="P242">
        <v>9</v>
      </c>
      <c r="Q242">
        <v>7</v>
      </c>
      <c r="R242">
        <v>2</v>
      </c>
      <c r="S242">
        <v>8</v>
      </c>
      <c r="T242">
        <v>7</v>
      </c>
      <c r="U242">
        <v>1</v>
      </c>
      <c r="V242">
        <v>9</v>
      </c>
      <c r="W242">
        <v>8</v>
      </c>
      <c r="X242">
        <v>1</v>
      </c>
      <c r="Y242">
        <v>8</v>
      </c>
      <c r="Z242">
        <v>8</v>
      </c>
      <c r="AA242">
        <v>0</v>
      </c>
      <c r="AB242">
        <v>9</v>
      </c>
      <c r="AC242">
        <v>8</v>
      </c>
      <c r="AD242">
        <v>1</v>
      </c>
      <c r="AE242">
        <v>8</v>
      </c>
      <c r="AF242">
        <v>8</v>
      </c>
      <c r="AG242">
        <v>0</v>
      </c>
      <c r="AH242">
        <v>9</v>
      </c>
      <c r="AI242">
        <v>8</v>
      </c>
      <c r="AJ242">
        <v>1</v>
      </c>
      <c r="AK242" t="s">
        <v>2399</v>
      </c>
      <c r="AL242" t="s">
        <v>2400</v>
      </c>
      <c r="AM242" t="s">
        <v>2401</v>
      </c>
      <c r="AN242" t="s">
        <v>2402</v>
      </c>
      <c r="AO242" t="s">
        <v>2403</v>
      </c>
      <c r="AP242" t="s">
        <v>2404</v>
      </c>
      <c r="AQ242" t="s">
        <v>2405</v>
      </c>
      <c r="AR242" t="s">
        <v>2406</v>
      </c>
      <c r="AS242" t="s">
        <v>2407</v>
      </c>
    </row>
    <row r="243" spans="1:45" x14ac:dyDescent="0.45">
      <c r="A243">
        <v>242</v>
      </c>
      <c r="B243">
        <v>2232</v>
      </c>
      <c r="C243" t="s">
        <v>78</v>
      </c>
      <c r="D243" t="s">
        <v>73</v>
      </c>
      <c r="E243" t="s">
        <v>74</v>
      </c>
      <c r="F243" t="s">
        <v>77</v>
      </c>
      <c r="G243" t="s">
        <v>76</v>
      </c>
      <c r="H243">
        <v>48.582354279252861</v>
      </c>
      <c r="I243">
        <v>2</v>
      </c>
      <c r="J243">
        <v>9</v>
      </c>
      <c r="K243">
        <v>6</v>
      </c>
      <c r="L243">
        <v>3</v>
      </c>
      <c r="M243">
        <v>8</v>
      </c>
      <c r="N243">
        <v>5</v>
      </c>
      <c r="O243">
        <v>3</v>
      </c>
      <c r="P243">
        <v>7</v>
      </c>
      <c r="Q243">
        <v>5</v>
      </c>
      <c r="R243">
        <v>2</v>
      </c>
      <c r="S243">
        <v>8</v>
      </c>
      <c r="T243">
        <v>7</v>
      </c>
      <c r="U243">
        <v>1</v>
      </c>
      <c r="V243">
        <v>9</v>
      </c>
      <c r="W243">
        <v>7</v>
      </c>
      <c r="X243">
        <v>2</v>
      </c>
      <c r="Y243">
        <v>9</v>
      </c>
      <c r="Z243">
        <v>7</v>
      </c>
      <c r="AA243">
        <v>2</v>
      </c>
      <c r="AB243">
        <v>8</v>
      </c>
      <c r="AC243">
        <v>7</v>
      </c>
      <c r="AD243">
        <v>1</v>
      </c>
      <c r="AE243">
        <v>9</v>
      </c>
      <c r="AF243">
        <v>8</v>
      </c>
      <c r="AG243">
        <v>1</v>
      </c>
      <c r="AH243">
        <v>9</v>
      </c>
      <c r="AI243">
        <v>8</v>
      </c>
      <c r="AJ243">
        <v>1</v>
      </c>
      <c r="AK243" t="s">
        <v>2408</v>
      </c>
      <c r="AL243" t="s">
        <v>2409</v>
      </c>
      <c r="AM243" t="s">
        <v>2410</v>
      </c>
      <c r="AN243" t="s">
        <v>2411</v>
      </c>
      <c r="AO243" t="s">
        <v>2412</v>
      </c>
      <c r="AP243" t="s">
        <v>2413</v>
      </c>
      <c r="AQ243" t="s">
        <v>2414</v>
      </c>
      <c r="AR243" t="s">
        <v>2415</v>
      </c>
      <c r="AS243" t="s">
        <v>2416</v>
      </c>
    </row>
    <row r="244" spans="1:45" x14ac:dyDescent="0.45">
      <c r="A244">
        <v>243</v>
      </c>
      <c r="B244">
        <v>2233</v>
      </c>
      <c r="C244" t="s">
        <v>78</v>
      </c>
      <c r="D244" t="s">
        <v>191</v>
      </c>
      <c r="E244" t="s">
        <v>74</v>
      </c>
      <c r="F244" t="s">
        <v>77</v>
      </c>
      <c r="G244" t="s">
        <v>76</v>
      </c>
      <c r="H244">
        <v>79.535115011982171</v>
      </c>
      <c r="I244">
        <v>2</v>
      </c>
      <c r="J244">
        <v>8</v>
      </c>
      <c r="K244">
        <v>6</v>
      </c>
      <c r="L244">
        <v>2</v>
      </c>
      <c r="M244">
        <v>9</v>
      </c>
      <c r="N244">
        <v>6</v>
      </c>
      <c r="O244">
        <v>3</v>
      </c>
      <c r="P244">
        <v>8</v>
      </c>
      <c r="Q244">
        <v>6</v>
      </c>
      <c r="R244">
        <v>2</v>
      </c>
      <c r="S244">
        <v>9</v>
      </c>
      <c r="T244">
        <v>6</v>
      </c>
      <c r="U244">
        <v>3</v>
      </c>
      <c r="V244">
        <v>8</v>
      </c>
      <c r="W244">
        <v>6</v>
      </c>
      <c r="X244">
        <v>2</v>
      </c>
      <c r="Y244">
        <v>9</v>
      </c>
      <c r="Z244">
        <v>6</v>
      </c>
      <c r="AA244">
        <v>3</v>
      </c>
      <c r="AB244">
        <v>8</v>
      </c>
      <c r="AC244">
        <v>6</v>
      </c>
      <c r="AD244">
        <v>2</v>
      </c>
      <c r="AE244">
        <v>9</v>
      </c>
      <c r="AF244">
        <v>6</v>
      </c>
      <c r="AG244">
        <v>3</v>
      </c>
      <c r="AH244">
        <v>8</v>
      </c>
      <c r="AI244">
        <v>6</v>
      </c>
      <c r="AJ244">
        <v>2</v>
      </c>
      <c r="AK244" t="s">
        <v>2417</v>
      </c>
      <c r="AL244" t="s">
        <v>2418</v>
      </c>
      <c r="AM244" t="s">
        <v>2419</v>
      </c>
      <c r="AN244" t="s">
        <v>2420</v>
      </c>
      <c r="AO244" t="s">
        <v>2421</v>
      </c>
      <c r="AP244" t="s">
        <v>2422</v>
      </c>
      <c r="AQ244" t="s">
        <v>2423</v>
      </c>
      <c r="AR244" t="s">
        <v>2424</v>
      </c>
      <c r="AS244" t="s">
        <v>2425</v>
      </c>
    </row>
    <row r="245" spans="1:45" x14ac:dyDescent="0.45">
      <c r="A245">
        <v>244</v>
      </c>
      <c r="B245">
        <v>2234</v>
      </c>
      <c r="C245" t="s">
        <v>72</v>
      </c>
      <c r="D245" t="s">
        <v>79</v>
      </c>
      <c r="E245" t="s">
        <v>74</v>
      </c>
      <c r="F245" t="s">
        <v>75</v>
      </c>
      <c r="G245" t="s">
        <v>76</v>
      </c>
      <c r="H245">
        <v>55.622846529421899</v>
      </c>
      <c r="I245">
        <v>3</v>
      </c>
      <c r="J245">
        <v>6</v>
      </c>
      <c r="K245">
        <v>7</v>
      </c>
      <c r="L245">
        <v>-1</v>
      </c>
      <c r="M245">
        <v>7</v>
      </c>
      <c r="N245">
        <v>6</v>
      </c>
      <c r="O245">
        <v>1</v>
      </c>
      <c r="P245">
        <v>8</v>
      </c>
      <c r="Q245">
        <v>6</v>
      </c>
      <c r="R245">
        <v>2</v>
      </c>
      <c r="S245">
        <v>9</v>
      </c>
      <c r="T245">
        <v>8</v>
      </c>
      <c r="U245">
        <v>1</v>
      </c>
      <c r="V245">
        <v>7</v>
      </c>
      <c r="W245">
        <v>6</v>
      </c>
      <c r="X245">
        <v>1</v>
      </c>
      <c r="Y245">
        <v>9</v>
      </c>
      <c r="Z245">
        <v>6</v>
      </c>
      <c r="AA245">
        <v>3</v>
      </c>
      <c r="AB245">
        <v>8</v>
      </c>
      <c r="AC245">
        <v>6</v>
      </c>
      <c r="AD245">
        <v>2</v>
      </c>
      <c r="AE245">
        <v>9</v>
      </c>
      <c r="AF245">
        <v>6</v>
      </c>
      <c r="AG245">
        <v>3</v>
      </c>
      <c r="AH245">
        <v>8</v>
      </c>
      <c r="AI245">
        <v>6</v>
      </c>
      <c r="AJ245">
        <v>2</v>
      </c>
      <c r="AK245" t="s">
        <v>2426</v>
      </c>
      <c r="AL245" t="s">
        <v>2427</v>
      </c>
      <c r="AM245" t="s">
        <v>2428</v>
      </c>
      <c r="AN245" t="s">
        <v>2429</v>
      </c>
      <c r="AO245" t="s">
        <v>2430</v>
      </c>
      <c r="AP245" t="s">
        <v>2431</v>
      </c>
      <c r="AQ245" t="s">
        <v>82</v>
      </c>
      <c r="AR245" t="s">
        <v>2432</v>
      </c>
      <c r="AS245" t="s">
        <v>2433</v>
      </c>
    </row>
    <row r="246" spans="1:45" x14ac:dyDescent="0.45">
      <c r="A246">
        <v>245</v>
      </c>
      <c r="B246">
        <v>2235</v>
      </c>
      <c r="C246" t="s">
        <v>78</v>
      </c>
      <c r="D246" t="s">
        <v>79</v>
      </c>
      <c r="E246" t="s">
        <v>74</v>
      </c>
      <c r="F246" t="s">
        <v>75</v>
      </c>
      <c r="G246" t="s">
        <v>76</v>
      </c>
      <c r="H246">
        <v>166.35065651465328</v>
      </c>
      <c r="I246">
        <v>0</v>
      </c>
      <c r="J246">
        <v>7</v>
      </c>
      <c r="K246">
        <v>4</v>
      </c>
      <c r="L246">
        <v>3</v>
      </c>
      <c r="M246">
        <v>6</v>
      </c>
      <c r="N246">
        <v>4</v>
      </c>
      <c r="O246">
        <v>2</v>
      </c>
      <c r="P246">
        <v>8</v>
      </c>
      <c r="Q246">
        <v>1</v>
      </c>
      <c r="R246">
        <v>7</v>
      </c>
      <c r="S246">
        <v>9</v>
      </c>
      <c r="T246">
        <v>4</v>
      </c>
      <c r="U246">
        <v>5</v>
      </c>
      <c r="V246">
        <v>7</v>
      </c>
      <c r="W246">
        <v>4</v>
      </c>
      <c r="X246">
        <v>3</v>
      </c>
      <c r="Y246">
        <v>8</v>
      </c>
      <c r="Z246">
        <v>4</v>
      </c>
      <c r="AA246">
        <v>4</v>
      </c>
      <c r="AB246">
        <v>7</v>
      </c>
      <c r="AC246">
        <v>5</v>
      </c>
      <c r="AD246">
        <v>2</v>
      </c>
      <c r="AE246">
        <v>6</v>
      </c>
      <c r="AF246">
        <v>5</v>
      </c>
      <c r="AG246">
        <v>1</v>
      </c>
      <c r="AH246">
        <v>8</v>
      </c>
      <c r="AI246">
        <v>5</v>
      </c>
      <c r="AJ246">
        <v>3</v>
      </c>
      <c r="AK246" t="s">
        <v>2434</v>
      </c>
      <c r="AL246" t="s">
        <v>2435</v>
      </c>
      <c r="AM246" t="s">
        <v>2436</v>
      </c>
      <c r="AN246" t="s">
        <v>2437</v>
      </c>
      <c r="AO246" t="s">
        <v>2438</v>
      </c>
      <c r="AP246" t="s">
        <v>2439</v>
      </c>
      <c r="AQ246" t="s">
        <v>2440</v>
      </c>
      <c r="AR246" t="s">
        <v>2441</v>
      </c>
      <c r="AS246" t="s">
        <v>2442</v>
      </c>
    </row>
    <row r="247" spans="1:45" x14ac:dyDescent="0.45">
      <c r="A247">
        <v>246</v>
      </c>
      <c r="B247">
        <v>2236</v>
      </c>
      <c r="C247" t="s">
        <v>78</v>
      </c>
      <c r="D247" t="s">
        <v>73</v>
      </c>
      <c r="E247" t="s">
        <v>74</v>
      </c>
      <c r="F247" t="s">
        <v>77</v>
      </c>
      <c r="G247" t="s">
        <v>76</v>
      </c>
      <c r="H247">
        <v>26.151790808185822</v>
      </c>
      <c r="I247">
        <v>0</v>
      </c>
      <c r="J247">
        <v>7</v>
      </c>
      <c r="K247">
        <v>6</v>
      </c>
      <c r="L247">
        <v>1</v>
      </c>
      <c r="M247">
        <v>6</v>
      </c>
      <c r="N247">
        <v>7</v>
      </c>
      <c r="O247">
        <v>-1</v>
      </c>
      <c r="P247">
        <v>8</v>
      </c>
      <c r="Q247">
        <v>7</v>
      </c>
      <c r="R247">
        <v>1</v>
      </c>
      <c r="S247">
        <v>9</v>
      </c>
      <c r="T247">
        <v>7</v>
      </c>
      <c r="U247">
        <v>2</v>
      </c>
      <c r="V247">
        <v>7</v>
      </c>
      <c r="W247">
        <v>7</v>
      </c>
      <c r="X247">
        <v>0</v>
      </c>
      <c r="Y247">
        <v>8</v>
      </c>
      <c r="Z247">
        <v>7</v>
      </c>
      <c r="AA247">
        <v>1</v>
      </c>
      <c r="AB247">
        <v>7</v>
      </c>
      <c r="AC247">
        <v>7</v>
      </c>
      <c r="AD247">
        <v>0</v>
      </c>
      <c r="AE247">
        <v>6</v>
      </c>
      <c r="AF247">
        <v>7</v>
      </c>
      <c r="AG247">
        <v>-1</v>
      </c>
      <c r="AH247">
        <v>9</v>
      </c>
      <c r="AI247">
        <v>7</v>
      </c>
      <c r="AJ247">
        <v>2</v>
      </c>
      <c r="AK247" t="s">
        <v>2443</v>
      </c>
      <c r="AL247" t="s">
        <v>2444</v>
      </c>
      <c r="AM247" t="s">
        <v>2445</v>
      </c>
      <c r="AN247" t="s">
        <v>2446</v>
      </c>
      <c r="AO247" t="s">
        <v>2447</v>
      </c>
      <c r="AP247" t="s">
        <v>2448</v>
      </c>
      <c r="AQ247" t="s">
        <v>2449</v>
      </c>
      <c r="AR247" t="s">
        <v>2450</v>
      </c>
      <c r="AS247" t="s">
        <v>2451</v>
      </c>
    </row>
    <row r="248" spans="1:45" x14ac:dyDescent="0.45">
      <c r="A248">
        <v>247</v>
      </c>
      <c r="B248">
        <v>2237</v>
      </c>
      <c r="C248" t="s">
        <v>72</v>
      </c>
      <c r="D248" t="s">
        <v>191</v>
      </c>
      <c r="E248" t="s">
        <v>74</v>
      </c>
      <c r="F248" t="s">
        <v>75</v>
      </c>
      <c r="G248" t="s">
        <v>76</v>
      </c>
      <c r="H248">
        <v>64.505820703954043</v>
      </c>
      <c r="I248">
        <v>4</v>
      </c>
      <c r="J248">
        <v>8</v>
      </c>
      <c r="K248">
        <v>8</v>
      </c>
      <c r="L248">
        <v>0</v>
      </c>
      <c r="M248">
        <v>9</v>
      </c>
      <c r="N248">
        <v>8</v>
      </c>
      <c r="O248">
        <v>1</v>
      </c>
      <c r="P248">
        <v>8</v>
      </c>
      <c r="Q248">
        <v>8</v>
      </c>
      <c r="R248">
        <v>0</v>
      </c>
      <c r="S248">
        <v>9</v>
      </c>
      <c r="T248">
        <v>8</v>
      </c>
      <c r="U248">
        <v>1</v>
      </c>
      <c r="V248">
        <v>8</v>
      </c>
      <c r="W248">
        <v>8</v>
      </c>
      <c r="X248">
        <v>0</v>
      </c>
      <c r="Y248">
        <v>9</v>
      </c>
      <c r="Z248">
        <v>8</v>
      </c>
      <c r="AA248">
        <v>1</v>
      </c>
      <c r="AB248">
        <v>8</v>
      </c>
      <c r="AC248">
        <v>8</v>
      </c>
      <c r="AD248">
        <v>0</v>
      </c>
      <c r="AE248">
        <v>9</v>
      </c>
      <c r="AF248">
        <v>8</v>
      </c>
      <c r="AG248">
        <v>1</v>
      </c>
      <c r="AH248">
        <v>9</v>
      </c>
      <c r="AI248">
        <v>8</v>
      </c>
      <c r="AJ248">
        <v>1</v>
      </c>
      <c r="AK248" t="s">
        <v>2452</v>
      </c>
      <c r="AL248" t="s">
        <v>2453</v>
      </c>
      <c r="AM248" t="s">
        <v>2454</v>
      </c>
      <c r="AN248" t="s">
        <v>2455</v>
      </c>
      <c r="AO248" t="s">
        <v>2456</v>
      </c>
      <c r="AP248" t="s">
        <v>2457</v>
      </c>
      <c r="AQ248" t="s">
        <v>2458</v>
      </c>
      <c r="AR248" t="s">
        <v>265</v>
      </c>
      <c r="AS248" t="s">
        <v>2459</v>
      </c>
    </row>
    <row r="249" spans="1:45" x14ac:dyDescent="0.45">
      <c r="A249">
        <v>248</v>
      </c>
      <c r="B249">
        <v>2238</v>
      </c>
      <c r="C249" t="s">
        <v>72</v>
      </c>
      <c r="D249" t="s">
        <v>79</v>
      </c>
      <c r="E249" t="s">
        <v>74</v>
      </c>
      <c r="F249" t="s">
        <v>77</v>
      </c>
      <c r="G249" t="s">
        <v>76</v>
      </c>
      <c r="H249">
        <v>38.111758052996414</v>
      </c>
      <c r="I249">
        <v>1</v>
      </c>
      <c r="J249">
        <v>7</v>
      </c>
      <c r="K249">
        <v>7</v>
      </c>
      <c r="L249">
        <v>0</v>
      </c>
      <c r="M249">
        <v>7</v>
      </c>
      <c r="N249">
        <v>7</v>
      </c>
      <c r="O249">
        <v>0</v>
      </c>
      <c r="P249">
        <v>9</v>
      </c>
      <c r="Q249">
        <v>7</v>
      </c>
      <c r="R249">
        <v>2</v>
      </c>
      <c r="S249">
        <v>9</v>
      </c>
      <c r="T249">
        <v>7</v>
      </c>
      <c r="U249">
        <v>2</v>
      </c>
      <c r="V249">
        <v>7</v>
      </c>
      <c r="W249">
        <v>7</v>
      </c>
      <c r="X249">
        <v>0</v>
      </c>
      <c r="Y249">
        <v>9</v>
      </c>
      <c r="Z249">
        <v>7</v>
      </c>
      <c r="AA249">
        <v>2</v>
      </c>
      <c r="AB249">
        <v>7</v>
      </c>
      <c r="AC249">
        <v>7</v>
      </c>
      <c r="AD249">
        <v>0</v>
      </c>
      <c r="AE249">
        <v>6</v>
      </c>
      <c r="AF249">
        <v>7</v>
      </c>
      <c r="AG249">
        <v>-1</v>
      </c>
      <c r="AH249">
        <v>9</v>
      </c>
      <c r="AI249">
        <v>7</v>
      </c>
      <c r="AJ249">
        <v>2</v>
      </c>
      <c r="AK249" t="s">
        <v>2460</v>
      </c>
      <c r="AL249" t="s">
        <v>2461</v>
      </c>
      <c r="AM249" t="s">
        <v>2462</v>
      </c>
      <c r="AN249" t="s">
        <v>2463</v>
      </c>
      <c r="AO249" t="s">
        <v>2464</v>
      </c>
      <c r="AP249" t="s">
        <v>2465</v>
      </c>
      <c r="AQ249" t="s">
        <v>2466</v>
      </c>
      <c r="AR249" t="s">
        <v>2467</v>
      </c>
      <c r="AS249" t="s">
        <v>2468</v>
      </c>
    </row>
    <row r="250" spans="1:45" x14ac:dyDescent="0.45">
      <c r="A250">
        <v>249</v>
      </c>
      <c r="B250">
        <v>2239</v>
      </c>
      <c r="C250" t="s">
        <v>78</v>
      </c>
      <c r="D250" t="s">
        <v>193</v>
      </c>
      <c r="E250" t="s">
        <v>74</v>
      </c>
      <c r="F250" t="s">
        <v>75</v>
      </c>
      <c r="G250" t="s">
        <v>76</v>
      </c>
      <c r="H250">
        <v>91.208481489169714</v>
      </c>
      <c r="I250">
        <v>3</v>
      </c>
      <c r="J250">
        <v>8</v>
      </c>
      <c r="K250">
        <v>9</v>
      </c>
      <c r="L250">
        <v>-1</v>
      </c>
      <c r="M250">
        <v>9</v>
      </c>
      <c r="N250">
        <v>9</v>
      </c>
      <c r="O250">
        <v>0</v>
      </c>
      <c r="P250">
        <v>8</v>
      </c>
      <c r="Q250">
        <v>9</v>
      </c>
      <c r="R250">
        <v>-1</v>
      </c>
      <c r="S250">
        <v>9</v>
      </c>
      <c r="T250">
        <v>9</v>
      </c>
      <c r="U250">
        <v>0</v>
      </c>
      <c r="V250">
        <v>8</v>
      </c>
      <c r="W250">
        <v>9</v>
      </c>
      <c r="X250">
        <v>-1</v>
      </c>
      <c r="Y250">
        <v>9</v>
      </c>
      <c r="Z250">
        <v>9</v>
      </c>
      <c r="AA250">
        <v>0</v>
      </c>
      <c r="AB250">
        <v>8</v>
      </c>
      <c r="AC250">
        <v>9</v>
      </c>
      <c r="AD250">
        <v>-1</v>
      </c>
      <c r="AE250">
        <v>9</v>
      </c>
      <c r="AF250">
        <v>9</v>
      </c>
      <c r="AG250">
        <v>0</v>
      </c>
      <c r="AH250">
        <v>9</v>
      </c>
      <c r="AI250">
        <v>9</v>
      </c>
      <c r="AJ250">
        <v>0</v>
      </c>
      <c r="AK250" t="s">
        <v>2469</v>
      </c>
      <c r="AL250" t="s">
        <v>2470</v>
      </c>
      <c r="AM250" t="s">
        <v>2471</v>
      </c>
      <c r="AN250" t="s">
        <v>2472</v>
      </c>
      <c r="AO250" t="s">
        <v>2473</v>
      </c>
      <c r="AP250" t="s">
        <v>2474</v>
      </c>
      <c r="AQ250" t="s">
        <v>2475</v>
      </c>
      <c r="AR250" t="s">
        <v>2476</v>
      </c>
      <c r="AS250" t="s">
        <v>2477</v>
      </c>
    </row>
    <row r="251" spans="1:45" x14ac:dyDescent="0.45">
      <c r="A251">
        <v>250</v>
      </c>
      <c r="B251">
        <v>2240</v>
      </c>
      <c r="C251" t="s">
        <v>72</v>
      </c>
      <c r="D251" t="s">
        <v>73</v>
      </c>
      <c r="E251" t="s">
        <v>74</v>
      </c>
      <c r="F251" t="s">
        <v>77</v>
      </c>
      <c r="G251" t="s">
        <v>76</v>
      </c>
      <c r="H251">
        <v>64.573837101658071</v>
      </c>
      <c r="I251">
        <v>3</v>
      </c>
      <c r="J251">
        <v>9</v>
      </c>
      <c r="K251">
        <v>7</v>
      </c>
      <c r="L251">
        <v>2</v>
      </c>
      <c r="M251">
        <v>8</v>
      </c>
      <c r="N251">
        <v>6</v>
      </c>
      <c r="O251">
        <v>2</v>
      </c>
      <c r="P251">
        <v>7</v>
      </c>
      <c r="Q251">
        <v>5</v>
      </c>
      <c r="R251">
        <v>2</v>
      </c>
      <c r="S251">
        <v>9</v>
      </c>
      <c r="T251">
        <v>6</v>
      </c>
      <c r="U251">
        <v>3</v>
      </c>
      <c r="V251">
        <v>8</v>
      </c>
      <c r="W251">
        <v>6</v>
      </c>
      <c r="X251">
        <v>2</v>
      </c>
      <c r="Y251">
        <v>9</v>
      </c>
      <c r="Z251">
        <v>6</v>
      </c>
      <c r="AA251">
        <v>3</v>
      </c>
      <c r="AB251">
        <v>8</v>
      </c>
      <c r="AC251">
        <v>6</v>
      </c>
      <c r="AD251">
        <v>2</v>
      </c>
      <c r="AE251">
        <v>9</v>
      </c>
      <c r="AF251">
        <v>6</v>
      </c>
      <c r="AG251">
        <v>3</v>
      </c>
      <c r="AH251">
        <v>8</v>
      </c>
      <c r="AI251">
        <v>7</v>
      </c>
      <c r="AJ251">
        <v>1</v>
      </c>
      <c r="AK251" t="s">
        <v>2478</v>
      </c>
      <c r="AL251" t="s">
        <v>2479</v>
      </c>
      <c r="AM251" t="s">
        <v>2480</v>
      </c>
      <c r="AN251" t="s">
        <v>2481</v>
      </c>
      <c r="AO251" t="s">
        <v>2482</v>
      </c>
      <c r="AP251" t="s">
        <v>2483</v>
      </c>
      <c r="AQ251" t="s">
        <v>2484</v>
      </c>
      <c r="AR251" t="s">
        <v>2485</v>
      </c>
      <c r="AS251" t="s">
        <v>2486</v>
      </c>
    </row>
    <row r="252" spans="1:45" x14ac:dyDescent="0.45">
      <c r="A252">
        <v>251</v>
      </c>
      <c r="B252">
        <v>2241</v>
      </c>
      <c r="C252" t="s">
        <v>72</v>
      </c>
      <c r="D252" t="s">
        <v>73</v>
      </c>
      <c r="E252" t="s">
        <v>74</v>
      </c>
      <c r="F252" t="s">
        <v>77</v>
      </c>
      <c r="G252" t="s">
        <v>76</v>
      </c>
      <c r="H252">
        <v>46.732707487689403</v>
      </c>
      <c r="I252">
        <v>4</v>
      </c>
      <c r="J252">
        <v>6</v>
      </c>
      <c r="K252">
        <v>8</v>
      </c>
      <c r="L252">
        <v>-2</v>
      </c>
      <c r="M252">
        <v>8</v>
      </c>
      <c r="N252">
        <v>8</v>
      </c>
      <c r="O252">
        <v>0</v>
      </c>
      <c r="P252">
        <v>7</v>
      </c>
      <c r="Q252">
        <v>8</v>
      </c>
      <c r="R252">
        <v>-1</v>
      </c>
      <c r="S252">
        <v>9</v>
      </c>
      <c r="T252">
        <v>9</v>
      </c>
      <c r="U252">
        <v>0</v>
      </c>
      <c r="V252">
        <v>7</v>
      </c>
      <c r="W252">
        <v>8</v>
      </c>
      <c r="X252">
        <v>-1</v>
      </c>
      <c r="Y252">
        <v>9</v>
      </c>
      <c r="Z252">
        <v>10</v>
      </c>
      <c r="AA252">
        <v>-1</v>
      </c>
      <c r="AB252">
        <v>8</v>
      </c>
      <c r="AC252">
        <v>7</v>
      </c>
      <c r="AD252">
        <v>1</v>
      </c>
      <c r="AE252">
        <v>7</v>
      </c>
      <c r="AF252">
        <v>7</v>
      </c>
      <c r="AG252">
        <v>0</v>
      </c>
      <c r="AH252">
        <v>9</v>
      </c>
      <c r="AI252">
        <v>10</v>
      </c>
      <c r="AJ252">
        <v>-1</v>
      </c>
      <c r="AK252" t="s">
        <v>2487</v>
      </c>
      <c r="AL252" t="s">
        <v>2488</v>
      </c>
      <c r="AM252" t="s">
        <v>2489</v>
      </c>
      <c r="AN252" t="s">
        <v>2490</v>
      </c>
      <c r="AO252" t="s">
        <v>2491</v>
      </c>
      <c r="AP252" t="s">
        <v>2492</v>
      </c>
      <c r="AQ252" t="s">
        <v>2493</v>
      </c>
      <c r="AR252" t="s">
        <v>2494</v>
      </c>
      <c r="AS252" t="s">
        <v>2495</v>
      </c>
    </row>
    <row r="253" spans="1:45" x14ac:dyDescent="0.45">
      <c r="A253">
        <v>252</v>
      </c>
      <c r="B253">
        <v>2242</v>
      </c>
      <c r="C253" t="s">
        <v>72</v>
      </c>
      <c r="D253" t="s">
        <v>191</v>
      </c>
      <c r="E253" t="s">
        <v>74</v>
      </c>
      <c r="F253" t="s">
        <v>77</v>
      </c>
      <c r="G253" t="s">
        <v>76</v>
      </c>
      <c r="H253">
        <v>65.532943390828976</v>
      </c>
      <c r="I253">
        <v>3</v>
      </c>
      <c r="J253">
        <v>7</v>
      </c>
      <c r="K253">
        <v>6</v>
      </c>
      <c r="L253">
        <v>1</v>
      </c>
      <c r="M253">
        <v>8</v>
      </c>
      <c r="N253">
        <v>6</v>
      </c>
      <c r="O253">
        <v>2</v>
      </c>
      <c r="P253">
        <v>9</v>
      </c>
      <c r="Q253">
        <v>1</v>
      </c>
      <c r="R253">
        <v>8</v>
      </c>
      <c r="S253">
        <v>9</v>
      </c>
      <c r="T253">
        <v>6</v>
      </c>
      <c r="U253">
        <v>3</v>
      </c>
      <c r="V253">
        <v>8</v>
      </c>
      <c r="W253">
        <v>5</v>
      </c>
      <c r="X253">
        <v>3</v>
      </c>
      <c r="Y253">
        <v>9</v>
      </c>
      <c r="Z253">
        <v>6</v>
      </c>
      <c r="AA253">
        <v>3</v>
      </c>
      <c r="AB253">
        <v>8</v>
      </c>
      <c r="AC253">
        <v>6</v>
      </c>
      <c r="AD253">
        <v>2</v>
      </c>
      <c r="AE253">
        <v>7</v>
      </c>
      <c r="AF253">
        <v>6</v>
      </c>
      <c r="AG253">
        <v>1</v>
      </c>
      <c r="AH253">
        <v>9</v>
      </c>
      <c r="AI253">
        <v>6</v>
      </c>
      <c r="AJ253">
        <v>3</v>
      </c>
      <c r="AK253" t="s">
        <v>2496</v>
      </c>
      <c r="AL253" t="s">
        <v>2497</v>
      </c>
      <c r="AM253" t="s">
        <v>2498</v>
      </c>
      <c r="AN253" t="s">
        <v>2499</v>
      </c>
      <c r="AO253" t="s">
        <v>2500</v>
      </c>
      <c r="AP253" t="s">
        <v>2501</v>
      </c>
      <c r="AQ253" t="s">
        <v>2502</v>
      </c>
      <c r="AR253" t="s">
        <v>2503</v>
      </c>
      <c r="AS253" t="s">
        <v>2504</v>
      </c>
    </row>
    <row r="254" spans="1:45" x14ac:dyDescent="0.45">
      <c r="A254">
        <v>253</v>
      </c>
      <c r="B254">
        <v>2243</v>
      </c>
      <c r="C254" t="s">
        <v>78</v>
      </c>
      <c r="D254" t="s">
        <v>79</v>
      </c>
      <c r="E254" t="s">
        <v>74</v>
      </c>
      <c r="F254" t="s">
        <v>75</v>
      </c>
      <c r="G254" t="s">
        <v>76</v>
      </c>
      <c r="H254">
        <v>82.14951735135385</v>
      </c>
      <c r="I254">
        <v>4</v>
      </c>
      <c r="J254">
        <v>7</v>
      </c>
      <c r="K254">
        <v>8</v>
      </c>
      <c r="L254">
        <v>-1</v>
      </c>
      <c r="M254">
        <v>6</v>
      </c>
      <c r="N254">
        <v>8</v>
      </c>
      <c r="O254">
        <v>-2</v>
      </c>
      <c r="P254">
        <v>8</v>
      </c>
      <c r="Q254">
        <v>3</v>
      </c>
      <c r="R254">
        <v>5</v>
      </c>
      <c r="S254">
        <v>9</v>
      </c>
      <c r="T254">
        <v>9</v>
      </c>
      <c r="U254">
        <v>0</v>
      </c>
      <c r="V254">
        <v>7</v>
      </c>
      <c r="W254">
        <v>8</v>
      </c>
      <c r="X254">
        <v>-1</v>
      </c>
      <c r="Y254">
        <v>8</v>
      </c>
      <c r="Z254">
        <v>8</v>
      </c>
      <c r="AA254">
        <v>0</v>
      </c>
      <c r="AB254">
        <v>7</v>
      </c>
      <c r="AC254">
        <v>8</v>
      </c>
      <c r="AD254">
        <v>-1</v>
      </c>
      <c r="AE254">
        <v>6</v>
      </c>
      <c r="AF254">
        <v>8</v>
      </c>
      <c r="AG254">
        <v>-2</v>
      </c>
      <c r="AH254">
        <v>9</v>
      </c>
      <c r="AI254">
        <v>8</v>
      </c>
      <c r="AJ254">
        <v>1</v>
      </c>
      <c r="AK254" t="s">
        <v>2505</v>
      </c>
      <c r="AL254" t="s">
        <v>2506</v>
      </c>
      <c r="AM254" t="s">
        <v>2507</v>
      </c>
      <c r="AN254" t="s">
        <v>2508</v>
      </c>
      <c r="AO254" t="s">
        <v>2509</v>
      </c>
      <c r="AP254" t="s">
        <v>2510</v>
      </c>
      <c r="AQ254" t="s">
        <v>2511</v>
      </c>
      <c r="AR254" t="s">
        <v>2512</v>
      </c>
      <c r="AS254" t="s">
        <v>2513</v>
      </c>
    </row>
    <row r="255" spans="1:45" x14ac:dyDescent="0.45">
      <c r="A255">
        <v>254</v>
      </c>
      <c r="B255">
        <v>2244</v>
      </c>
      <c r="C255" t="s">
        <v>78</v>
      </c>
      <c r="D255" t="s">
        <v>79</v>
      </c>
      <c r="E255" t="s">
        <v>74</v>
      </c>
      <c r="F255" t="s">
        <v>75</v>
      </c>
      <c r="G255" t="s">
        <v>76</v>
      </c>
      <c r="H255">
        <v>86.850437301740783</v>
      </c>
      <c r="I255">
        <v>1</v>
      </c>
      <c r="J255">
        <v>7</v>
      </c>
      <c r="K255">
        <v>4</v>
      </c>
      <c r="L255">
        <v>3</v>
      </c>
      <c r="M255">
        <v>6</v>
      </c>
      <c r="N255">
        <v>3</v>
      </c>
      <c r="O255">
        <v>3</v>
      </c>
      <c r="P255">
        <v>8</v>
      </c>
      <c r="Q255">
        <v>1</v>
      </c>
      <c r="R255">
        <v>7</v>
      </c>
      <c r="S255">
        <v>9</v>
      </c>
      <c r="T255">
        <v>7</v>
      </c>
      <c r="U255">
        <v>2</v>
      </c>
      <c r="V255">
        <v>8</v>
      </c>
      <c r="W255">
        <v>3</v>
      </c>
      <c r="X255">
        <v>5</v>
      </c>
      <c r="Y255">
        <v>9</v>
      </c>
      <c r="Z255">
        <v>6</v>
      </c>
      <c r="AA255">
        <v>3</v>
      </c>
      <c r="AB255">
        <v>8</v>
      </c>
      <c r="AC255">
        <v>5</v>
      </c>
      <c r="AD255">
        <v>3</v>
      </c>
      <c r="AE255">
        <v>7</v>
      </c>
      <c r="AF255">
        <v>6</v>
      </c>
      <c r="AG255">
        <v>1</v>
      </c>
      <c r="AH255">
        <v>9</v>
      </c>
      <c r="AI255">
        <v>6</v>
      </c>
      <c r="AJ255">
        <v>3</v>
      </c>
      <c r="AK255" t="s">
        <v>2514</v>
      </c>
      <c r="AL255" t="s">
        <v>2515</v>
      </c>
      <c r="AM255" t="s">
        <v>2516</v>
      </c>
      <c r="AN255" t="s">
        <v>2517</v>
      </c>
      <c r="AO255" t="s">
        <v>2518</v>
      </c>
      <c r="AP255" t="s">
        <v>2519</v>
      </c>
      <c r="AQ255" t="s">
        <v>2520</v>
      </c>
      <c r="AR255" t="s">
        <v>2521</v>
      </c>
      <c r="AS255" t="s">
        <v>2522</v>
      </c>
    </row>
    <row r="256" spans="1:45" x14ac:dyDescent="0.45">
      <c r="A256">
        <v>255</v>
      </c>
      <c r="B256">
        <v>2245</v>
      </c>
      <c r="C256" t="s">
        <v>72</v>
      </c>
      <c r="D256" t="s">
        <v>73</v>
      </c>
      <c r="E256" t="s">
        <v>74</v>
      </c>
      <c r="F256" t="s">
        <v>75</v>
      </c>
      <c r="G256" t="s">
        <v>76</v>
      </c>
      <c r="H256">
        <v>61.469377991722489</v>
      </c>
      <c r="I256">
        <v>1</v>
      </c>
      <c r="J256">
        <v>8</v>
      </c>
      <c r="K256">
        <v>6</v>
      </c>
      <c r="L256">
        <v>2</v>
      </c>
      <c r="M256">
        <v>7</v>
      </c>
      <c r="N256">
        <v>6</v>
      </c>
      <c r="O256">
        <v>1</v>
      </c>
      <c r="P256">
        <v>9</v>
      </c>
      <c r="Q256">
        <v>1</v>
      </c>
      <c r="R256">
        <v>8</v>
      </c>
      <c r="S256">
        <v>9</v>
      </c>
      <c r="T256">
        <v>7</v>
      </c>
      <c r="U256">
        <v>2</v>
      </c>
      <c r="V256">
        <v>8</v>
      </c>
      <c r="W256">
        <v>5</v>
      </c>
      <c r="X256">
        <v>3</v>
      </c>
      <c r="Y256">
        <v>9</v>
      </c>
      <c r="Z256">
        <v>6</v>
      </c>
      <c r="AA256">
        <v>3</v>
      </c>
      <c r="AB256">
        <v>8</v>
      </c>
      <c r="AC256">
        <v>6</v>
      </c>
      <c r="AD256">
        <v>2</v>
      </c>
      <c r="AE256">
        <v>7</v>
      </c>
      <c r="AF256">
        <v>6</v>
      </c>
      <c r="AG256">
        <v>1</v>
      </c>
      <c r="AH256">
        <v>9</v>
      </c>
      <c r="AI256">
        <v>6</v>
      </c>
      <c r="AJ256">
        <v>3</v>
      </c>
      <c r="AK256" t="s">
        <v>2523</v>
      </c>
      <c r="AL256" t="s">
        <v>2524</v>
      </c>
      <c r="AM256" t="s">
        <v>2525</v>
      </c>
      <c r="AN256" t="s">
        <v>2526</v>
      </c>
      <c r="AO256" t="s">
        <v>2527</v>
      </c>
      <c r="AP256" t="s">
        <v>2528</v>
      </c>
      <c r="AQ256" t="s">
        <v>2529</v>
      </c>
      <c r="AR256" t="s">
        <v>2530</v>
      </c>
      <c r="AS256" t="s">
        <v>2531</v>
      </c>
    </row>
    <row r="257" spans="1:45" x14ac:dyDescent="0.45">
      <c r="A257">
        <v>256</v>
      </c>
      <c r="B257">
        <v>2246</v>
      </c>
      <c r="C257" t="s">
        <v>72</v>
      </c>
      <c r="D257" t="s">
        <v>191</v>
      </c>
      <c r="E257" t="s">
        <v>74</v>
      </c>
      <c r="F257" t="s">
        <v>77</v>
      </c>
      <c r="G257" t="s">
        <v>76</v>
      </c>
      <c r="H257">
        <v>155.46569674021657</v>
      </c>
      <c r="I257">
        <v>4</v>
      </c>
      <c r="J257">
        <v>7</v>
      </c>
      <c r="K257">
        <v>8</v>
      </c>
      <c r="L257">
        <v>-1</v>
      </c>
      <c r="M257">
        <v>8</v>
      </c>
      <c r="N257">
        <v>8</v>
      </c>
      <c r="O257">
        <v>0</v>
      </c>
      <c r="P257">
        <v>7</v>
      </c>
      <c r="Q257">
        <v>5</v>
      </c>
      <c r="R257">
        <v>2</v>
      </c>
      <c r="S257">
        <v>8</v>
      </c>
      <c r="T257">
        <v>8</v>
      </c>
      <c r="U257">
        <v>0</v>
      </c>
      <c r="V257">
        <v>6</v>
      </c>
      <c r="W257">
        <v>8</v>
      </c>
      <c r="X257">
        <v>-2</v>
      </c>
      <c r="Y257">
        <v>8</v>
      </c>
      <c r="Z257">
        <v>7</v>
      </c>
      <c r="AA257">
        <v>1</v>
      </c>
      <c r="AB257">
        <v>6</v>
      </c>
      <c r="AC257">
        <v>7</v>
      </c>
      <c r="AD257">
        <v>-1</v>
      </c>
      <c r="AE257">
        <v>7</v>
      </c>
      <c r="AF257">
        <v>7</v>
      </c>
      <c r="AG257">
        <v>0</v>
      </c>
      <c r="AH257">
        <v>8</v>
      </c>
      <c r="AI257">
        <v>7</v>
      </c>
      <c r="AJ257">
        <v>1</v>
      </c>
      <c r="AK257" t="s">
        <v>2532</v>
      </c>
      <c r="AL257" t="s">
        <v>2533</v>
      </c>
      <c r="AM257" t="s">
        <v>2534</v>
      </c>
      <c r="AN257" t="s">
        <v>2535</v>
      </c>
      <c r="AO257" t="s">
        <v>2536</v>
      </c>
      <c r="AP257" t="s">
        <v>2537</v>
      </c>
      <c r="AQ257" t="s">
        <v>2538</v>
      </c>
      <c r="AR257" t="s">
        <v>2539</v>
      </c>
      <c r="AS257" t="s">
        <v>2540</v>
      </c>
    </row>
    <row r="258" spans="1:45" x14ac:dyDescent="0.45">
      <c r="A258">
        <v>257</v>
      </c>
      <c r="B258">
        <v>2247</v>
      </c>
      <c r="C258" t="s">
        <v>72</v>
      </c>
      <c r="D258" t="s">
        <v>81</v>
      </c>
      <c r="E258" t="s">
        <v>74</v>
      </c>
      <c r="F258" t="s">
        <v>77</v>
      </c>
      <c r="G258" t="s">
        <v>76</v>
      </c>
      <c r="H258">
        <v>32.842725037886026</v>
      </c>
      <c r="I258">
        <v>1</v>
      </c>
      <c r="J258">
        <v>5</v>
      </c>
      <c r="K258">
        <v>7</v>
      </c>
      <c r="L258">
        <v>-2</v>
      </c>
      <c r="M258">
        <v>6</v>
      </c>
      <c r="N258">
        <v>8</v>
      </c>
      <c r="O258">
        <v>-2</v>
      </c>
      <c r="P258">
        <v>8</v>
      </c>
      <c r="Q258">
        <v>4</v>
      </c>
      <c r="R258">
        <v>4</v>
      </c>
      <c r="S258">
        <v>9</v>
      </c>
      <c r="T258">
        <v>8</v>
      </c>
      <c r="U258">
        <v>1</v>
      </c>
      <c r="V258">
        <v>7</v>
      </c>
      <c r="W258">
        <v>5</v>
      </c>
      <c r="X258">
        <v>2</v>
      </c>
      <c r="Y258">
        <v>8</v>
      </c>
      <c r="Z258">
        <v>7</v>
      </c>
      <c r="AA258">
        <v>1</v>
      </c>
      <c r="AB258">
        <v>7</v>
      </c>
      <c r="AC258">
        <v>5</v>
      </c>
      <c r="AD258">
        <v>2</v>
      </c>
      <c r="AE258">
        <v>6</v>
      </c>
      <c r="AF258">
        <v>6</v>
      </c>
      <c r="AG258">
        <v>0</v>
      </c>
      <c r="AH258">
        <v>8</v>
      </c>
      <c r="AI258">
        <v>6</v>
      </c>
      <c r="AJ258">
        <v>2</v>
      </c>
      <c r="AK258" t="s">
        <v>2541</v>
      </c>
      <c r="AL258" t="s">
        <v>2542</v>
      </c>
      <c r="AM258" t="s">
        <v>2543</v>
      </c>
      <c r="AN258" t="s">
        <v>2544</v>
      </c>
      <c r="AO258" t="s">
        <v>2545</v>
      </c>
      <c r="AP258" t="s">
        <v>2546</v>
      </c>
      <c r="AQ258" t="s">
        <v>2547</v>
      </c>
      <c r="AR258" t="s">
        <v>2548</v>
      </c>
      <c r="AS258" t="s">
        <v>2549</v>
      </c>
    </row>
    <row r="259" spans="1:45" x14ac:dyDescent="0.45">
      <c r="A259">
        <v>258</v>
      </c>
      <c r="B259">
        <v>2248</v>
      </c>
      <c r="C259" t="s">
        <v>78</v>
      </c>
      <c r="D259" t="s">
        <v>79</v>
      </c>
      <c r="E259" t="s">
        <v>74</v>
      </c>
      <c r="F259" t="s">
        <v>77</v>
      </c>
      <c r="G259" t="s">
        <v>76</v>
      </c>
      <c r="H259">
        <v>68.345061331934133</v>
      </c>
      <c r="I259">
        <v>2</v>
      </c>
      <c r="J259">
        <v>6</v>
      </c>
      <c r="K259">
        <v>6</v>
      </c>
      <c r="L259">
        <v>0</v>
      </c>
      <c r="M259">
        <v>5</v>
      </c>
      <c r="N259">
        <v>7</v>
      </c>
      <c r="O259">
        <v>-2</v>
      </c>
      <c r="P259">
        <v>7</v>
      </c>
      <c r="Q259">
        <v>2</v>
      </c>
      <c r="R259">
        <v>5</v>
      </c>
      <c r="S259">
        <v>8</v>
      </c>
      <c r="T259">
        <v>7</v>
      </c>
      <c r="U259">
        <v>1</v>
      </c>
      <c r="V259">
        <v>7</v>
      </c>
      <c r="W259">
        <v>5</v>
      </c>
      <c r="X259">
        <v>2</v>
      </c>
      <c r="Y259">
        <v>9</v>
      </c>
      <c r="Z259">
        <v>5</v>
      </c>
      <c r="AA259">
        <v>4</v>
      </c>
      <c r="AB259">
        <v>8</v>
      </c>
      <c r="AC259">
        <v>5</v>
      </c>
      <c r="AD259">
        <v>3</v>
      </c>
      <c r="AE259">
        <v>9</v>
      </c>
      <c r="AF259">
        <v>6</v>
      </c>
      <c r="AG259">
        <v>3</v>
      </c>
      <c r="AH259">
        <v>8</v>
      </c>
      <c r="AI259">
        <v>5</v>
      </c>
      <c r="AJ259">
        <v>3</v>
      </c>
      <c r="AK259" t="s">
        <v>2550</v>
      </c>
      <c r="AL259" t="s">
        <v>2551</v>
      </c>
      <c r="AM259" t="s">
        <v>2552</v>
      </c>
      <c r="AN259" t="s">
        <v>2553</v>
      </c>
      <c r="AO259" t="s">
        <v>2554</v>
      </c>
      <c r="AP259" t="s">
        <v>2555</v>
      </c>
      <c r="AQ259" t="s">
        <v>2556</v>
      </c>
      <c r="AR259" t="s">
        <v>2557</v>
      </c>
      <c r="AS259" t="s">
        <v>2558</v>
      </c>
    </row>
    <row r="260" spans="1:45" x14ac:dyDescent="0.45">
      <c r="A260">
        <v>259</v>
      </c>
      <c r="B260">
        <v>2249</v>
      </c>
      <c r="C260" t="s">
        <v>78</v>
      </c>
      <c r="D260" t="s">
        <v>191</v>
      </c>
      <c r="E260" t="s">
        <v>74</v>
      </c>
      <c r="F260" t="s">
        <v>75</v>
      </c>
      <c r="G260" t="s">
        <v>76</v>
      </c>
      <c r="H260">
        <v>191.86155060733867</v>
      </c>
      <c r="I260">
        <v>4</v>
      </c>
      <c r="J260">
        <v>8</v>
      </c>
      <c r="K260">
        <v>2</v>
      </c>
      <c r="L260">
        <v>6</v>
      </c>
      <c r="M260">
        <v>9</v>
      </c>
      <c r="N260">
        <v>1</v>
      </c>
      <c r="O260">
        <v>8</v>
      </c>
      <c r="P260">
        <v>7</v>
      </c>
      <c r="Q260">
        <v>1</v>
      </c>
      <c r="R260">
        <v>6</v>
      </c>
      <c r="S260">
        <v>8</v>
      </c>
      <c r="T260">
        <v>6</v>
      </c>
      <c r="U260">
        <v>2</v>
      </c>
      <c r="V260">
        <v>7</v>
      </c>
      <c r="W260">
        <v>2</v>
      </c>
      <c r="X260">
        <v>5</v>
      </c>
      <c r="Y260">
        <v>9</v>
      </c>
      <c r="Z260">
        <v>3</v>
      </c>
      <c r="AA260">
        <v>6</v>
      </c>
      <c r="AB260">
        <v>8</v>
      </c>
      <c r="AC260">
        <v>1</v>
      </c>
      <c r="AD260">
        <v>7</v>
      </c>
      <c r="AE260">
        <v>7</v>
      </c>
      <c r="AF260">
        <v>5</v>
      </c>
      <c r="AG260">
        <v>2</v>
      </c>
      <c r="AH260">
        <v>9</v>
      </c>
      <c r="AI260">
        <v>4</v>
      </c>
      <c r="AJ260">
        <v>5</v>
      </c>
      <c r="AK260" t="s">
        <v>2559</v>
      </c>
      <c r="AL260" t="s">
        <v>2560</v>
      </c>
      <c r="AM260" t="s">
        <v>2561</v>
      </c>
      <c r="AN260" t="s">
        <v>2562</v>
      </c>
      <c r="AO260" t="s">
        <v>2563</v>
      </c>
      <c r="AP260" t="s">
        <v>2564</v>
      </c>
      <c r="AQ260" t="s">
        <v>2565</v>
      </c>
      <c r="AR260" t="s">
        <v>2566</v>
      </c>
      <c r="AS260" t="s">
        <v>2567</v>
      </c>
    </row>
    <row r="261" spans="1:45" x14ac:dyDescent="0.45">
      <c r="A261">
        <v>260</v>
      </c>
      <c r="B261">
        <v>2250</v>
      </c>
      <c r="C261" t="s">
        <v>72</v>
      </c>
      <c r="D261" t="s">
        <v>73</v>
      </c>
      <c r="E261" t="s">
        <v>80</v>
      </c>
      <c r="F261" t="s">
        <v>77</v>
      </c>
      <c r="G261" t="s">
        <v>76</v>
      </c>
      <c r="H261">
        <v>37.838960492696707</v>
      </c>
      <c r="I261">
        <v>2</v>
      </c>
      <c r="J261">
        <v>7</v>
      </c>
      <c r="K261">
        <v>6</v>
      </c>
      <c r="L261">
        <v>1</v>
      </c>
      <c r="M261">
        <v>6</v>
      </c>
      <c r="N261">
        <v>6</v>
      </c>
      <c r="O261">
        <v>0</v>
      </c>
      <c r="P261">
        <v>9</v>
      </c>
      <c r="Q261">
        <v>7</v>
      </c>
      <c r="R261">
        <v>2</v>
      </c>
      <c r="S261">
        <v>9</v>
      </c>
      <c r="T261">
        <v>6</v>
      </c>
      <c r="U261">
        <v>3</v>
      </c>
      <c r="V261">
        <v>8</v>
      </c>
      <c r="W261">
        <v>5</v>
      </c>
      <c r="X261">
        <v>3</v>
      </c>
      <c r="Y261">
        <v>8</v>
      </c>
      <c r="Z261">
        <v>6</v>
      </c>
      <c r="AA261">
        <v>2</v>
      </c>
      <c r="AB261">
        <v>7</v>
      </c>
      <c r="AC261">
        <v>5</v>
      </c>
      <c r="AD261">
        <v>2</v>
      </c>
      <c r="AE261">
        <v>8</v>
      </c>
      <c r="AF261">
        <v>6</v>
      </c>
      <c r="AG261">
        <v>2</v>
      </c>
      <c r="AH261">
        <v>9</v>
      </c>
      <c r="AI261">
        <v>6</v>
      </c>
      <c r="AJ261">
        <v>3</v>
      </c>
      <c r="AK261" t="s">
        <v>222</v>
      </c>
      <c r="AL261" t="s">
        <v>2568</v>
      </c>
      <c r="AM261" t="s">
        <v>2569</v>
      </c>
      <c r="AN261" t="s">
        <v>2570</v>
      </c>
      <c r="AO261" t="s">
        <v>2571</v>
      </c>
      <c r="AP261" t="s">
        <v>2572</v>
      </c>
      <c r="AQ261" t="s">
        <v>2573</v>
      </c>
      <c r="AR261" t="s">
        <v>2574</v>
      </c>
      <c r="AS261" t="s">
        <v>2575</v>
      </c>
    </row>
    <row r="262" spans="1:45" x14ac:dyDescent="0.45">
      <c r="A262">
        <v>261</v>
      </c>
      <c r="B262">
        <v>2251</v>
      </c>
      <c r="C262" t="s">
        <v>78</v>
      </c>
      <c r="D262" t="s">
        <v>73</v>
      </c>
      <c r="E262" t="s">
        <v>74</v>
      </c>
      <c r="F262" t="s">
        <v>77</v>
      </c>
      <c r="G262" t="s">
        <v>76</v>
      </c>
      <c r="H262">
        <v>44.657972186580224</v>
      </c>
      <c r="I262">
        <v>1</v>
      </c>
      <c r="J262">
        <v>6</v>
      </c>
      <c r="K262">
        <v>6</v>
      </c>
      <c r="L262">
        <v>0</v>
      </c>
      <c r="M262">
        <v>7</v>
      </c>
      <c r="N262">
        <v>7</v>
      </c>
      <c r="O262">
        <v>0</v>
      </c>
      <c r="P262">
        <v>9</v>
      </c>
      <c r="Q262">
        <v>1</v>
      </c>
      <c r="R262">
        <v>8</v>
      </c>
      <c r="S262">
        <v>8</v>
      </c>
      <c r="T262">
        <v>9</v>
      </c>
      <c r="U262">
        <v>-1</v>
      </c>
      <c r="V262">
        <v>7</v>
      </c>
      <c r="W262">
        <v>5</v>
      </c>
      <c r="X262">
        <v>2</v>
      </c>
      <c r="Y262">
        <v>9</v>
      </c>
      <c r="Z262">
        <v>4</v>
      </c>
      <c r="AA262">
        <v>5</v>
      </c>
      <c r="AB262">
        <v>8</v>
      </c>
      <c r="AC262">
        <v>4</v>
      </c>
      <c r="AD262">
        <v>4</v>
      </c>
      <c r="AE262">
        <v>6</v>
      </c>
      <c r="AF262">
        <v>5</v>
      </c>
      <c r="AG262">
        <v>1</v>
      </c>
      <c r="AH262">
        <v>9</v>
      </c>
      <c r="AI262">
        <v>5</v>
      </c>
      <c r="AJ262">
        <v>4</v>
      </c>
      <c r="AK262" t="s">
        <v>2576</v>
      </c>
      <c r="AL262" t="s">
        <v>2577</v>
      </c>
      <c r="AM262" t="s">
        <v>2578</v>
      </c>
      <c r="AN262" t="s">
        <v>2579</v>
      </c>
      <c r="AO262" t="s">
        <v>2580</v>
      </c>
      <c r="AP262" t="s">
        <v>2581</v>
      </c>
      <c r="AQ262" t="s">
        <v>2582</v>
      </c>
      <c r="AR262" t="s">
        <v>2583</v>
      </c>
      <c r="AS262" t="s">
        <v>2584</v>
      </c>
    </row>
    <row r="263" spans="1:45" x14ac:dyDescent="0.45">
      <c r="A263">
        <v>262</v>
      </c>
      <c r="B263">
        <v>2252</v>
      </c>
      <c r="C263" t="s">
        <v>78</v>
      </c>
      <c r="D263" t="s">
        <v>73</v>
      </c>
      <c r="E263" t="s">
        <v>74</v>
      </c>
      <c r="F263" t="s">
        <v>77</v>
      </c>
      <c r="G263" t="s">
        <v>76</v>
      </c>
      <c r="H263">
        <v>52.492717578087984</v>
      </c>
      <c r="I263">
        <v>4</v>
      </c>
      <c r="J263">
        <v>9</v>
      </c>
      <c r="K263">
        <v>9</v>
      </c>
      <c r="L263">
        <v>0</v>
      </c>
      <c r="M263">
        <v>8</v>
      </c>
      <c r="N263">
        <v>9</v>
      </c>
      <c r="O263">
        <v>-1</v>
      </c>
      <c r="P263">
        <v>7</v>
      </c>
      <c r="Q263">
        <v>8</v>
      </c>
      <c r="R263">
        <v>-1</v>
      </c>
      <c r="S263">
        <v>8</v>
      </c>
      <c r="T263">
        <v>9</v>
      </c>
      <c r="U263">
        <v>-1</v>
      </c>
      <c r="V263">
        <v>9</v>
      </c>
      <c r="W263">
        <v>8</v>
      </c>
      <c r="X263">
        <v>1</v>
      </c>
      <c r="Y263">
        <v>9</v>
      </c>
      <c r="Z263">
        <v>9</v>
      </c>
      <c r="AA263">
        <v>0</v>
      </c>
      <c r="AB263">
        <v>8</v>
      </c>
      <c r="AC263">
        <v>9</v>
      </c>
      <c r="AD263">
        <v>-1</v>
      </c>
      <c r="AE263">
        <v>9</v>
      </c>
      <c r="AF263">
        <v>8</v>
      </c>
      <c r="AG263">
        <v>1</v>
      </c>
      <c r="AH263">
        <v>8</v>
      </c>
      <c r="AI263">
        <v>8</v>
      </c>
      <c r="AJ263">
        <v>0</v>
      </c>
      <c r="AK263" t="s">
        <v>2585</v>
      </c>
      <c r="AL263" t="s">
        <v>2586</v>
      </c>
      <c r="AM263" t="s">
        <v>2587</v>
      </c>
      <c r="AN263" t="s">
        <v>2588</v>
      </c>
      <c r="AO263" t="s">
        <v>2589</v>
      </c>
      <c r="AP263" t="s">
        <v>2590</v>
      </c>
      <c r="AQ263" t="s">
        <v>2591</v>
      </c>
      <c r="AR263" t="s">
        <v>2592</v>
      </c>
      <c r="AS263" t="s">
        <v>2593</v>
      </c>
    </row>
    <row r="264" spans="1:45" x14ac:dyDescent="0.45">
      <c r="A264">
        <v>263</v>
      </c>
      <c r="B264">
        <v>2253</v>
      </c>
      <c r="C264" t="s">
        <v>78</v>
      </c>
      <c r="D264" t="s">
        <v>73</v>
      </c>
      <c r="E264" t="s">
        <v>74</v>
      </c>
      <c r="F264" t="s">
        <v>75</v>
      </c>
      <c r="G264" t="s">
        <v>76</v>
      </c>
      <c r="H264">
        <v>74.082301305339371</v>
      </c>
      <c r="I264">
        <v>3</v>
      </c>
      <c r="J264">
        <v>7</v>
      </c>
      <c r="K264">
        <v>8</v>
      </c>
      <c r="L264">
        <v>-1</v>
      </c>
      <c r="M264">
        <v>6</v>
      </c>
      <c r="N264">
        <v>8</v>
      </c>
      <c r="O264">
        <v>-2</v>
      </c>
      <c r="P264">
        <v>8</v>
      </c>
      <c r="Q264">
        <v>5</v>
      </c>
      <c r="R264">
        <v>3</v>
      </c>
      <c r="S264">
        <v>9</v>
      </c>
      <c r="T264">
        <v>7</v>
      </c>
      <c r="U264">
        <v>2</v>
      </c>
      <c r="V264">
        <v>8</v>
      </c>
      <c r="W264">
        <v>7</v>
      </c>
      <c r="X264">
        <v>1</v>
      </c>
      <c r="Y264">
        <v>9</v>
      </c>
      <c r="Z264">
        <v>5</v>
      </c>
      <c r="AA264">
        <v>4</v>
      </c>
      <c r="AB264">
        <v>8</v>
      </c>
      <c r="AC264">
        <v>5</v>
      </c>
      <c r="AD264">
        <v>3</v>
      </c>
      <c r="AE264">
        <v>7</v>
      </c>
      <c r="AF264">
        <v>6</v>
      </c>
      <c r="AG264">
        <v>1</v>
      </c>
      <c r="AH264">
        <v>9</v>
      </c>
      <c r="AI264">
        <v>6</v>
      </c>
      <c r="AJ264">
        <v>3</v>
      </c>
      <c r="AK264" t="s">
        <v>2594</v>
      </c>
      <c r="AL264" t="s">
        <v>2595</v>
      </c>
      <c r="AM264" t="s">
        <v>2596</v>
      </c>
      <c r="AN264" t="s">
        <v>2597</v>
      </c>
      <c r="AO264" t="s">
        <v>2598</v>
      </c>
      <c r="AP264" t="s">
        <v>2599</v>
      </c>
      <c r="AQ264" t="s">
        <v>2600</v>
      </c>
      <c r="AR264" t="s">
        <v>2601</v>
      </c>
      <c r="AS264" t="s">
        <v>2602</v>
      </c>
    </row>
    <row r="265" spans="1:45" x14ac:dyDescent="0.45">
      <c r="A265">
        <v>264</v>
      </c>
      <c r="B265">
        <v>2254</v>
      </c>
      <c r="C265" t="s">
        <v>78</v>
      </c>
      <c r="D265" t="s">
        <v>79</v>
      </c>
      <c r="E265" t="s">
        <v>74</v>
      </c>
      <c r="F265" t="s">
        <v>75</v>
      </c>
      <c r="G265" t="s">
        <v>76</v>
      </c>
      <c r="H265">
        <v>139.51218293264679</v>
      </c>
      <c r="I265">
        <v>3</v>
      </c>
      <c r="J265">
        <v>7</v>
      </c>
      <c r="K265">
        <v>7</v>
      </c>
      <c r="L265">
        <v>0</v>
      </c>
      <c r="M265">
        <v>7</v>
      </c>
      <c r="N265">
        <v>7</v>
      </c>
      <c r="O265">
        <v>0</v>
      </c>
      <c r="P265">
        <v>8</v>
      </c>
      <c r="Q265">
        <v>7</v>
      </c>
      <c r="R265">
        <v>1</v>
      </c>
      <c r="S265">
        <v>9</v>
      </c>
      <c r="T265">
        <v>8</v>
      </c>
      <c r="U265">
        <v>1</v>
      </c>
      <c r="V265">
        <v>8</v>
      </c>
      <c r="W265">
        <v>7</v>
      </c>
      <c r="X265">
        <v>1</v>
      </c>
      <c r="Y265">
        <v>7</v>
      </c>
      <c r="Z265">
        <v>7</v>
      </c>
      <c r="AA265">
        <v>0</v>
      </c>
      <c r="AB265">
        <v>8</v>
      </c>
      <c r="AC265">
        <v>7</v>
      </c>
      <c r="AD265">
        <v>1</v>
      </c>
      <c r="AE265">
        <v>7</v>
      </c>
      <c r="AF265">
        <v>7</v>
      </c>
      <c r="AG265">
        <v>0</v>
      </c>
      <c r="AH265">
        <v>8</v>
      </c>
      <c r="AI265">
        <v>7</v>
      </c>
      <c r="AJ265">
        <v>1</v>
      </c>
      <c r="AK265" t="s">
        <v>2603</v>
      </c>
      <c r="AL265" t="s">
        <v>2604</v>
      </c>
      <c r="AM265" t="s">
        <v>2605</v>
      </c>
      <c r="AN265" t="s">
        <v>2606</v>
      </c>
      <c r="AO265" t="s">
        <v>2607</v>
      </c>
      <c r="AP265" t="s">
        <v>2608</v>
      </c>
      <c r="AQ265" t="s">
        <v>2609</v>
      </c>
      <c r="AR265" t="s">
        <v>2610</v>
      </c>
      <c r="AS265" t="s">
        <v>2611</v>
      </c>
    </row>
    <row r="266" spans="1:45" x14ac:dyDescent="0.45">
      <c r="A266">
        <v>265</v>
      </c>
      <c r="B266">
        <v>2255</v>
      </c>
      <c r="C266" t="s">
        <v>72</v>
      </c>
      <c r="D266" t="s">
        <v>73</v>
      </c>
      <c r="E266" t="s">
        <v>74</v>
      </c>
      <c r="F266" t="s">
        <v>77</v>
      </c>
      <c r="G266" t="s">
        <v>76</v>
      </c>
      <c r="H266">
        <v>23.4628029662031</v>
      </c>
      <c r="I266">
        <v>0</v>
      </c>
      <c r="J266">
        <v>6</v>
      </c>
      <c r="K266">
        <v>6</v>
      </c>
      <c r="L266">
        <v>0</v>
      </c>
      <c r="M266">
        <v>6</v>
      </c>
      <c r="N266">
        <v>5</v>
      </c>
      <c r="O266">
        <v>1</v>
      </c>
      <c r="P266">
        <v>7</v>
      </c>
      <c r="Q266">
        <v>5</v>
      </c>
      <c r="R266">
        <v>2</v>
      </c>
      <c r="S266">
        <v>9</v>
      </c>
      <c r="T266">
        <v>7</v>
      </c>
      <c r="U266">
        <v>2</v>
      </c>
      <c r="V266">
        <v>7</v>
      </c>
      <c r="W266">
        <v>6</v>
      </c>
      <c r="X266">
        <v>1</v>
      </c>
      <c r="Y266">
        <v>9</v>
      </c>
      <c r="Z266">
        <v>7</v>
      </c>
      <c r="AA266">
        <v>2</v>
      </c>
      <c r="AB266">
        <v>7</v>
      </c>
      <c r="AC266">
        <v>5</v>
      </c>
      <c r="AD266">
        <v>2</v>
      </c>
      <c r="AE266">
        <v>8</v>
      </c>
      <c r="AF266">
        <v>6</v>
      </c>
      <c r="AG266">
        <v>2</v>
      </c>
      <c r="AH266">
        <v>9</v>
      </c>
      <c r="AI266">
        <v>6</v>
      </c>
      <c r="AJ266">
        <v>3</v>
      </c>
      <c r="AK266" t="s">
        <v>2612</v>
      </c>
      <c r="AL266" t="s">
        <v>2613</v>
      </c>
      <c r="AM266" t="s">
        <v>2614</v>
      </c>
      <c r="AN266" t="s">
        <v>2615</v>
      </c>
      <c r="AO266" t="s">
        <v>2616</v>
      </c>
      <c r="AP266" t="s">
        <v>2617</v>
      </c>
      <c r="AQ266" t="s">
        <v>2618</v>
      </c>
      <c r="AR266" t="s">
        <v>2619</v>
      </c>
      <c r="AS266" t="s">
        <v>2620</v>
      </c>
    </row>
    <row r="267" spans="1:45" x14ac:dyDescent="0.45">
      <c r="A267">
        <v>266</v>
      </c>
      <c r="B267">
        <v>2256</v>
      </c>
      <c r="C267" t="s">
        <v>72</v>
      </c>
      <c r="D267" t="s">
        <v>191</v>
      </c>
      <c r="E267" t="s">
        <v>74</v>
      </c>
      <c r="F267" t="s">
        <v>77</v>
      </c>
      <c r="G267" t="s">
        <v>76</v>
      </c>
      <c r="H267">
        <v>62.259642572768584</v>
      </c>
      <c r="I267">
        <v>3</v>
      </c>
      <c r="J267">
        <v>7</v>
      </c>
      <c r="K267">
        <v>7</v>
      </c>
      <c r="L267">
        <v>0</v>
      </c>
      <c r="M267">
        <v>6</v>
      </c>
      <c r="N267">
        <v>6</v>
      </c>
      <c r="O267">
        <v>0</v>
      </c>
      <c r="P267">
        <v>8</v>
      </c>
      <c r="Q267">
        <v>6</v>
      </c>
      <c r="R267">
        <v>2</v>
      </c>
      <c r="S267">
        <v>9</v>
      </c>
      <c r="T267">
        <v>6</v>
      </c>
      <c r="U267">
        <v>3</v>
      </c>
      <c r="V267">
        <v>6</v>
      </c>
      <c r="W267">
        <v>7</v>
      </c>
      <c r="X267">
        <v>-1</v>
      </c>
      <c r="Y267">
        <v>9</v>
      </c>
      <c r="Z267">
        <v>7</v>
      </c>
      <c r="AA267">
        <v>2</v>
      </c>
      <c r="AB267">
        <v>7</v>
      </c>
      <c r="AC267">
        <v>7</v>
      </c>
      <c r="AD267">
        <v>0</v>
      </c>
      <c r="AE267">
        <v>8</v>
      </c>
      <c r="AF267">
        <v>7</v>
      </c>
      <c r="AG267">
        <v>1</v>
      </c>
      <c r="AH267">
        <v>7</v>
      </c>
      <c r="AI267">
        <v>7</v>
      </c>
      <c r="AJ267">
        <v>0</v>
      </c>
      <c r="AK267" t="s">
        <v>2621</v>
      </c>
      <c r="AL267" t="s">
        <v>2622</v>
      </c>
      <c r="AM267" t="s">
        <v>2623</v>
      </c>
      <c r="AN267" t="s">
        <v>2624</v>
      </c>
      <c r="AO267" t="s">
        <v>2625</v>
      </c>
      <c r="AP267" t="s">
        <v>2626</v>
      </c>
      <c r="AQ267" t="s">
        <v>2627</v>
      </c>
      <c r="AR267" t="s">
        <v>2628</v>
      </c>
      <c r="AS267" t="s">
        <v>2629</v>
      </c>
    </row>
    <row r="268" spans="1:45" x14ac:dyDescent="0.45">
      <c r="A268">
        <v>267</v>
      </c>
      <c r="B268">
        <v>2257</v>
      </c>
      <c r="C268" t="s">
        <v>78</v>
      </c>
      <c r="D268" t="s">
        <v>79</v>
      </c>
      <c r="E268" t="s">
        <v>74</v>
      </c>
      <c r="F268" t="s">
        <v>75</v>
      </c>
      <c r="G268" t="s">
        <v>76</v>
      </c>
      <c r="H268">
        <v>60.808420867312741</v>
      </c>
      <c r="I268">
        <v>2</v>
      </c>
      <c r="J268">
        <v>7</v>
      </c>
      <c r="K268">
        <v>6</v>
      </c>
      <c r="L268">
        <v>1</v>
      </c>
      <c r="M268">
        <v>7</v>
      </c>
      <c r="N268">
        <v>7</v>
      </c>
      <c r="O268">
        <v>0</v>
      </c>
      <c r="P268">
        <v>9</v>
      </c>
      <c r="Q268">
        <v>7</v>
      </c>
      <c r="R268">
        <v>2</v>
      </c>
      <c r="S268">
        <v>8</v>
      </c>
      <c r="T268">
        <v>6</v>
      </c>
      <c r="U268">
        <v>2</v>
      </c>
      <c r="V268">
        <v>6</v>
      </c>
      <c r="W268">
        <v>6</v>
      </c>
      <c r="X268">
        <v>0</v>
      </c>
      <c r="Y268">
        <v>8</v>
      </c>
      <c r="Z268">
        <v>6</v>
      </c>
      <c r="AA268">
        <v>2</v>
      </c>
      <c r="AB268">
        <v>6</v>
      </c>
      <c r="AC268">
        <v>6</v>
      </c>
      <c r="AD268">
        <v>0</v>
      </c>
      <c r="AE268">
        <v>7</v>
      </c>
      <c r="AF268">
        <v>7</v>
      </c>
      <c r="AG268">
        <v>0</v>
      </c>
      <c r="AH268">
        <v>8</v>
      </c>
      <c r="AI268">
        <v>7</v>
      </c>
      <c r="AJ268">
        <v>1</v>
      </c>
      <c r="AK268" t="s">
        <v>2630</v>
      </c>
      <c r="AL268" t="s">
        <v>2631</v>
      </c>
      <c r="AM268" t="s">
        <v>2632</v>
      </c>
      <c r="AN268" t="s">
        <v>2633</v>
      </c>
      <c r="AO268" t="s">
        <v>2634</v>
      </c>
      <c r="AP268" t="s">
        <v>2635</v>
      </c>
      <c r="AQ268" t="s">
        <v>2636</v>
      </c>
      <c r="AR268" t="s">
        <v>2637</v>
      </c>
      <c r="AS268" t="s">
        <v>2638</v>
      </c>
    </row>
    <row r="269" spans="1:45" x14ac:dyDescent="0.45">
      <c r="A269">
        <v>268</v>
      </c>
      <c r="B269">
        <v>2258</v>
      </c>
      <c r="C269" t="s">
        <v>72</v>
      </c>
      <c r="D269" t="s">
        <v>81</v>
      </c>
      <c r="E269" t="s">
        <v>74</v>
      </c>
      <c r="F269" t="s">
        <v>77</v>
      </c>
      <c r="G269" t="s">
        <v>76</v>
      </c>
      <c r="H269">
        <v>24.038339925455372</v>
      </c>
      <c r="I269">
        <v>2</v>
      </c>
      <c r="J269">
        <v>9</v>
      </c>
      <c r="K269">
        <v>7</v>
      </c>
      <c r="L269">
        <v>2</v>
      </c>
      <c r="M269">
        <v>8</v>
      </c>
      <c r="N269">
        <v>7</v>
      </c>
      <c r="O269">
        <v>1</v>
      </c>
      <c r="P269">
        <v>9</v>
      </c>
      <c r="Q269">
        <v>2</v>
      </c>
      <c r="R269">
        <v>7</v>
      </c>
      <c r="S269">
        <v>8</v>
      </c>
      <c r="T269">
        <v>7</v>
      </c>
      <c r="U269">
        <v>1</v>
      </c>
      <c r="V269">
        <v>7</v>
      </c>
      <c r="W269">
        <v>7</v>
      </c>
      <c r="X269">
        <v>0</v>
      </c>
      <c r="Y269">
        <v>9</v>
      </c>
      <c r="Z269">
        <v>7</v>
      </c>
      <c r="AA269">
        <v>2</v>
      </c>
      <c r="AB269">
        <v>8</v>
      </c>
      <c r="AC269">
        <v>7</v>
      </c>
      <c r="AD269">
        <v>1</v>
      </c>
      <c r="AE269">
        <v>7</v>
      </c>
      <c r="AF269">
        <v>7</v>
      </c>
      <c r="AG269">
        <v>0</v>
      </c>
      <c r="AH269">
        <v>9</v>
      </c>
      <c r="AI269">
        <v>7</v>
      </c>
      <c r="AJ269">
        <v>2</v>
      </c>
      <c r="AK269" t="s">
        <v>2639</v>
      </c>
      <c r="AL269" t="s">
        <v>2640</v>
      </c>
      <c r="AM269" t="s">
        <v>2641</v>
      </c>
      <c r="AN269" t="s">
        <v>2642</v>
      </c>
      <c r="AO269" t="s">
        <v>2643</v>
      </c>
      <c r="AP269" t="s">
        <v>2644</v>
      </c>
      <c r="AQ269" t="s">
        <v>2645</v>
      </c>
      <c r="AR269" t="s">
        <v>2646</v>
      </c>
      <c r="AS269" t="s">
        <v>2647</v>
      </c>
    </row>
    <row r="270" spans="1:45" x14ac:dyDescent="0.45">
      <c r="A270">
        <v>269</v>
      </c>
      <c r="B270">
        <v>2259</v>
      </c>
      <c r="C270" t="s">
        <v>78</v>
      </c>
      <c r="D270" t="s">
        <v>79</v>
      </c>
      <c r="E270" t="s">
        <v>74</v>
      </c>
      <c r="F270" t="s">
        <v>75</v>
      </c>
      <c r="G270" t="s">
        <v>76</v>
      </c>
      <c r="H270">
        <v>88.673723159444748</v>
      </c>
      <c r="I270">
        <v>4</v>
      </c>
      <c r="J270">
        <v>8</v>
      </c>
      <c r="K270">
        <v>4</v>
      </c>
      <c r="L270">
        <v>4</v>
      </c>
      <c r="M270">
        <v>9</v>
      </c>
      <c r="N270">
        <v>5</v>
      </c>
      <c r="O270">
        <v>4</v>
      </c>
      <c r="P270">
        <v>7</v>
      </c>
      <c r="Q270">
        <v>2</v>
      </c>
      <c r="R270">
        <v>5</v>
      </c>
      <c r="S270">
        <v>9</v>
      </c>
      <c r="T270">
        <v>6</v>
      </c>
      <c r="U270">
        <v>3</v>
      </c>
      <c r="V270">
        <v>8</v>
      </c>
      <c r="W270">
        <v>3</v>
      </c>
      <c r="X270">
        <v>5</v>
      </c>
      <c r="Y270">
        <v>9</v>
      </c>
      <c r="Z270">
        <v>3</v>
      </c>
      <c r="AA270">
        <v>6</v>
      </c>
      <c r="AB270">
        <v>7</v>
      </c>
      <c r="AC270">
        <v>1</v>
      </c>
      <c r="AD270">
        <v>6</v>
      </c>
      <c r="AE270">
        <v>6</v>
      </c>
      <c r="AF270">
        <v>3</v>
      </c>
      <c r="AG270">
        <v>3</v>
      </c>
      <c r="AH270">
        <v>9</v>
      </c>
      <c r="AI270">
        <v>1</v>
      </c>
      <c r="AJ270">
        <v>8</v>
      </c>
      <c r="AK270" t="s">
        <v>2648</v>
      </c>
      <c r="AL270" t="s">
        <v>2649</v>
      </c>
      <c r="AM270" t="s">
        <v>2650</v>
      </c>
      <c r="AN270" t="s">
        <v>2651</v>
      </c>
      <c r="AO270" t="s">
        <v>2652</v>
      </c>
      <c r="AP270" t="s">
        <v>2653</v>
      </c>
      <c r="AQ270" t="s">
        <v>2654</v>
      </c>
      <c r="AR270" t="s">
        <v>2655</v>
      </c>
      <c r="AS270" t="s">
        <v>2656</v>
      </c>
    </row>
    <row r="271" spans="1:45" x14ac:dyDescent="0.45">
      <c r="A271">
        <v>270</v>
      </c>
      <c r="B271">
        <v>2260</v>
      </c>
      <c r="C271" t="s">
        <v>72</v>
      </c>
      <c r="D271" t="s">
        <v>73</v>
      </c>
      <c r="E271" t="s">
        <v>74</v>
      </c>
      <c r="F271" t="s">
        <v>75</v>
      </c>
      <c r="G271" t="s">
        <v>162</v>
      </c>
      <c r="H271">
        <v>49.263811221633972</v>
      </c>
      <c r="I271">
        <v>0</v>
      </c>
      <c r="J271">
        <v>7</v>
      </c>
      <c r="K271">
        <v>8</v>
      </c>
      <c r="L271">
        <v>-1</v>
      </c>
      <c r="M271">
        <v>6</v>
      </c>
      <c r="N271">
        <v>8</v>
      </c>
      <c r="O271">
        <v>-2</v>
      </c>
      <c r="P271">
        <v>8</v>
      </c>
      <c r="Q271">
        <v>3</v>
      </c>
      <c r="R271">
        <v>5</v>
      </c>
      <c r="S271">
        <v>9</v>
      </c>
      <c r="T271">
        <v>8</v>
      </c>
      <c r="U271">
        <v>1</v>
      </c>
      <c r="V271">
        <v>8</v>
      </c>
      <c r="W271">
        <v>3</v>
      </c>
      <c r="X271">
        <v>5</v>
      </c>
      <c r="Y271">
        <v>9</v>
      </c>
      <c r="Z271">
        <v>1</v>
      </c>
      <c r="AA271">
        <v>8</v>
      </c>
      <c r="AB271">
        <v>8</v>
      </c>
      <c r="AC271">
        <v>8</v>
      </c>
      <c r="AD271">
        <v>0</v>
      </c>
      <c r="AE271">
        <v>9</v>
      </c>
      <c r="AF271">
        <v>6</v>
      </c>
      <c r="AG271">
        <v>3</v>
      </c>
      <c r="AH271">
        <v>9</v>
      </c>
      <c r="AI271">
        <v>7</v>
      </c>
      <c r="AJ271">
        <v>2</v>
      </c>
      <c r="AK271" t="s">
        <v>2657</v>
      </c>
      <c r="AL271" t="s">
        <v>2658</v>
      </c>
      <c r="AM271" t="s">
        <v>2659</v>
      </c>
      <c r="AN271" t="s">
        <v>2660</v>
      </c>
      <c r="AO271" t="s">
        <v>2661</v>
      </c>
      <c r="AP271" t="s">
        <v>2662</v>
      </c>
      <c r="AQ271" t="s">
        <v>2663</v>
      </c>
      <c r="AR271" t="s">
        <v>2664</v>
      </c>
      <c r="AS271" t="s">
        <v>2665</v>
      </c>
    </row>
    <row r="272" spans="1:45" x14ac:dyDescent="0.45">
      <c r="A272">
        <v>271</v>
      </c>
      <c r="B272">
        <v>2261</v>
      </c>
      <c r="C272" t="s">
        <v>72</v>
      </c>
      <c r="D272" t="s">
        <v>73</v>
      </c>
      <c r="E272" t="s">
        <v>74</v>
      </c>
      <c r="F272" t="s">
        <v>75</v>
      </c>
      <c r="G272" t="s">
        <v>76</v>
      </c>
      <c r="H272">
        <v>61.79431873802563</v>
      </c>
      <c r="I272">
        <v>2</v>
      </c>
      <c r="J272">
        <v>6</v>
      </c>
      <c r="K272">
        <v>7</v>
      </c>
      <c r="L272">
        <v>-1</v>
      </c>
      <c r="M272">
        <v>7</v>
      </c>
      <c r="N272">
        <v>7</v>
      </c>
      <c r="O272">
        <v>0</v>
      </c>
      <c r="P272">
        <v>9</v>
      </c>
      <c r="Q272">
        <v>4</v>
      </c>
      <c r="R272">
        <v>5</v>
      </c>
      <c r="S272">
        <v>8</v>
      </c>
      <c r="T272">
        <v>7</v>
      </c>
      <c r="U272">
        <v>1</v>
      </c>
      <c r="V272">
        <v>9</v>
      </c>
      <c r="W272">
        <v>7</v>
      </c>
      <c r="X272">
        <v>2</v>
      </c>
      <c r="Y272">
        <v>8</v>
      </c>
      <c r="Z272">
        <v>6</v>
      </c>
      <c r="AA272">
        <v>2</v>
      </c>
      <c r="AB272">
        <v>9</v>
      </c>
      <c r="AC272">
        <v>5</v>
      </c>
      <c r="AD272">
        <v>4</v>
      </c>
      <c r="AE272">
        <v>8</v>
      </c>
      <c r="AF272">
        <v>7</v>
      </c>
      <c r="AG272">
        <v>1</v>
      </c>
      <c r="AH272">
        <v>9</v>
      </c>
      <c r="AI272">
        <v>6</v>
      </c>
      <c r="AJ272">
        <v>3</v>
      </c>
      <c r="AK272" t="s">
        <v>2666</v>
      </c>
      <c r="AL272" t="s">
        <v>2667</v>
      </c>
      <c r="AM272" t="s">
        <v>2668</v>
      </c>
      <c r="AN272" t="s">
        <v>2669</v>
      </c>
      <c r="AO272" t="s">
        <v>200</v>
      </c>
      <c r="AP272" t="s">
        <v>2670</v>
      </c>
      <c r="AQ272" t="s">
        <v>2671</v>
      </c>
      <c r="AR272" t="s">
        <v>2672</v>
      </c>
      <c r="AS272" t="s">
        <v>2673</v>
      </c>
    </row>
    <row r="273" spans="1:45" x14ac:dyDescent="0.45">
      <c r="A273">
        <v>272</v>
      </c>
      <c r="B273">
        <v>2262</v>
      </c>
      <c r="C273" t="s">
        <v>78</v>
      </c>
      <c r="D273" t="s">
        <v>73</v>
      </c>
      <c r="E273" t="s">
        <v>74</v>
      </c>
      <c r="F273" t="s">
        <v>77</v>
      </c>
      <c r="G273" t="s">
        <v>76</v>
      </c>
      <c r="H273">
        <v>43.208028220020061</v>
      </c>
      <c r="I273">
        <v>1</v>
      </c>
      <c r="J273">
        <v>6</v>
      </c>
      <c r="K273">
        <v>7</v>
      </c>
      <c r="L273">
        <v>-1</v>
      </c>
      <c r="M273">
        <v>7</v>
      </c>
      <c r="N273">
        <v>8</v>
      </c>
      <c r="O273">
        <v>-1</v>
      </c>
      <c r="P273">
        <v>9</v>
      </c>
      <c r="Q273">
        <v>2</v>
      </c>
      <c r="R273">
        <v>7</v>
      </c>
      <c r="S273">
        <v>10</v>
      </c>
      <c r="T273">
        <v>6</v>
      </c>
      <c r="U273">
        <v>4</v>
      </c>
      <c r="V273">
        <v>8</v>
      </c>
      <c r="W273">
        <v>6</v>
      </c>
      <c r="X273">
        <v>2</v>
      </c>
      <c r="Y273">
        <v>9</v>
      </c>
      <c r="Z273">
        <v>6</v>
      </c>
      <c r="AA273">
        <v>3</v>
      </c>
      <c r="AB273">
        <v>8</v>
      </c>
      <c r="AC273">
        <v>5</v>
      </c>
      <c r="AD273">
        <v>3</v>
      </c>
      <c r="AE273">
        <v>7</v>
      </c>
      <c r="AF273">
        <v>5</v>
      </c>
      <c r="AG273">
        <v>2</v>
      </c>
      <c r="AH273">
        <v>9</v>
      </c>
      <c r="AI273">
        <v>6</v>
      </c>
      <c r="AJ273">
        <v>3</v>
      </c>
      <c r="AK273" t="s">
        <v>2674</v>
      </c>
      <c r="AL273" t="s">
        <v>2675</v>
      </c>
      <c r="AM273" t="s">
        <v>2676</v>
      </c>
      <c r="AN273" t="s">
        <v>2677</v>
      </c>
      <c r="AO273" t="s">
        <v>2678</v>
      </c>
      <c r="AP273" t="s">
        <v>2679</v>
      </c>
      <c r="AQ273" t="s">
        <v>2680</v>
      </c>
      <c r="AR273" t="s">
        <v>2681</v>
      </c>
      <c r="AS273" t="s">
        <v>2682</v>
      </c>
    </row>
    <row r="274" spans="1:45" x14ac:dyDescent="0.45">
      <c r="A274">
        <v>273</v>
      </c>
      <c r="B274">
        <v>2263</v>
      </c>
      <c r="C274" t="s">
        <v>72</v>
      </c>
      <c r="D274" t="s">
        <v>191</v>
      </c>
      <c r="E274" t="s">
        <v>74</v>
      </c>
      <c r="F274" t="s">
        <v>75</v>
      </c>
      <c r="G274" t="s">
        <v>76</v>
      </c>
      <c r="H274">
        <v>83.192467403288546</v>
      </c>
      <c r="I274">
        <v>4</v>
      </c>
      <c r="J274">
        <v>6</v>
      </c>
      <c r="K274">
        <v>3</v>
      </c>
      <c r="L274">
        <v>3</v>
      </c>
      <c r="M274">
        <v>8</v>
      </c>
      <c r="N274">
        <v>3</v>
      </c>
      <c r="O274">
        <v>5</v>
      </c>
      <c r="P274">
        <v>9</v>
      </c>
      <c r="Q274">
        <v>1</v>
      </c>
      <c r="R274">
        <v>8</v>
      </c>
      <c r="S274">
        <v>9</v>
      </c>
      <c r="T274">
        <v>6</v>
      </c>
      <c r="U274">
        <v>3</v>
      </c>
      <c r="V274">
        <v>8</v>
      </c>
      <c r="W274">
        <v>1</v>
      </c>
      <c r="X274">
        <v>7</v>
      </c>
      <c r="Y274">
        <v>7</v>
      </c>
      <c r="Z274">
        <v>1</v>
      </c>
      <c r="AA274">
        <v>6</v>
      </c>
      <c r="AB274">
        <v>8</v>
      </c>
      <c r="AC274">
        <v>1</v>
      </c>
      <c r="AD274">
        <v>7</v>
      </c>
      <c r="AE274">
        <v>9</v>
      </c>
      <c r="AF274">
        <v>1</v>
      </c>
      <c r="AG274">
        <v>8</v>
      </c>
      <c r="AH274">
        <v>10</v>
      </c>
      <c r="AI274">
        <v>1</v>
      </c>
      <c r="AJ274">
        <v>9</v>
      </c>
      <c r="AK274" t="s">
        <v>2683</v>
      </c>
      <c r="AL274" t="s">
        <v>2684</v>
      </c>
      <c r="AM274" t="s">
        <v>1254</v>
      </c>
      <c r="AN274" t="s">
        <v>2685</v>
      </c>
      <c r="AO274" t="s">
        <v>2686</v>
      </c>
      <c r="AP274" t="s">
        <v>2687</v>
      </c>
      <c r="AQ274" t="s">
        <v>2688</v>
      </c>
      <c r="AR274" t="s">
        <v>2689</v>
      </c>
      <c r="AS274" t="s">
        <v>2690</v>
      </c>
    </row>
    <row r="275" spans="1:45" x14ac:dyDescent="0.45">
      <c r="A275">
        <v>274</v>
      </c>
      <c r="B275">
        <v>2264</v>
      </c>
      <c r="C275" t="s">
        <v>72</v>
      </c>
      <c r="D275" t="s">
        <v>73</v>
      </c>
      <c r="E275" t="s">
        <v>74</v>
      </c>
      <c r="F275" t="s">
        <v>77</v>
      </c>
      <c r="G275" t="s">
        <v>76</v>
      </c>
      <c r="H275">
        <v>64.31641483786585</v>
      </c>
      <c r="I275">
        <v>2</v>
      </c>
      <c r="J275">
        <v>7</v>
      </c>
      <c r="K275">
        <v>6</v>
      </c>
      <c r="L275">
        <v>1</v>
      </c>
      <c r="M275">
        <v>6</v>
      </c>
      <c r="N275">
        <v>6</v>
      </c>
      <c r="O275">
        <v>0</v>
      </c>
      <c r="P275">
        <v>8</v>
      </c>
      <c r="Q275">
        <v>5</v>
      </c>
      <c r="R275">
        <v>3</v>
      </c>
      <c r="S275">
        <v>9</v>
      </c>
      <c r="T275">
        <v>6</v>
      </c>
      <c r="U275">
        <v>3</v>
      </c>
      <c r="V275">
        <v>7</v>
      </c>
      <c r="W275">
        <v>6</v>
      </c>
      <c r="X275">
        <v>1</v>
      </c>
      <c r="Y275">
        <v>8</v>
      </c>
      <c r="Z275">
        <v>6</v>
      </c>
      <c r="AA275">
        <v>2</v>
      </c>
      <c r="AB275">
        <v>7</v>
      </c>
      <c r="AC275">
        <v>6</v>
      </c>
      <c r="AD275">
        <v>1</v>
      </c>
      <c r="AE275">
        <v>6</v>
      </c>
      <c r="AF275">
        <v>6</v>
      </c>
      <c r="AG275">
        <v>0</v>
      </c>
      <c r="AH275">
        <v>8</v>
      </c>
      <c r="AI275">
        <v>6</v>
      </c>
      <c r="AJ275">
        <v>2</v>
      </c>
      <c r="AK275" t="s">
        <v>2691</v>
      </c>
      <c r="AL275" t="s">
        <v>2692</v>
      </c>
      <c r="AM275" t="s">
        <v>2693</v>
      </c>
      <c r="AN275" t="s">
        <v>2694</v>
      </c>
      <c r="AO275" t="s">
        <v>2695</v>
      </c>
      <c r="AP275" t="s">
        <v>2696</v>
      </c>
      <c r="AQ275" t="s">
        <v>2697</v>
      </c>
      <c r="AR275" t="s">
        <v>2698</v>
      </c>
      <c r="AS275" t="s">
        <v>2699</v>
      </c>
    </row>
    <row r="276" spans="1:45" x14ac:dyDescent="0.45">
      <c r="A276">
        <v>275</v>
      </c>
      <c r="B276">
        <v>2265</v>
      </c>
      <c r="C276" t="s">
        <v>72</v>
      </c>
      <c r="D276" t="s">
        <v>79</v>
      </c>
      <c r="E276" t="s">
        <v>74</v>
      </c>
      <c r="F276" t="s">
        <v>75</v>
      </c>
      <c r="G276" t="s">
        <v>76</v>
      </c>
      <c r="H276">
        <v>56.468503536521119</v>
      </c>
      <c r="I276">
        <v>2</v>
      </c>
      <c r="J276">
        <v>7</v>
      </c>
      <c r="K276">
        <v>8</v>
      </c>
      <c r="L276">
        <v>-1</v>
      </c>
      <c r="M276">
        <v>8</v>
      </c>
      <c r="N276">
        <v>9</v>
      </c>
      <c r="O276">
        <v>-1</v>
      </c>
      <c r="P276">
        <v>9</v>
      </c>
      <c r="Q276">
        <v>5</v>
      </c>
      <c r="R276">
        <v>4</v>
      </c>
      <c r="S276">
        <v>9</v>
      </c>
      <c r="T276">
        <v>7</v>
      </c>
      <c r="U276">
        <v>2</v>
      </c>
      <c r="V276">
        <v>8</v>
      </c>
      <c r="W276">
        <v>6</v>
      </c>
      <c r="X276">
        <v>2</v>
      </c>
      <c r="Y276">
        <v>8</v>
      </c>
      <c r="Z276">
        <v>7</v>
      </c>
      <c r="AA276">
        <v>1</v>
      </c>
      <c r="AB276">
        <v>7</v>
      </c>
      <c r="AC276">
        <v>7</v>
      </c>
      <c r="AD276">
        <v>0</v>
      </c>
      <c r="AE276">
        <v>8</v>
      </c>
      <c r="AF276">
        <v>7</v>
      </c>
      <c r="AG276">
        <v>1</v>
      </c>
      <c r="AH276">
        <v>9</v>
      </c>
      <c r="AI276">
        <v>7</v>
      </c>
      <c r="AJ276">
        <v>2</v>
      </c>
      <c r="AK276" t="s">
        <v>2700</v>
      </c>
      <c r="AL276" t="s">
        <v>2701</v>
      </c>
      <c r="AM276" t="s">
        <v>2702</v>
      </c>
      <c r="AN276" t="s">
        <v>2703</v>
      </c>
      <c r="AO276" t="s">
        <v>2704</v>
      </c>
      <c r="AP276" t="s">
        <v>2705</v>
      </c>
      <c r="AQ276" t="s">
        <v>2706</v>
      </c>
      <c r="AR276" t="s">
        <v>2707</v>
      </c>
      <c r="AS276" t="s">
        <v>2708</v>
      </c>
    </row>
    <row r="277" spans="1:45" x14ac:dyDescent="0.45">
      <c r="A277">
        <v>276</v>
      </c>
      <c r="B277">
        <v>2266</v>
      </c>
      <c r="C277" t="s">
        <v>78</v>
      </c>
      <c r="D277" t="s">
        <v>73</v>
      </c>
      <c r="E277" t="s">
        <v>74</v>
      </c>
      <c r="F277" t="s">
        <v>77</v>
      </c>
      <c r="G277" t="s">
        <v>76</v>
      </c>
      <c r="H277">
        <v>44.310110739472506</v>
      </c>
      <c r="I277">
        <v>1</v>
      </c>
      <c r="J277">
        <v>6</v>
      </c>
      <c r="K277">
        <v>6</v>
      </c>
      <c r="L277">
        <v>0</v>
      </c>
      <c r="M277">
        <v>7</v>
      </c>
      <c r="N277">
        <v>6</v>
      </c>
      <c r="O277">
        <v>1</v>
      </c>
      <c r="P277">
        <v>9</v>
      </c>
      <c r="Q277">
        <v>3</v>
      </c>
      <c r="R277">
        <v>6</v>
      </c>
      <c r="S277">
        <v>8</v>
      </c>
      <c r="T277">
        <v>7</v>
      </c>
      <c r="U277">
        <v>1</v>
      </c>
      <c r="V277">
        <v>7</v>
      </c>
      <c r="W277">
        <v>7</v>
      </c>
      <c r="X277">
        <v>0</v>
      </c>
      <c r="Y277">
        <v>8</v>
      </c>
      <c r="Z277">
        <v>7</v>
      </c>
      <c r="AA277">
        <v>1</v>
      </c>
      <c r="AB277">
        <v>9</v>
      </c>
      <c r="AC277">
        <v>5</v>
      </c>
      <c r="AD277">
        <v>4</v>
      </c>
      <c r="AE277">
        <v>7</v>
      </c>
      <c r="AF277">
        <v>7</v>
      </c>
      <c r="AG277">
        <v>0</v>
      </c>
      <c r="AH277">
        <v>8</v>
      </c>
      <c r="AI277">
        <v>7</v>
      </c>
      <c r="AJ277">
        <v>1</v>
      </c>
      <c r="AK277" t="s">
        <v>2709</v>
      </c>
      <c r="AL277" t="s">
        <v>2710</v>
      </c>
      <c r="AM277" t="s">
        <v>2711</v>
      </c>
      <c r="AN277" t="s">
        <v>2712</v>
      </c>
      <c r="AO277" t="s">
        <v>2713</v>
      </c>
      <c r="AP277" t="s">
        <v>2714</v>
      </c>
      <c r="AQ277" t="s">
        <v>2715</v>
      </c>
      <c r="AR277" t="s">
        <v>2716</v>
      </c>
      <c r="AS277" t="s">
        <v>2717</v>
      </c>
    </row>
    <row r="278" spans="1:45" x14ac:dyDescent="0.45">
      <c r="A278">
        <v>277</v>
      </c>
      <c r="B278">
        <v>2267</v>
      </c>
      <c r="C278" t="s">
        <v>72</v>
      </c>
      <c r="D278" t="s">
        <v>79</v>
      </c>
      <c r="E278" t="s">
        <v>74</v>
      </c>
      <c r="F278" t="s">
        <v>77</v>
      </c>
      <c r="G278" t="s">
        <v>76</v>
      </c>
      <c r="H278">
        <v>89.620343369473275</v>
      </c>
      <c r="I278">
        <v>4</v>
      </c>
      <c r="J278">
        <v>7</v>
      </c>
      <c r="K278">
        <v>8</v>
      </c>
      <c r="L278">
        <v>-1</v>
      </c>
      <c r="M278">
        <v>8</v>
      </c>
      <c r="N278">
        <v>8</v>
      </c>
      <c r="O278">
        <v>0</v>
      </c>
      <c r="P278">
        <v>9</v>
      </c>
      <c r="Q278">
        <v>6</v>
      </c>
      <c r="R278">
        <v>3</v>
      </c>
      <c r="S278">
        <v>9</v>
      </c>
      <c r="T278">
        <v>7</v>
      </c>
      <c r="U278">
        <v>2</v>
      </c>
      <c r="V278">
        <v>7</v>
      </c>
      <c r="W278">
        <v>7</v>
      </c>
      <c r="X278">
        <v>0</v>
      </c>
      <c r="Y278">
        <v>9</v>
      </c>
      <c r="Z278">
        <v>4</v>
      </c>
      <c r="AA278">
        <v>5</v>
      </c>
      <c r="AB278">
        <v>8</v>
      </c>
      <c r="AC278">
        <v>5</v>
      </c>
      <c r="AD278">
        <v>3</v>
      </c>
      <c r="AE278">
        <v>7</v>
      </c>
      <c r="AF278">
        <v>5</v>
      </c>
      <c r="AG278">
        <v>2</v>
      </c>
      <c r="AH278">
        <v>9</v>
      </c>
      <c r="AI278">
        <v>5</v>
      </c>
      <c r="AJ278">
        <v>4</v>
      </c>
      <c r="AK278" t="s">
        <v>2718</v>
      </c>
      <c r="AL278" t="s">
        <v>2719</v>
      </c>
      <c r="AM278" t="s">
        <v>2720</v>
      </c>
      <c r="AN278" t="s">
        <v>2721</v>
      </c>
      <c r="AO278" t="s">
        <v>2722</v>
      </c>
      <c r="AP278" t="s">
        <v>2723</v>
      </c>
      <c r="AQ278" t="s">
        <v>2724</v>
      </c>
      <c r="AR278" t="s">
        <v>2725</v>
      </c>
      <c r="AS278" t="s">
        <v>2726</v>
      </c>
    </row>
    <row r="279" spans="1:45" x14ac:dyDescent="0.45">
      <c r="A279">
        <v>278</v>
      </c>
      <c r="B279">
        <v>2268</v>
      </c>
      <c r="C279" t="s">
        <v>72</v>
      </c>
      <c r="D279" t="s">
        <v>73</v>
      </c>
      <c r="E279" t="s">
        <v>74</v>
      </c>
      <c r="F279" t="s">
        <v>77</v>
      </c>
      <c r="G279" t="s">
        <v>76</v>
      </c>
      <c r="H279">
        <v>63.192631952157875</v>
      </c>
      <c r="I279">
        <v>3</v>
      </c>
      <c r="J279">
        <v>7</v>
      </c>
      <c r="K279">
        <v>6</v>
      </c>
      <c r="L279">
        <v>1</v>
      </c>
      <c r="M279">
        <v>8</v>
      </c>
      <c r="N279">
        <v>7</v>
      </c>
      <c r="O279">
        <v>1</v>
      </c>
      <c r="P279">
        <v>9</v>
      </c>
      <c r="Q279">
        <v>5</v>
      </c>
      <c r="R279">
        <v>4</v>
      </c>
      <c r="S279">
        <v>9</v>
      </c>
      <c r="T279">
        <v>7</v>
      </c>
      <c r="U279">
        <v>2</v>
      </c>
      <c r="V279">
        <v>8</v>
      </c>
      <c r="W279">
        <v>6</v>
      </c>
      <c r="X279">
        <v>2</v>
      </c>
      <c r="Y279">
        <v>9</v>
      </c>
      <c r="Z279">
        <v>6</v>
      </c>
      <c r="AA279">
        <v>3</v>
      </c>
      <c r="AB279">
        <v>8</v>
      </c>
      <c r="AC279">
        <v>6</v>
      </c>
      <c r="AD279">
        <v>2</v>
      </c>
      <c r="AE279">
        <v>9</v>
      </c>
      <c r="AF279">
        <v>6</v>
      </c>
      <c r="AG279">
        <v>3</v>
      </c>
      <c r="AH279">
        <v>8</v>
      </c>
      <c r="AI279">
        <v>6</v>
      </c>
      <c r="AJ279">
        <v>2</v>
      </c>
      <c r="AK279" t="s">
        <v>2727</v>
      </c>
      <c r="AL279" t="s">
        <v>2728</v>
      </c>
      <c r="AM279" t="s">
        <v>2729</v>
      </c>
      <c r="AN279" t="s">
        <v>2730</v>
      </c>
      <c r="AO279" t="s">
        <v>2731</v>
      </c>
      <c r="AP279" t="s">
        <v>2732</v>
      </c>
      <c r="AQ279" t="s">
        <v>2733</v>
      </c>
      <c r="AR279" t="s">
        <v>2734</v>
      </c>
      <c r="AS279" t="s">
        <v>2735</v>
      </c>
    </row>
    <row r="280" spans="1:45" x14ac:dyDescent="0.45">
      <c r="A280">
        <v>279</v>
      </c>
      <c r="B280">
        <v>2269</v>
      </c>
      <c r="C280" t="s">
        <v>78</v>
      </c>
      <c r="D280" t="s">
        <v>73</v>
      </c>
      <c r="E280" t="s">
        <v>74</v>
      </c>
      <c r="F280" t="s">
        <v>75</v>
      </c>
      <c r="G280" t="s">
        <v>162</v>
      </c>
      <c r="H280">
        <v>76.618853313804934</v>
      </c>
      <c r="I280">
        <v>0</v>
      </c>
      <c r="J280">
        <v>9</v>
      </c>
      <c r="K280">
        <v>6</v>
      </c>
      <c r="L280">
        <v>3</v>
      </c>
      <c r="M280">
        <v>8</v>
      </c>
      <c r="N280">
        <v>7</v>
      </c>
      <c r="O280">
        <v>1</v>
      </c>
      <c r="P280">
        <v>9</v>
      </c>
      <c r="Q280">
        <v>5</v>
      </c>
      <c r="R280">
        <v>4</v>
      </c>
      <c r="S280">
        <v>8</v>
      </c>
      <c r="T280">
        <v>8</v>
      </c>
      <c r="U280">
        <v>0</v>
      </c>
      <c r="V280">
        <v>9</v>
      </c>
      <c r="W280">
        <v>6</v>
      </c>
      <c r="X280">
        <v>3</v>
      </c>
      <c r="Y280">
        <v>8</v>
      </c>
      <c r="Z280">
        <v>3</v>
      </c>
      <c r="AA280">
        <v>5</v>
      </c>
      <c r="AB280">
        <v>9</v>
      </c>
      <c r="AC280">
        <v>6</v>
      </c>
      <c r="AD280">
        <v>3</v>
      </c>
      <c r="AE280">
        <v>8</v>
      </c>
      <c r="AF280">
        <v>8</v>
      </c>
      <c r="AG280">
        <v>0</v>
      </c>
      <c r="AH280">
        <v>9</v>
      </c>
      <c r="AI280">
        <v>6</v>
      </c>
      <c r="AJ280">
        <v>3</v>
      </c>
      <c r="AK280" t="s">
        <v>2736</v>
      </c>
      <c r="AL280" t="s">
        <v>2737</v>
      </c>
      <c r="AM280" t="s">
        <v>2738</v>
      </c>
      <c r="AN280" t="s">
        <v>2739</v>
      </c>
      <c r="AO280" t="s">
        <v>2740</v>
      </c>
      <c r="AP280" t="s">
        <v>2741</v>
      </c>
      <c r="AQ280" t="s">
        <v>2742</v>
      </c>
      <c r="AR280" t="s">
        <v>2743</v>
      </c>
      <c r="AS280" t="s">
        <v>2744</v>
      </c>
    </row>
    <row r="281" spans="1:45" x14ac:dyDescent="0.45">
      <c r="A281">
        <v>280</v>
      </c>
      <c r="B281">
        <v>2270</v>
      </c>
      <c r="C281" t="s">
        <v>72</v>
      </c>
      <c r="D281" t="s">
        <v>73</v>
      </c>
      <c r="E281" t="s">
        <v>74</v>
      </c>
      <c r="F281" t="s">
        <v>75</v>
      </c>
      <c r="G281" t="s">
        <v>76</v>
      </c>
      <c r="H281">
        <v>71.148209333214581</v>
      </c>
      <c r="I281">
        <v>2</v>
      </c>
      <c r="J281">
        <v>7</v>
      </c>
      <c r="K281">
        <v>4</v>
      </c>
      <c r="L281">
        <v>3</v>
      </c>
      <c r="M281">
        <v>8</v>
      </c>
      <c r="N281">
        <v>4</v>
      </c>
      <c r="O281">
        <v>4</v>
      </c>
      <c r="P281">
        <v>9</v>
      </c>
      <c r="Q281">
        <v>1</v>
      </c>
      <c r="R281">
        <v>8</v>
      </c>
      <c r="S281">
        <v>9</v>
      </c>
      <c r="T281">
        <v>6</v>
      </c>
      <c r="U281">
        <v>3</v>
      </c>
      <c r="V281">
        <v>7</v>
      </c>
      <c r="W281">
        <v>3</v>
      </c>
      <c r="X281">
        <v>4</v>
      </c>
      <c r="Y281">
        <v>9</v>
      </c>
      <c r="Z281">
        <v>2</v>
      </c>
      <c r="AA281">
        <v>7</v>
      </c>
      <c r="AB281">
        <v>7</v>
      </c>
      <c r="AC281">
        <v>1</v>
      </c>
      <c r="AD281">
        <v>6</v>
      </c>
      <c r="AE281">
        <v>8</v>
      </c>
      <c r="AF281">
        <v>5</v>
      </c>
      <c r="AG281">
        <v>3</v>
      </c>
      <c r="AH281">
        <v>9</v>
      </c>
      <c r="AI281">
        <v>4</v>
      </c>
      <c r="AJ281">
        <v>5</v>
      </c>
      <c r="AK281" t="s">
        <v>2745</v>
      </c>
      <c r="AL281" t="s">
        <v>2746</v>
      </c>
      <c r="AM281" t="s">
        <v>2747</v>
      </c>
      <c r="AN281" t="s">
        <v>2748</v>
      </c>
      <c r="AO281" t="s">
        <v>2749</v>
      </c>
      <c r="AP281" t="s">
        <v>2750</v>
      </c>
      <c r="AQ281" t="s">
        <v>2751</v>
      </c>
      <c r="AR281" t="s">
        <v>2752</v>
      </c>
      <c r="AS281" t="s">
        <v>2753</v>
      </c>
    </row>
    <row r="282" spans="1:45" x14ac:dyDescent="0.45">
      <c r="A282">
        <v>281</v>
      </c>
      <c r="B282">
        <v>2271</v>
      </c>
      <c r="C282" t="s">
        <v>72</v>
      </c>
      <c r="D282" t="s">
        <v>79</v>
      </c>
      <c r="E282" t="s">
        <v>74</v>
      </c>
      <c r="F282" t="s">
        <v>75</v>
      </c>
      <c r="G282" t="s">
        <v>76</v>
      </c>
      <c r="H282">
        <v>90.3755892969847</v>
      </c>
      <c r="I282">
        <v>3</v>
      </c>
      <c r="J282">
        <v>9</v>
      </c>
      <c r="K282">
        <v>6</v>
      </c>
      <c r="L282">
        <v>3</v>
      </c>
      <c r="M282">
        <v>8</v>
      </c>
      <c r="N282">
        <v>7</v>
      </c>
      <c r="O282">
        <v>1</v>
      </c>
      <c r="P282">
        <v>9</v>
      </c>
      <c r="Q282">
        <v>4</v>
      </c>
      <c r="R282">
        <v>5</v>
      </c>
      <c r="S282">
        <v>8</v>
      </c>
      <c r="T282">
        <v>8</v>
      </c>
      <c r="U282">
        <v>0</v>
      </c>
      <c r="V282">
        <v>9</v>
      </c>
      <c r="W282">
        <v>6</v>
      </c>
      <c r="X282">
        <v>3</v>
      </c>
      <c r="Y282">
        <v>8</v>
      </c>
      <c r="Z282">
        <v>6</v>
      </c>
      <c r="AA282">
        <v>2</v>
      </c>
      <c r="AB282">
        <v>9</v>
      </c>
      <c r="AC282">
        <v>5</v>
      </c>
      <c r="AD282">
        <v>4</v>
      </c>
      <c r="AE282">
        <v>8</v>
      </c>
      <c r="AF282">
        <v>7</v>
      </c>
      <c r="AG282">
        <v>1</v>
      </c>
      <c r="AH282">
        <v>9</v>
      </c>
      <c r="AI282">
        <v>6</v>
      </c>
      <c r="AJ282">
        <v>3</v>
      </c>
      <c r="AK282" t="s">
        <v>2754</v>
      </c>
      <c r="AL282" t="s">
        <v>2755</v>
      </c>
      <c r="AM282" t="s">
        <v>2756</v>
      </c>
      <c r="AN282" t="s">
        <v>2757</v>
      </c>
      <c r="AO282" t="s">
        <v>2758</v>
      </c>
      <c r="AP282" t="s">
        <v>2759</v>
      </c>
      <c r="AQ282" t="s">
        <v>2760</v>
      </c>
      <c r="AR282" t="s">
        <v>2761</v>
      </c>
      <c r="AS282" t="s">
        <v>2762</v>
      </c>
    </row>
    <row r="283" spans="1:45" x14ac:dyDescent="0.45">
      <c r="A283">
        <v>282</v>
      </c>
      <c r="B283">
        <v>2272</v>
      </c>
      <c r="C283" t="s">
        <v>72</v>
      </c>
      <c r="D283" t="s">
        <v>193</v>
      </c>
      <c r="E283" t="s">
        <v>74</v>
      </c>
      <c r="F283" t="s">
        <v>75</v>
      </c>
      <c r="G283" t="s">
        <v>76</v>
      </c>
      <c r="H283">
        <v>209.08226298441062</v>
      </c>
      <c r="I283">
        <v>4</v>
      </c>
      <c r="J283">
        <v>6</v>
      </c>
      <c r="K283">
        <v>8</v>
      </c>
      <c r="L283">
        <v>-2</v>
      </c>
      <c r="M283">
        <v>7</v>
      </c>
      <c r="N283">
        <v>8</v>
      </c>
      <c r="O283">
        <v>-1</v>
      </c>
      <c r="P283">
        <v>8</v>
      </c>
      <c r="Q283">
        <v>9</v>
      </c>
      <c r="R283">
        <v>-1</v>
      </c>
      <c r="S283">
        <v>9</v>
      </c>
      <c r="T283">
        <v>9</v>
      </c>
      <c r="U283">
        <v>0</v>
      </c>
      <c r="V283">
        <v>8</v>
      </c>
      <c r="W283">
        <v>7</v>
      </c>
      <c r="X283">
        <v>1</v>
      </c>
      <c r="Y283">
        <v>9</v>
      </c>
      <c r="Z283">
        <v>8</v>
      </c>
      <c r="AA283">
        <v>1</v>
      </c>
      <c r="AB283">
        <v>8</v>
      </c>
      <c r="AC283">
        <v>8</v>
      </c>
      <c r="AD283">
        <v>0</v>
      </c>
      <c r="AE283">
        <v>7</v>
      </c>
      <c r="AF283">
        <v>8</v>
      </c>
      <c r="AG283">
        <v>-1</v>
      </c>
      <c r="AH283">
        <v>9</v>
      </c>
      <c r="AI283">
        <v>7</v>
      </c>
      <c r="AJ283">
        <v>2</v>
      </c>
      <c r="AK283" t="s">
        <v>2763</v>
      </c>
      <c r="AL283" t="s">
        <v>2764</v>
      </c>
      <c r="AM283" t="s">
        <v>2765</v>
      </c>
      <c r="AN283" t="s">
        <v>2766</v>
      </c>
      <c r="AO283" t="s">
        <v>2767</v>
      </c>
      <c r="AP283" t="s">
        <v>2768</v>
      </c>
      <c r="AQ283" t="s">
        <v>2769</v>
      </c>
      <c r="AR283" t="s">
        <v>2770</v>
      </c>
      <c r="AS283" t="s">
        <v>2771</v>
      </c>
    </row>
    <row r="284" spans="1:45" x14ac:dyDescent="0.45">
      <c r="A284">
        <v>283</v>
      </c>
      <c r="B284">
        <v>2273</v>
      </c>
      <c r="C284" t="s">
        <v>72</v>
      </c>
      <c r="D284" t="s">
        <v>79</v>
      </c>
      <c r="E284" t="s">
        <v>74</v>
      </c>
      <c r="F284" t="s">
        <v>77</v>
      </c>
      <c r="G284" t="s">
        <v>76</v>
      </c>
      <c r="H284">
        <v>57.282489933770037</v>
      </c>
      <c r="I284">
        <v>2</v>
      </c>
      <c r="J284">
        <v>7</v>
      </c>
      <c r="K284">
        <v>5</v>
      </c>
      <c r="L284">
        <v>2</v>
      </c>
      <c r="M284">
        <v>8</v>
      </c>
      <c r="N284">
        <v>5</v>
      </c>
      <c r="O284">
        <v>3</v>
      </c>
      <c r="P284">
        <v>9</v>
      </c>
      <c r="Q284">
        <v>2</v>
      </c>
      <c r="R284">
        <v>7</v>
      </c>
      <c r="S284">
        <v>9</v>
      </c>
      <c r="T284">
        <v>6</v>
      </c>
      <c r="U284">
        <v>3</v>
      </c>
      <c r="V284">
        <v>7</v>
      </c>
      <c r="W284">
        <v>5</v>
      </c>
      <c r="X284">
        <v>2</v>
      </c>
      <c r="Y284">
        <v>8</v>
      </c>
      <c r="Z284">
        <v>4</v>
      </c>
      <c r="AA284">
        <v>4</v>
      </c>
      <c r="AB284">
        <v>7</v>
      </c>
      <c r="AC284">
        <v>5</v>
      </c>
      <c r="AD284">
        <v>2</v>
      </c>
      <c r="AE284">
        <v>8</v>
      </c>
      <c r="AF284">
        <v>5</v>
      </c>
      <c r="AG284">
        <v>3</v>
      </c>
      <c r="AH284">
        <v>9</v>
      </c>
      <c r="AI284">
        <v>4</v>
      </c>
      <c r="AJ284">
        <v>5</v>
      </c>
      <c r="AK284" t="s">
        <v>2772</v>
      </c>
      <c r="AL284" t="s">
        <v>2773</v>
      </c>
      <c r="AM284" t="s">
        <v>2774</v>
      </c>
      <c r="AN284" t="s">
        <v>2775</v>
      </c>
      <c r="AO284" t="s">
        <v>2776</v>
      </c>
      <c r="AP284" t="s">
        <v>2777</v>
      </c>
      <c r="AQ284" t="s">
        <v>2778</v>
      </c>
      <c r="AR284" t="s">
        <v>2779</v>
      </c>
      <c r="AS284" t="s">
        <v>2780</v>
      </c>
    </row>
    <row r="285" spans="1:45" x14ac:dyDescent="0.45">
      <c r="A285">
        <v>284</v>
      </c>
      <c r="B285">
        <v>2274</v>
      </c>
      <c r="C285" t="s">
        <v>78</v>
      </c>
      <c r="D285" t="s">
        <v>73</v>
      </c>
      <c r="E285" t="s">
        <v>74</v>
      </c>
      <c r="F285" t="s">
        <v>77</v>
      </c>
      <c r="G285" t="s">
        <v>76</v>
      </c>
      <c r="H285">
        <v>63.393929452753142</v>
      </c>
      <c r="I285">
        <v>2</v>
      </c>
      <c r="J285">
        <v>9</v>
      </c>
      <c r="K285">
        <v>7</v>
      </c>
      <c r="L285">
        <v>2</v>
      </c>
      <c r="M285">
        <v>8</v>
      </c>
      <c r="N285">
        <v>7</v>
      </c>
      <c r="O285">
        <v>1</v>
      </c>
      <c r="P285">
        <v>9</v>
      </c>
      <c r="Q285">
        <v>5</v>
      </c>
      <c r="R285">
        <v>4</v>
      </c>
      <c r="S285">
        <v>8</v>
      </c>
      <c r="T285">
        <v>7</v>
      </c>
      <c r="U285">
        <v>1</v>
      </c>
      <c r="V285">
        <v>9</v>
      </c>
      <c r="W285">
        <v>5</v>
      </c>
      <c r="X285">
        <v>4</v>
      </c>
      <c r="Y285">
        <v>8</v>
      </c>
      <c r="Z285">
        <v>6</v>
      </c>
      <c r="AA285">
        <v>2</v>
      </c>
      <c r="AB285">
        <v>9</v>
      </c>
      <c r="AC285">
        <v>5</v>
      </c>
      <c r="AD285">
        <v>4</v>
      </c>
      <c r="AE285">
        <v>8</v>
      </c>
      <c r="AF285">
        <v>7</v>
      </c>
      <c r="AG285">
        <v>1</v>
      </c>
      <c r="AH285">
        <v>9</v>
      </c>
      <c r="AI285">
        <v>6</v>
      </c>
      <c r="AJ285">
        <v>3</v>
      </c>
      <c r="AK285" t="s">
        <v>2781</v>
      </c>
      <c r="AL285" t="s">
        <v>2782</v>
      </c>
      <c r="AM285" t="s">
        <v>2783</v>
      </c>
      <c r="AN285" t="s">
        <v>2784</v>
      </c>
      <c r="AO285" t="s">
        <v>2785</v>
      </c>
      <c r="AP285" t="s">
        <v>2786</v>
      </c>
      <c r="AQ285" t="s">
        <v>2787</v>
      </c>
      <c r="AR285" t="s">
        <v>2788</v>
      </c>
      <c r="AS285" t="s">
        <v>2789</v>
      </c>
    </row>
    <row r="286" spans="1:45" x14ac:dyDescent="0.45">
      <c r="A286">
        <v>285</v>
      </c>
      <c r="B286">
        <v>2275</v>
      </c>
      <c r="C286" t="s">
        <v>78</v>
      </c>
      <c r="D286" t="s">
        <v>191</v>
      </c>
      <c r="E286" t="s">
        <v>74</v>
      </c>
      <c r="F286" t="s">
        <v>77</v>
      </c>
      <c r="G286" t="s">
        <v>76</v>
      </c>
      <c r="H286">
        <v>98.175095707980162</v>
      </c>
      <c r="I286">
        <v>3</v>
      </c>
      <c r="J286">
        <v>9</v>
      </c>
      <c r="K286">
        <v>7</v>
      </c>
      <c r="L286">
        <v>2</v>
      </c>
      <c r="M286">
        <v>8</v>
      </c>
      <c r="N286">
        <v>7</v>
      </c>
      <c r="O286">
        <v>1</v>
      </c>
      <c r="P286">
        <v>9</v>
      </c>
      <c r="Q286">
        <v>5</v>
      </c>
      <c r="R286">
        <v>4</v>
      </c>
      <c r="S286">
        <v>10</v>
      </c>
      <c r="T286">
        <v>8</v>
      </c>
      <c r="U286">
        <v>2</v>
      </c>
      <c r="V286">
        <v>9</v>
      </c>
      <c r="W286">
        <v>6</v>
      </c>
      <c r="X286">
        <v>3</v>
      </c>
      <c r="Y286">
        <v>8</v>
      </c>
      <c r="Z286">
        <v>6</v>
      </c>
      <c r="AA286">
        <v>2</v>
      </c>
      <c r="AB286">
        <v>9</v>
      </c>
      <c r="AC286">
        <v>6</v>
      </c>
      <c r="AD286">
        <v>3</v>
      </c>
      <c r="AE286">
        <v>8</v>
      </c>
      <c r="AF286">
        <v>7</v>
      </c>
      <c r="AG286">
        <v>1</v>
      </c>
      <c r="AH286">
        <v>10</v>
      </c>
      <c r="AI286">
        <v>7</v>
      </c>
      <c r="AJ286">
        <v>3</v>
      </c>
      <c r="AK286" t="s">
        <v>2790</v>
      </c>
      <c r="AL286" t="s">
        <v>2791</v>
      </c>
      <c r="AM286" t="s">
        <v>2792</v>
      </c>
      <c r="AN286" t="s">
        <v>2793</v>
      </c>
      <c r="AO286" t="s">
        <v>2794</v>
      </c>
      <c r="AP286" t="s">
        <v>2795</v>
      </c>
      <c r="AQ286" t="s">
        <v>2796</v>
      </c>
      <c r="AR286" t="s">
        <v>2797</v>
      </c>
      <c r="AS286" t="s">
        <v>2798</v>
      </c>
    </row>
    <row r="287" spans="1:45" x14ac:dyDescent="0.45">
      <c r="A287">
        <v>286</v>
      </c>
      <c r="B287">
        <v>2276</v>
      </c>
      <c r="C287" t="s">
        <v>72</v>
      </c>
      <c r="D287" t="s">
        <v>73</v>
      </c>
      <c r="E287" t="s">
        <v>74</v>
      </c>
      <c r="F287" t="s">
        <v>77</v>
      </c>
      <c r="G287" t="s">
        <v>76</v>
      </c>
      <c r="H287">
        <v>37.978933802969514</v>
      </c>
      <c r="I287">
        <v>0</v>
      </c>
      <c r="J287">
        <v>6</v>
      </c>
      <c r="K287">
        <v>4</v>
      </c>
      <c r="L287">
        <v>2</v>
      </c>
      <c r="M287">
        <v>7</v>
      </c>
      <c r="N287">
        <v>4</v>
      </c>
      <c r="O287">
        <v>3</v>
      </c>
      <c r="P287">
        <v>8</v>
      </c>
      <c r="Q287">
        <v>2</v>
      </c>
      <c r="R287">
        <v>6</v>
      </c>
      <c r="S287">
        <v>9</v>
      </c>
      <c r="T287">
        <v>8</v>
      </c>
      <c r="U287">
        <v>1</v>
      </c>
      <c r="V287">
        <v>8</v>
      </c>
      <c r="W287">
        <v>5</v>
      </c>
      <c r="X287">
        <v>3</v>
      </c>
      <c r="Y287">
        <v>7</v>
      </c>
      <c r="Z287">
        <v>5</v>
      </c>
      <c r="AA287">
        <v>2</v>
      </c>
      <c r="AB287">
        <v>8</v>
      </c>
      <c r="AC287">
        <v>4</v>
      </c>
      <c r="AD287">
        <v>4</v>
      </c>
      <c r="AE287">
        <v>6</v>
      </c>
      <c r="AF287">
        <v>6</v>
      </c>
      <c r="AG287">
        <v>0</v>
      </c>
      <c r="AH287">
        <v>9</v>
      </c>
      <c r="AI287">
        <v>5</v>
      </c>
      <c r="AJ287">
        <v>4</v>
      </c>
      <c r="AK287" t="s">
        <v>2799</v>
      </c>
      <c r="AL287" t="s">
        <v>2800</v>
      </c>
      <c r="AM287" t="s">
        <v>2801</v>
      </c>
      <c r="AN287" t="s">
        <v>2802</v>
      </c>
      <c r="AO287" t="s">
        <v>2803</v>
      </c>
      <c r="AP287" t="s">
        <v>2804</v>
      </c>
      <c r="AQ287" t="s">
        <v>257</v>
      </c>
      <c r="AR287" t="s">
        <v>2805</v>
      </c>
      <c r="AS287" t="s">
        <v>2806</v>
      </c>
    </row>
    <row r="288" spans="1:45" x14ac:dyDescent="0.45">
      <c r="A288">
        <v>287</v>
      </c>
      <c r="B288">
        <v>2277</v>
      </c>
      <c r="C288" t="s">
        <v>72</v>
      </c>
      <c r="D288" t="s">
        <v>191</v>
      </c>
      <c r="E288" t="s">
        <v>74</v>
      </c>
      <c r="F288" t="s">
        <v>77</v>
      </c>
      <c r="G288" t="s">
        <v>76</v>
      </c>
      <c r="H288">
        <v>68.388741481585825</v>
      </c>
      <c r="I288">
        <v>4</v>
      </c>
      <c r="J288">
        <v>8</v>
      </c>
      <c r="K288">
        <v>10</v>
      </c>
      <c r="L288">
        <v>-2</v>
      </c>
      <c r="M288">
        <v>7</v>
      </c>
      <c r="N288">
        <v>10</v>
      </c>
      <c r="O288">
        <v>-3</v>
      </c>
      <c r="P288">
        <v>9</v>
      </c>
      <c r="Q288">
        <v>7</v>
      </c>
      <c r="R288">
        <v>2</v>
      </c>
      <c r="S288">
        <v>8</v>
      </c>
      <c r="T288">
        <v>7</v>
      </c>
      <c r="U288">
        <v>1</v>
      </c>
      <c r="V288">
        <v>7</v>
      </c>
      <c r="W288">
        <v>8</v>
      </c>
      <c r="X288">
        <v>-1</v>
      </c>
      <c r="Y288">
        <v>8</v>
      </c>
      <c r="Z288">
        <v>7</v>
      </c>
      <c r="AA288">
        <v>1</v>
      </c>
      <c r="AB288">
        <v>7</v>
      </c>
      <c r="AC288">
        <v>8</v>
      </c>
      <c r="AD288">
        <v>-1</v>
      </c>
      <c r="AE288">
        <v>6</v>
      </c>
      <c r="AF288">
        <v>8</v>
      </c>
      <c r="AG288">
        <v>-2</v>
      </c>
      <c r="AH288">
        <v>9</v>
      </c>
      <c r="AI288">
        <v>8</v>
      </c>
      <c r="AJ288">
        <v>1</v>
      </c>
      <c r="AK288" t="s">
        <v>2807</v>
      </c>
      <c r="AL288" t="s">
        <v>2808</v>
      </c>
      <c r="AM288" t="s">
        <v>2809</v>
      </c>
      <c r="AN288" t="s">
        <v>2810</v>
      </c>
      <c r="AO288" t="s">
        <v>2811</v>
      </c>
      <c r="AP288" t="s">
        <v>2812</v>
      </c>
      <c r="AQ288" t="s">
        <v>2813</v>
      </c>
      <c r="AR288" t="s">
        <v>2814</v>
      </c>
      <c r="AS288" t="s">
        <v>2815</v>
      </c>
    </row>
    <row r="289" spans="1:45" x14ac:dyDescent="0.45">
      <c r="A289">
        <v>288</v>
      </c>
      <c r="B289">
        <v>2278</v>
      </c>
      <c r="C289" t="s">
        <v>78</v>
      </c>
      <c r="D289" t="s">
        <v>81</v>
      </c>
      <c r="E289" t="s">
        <v>74</v>
      </c>
      <c r="F289" t="s">
        <v>77</v>
      </c>
      <c r="G289" t="s">
        <v>76</v>
      </c>
      <c r="H289">
        <v>28.964490430024476</v>
      </c>
      <c r="I289">
        <v>0</v>
      </c>
      <c r="J289">
        <v>6</v>
      </c>
      <c r="K289">
        <v>8</v>
      </c>
      <c r="L289">
        <v>-2</v>
      </c>
      <c r="M289">
        <v>6</v>
      </c>
      <c r="N289">
        <v>8</v>
      </c>
      <c r="O289">
        <v>-2</v>
      </c>
      <c r="P289">
        <v>9</v>
      </c>
      <c r="Q289">
        <v>5</v>
      </c>
      <c r="R289">
        <v>4</v>
      </c>
      <c r="S289">
        <v>8</v>
      </c>
      <c r="T289">
        <v>9</v>
      </c>
      <c r="U289">
        <v>-1</v>
      </c>
      <c r="V289">
        <v>7</v>
      </c>
      <c r="W289">
        <v>10</v>
      </c>
      <c r="X289">
        <v>-3</v>
      </c>
      <c r="Y289">
        <v>8</v>
      </c>
      <c r="Z289">
        <v>10</v>
      </c>
      <c r="AA289">
        <v>-2</v>
      </c>
      <c r="AB289">
        <v>6</v>
      </c>
      <c r="AC289">
        <v>9</v>
      </c>
      <c r="AD289">
        <v>-3</v>
      </c>
      <c r="AE289">
        <v>7</v>
      </c>
      <c r="AF289">
        <v>9</v>
      </c>
      <c r="AG289">
        <v>-2</v>
      </c>
      <c r="AH289">
        <v>9</v>
      </c>
      <c r="AI289">
        <v>10</v>
      </c>
      <c r="AJ289">
        <v>-1</v>
      </c>
      <c r="AK289" t="s">
        <v>2816</v>
      </c>
      <c r="AL289" t="s">
        <v>2817</v>
      </c>
      <c r="AM289" t="s">
        <v>2818</v>
      </c>
      <c r="AN289" t="s">
        <v>2819</v>
      </c>
      <c r="AO289" t="s">
        <v>2820</v>
      </c>
      <c r="AP289" t="s">
        <v>2821</v>
      </c>
      <c r="AQ289" t="s">
        <v>2822</v>
      </c>
      <c r="AR289" t="s">
        <v>2823</v>
      </c>
      <c r="AS289" t="s">
        <v>2824</v>
      </c>
    </row>
    <row r="290" spans="1:45" x14ac:dyDescent="0.45">
      <c r="A290">
        <v>289</v>
      </c>
      <c r="B290">
        <v>2279</v>
      </c>
      <c r="C290" t="s">
        <v>72</v>
      </c>
      <c r="D290" t="s">
        <v>73</v>
      </c>
      <c r="E290" t="s">
        <v>74</v>
      </c>
      <c r="F290" t="s">
        <v>190</v>
      </c>
      <c r="G290" t="s">
        <v>76</v>
      </c>
      <c r="H290">
        <v>27.839769059456074</v>
      </c>
      <c r="I290">
        <v>1</v>
      </c>
      <c r="J290">
        <v>9</v>
      </c>
      <c r="K290">
        <v>7</v>
      </c>
      <c r="L290">
        <v>2</v>
      </c>
      <c r="M290">
        <v>8</v>
      </c>
      <c r="N290">
        <v>7</v>
      </c>
      <c r="O290">
        <v>1</v>
      </c>
      <c r="P290">
        <v>9</v>
      </c>
      <c r="Q290">
        <v>5</v>
      </c>
      <c r="R290">
        <v>4</v>
      </c>
      <c r="S290">
        <v>8</v>
      </c>
      <c r="T290">
        <v>6</v>
      </c>
      <c r="U290">
        <v>2</v>
      </c>
      <c r="V290">
        <v>7</v>
      </c>
      <c r="W290">
        <v>5</v>
      </c>
      <c r="X290">
        <v>2</v>
      </c>
      <c r="Y290">
        <v>8</v>
      </c>
      <c r="Z290">
        <v>5</v>
      </c>
      <c r="AA290">
        <v>3</v>
      </c>
      <c r="AB290">
        <v>7</v>
      </c>
      <c r="AC290">
        <v>5</v>
      </c>
      <c r="AD290">
        <v>2</v>
      </c>
      <c r="AE290">
        <v>8</v>
      </c>
      <c r="AF290">
        <v>5</v>
      </c>
      <c r="AG290">
        <v>3</v>
      </c>
      <c r="AH290">
        <v>9</v>
      </c>
      <c r="AI290">
        <v>6</v>
      </c>
      <c r="AJ290">
        <v>3</v>
      </c>
      <c r="AK290" t="s">
        <v>2825</v>
      </c>
      <c r="AL290" t="s">
        <v>2826</v>
      </c>
      <c r="AM290" t="s">
        <v>2827</v>
      </c>
      <c r="AN290" t="s">
        <v>2828</v>
      </c>
      <c r="AO290" t="s">
        <v>2829</v>
      </c>
      <c r="AP290" t="s">
        <v>2830</v>
      </c>
      <c r="AQ290" t="s">
        <v>2831</v>
      </c>
      <c r="AR290" t="s">
        <v>2832</v>
      </c>
      <c r="AS290" t="s">
        <v>2833</v>
      </c>
    </row>
    <row r="291" spans="1:45" x14ac:dyDescent="0.45">
      <c r="A291">
        <v>290</v>
      </c>
      <c r="B291">
        <v>2280</v>
      </c>
      <c r="C291" t="s">
        <v>78</v>
      </c>
      <c r="D291" t="s">
        <v>73</v>
      </c>
      <c r="E291" t="s">
        <v>74</v>
      </c>
      <c r="F291" t="s">
        <v>77</v>
      </c>
      <c r="G291" t="s">
        <v>76</v>
      </c>
      <c r="H291">
        <v>37.322422703116146</v>
      </c>
      <c r="I291">
        <v>2</v>
      </c>
      <c r="J291">
        <v>8</v>
      </c>
      <c r="K291">
        <v>8</v>
      </c>
      <c r="L291">
        <v>0</v>
      </c>
      <c r="M291">
        <v>7</v>
      </c>
      <c r="N291">
        <v>8</v>
      </c>
      <c r="O291">
        <v>-1</v>
      </c>
      <c r="P291">
        <v>8</v>
      </c>
      <c r="Q291">
        <v>8</v>
      </c>
      <c r="R291">
        <v>0</v>
      </c>
      <c r="S291">
        <v>9</v>
      </c>
      <c r="T291">
        <v>8</v>
      </c>
      <c r="U291">
        <v>1</v>
      </c>
      <c r="V291">
        <v>7</v>
      </c>
      <c r="W291">
        <v>8</v>
      </c>
      <c r="X291">
        <v>-1</v>
      </c>
      <c r="Y291">
        <v>9</v>
      </c>
      <c r="Z291">
        <v>8</v>
      </c>
      <c r="AA291">
        <v>1</v>
      </c>
      <c r="AB291">
        <v>8</v>
      </c>
      <c r="AC291">
        <v>8</v>
      </c>
      <c r="AD291">
        <v>0</v>
      </c>
      <c r="AE291">
        <v>7</v>
      </c>
      <c r="AF291">
        <v>8</v>
      </c>
      <c r="AG291">
        <v>-1</v>
      </c>
      <c r="AH291">
        <v>9</v>
      </c>
      <c r="AI291">
        <v>8</v>
      </c>
      <c r="AJ291">
        <v>1</v>
      </c>
      <c r="AK291" t="s">
        <v>2834</v>
      </c>
      <c r="AL291" t="s">
        <v>2835</v>
      </c>
      <c r="AM291" t="s">
        <v>2836</v>
      </c>
      <c r="AN291" t="s">
        <v>2837</v>
      </c>
      <c r="AO291" t="s">
        <v>2838</v>
      </c>
      <c r="AP291" t="s">
        <v>2839</v>
      </c>
      <c r="AQ291" t="s">
        <v>2840</v>
      </c>
      <c r="AR291" t="s">
        <v>2841</v>
      </c>
      <c r="AS291" t="s">
        <v>2842</v>
      </c>
    </row>
    <row r="292" spans="1:45" x14ac:dyDescent="0.45">
      <c r="A292">
        <v>291</v>
      </c>
      <c r="B292">
        <v>2281</v>
      </c>
      <c r="C292" t="s">
        <v>78</v>
      </c>
      <c r="D292" t="s">
        <v>81</v>
      </c>
      <c r="E292" t="s">
        <v>74</v>
      </c>
      <c r="F292" t="s">
        <v>77</v>
      </c>
      <c r="G292" t="s">
        <v>76</v>
      </c>
      <c r="H292">
        <v>53.096133340729381</v>
      </c>
      <c r="I292">
        <v>2</v>
      </c>
      <c r="J292">
        <v>7</v>
      </c>
      <c r="K292">
        <v>9</v>
      </c>
      <c r="L292">
        <v>-2</v>
      </c>
      <c r="M292">
        <v>7</v>
      </c>
      <c r="N292">
        <v>9</v>
      </c>
      <c r="O292">
        <v>-2</v>
      </c>
      <c r="P292">
        <v>9</v>
      </c>
      <c r="Q292">
        <v>3</v>
      </c>
      <c r="R292">
        <v>6</v>
      </c>
      <c r="S292">
        <v>8</v>
      </c>
      <c r="T292">
        <v>10</v>
      </c>
      <c r="U292">
        <v>-2</v>
      </c>
      <c r="V292">
        <v>6</v>
      </c>
      <c r="W292">
        <v>8</v>
      </c>
      <c r="X292">
        <v>-2</v>
      </c>
      <c r="Y292">
        <v>9</v>
      </c>
      <c r="Z292">
        <v>8</v>
      </c>
      <c r="AA292">
        <v>1</v>
      </c>
      <c r="AB292">
        <v>7</v>
      </c>
      <c r="AC292">
        <v>6</v>
      </c>
      <c r="AD292">
        <v>1</v>
      </c>
      <c r="AE292">
        <v>6</v>
      </c>
      <c r="AF292">
        <v>8</v>
      </c>
      <c r="AG292">
        <v>-2</v>
      </c>
      <c r="AH292">
        <v>9</v>
      </c>
      <c r="AI292">
        <v>8</v>
      </c>
      <c r="AJ292">
        <v>1</v>
      </c>
      <c r="AK292" t="s">
        <v>2843</v>
      </c>
      <c r="AL292" t="s">
        <v>2844</v>
      </c>
      <c r="AM292" t="s">
        <v>2845</v>
      </c>
      <c r="AN292" t="s">
        <v>2846</v>
      </c>
      <c r="AO292" t="s">
        <v>2847</v>
      </c>
      <c r="AP292" t="s">
        <v>2848</v>
      </c>
      <c r="AQ292" t="s">
        <v>2849</v>
      </c>
      <c r="AR292" t="s">
        <v>2850</v>
      </c>
      <c r="AS292" t="s">
        <v>2851</v>
      </c>
    </row>
    <row r="293" spans="1:45" x14ac:dyDescent="0.45">
      <c r="A293">
        <v>292</v>
      </c>
      <c r="B293">
        <v>2282</v>
      </c>
      <c r="C293" t="s">
        <v>72</v>
      </c>
      <c r="D293" t="s">
        <v>193</v>
      </c>
      <c r="E293" t="s">
        <v>74</v>
      </c>
      <c r="F293" t="s">
        <v>75</v>
      </c>
      <c r="G293" t="s">
        <v>162</v>
      </c>
      <c r="H293">
        <v>56.405672353240703</v>
      </c>
      <c r="I293">
        <v>2</v>
      </c>
      <c r="J293">
        <v>6</v>
      </c>
      <c r="K293">
        <v>6</v>
      </c>
      <c r="L293">
        <v>0</v>
      </c>
      <c r="M293">
        <v>7</v>
      </c>
      <c r="N293">
        <v>6</v>
      </c>
      <c r="O293">
        <v>1</v>
      </c>
      <c r="P293">
        <v>8</v>
      </c>
      <c r="Q293">
        <v>1</v>
      </c>
      <c r="R293">
        <v>7</v>
      </c>
      <c r="S293">
        <v>9</v>
      </c>
      <c r="T293">
        <v>6</v>
      </c>
      <c r="U293">
        <v>3</v>
      </c>
      <c r="V293">
        <v>7</v>
      </c>
      <c r="W293">
        <v>5</v>
      </c>
      <c r="X293">
        <v>2</v>
      </c>
      <c r="Y293">
        <v>8</v>
      </c>
      <c r="Z293">
        <v>6</v>
      </c>
      <c r="AA293">
        <v>2</v>
      </c>
      <c r="AB293">
        <v>6</v>
      </c>
      <c r="AC293">
        <v>5</v>
      </c>
      <c r="AD293">
        <v>1</v>
      </c>
      <c r="AE293">
        <v>7</v>
      </c>
      <c r="AF293">
        <v>6</v>
      </c>
      <c r="AG293">
        <v>1</v>
      </c>
      <c r="AH293">
        <v>9</v>
      </c>
      <c r="AI293">
        <v>6</v>
      </c>
      <c r="AJ293">
        <v>3</v>
      </c>
      <c r="AK293" t="s">
        <v>2852</v>
      </c>
      <c r="AL293" t="s">
        <v>2853</v>
      </c>
      <c r="AM293" t="s">
        <v>2854</v>
      </c>
      <c r="AN293" t="s">
        <v>2855</v>
      </c>
      <c r="AO293" t="s">
        <v>2856</v>
      </c>
      <c r="AP293" t="s">
        <v>2857</v>
      </c>
      <c r="AQ293" t="s">
        <v>2858</v>
      </c>
      <c r="AR293" t="s">
        <v>2859</v>
      </c>
      <c r="AS293" t="s">
        <v>2860</v>
      </c>
    </row>
    <row r="294" spans="1:45" x14ac:dyDescent="0.45">
      <c r="A294">
        <v>293</v>
      </c>
      <c r="B294">
        <v>2283</v>
      </c>
      <c r="C294" t="s">
        <v>72</v>
      </c>
      <c r="D294" t="s">
        <v>81</v>
      </c>
      <c r="E294" t="s">
        <v>74</v>
      </c>
      <c r="F294" t="s">
        <v>77</v>
      </c>
      <c r="G294" t="s">
        <v>76</v>
      </c>
      <c r="H294">
        <v>43.135282492584544</v>
      </c>
      <c r="I294">
        <v>1</v>
      </c>
      <c r="J294">
        <v>7</v>
      </c>
      <c r="K294">
        <v>8</v>
      </c>
      <c r="L294">
        <v>-1</v>
      </c>
      <c r="M294">
        <v>8</v>
      </c>
      <c r="N294">
        <v>8</v>
      </c>
      <c r="O294">
        <v>0</v>
      </c>
      <c r="P294">
        <v>7</v>
      </c>
      <c r="Q294">
        <v>5</v>
      </c>
      <c r="R294">
        <v>2</v>
      </c>
      <c r="S294">
        <v>9</v>
      </c>
      <c r="T294">
        <v>8</v>
      </c>
      <c r="U294">
        <v>1</v>
      </c>
      <c r="V294">
        <v>8</v>
      </c>
      <c r="W294">
        <v>5</v>
      </c>
      <c r="X294">
        <v>3</v>
      </c>
      <c r="Y294">
        <v>9</v>
      </c>
      <c r="Z294">
        <v>6</v>
      </c>
      <c r="AA294">
        <v>3</v>
      </c>
      <c r="AB294">
        <v>7</v>
      </c>
      <c r="AC294">
        <v>5</v>
      </c>
      <c r="AD294">
        <v>2</v>
      </c>
      <c r="AE294">
        <v>6</v>
      </c>
      <c r="AF294">
        <v>6</v>
      </c>
      <c r="AG294">
        <v>0</v>
      </c>
      <c r="AH294">
        <v>9</v>
      </c>
      <c r="AI294">
        <v>6</v>
      </c>
      <c r="AJ294">
        <v>3</v>
      </c>
      <c r="AK294" t="s">
        <v>2861</v>
      </c>
      <c r="AL294" t="s">
        <v>2862</v>
      </c>
      <c r="AM294" t="s">
        <v>2863</v>
      </c>
      <c r="AN294" t="s">
        <v>2864</v>
      </c>
      <c r="AO294" t="s">
        <v>2865</v>
      </c>
      <c r="AP294" t="s">
        <v>2866</v>
      </c>
      <c r="AQ294" t="s">
        <v>2867</v>
      </c>
      <c r="AR294" t="s">
        <v>2868</v>
      </c>
      <c r="AS294" t="s">
        <v>2869</v>
      </c>
    </row>
    <row r="295" spans="1:45" x14ac:dyDescent="0.45">
      <c r="A295">
        <v>294</v>
      </c>
      <c r="B295">
        <v>2284</v>
      </c>
      <c r="C295" t="s">
        <v>72</v>
      </c>
      <c r="D295" t="s">
        <v>81</v>
      </c>
      <c r="E295" t="s">
        <v>74</v>
      </c>
      <c r="F295" t="s">
        <v>77</v>
      </c>
      <c r="G295" t="s">
        <v>76</v>
      </c>
      <c r="H295">
        <v>66.465718123118322</v>
      </c>
      <c r="I295">
        <v>3</v>
      </c>
      <c r="J295">
        <v>7</v>
      </c>
      <c r="K295">
        <v>6</v>
      </c>
      <c r="L295">
        <v>1</v>
      </c>
      <c r="M295">
        <v>8</v>
      </c>
      <c r="N295">
        <v>6</v>
      </c>
      <c r="O295">
        <v>2</v>
      </c>
      <c r="P295">
        <v>9</v>
      </c>
      <c r="Q295">
        <v>3</v>
      </c>
      <c r="R295">
        <v>6</v>
      </c>
      <c r="S295">
        <v>7</v>
      </c>
      <c r="T295">
        <v>7</v>
      </c>
      <c r="U295">
        <v>0</v>
      </c>
      <c r="V295">
        <v>8</v>
      </c>
      <c r="W295">
        <v>5</v>
      </c>
      <c r="X295">
        <v>3</v>
      </c>
      <c r="Y295">
        <v>9</v>
      </c>
      <c r="Z295">
        <v>6</v>
      </c>
      <c r="AA295">
        <v>3</v>
      </c>
      <c r="AB295">
        <v>8</v>
      </c>
      <c r="AC295">
        <v>5</v>
      </c>
      <c r="AD295">
        <v>3</v>
      </c>
      <c r="AE295">
        <v>7</v>
      </c>
      <c r="AF295">
        <v>5</v>
      </c>
      <c r="AG295">
        <v>2</v>
      </c>
      <c r="AH295">
        <v>9</v>
      </c>
      <c r="AI295">
        <v>6</v>
      </c>
      <c r="AJ295">
        <v>3</v>
      </c>
      <c r="AK295" t="s">
        <v>2870</v>
      </c>
      <c r="AL295" t="s">
        <v>2871</v>
      </c>
      <c r="AM295" t="s">
        <v>2872</v>
      </c>
      <c r="AN295" t="s">
        <v>2873</v>
      </c>
      <c r="AO295" t="s">
        <v>2874</v>
      </c>
      <c r="AP295" t="s">
        <v>2875</v>
      </c>
      <c r="AQ295" t="s">
        <v>2876</v>
      </c>
      <c r="AR295" t="s">
        <v>2877</v>
      </c>
      <c r="AS295" t="s">
        <v>2878</v>
      </c>
    </row>
    <row r="296" spans="1:45" x14ac:dyDescent="0.45">
      <c r="A296">
        <v>295</v>
      </c>
      <c r="B296">
        <v>2285</v>
      </c>
      <c r="C296" t="s">
        <v>78</v>
      </c>
      <c r="D296" t="s">
        <v>189</v>
      </c>
      <c r="E296" t="s">
        <v>74</v>
      </c>
      <c r="F296" t="s">
        <v>77</v>
      </c>
      <c r="G296" t="s">
        <v>76</v>
      </c>
      <c r="H296">
        <v>24.929247288114333</v>
      </c>
      <c r="I296">
        <v>0</v>
      </c>
      <c r="J296">
        <v>7</v>
      </c>
      <c r="K296">
        <v>8</v>
      </c>
      <c r="L296">
        <v>-1</v>
      </c>
      <c r="M296">
        <v>8</v>
      </c>
      <c r="N296">
        <v>9</v>
      </c>
      <c r="O296">
        <v>-1</v>
      </c>
      <c r="P296">
        <v>9</v>
      </c>
      <c r="Q296">
        <v>9</v>
      </c>
      <c r="R296">
        <v>0</v>
      </c>
      <c r="S296">
        <v>9</v>
      </c>
      <c r="T296">
        <v>10</v>
      </c>
      <c r="U296">
        <v>-1</v>
      </c>
      <c r="V296">
        <v>8</v>
      </c>
      <c r="W296">
        <v>8</v>
      </c>
      <c r="X296">
        <v>0</v>
      </c>
      <c r="Y296">
        <v>9</v>
      </c>
      <c r="Z296">
        <v>8</v>
      </c>
      <c r="AA296">
        <v>1</v>
      </c>
      <c r="AB296">
        <v>8</v>
      </c>
      <c r="AC296">
        <v>9</v>
      </c>
      <c r="AD296">
        <v>-1</v>
      </c>
      <c r="AE296">
        <v>7</v>
      </c>
      <c r="AF296">
        <v>10</v>
      </c>
      <c r="AG296">
        <v>-3</v>
      </c>
      <c r="AH296">
        <v>9</v>
      </c>
      <c r="AI296">
        <v>10</v>
      </c>
      <c r="AJ296">
        <v>-1</v>
      </c>
      <c r="AK296" t="s">
        <v>2879</v>
      </c>
      <c r="AL296" t="s">
        <v>2880</v>
      </c>
      <c r="AM296" t="s">
        <v>2881</v>
      </c>
      <c r="AN296" t="s">
        <v>2882</v>
      </c>
      <c r="AO296" t="s">
        <v>2883</v>
      </c>
      <c r="AP296" t="s">
        <v>2884</v>
      </c>
      <c r="AQ296" t="s">
        <v>2885</v>
      </c>
      <c r="AR296" t="s">
        <v>2886</v>
      </c>
      <c r="AS296" t="s">
        <v>2887</v>
      </c>
    </row>
    <row r="297" spans="1:45" x14ac:dyDescent="0.45">
      <c r="A297">
        <v>296</v>
      </c>
      <c r="B297">
        <v>2286</v>
      </c>
      <c r="C297" t="s">
        <v>78</v>
      </c>
      <c r="D297" t="s">
        <v>193</v>
      </c>
      <c r="E297" t="s">
        <v>74</v>
      </c>
      <c r="F297" t="s">
        <v>77</v>
      </c>
      <c r="G297" t="s">
        <v>76</v>
      </c>
      <c r="H297">
        <v>12</v>
      </c>
      <c r="I297">
        <v>0</v>
      </c>
      <c r="J297">
        <v>6</v>
      </c>
      <c r="K297">
        <v>7</v>
      </c>
      <c r="L297">
        <v>-1</v>
      </c>
      <c r="M297">
        <v>7</v>
      </c>
      <c r="N297">
        <v>7</v>
      </c>
      <c r="O297">
        <v>0</v>
      </c>
      <c r="P297">
        <v>8</v>
      </c>
      <c r="Q297">
        <v>6</v>
      </c>
      <c r="R297">
        <v>2</v>
      </c>
      <c r="S297">
        <v>9</v>
      </c>
      <c r="T297">
        <v>7</v>
      </c>
      <c r="U297">
        <v>2</v>
      </c>
      <c r="V297">
        <v>7</v>
      </c>
      <c r="W297">
        <v>7</v>
      </c>
      <c r="X297">
        <v>0</v>
      </c>
      <c r="Y297">
        <v>8</v>
      </c>
      <c r="Z297">
        <v>1</v>
      </c>
      <c r="AA297">
        <v>7</v>
      </c>
      <c r="AB297">
        <v>7</v>
      </c>
      <c r="AC297">
        <v>5</v>
      </c>
      <c r="AD297">
        <v>2</v>
      </c>
      <c r="AE297">
        <v>6</v>
      </c>
      <c r="AF297">
        <v>7</v>
      </c>
      <c r="AG297">
        <v>-1</v>
      </c>
      <c r="AH297">
        <v>8</v>
      </c>
      <c r="AI297">
        <v>7</v>
      </c>
      <c r="AJ297">
        <v>1</v>
      </c>
      <c r="AK297" t="s">
        <v>2888</v>
      </c>
      <c r="AL297" t="s">
        <v>2889</v>
      </c>
      <c r="AM297" t="s">
        <v>2890</v>
      </c>
      <c r="AN297" t="s">
        <v>2891</v>
      </c>
      <c r="AO297" t="s">
        <v>2892</v>
      </c>
      <c r="AP297" t="s">
        <v>2893</v>
      </c>
      <c r="AQ297" t="s">
        <v>2894</v>
      </c>
      <c r="AR297" t="s">
        <v>2895</v>
      </c>
      <c r="AS297" t="s">
        <v>2896</v>
      </c>
    </row>
    <row r="298" spans="1:45" x14ac:dyDescent="0.45">
      <c r="A298">
        <v>297</v>
      </c>
      <c r="B298">
        <v>2287</v>
      </c>
      <c r="C298" t="s">
        <v>72</v>
      </c>
      <c r="D298" t="s">
        <v>73</v>
      </c>
      <c r="E298" t="s">
        <v>74</v>
      </c>
      <c r="F298" t="s">
        <v>77</v>
      </c>
      <c r="G298" t="s">
        <v>76</v>
      </c>
      <c r="H298">
        <v>48.27742925304392</v>
      </c>
      <c r="I298">
        <v>2</v>
      </c>
      <c r="J298">
        <v>9</v>
      </c>
      <c r="K298">
        <v>5</v>
      </c>
      <c r="L298">
        <v>4</v>
      </c>
      <c r="M298">
        <v>9</v>
      </c>
      <c r="N298">
        <v>10</v>
      </c>
      <c r="O298">
        <v>-1</v>
      </c>
      <c r="P298">
        <v>8</v>
      </c>
      <c r="Q298">
        <v>5</v>
      </c>
      <c r="R298">
        <v>3</v>
      </c>
      <c r="S298">
        <v>9</v>
      </c>
      <c r="T298">
        <v>5</v>
      </c>
      <c r="U298">
        <v>4</v>
      </c>
      <c r="V298">
        <v>8</v>
      </c>
      <c r="W298">
        <v>2</v>
      </c>
      <c r="X298">
        <v>6</v>
      </c>
      <c r="Y298">
        <v>8</v>
      </c>
      <c r="Z298">
        <v>3</v>
      </c>
      <c r="AA298">
        <v>5</v>
      </c>
      <c r="AB298">
        <v>8</v>
      </c>
      <c r="AC298">
        <v>2</v>
      </c>
      <c r="AD298">
        <v>6</v>
      </c>
      <c r="AE298">
        <v>7</v>
      </c>
      <c r="AF298">
        <v>5</v>
      </c>
      <c r="AG298">
        <v>2</v>
      </c>
      <c r="AH298">
        <v>8</v>
      </c>
      <c r="AI298">
        <v>5</v>
      </c>
      <c r="AJ298">
        <v>3</v>
      </c>
      <c r="AK298" t="s">
        <v>2897</v>
      </c>
      <c r="AL298" t="s">
        <v>2898</v>
      </c>
      <c r="AM298" t="s">
        <v>2899</v>
      </c>
      <c r="AN298" t="s">
        <v>2900</v>
      </c>
      <c r="AO298" t="s">
        <v>2901</v>
      </c>
      <c r="AP298" t="s">
        <v>2902</v>
      </c>
      <c r="AQ298" t="s">
        <v>2903</v>
      </c>
      <c r="AR298" t="s">
        <v>2904</v>
      </c>
      <c r="AS298" t="s">
        <v>2905</v>
      </c>
    </row>
    <row r="299" spans="1:45" x14ac:dyDescent="0.45">
      <c r="A299">
        <v>298</v>
      </c>
      <c r="B299">
        <v>2288</v>
      </c>
      <c r="C299" t="s">
        <v>78</v>
      </c>
      <c r="D299" t="s">
        <v>73</v>
      </c>
      <c r="E299" t="s">
        <v>74</v>
      </c>
      <c r="F299" t="s">
        <v>77</v>
      </c>
      <c r="G299" t="s">
        <v>162</v>
      </c>
      <c r="H299">
        <v>12</v>
      </c>
      <c r="I299">
        <v>0</v>
      </c>
      <c r="J299">
        <v>6</v>
      </c>
      <c r="K299">
        <v>5</v>
      </c>
      <c r="L299">
        <v>1</v>
      </c>
      <c r="M299">
        <v>5</v>
      </c>
      <c r="N299">
        <v>5</v>
      </c>
      <c r="O299">
        <v>0</v>
      </c>
      <c r="P299">
        <v>9</v>
      </c>
      <c r="Q299">
        <v>5</v>
      </c>
      <c r="R299">
        <v>4</v>
      </c>
      <c r="S299">
        <v>8</v>
      </c>
      <c r="T299">
        <v>10</v>
      </c>
      <c r="U299">
        <v>-2</v>
      </c>
      <c r="V299">
        <v>7</v>
      </c>
      <c r="W299">
        <v>10</v>
      </c>
      <c r="X299">
        <v>-3</v>
      </c>
      <c r="Y299">
        <v>9</v>
      </c>
      <c r="Z299">
        <v>5</v>
      </c>
      <c r="AA299">
        <v>4</v>
      </c>
      <c r="AB299">
        <v>7</v>
      </c>
      <c r="AC299">
        <v>5</v>
      </c>
      <c r="AD299">
        <v>2</v>
      </c>
      <c r="AE299">
        <v>6</v>
      </c>
      <c r="AF299">
        <v>5</v>
      </c>
      <c r="AG299">
        <v>1</v>
      </c>
      <c r="AH299">
        <v>8</v>
      </c>
      <c r="AI299">
        <v>5</v>
      </c>
      <c r="AJ299">
        <v>3</v>
      </c>
      <c r="AK299" t="s">
        <v>2906</v>
      </c>
      <c r="AL299" t="s">
        <v>2907</v>
      </c>
      <c r="AM299" t="s">
        <v>2908</v>
      </c>
      <c r="AN299" t="s">
        <v>2909</v>
      </c>
      <c r="AO299" t="s">
        <v>2910</v>
      </c>
      <c r="AP299" t="s">
        <v>2911</v>
      </c>
      <c r="AQ299" t="s">
        <v>2912</v>
      </c>
      <c r="AR299" t="s">
        <v>2913</v>
      </c>
      <c r="AS299" t="s">
        <v>2914</v>
      </c>
    </row>
    <row r="300" spans="1:45" x14ac:dyDescent="0.45">
      <c r="A300">
        <v>299</v>
      </c>
      <c r="B300">
        <v>2289</v>
      </c>
      <c r="C300" t="s">
        <v>78</v>
      </c>
      <c r="D300" t="s">
        <v>73</v>
      </c>
      <c r="E300" t="s">
        <v>74</v>
      </c>
      <c r="F300" t="s">
        <v>75</v>
      </c>
      <c r="G300" t="s">
        <v>76</v>
      </c>
      <c r="H300">
        <v>40.527526501639954</v>
      </c>
      <c r="I300">
        <v>0</v>
      </c>
      <c r="J300">
        <v>8</v>
      </c>
      <c r="K300">
        <v>10</v>
      </c>
      <c r="L300">
        <v>-2</v>
      </c>
      <c r="M300">
        <v>9</v>
      </c>
      <c r="N300">
        <v>10</v>
      </c>
      <c r="O300">
        <v>-1</v>
      </c>
      <c r="P300">
        <v>8</v>
      </c>
      <c r="Q300">
        <v>10</v>
      </c>
      <c r="R300">
        <v>-2</v>
      </c>
      <c r="S300">
        <v>7</v>
      </c>
      <c r="T300">
        <v>10</v>
      </c>
      <c r="U300">
        <v>-3</v>
      </c>
      <c r="V300">
        <v>8</v>
      </c>
      <c r="W300">
        <v>10</v>
      </c>
      <c r="X300">
        <v>-2</v>
      </c>
      <c r="Y300">
        <v>9</v>
      </c>
      <c r="Z300">
        <v>10</v>
      </c>
      <c r="AA300">
        <v>-1</v>
      </c>
      <c r="AB300">
        <v>8</v>
      </c>
      <c r="AC300">
        <v>10</v>
      </c>
      <c r="AD300">
        <v>-2</v>
      </c>
      <c r="AE300">
        <v>7</v>
      </c>
      <c r="AF300">
        <v>10</v>
      </c>
      <c r="AG300">
        <v>-3</v>
      </c>
      <c r="AH300">
        <v>9</v>
      </c>
      <c r="AI300">
        <v>10</v>
      </c>
      <c r="AJ300">
        <v>-1</v>
      </c>
      <c r="AK300" t="s">
        <v>202</v>
      </c>
      <c r="AL300" t="s">
        <v>202</v>
      </c>
      <c r="AM300" t="s">
        <v>202</v>
      </c>
      <c r="AN300" t="s">
        <v>202</v>
      </c>
      <c r="AO300" t="s">
        <v>202</v>
      </c>
      <c r="AP300" t="s">
        <v>202</v>
      </c>
      <c r="AQ300" t="s">
        <v>202</v>
      </c>
      <c r="AR300" t="s">
        <v>202</v>
      </c>
      <c r="AS300" t="s">
        <v>202</v>
      </c>
    </row>
    <row r="301" spans="1:45" x14ac:dyDescent="0.45">
      <c r="A301">
        <v>300</v>
      </c>
      <c r="B301">
        <v>2290</v>
      </c>
      <c r="C301" t="s">
        <v>78</v>
      </c>
      <c r="D301" t="s">
        <v>73</v>
      </c>
      <c r="E301" t="s">
        <v>74</v>
      </c>
      <c r="F301" t="s">
        <v>77</v>
      </c>
      <c r="G301" t="s">
        <v>76</v>
      </c>
      <c r="H301">
        <v>23.619644223184714</v>
      </c>
      <c r="I301">
        <v>1</v>
      </c>
      <c r="J301">
        <v>7</v>
      </c>
      <c r="K301">
        <v>9</v>
      </c>
      <c r="L301">
        <v>-2</v>
      </c>
      <c r="M301">
        <v>8</v>
      </c>
      <c r="N301">
        <v>9</v>
      </c>
      <c r="O301">
        <v>-1</v>
      </c>
      <c r="P301">
        <v>9</v>
      </c>
      <c r="Q301">
        <v>8</v>
      </c>
      <c r="R301">
        <v>1</v>
      </c>
      <c r="S301">
        <v>10</v>
      </c>
      <c r="T301">
        <v>10</v>
      </c>
      <c r="U301">
        <v>0</v>
      </c>
      <c r="V301">
        <v>7</v>
      </c>
      <c r="W301">
        <v>8</v>
      </c>
      <c r="X301">
        <v>-1</v>
      </c>
      <c r="Y301">
        <v>6</v>
      </c>
      <c r="Z301">
        <v>8</v>
      </c>
      <c r="AA301">
        <v>-2</v>
      </c>
      <c r="AB301">
        <v>7</v>
      </c>
      <c r="AC301">
        <v>10</v>
      </c>
      <c r="AD301">
        <v>-3</v>
      </c>
      <c r="AE301">
        <v>8</v>
      </c>
      <c r="AF301">
        <v>9</v>
      </c>
      <c r="AG301">
        <v>-1</v>
      </c>
      <c r="AH301">
        <v>9</v>
      </c>
      <c r="AI301">
        <v>9</v>
      </c>
      <c r="AJ301">
        <v>0</v>
      </c>
      <c r="AK301" t="s">
        <v>2915</v>
      </c>
      <c r="AL301" t="s">
        <v>2916</v>
      </c>
      <c r="AM301" t="s">
        <v>2917</v>
      </c>
      <c r="AN301" t="s">
        <v>2918</v>
      </c>
      <c r="AO301" t="s">
        <v>2919</v>
      </c>
      <c r="AP301" t="s">
        <v>2920</v>
      </c>
      <c r="AQ301" t="s">
        <v>2921</v>
      </c>
      <c r="AR301" t="s">
        <v>2922</v>
      </c>
      <c r="AS301" t="s">
        <v>2923</v>
      </c>
    </row>
    <row r="302" spans="1:45" x14ac:dyDescent="0.45">
      <c r="A302">
        <v>301</v>
      </c>
      <c r="B302">
        <v>2291</v>
      </c>
      <c r="C302" t="s">
        <v>78</v>
      </c>
      <c r="D302" t="s">
        <v>81</v>
      </c>
      <c r="E302" t="s">
        <v>74</v>
      </c>
      <c r="F302" t="s">
        <v>77</v>
      </c>
      <c r="G302" t="s">
        <v>76</v>
      </c>
      <c r="H302">
        <v>12</v>
      </c>
      <c r="I302">
        <v>0</v>
      </c>
      <c r="J302">
        <v>9</v>
      </c>
      <c r="K302">
        <v>8</v>
      </c>
      <c r="L302">
        <v>1</v>
      </c>
      <c r="M302">
        <v>8</v>
      </c>
      <c r="N302">
        <v>7</v>
      </c>
      <c r="O302">
        <v>1</v>
      </c>
      <c r="P302">
        <v>9</v>
      </c>
      <c r="Q302">
        <v>9</v>
      </c>
      <c r="R302">
        <v>0</v>
      </c>
      <c r="S302">
        <v>10</v>
      </c>
      <c r="T302">
        <v>5</v>
      </c>
      <c r="U302">
        <v>5</v>
      </c>
      <c r="V302">
        <v>8</v>
      </c>
      <c r="W302">
        <v>7</v>
      </c>
      <c r="X302">
        <v>1</v>
      </c>
      <c r="Y302">
        <v>9</v>
      </c>
      <c r="Z302">
        <v>7</v>
      </c>
      <c r="AA302">
        <v>2</v>
      </c>
      <c r="AB302">
        <v>8</v>
      </c>
      <c r="AC302">
        <v>7</v>
      </c>
      <c r="AD302">
        <v>1</v>
      </c>
      <c r="AE302">
        <v>9</v>
      </c>
      <c r="AF302">
        <v>6</v>
      </c>
      <c r="AG302">
        <v>3</v>
      </c>
      <c r="AH302">
        <v>8</v>
      </c>
      <c r="AI302">
        <v>7</v>
      </c>
      <c r="AJ302">
        <v>1</v>
      </c>
      <c r="AK302" t="s">
        <v>2924</v>
      </c>
      <c r="AL302" t="s">
        <v>2925</v>
      </c>
      <c r="AM302" t="s">
        <v>2926</v>
      </c>
      <c r="AN302" t="s">
        <v>2927</v>
      </c>
      <c r="AO302" t="s">
        <v>2928</v>
      </c>
      <c r="AP302" t="s">
        <v>2929</v>
      </c>
      <c r="AQ302" t="s">
        <v>2930</v>
      </c>
      <c r="AR302" t="s">
        <v>2931</v>
      </c>
      <c r="AS302" t="s">
        <v>2932</v>
      </c>
    </row>
    <row r="303" spans="1:45" x14ac:dyDescent="0.45">
      <c r="A303">
        <v>302</v>
      </c>
      <c r="B303">
        <v>2292</v>
      </c>
      <c r="C303" t="s">
        <v>72</v>
      </c>
      <c r="D303" t="s">
        <v>73</v>
      </c>
      <c r="E303" t="s">
        <v>74</v>
      </c>
      <c r="F303" t="s">
        <v>77</v>
      </c>
      <c r="G303" t="s">
        <v>76</v>
      </c>
      <c r="H303">
        <v>25.452016522366868</v>
      </c>
      <c r="I303">
        <v>0</v>
      </c>
      <c r="J303">
        <v>7</v>
      </c>
      <c r="K303">
        <v>7</v>
      </c>
      <c r="L303">
        <v>0</v>
      </c>
      <c r="M303">
        <v>8</v>
      </c>
      <c r="N303">
        <v>7</v>
      </c>
      <c r="O303">
        <v>1</v>
      </c>
      <c r="P303">
        <v>9</v>
      </c>
      <c r="Q303">
        <v>4</v>
      </c>
      <c r="R303">
        <v>5</v>
      </c>
      <c r="S303">
        <v>8</v>
      </c>
      <c r="T303">
        <v>8</v>
      </c>
      <c r="U303">
        <v>0</v>
      </c>
      <c r="V303">
        <v>9</v>
      </c>
      <c r="W303">
        <v>7</v>
      </c>
      <c r="X303">
        <v>2</v>
      </c>
      <c r="Y303">
        <v>8</v>
      </c>
      <c r="Z303">
        <v>7</v>
      </c>
      <c r="AA303">
        <v>1</v>
      </c>
      <c r="AB303">
        <v>7</v>
      </c>
      <c r="AC303">
        <v>5</v>
      </c>
      <c r="AD303">
        <v>2</v>
      </c>
      <c r="AE303">
        <v>9</v>
      </c>
      <c r="AF303">
        <v>5</v>
      </c>
      <c r="AG303">
        <v>4</v>
      </c>
      <c r="AH303">
        <v>8</v>
      </c>
      <c r="AI303">
        <v>7</v>
      </c>
      <c r="AJ303">
        <v>1</v>
      </c>
      <c r="AK303" t="s">
        <v>2933</v>
      </c>
      <c r="AL303" t="s">
        <v>2934</v>
      </c>
      <c r="AM303" t="s">
        <v>2935</v>
      </c>
      <c r="AN303" t="s">
        <v>2936</v>
      </c>
      <c r="AO303" t="s">
        <v>2937</v>
      </c>
      <c r="AP303" t="s">
        <v>2938</v>
      </c>
      <c r="AQ303" t="s">
        <v>2939</v>
      </c>
      <c r="AR303" t="s">
        <v>1313</v>
      </c>
      <c r="AS303" t="s">
        <v>271</v>
      </c>
    </row>
    <row r="304" spans="1:45" x14ac:dyDescent="0.45">
      <c r="A304">
        <v>303</v>
      </c>
      <c r="B304">
        <v>2293</v>
      </c>
      <c r="C304" t="s">
        <v>78</v>
      </c>
      <c r="D304" t="s">
        <v>73</v>
      </c>
      <c r="E304" t="s">
        <v>74</v>
      </c>
      <c r="F304" t="s">
        <v>77</v>
      </c>
      <c r="G304" t="s">
        <v>76</v>
      </c>
      <c r="H304">
        <v>24.634858690807217</v>
      </c>
      <c r="I304">
        <v>2</v>
      </c>
      <c r="J304">
        <v>6</v>
      </c>
      <c r="K304">
        <v>6</v>
      </c>
      <c r="L304">
        <v>0</v>
      </c>
      <c r="M304">
        <v>5</v>
      </c>
      <c r="N304">
        <v>10</v>
      </c>
      <c r="O304">
        <v>-5</v>
      </c>
      <c r="P304">
        <v>7</v>
      </c>
      <c r="Q304">
        <v>5</v>
      </c>
      <c r="R304">
        <v>2</v>
      </c>
      <c r="S304">
        <v>8</v>
      </c>
      <c r="T304">
        <v>4</v>
      </c>
      <c r="U304">
        <v>4</v>
      </c>
      <c r="V304">
        <v>6</v>
      </c>
      <c r="W304">
        <v>3</v>
      </c>
      <c r="X304">
        <v>3</v>
      </c>
      <c r="Y304">
        <v>8</v>
      </c>
      <c r="Z304">
        <v>7</v>
      </c>
      <c r="AA304">
        <v>1</v>
      </c>
      <c r="AB304">
        <v>6</v>
      </c>
      <c r="AC304">
        <v>4</v>
      </c>
      <c r="AD304">
        <v>2</v>
      </c>
      <c r="AE304">
        <v>7</v>
      </c>
      <c r="AF304">
        <v>4</v>
      </c>
      <c r="AG304">
        <v>3</v>
      </c>
      <c r="AH304">
        <v>9</v>
      </c>
      <c r="AI304">
        <v>5</v>
      </c>
      <c r="AJ304">
        <v>4</v>
      </c>
      <c r="AK304" t="s">
        <v>2940</v>
      </c>
      <c r="AL304" t="s">
        <v>2941</v>
      </c>
      <c r="AM304" t="s">
        <v>2942</v>
      </c>
      <c r="AN304" t="s">
        <v>2943</v>
      </c>
      <c r="AO304" t="s">
        <v>2944</v>
      </c>
      <c r="AP304" t="s">
        <v>2945</v>
      </c>
      <c r="AQ304" t="s">
        <v>2946</v>
      </c>
      <c r="AR304" t="s">
        <v>2947</v>
      </c>
      <c r="AS304" t="s">
        <v>2948</v>
      </c>
    </row>
    <row r="305" spans="1:45" x14ac:dyDescent="0.45">
      <c r="A305">
        <v>304</v>
      </c>
      <c r="B305">
        <v>2294</v>
      </c>
      <c r="C305" t="s">
        <v>78</v>
      </c>
      <c r="D305" t="s">
        <v>81</v>
      </c>
      <c r="E305" t="s">
        <v>74</v>
      </c>
      <c r="F305" t="s">
        <v>75</v>
      </c>
      <c r="G305" t="s">
        <v>76</v>
      </c>
      <c r="H305">
        <v>12</v>
      </c>
      <c r="I305">
        <v>0</v>
      </c>
      <c r="J305">
        <v>9</v>
      </c>
      <c r="K305">
        <v>10</v>
      </c>
      <c r="L305">
        <v>-1</v>
      </c>
      <c r="M305">
        <v>8</v>
      </c>
      <c r="N305">
        <v>10</v>
      </c>
      <c r="O305">
        <v>-2</v>
      </c>
      <c r="P305">
        <v>9</v>
      </c>
      <c r="Q305">
        <v>10</v>
      </c>
      <c r="R305">
        <v>-1</v>
      </c>
      <c r="S305">
        <v>8</v>
      </c>
      <c r="T305">
        <v>10</v>
      </c>
      <c r="U305">
        <v>-2</v>
      </c>
      <c r="V305">
        <v>9</v>
      </c>
      <c r="W305">
        <v>10</v>
      </c>
      <c r="X305">
        <v>-1</v>
      </c>
      <c r="Y305">
        <v>9</v>
      </c>
      <c r="Z305">
        <v>10</v>
      </c>
      <c r="AA305">
        <v>-1</v>
      </c>
      <c r="AB305">
        <v>8</v>
      </c>
      <c r="AC305">
        <v>10</v>
      </c>
      <c r="AD305">
        <v>-2</v>
      </c>
      <c r="AE305">
        <v>9</v>
      </c>
      <c r="AF305">
        <v>10</v>
      </c>
      <c r="AG305">
        <v>-1</v>
      </c>
      <c r="AH305">
        <v>9</v>
      </c>
      <c r="AI305">
        <v>10</v>
      </c>
      <c r="AJ305">
        <v>-1</v>
      </c>
      <c r="AK305" t="s">
        <v>2949</v>
      </c>
      <c r="AL305" t="s">
        <v>2950</v>
      </c>
      <c r="AM305" t="s">
        <v>2951</v>
      </c>
      <c r="AN305" t="s">
        <v>2952</v>
      </c>
      <c r="AO305" t="s">
        <v>2953</v>
      </c>
      <c r="AP305" t="s">
        <v>2954</v>
      </c>
      <c r="AQ305" t="s">
        <v>2955</v>
      </c>
      <c r="AR305" t="s">
        <v>201</v>
      </c>
      <c r="AS305" t="s">
        <v>2956</v>
      </c>
    </row>
    <row r="306" spans="1:45" x14ac:dyDescent="0.45">
      <c r="A306">
        <v>305</v>
      </c>
      <c r="B306">
        <v>2295</v>
      </c>
      <c r="C306" t="s">
        <v>78</v>
      </c>
      <c r="D306" t="s">
        <v>73</v>
      </c>
      <c r="E306" t="s">
        <v>74</v>
      </c>
      <c r="F306" t="s">
        <v>77</v>
      </c>
      <c r="G306" t="s">
        <v>76</v>
      </c>
      <c r="H306">
        <v>39.284181945225868</v>
      </c>
      <c r="I306">
        <v>0</v>
      </c>
      <c r="J306">
        <v>7</v>
      </c>
      <c r="K306">
        <v>7</v>
      </c>
      <c r="L306">
        <v>0</v>
      </c>
      <c r="M306">
        <v>8</v>
      </c>
      <c r="N306">
        <v>9</v>
      </c>
      <c r="O306">
        <v>-1</v>
      </c>
      <c r="P306">
        <v>7</v>
      </c>
      <c r="Q306">
        <v>8</v>
      </c>
      <c r="R306">
        <v>-1</v>
      </c>
      <c r="S306">
        <v>9</v>
      </c>
      <c r="T306">
        <v>6</v>
      </c>
      <c r="U306">
        <v>3</v>
      </c>
      <c r="V306">
        <v>7</v>
      </c>
      <c r="W306">
        <v>5</v>
      </c>
      <c r="X306">
        <v>2</v>
      </c>
      <c r="Y306">
        <v>9</v>
      </c>
      <c r="Z306">
        <v>3</v>
      </c>
      <c r="AA306">
        <v>6</v>
      </c>
      <c r="AB306">
        <v>8</v>
      </c>
      <c r="AC306">
        <v>9</v>
      </c>
      <c r="AD306">
        <v>-1</v>
      </c>
      <c r="AE306">
        <v>7</v>
      </c>
      <c r="AF306">
        <v>3</v>
      </c>
      <c r="AG306">
        <v>4</v>
      </c>
      <c r="AH306">
        <v>9</v>
      </c>
      <c r="AI306">
        <v>4</v>
      </c>
      <c r="AJ306">
        <v>5</v>
      </c>
      <c r="AK306" t="s">
        <v>2957</v>
      </c>
      <c r="AL306" t="s">
        <v>2958</v>
      </c>
      <c r="AM306" t="s">
        <v>2959</v>
      </c>
      <c r="AN306" t="s">
        <v>2960</v>
      </c>
      <c r="AO306" t="s">
        <v>2961</v>
      </c>
      <c r="AP306" t="s">
        <v>2962</v>
      </c>
      <c r="AQ306" t="s">
        <v>2963</v>
      </c>
      <c r="AR306" t="s">
        <v>2964</v>
      </c>
      <c r="AS306" t="s">
        <v>2965</v>
      </c>
    </row>
    <row r="307" spans="1:45" x14ac:dyDescent="0.45">
      <c r="A307">
        <v>306</v>
      </c>
      <c r="B307">
        <v>2296</v>
      </c>
      <c r="C307" t="s">
        <v>72</v>
      </c>
      <c r="D307" t="s">
        <v>79</v>
      </c>
      <c r="E307" t="s">
        <v>74</v>
      </c>
      <c r="F307" t="s">
        <v>77</v>
      </c>
      <c r="G307" t="s">
        <v>76</v>
      </c>
      <c r="H307">
        <v>56.810136217068468</v>
      </c>
      <c r="I307">
        <v>3</v>
      </c>
      <c r="J307">
        <v>8</v>
      </c>
      <c r="K307">
        <v>3</v>
      </c>
      <c r="L307">
        <v>5</v>
      </c>
      <c r="M307">
        <v>7</v>
      </c>
      <c r="N307">
        <v>8</v>
      </c>
      <c r="O307">
        <v>-1</v>
      </c>
      <c r="P307">
        <v>9</v>
      </c>
      <c r="Q307">
        <v>8</v>
      </c>
      <c r="R307">
        <v>1</v>
      </c>
      <c r="S307">
        <v>9</v>
      </c>
      <c r="T307">
        <v>4</v>
      </c>
      <c r="U307">
        <v>5</v>
      </c>
      <c r="V307">
        <v>8</v>
      </c>
      <c r="W307">
        <v>4</v>
      </c>
      <c r="X307">
        <v>4</v>
      </c>
      <c r="Y307">
        <v>7</v>
      </c>
      <c r="Z307">
        <v>3</v>
      </c>
      <c r="AA307">
        <v>4</v>
      </c>
      <c r="AB307">
        <v>8</v>
      </c>
      <c r="AC307">
        <v>7</v>
      </c>
      <c r="AD307">
        <v>1</v>
      </c>
      <c r="AE307">
        <v>6</v>
      </c>
      <c r="AF307">
        <v>5</v>
      </c>
      <c r="AG307">
        <v>1</v>
      </c>
      <c r="AH307">
        <v>9</v>
      </c>
      <c r="AI307">
        <v>5</v>
      </c>
      <c r="AJ307">
        <v>4</v>
      </c>
      <c r="AK307" t="s">
        <v>2966</v>
      </c>
      <c r="AL307" t="s">
        <v>2967</v>
      </c>
      <c r="AM307" t="s">
        <v>2968</v>
      </c>
      <c r="AN307" t="s">
        <v>2969</v>
      </c>
      <c r="AO307" t="s">
        <v>2970</v>
      </c>
      <c r="AP307" t="s">
        <v>2971</v>
      </c>
      <c r="AQ307" t="s">
        <v>2972</v>
      </c>
      <c r="AR307" t="s">
        <v>2973</v>
      </c>
      <c r="AS307" t="s">
        <v>2974</v>
      </c>
    </row>
    <row r="308" spans="1:45" x14ac:dyDescent="0.45">
      <c r="A308">
        <v>307</v>
      </c>
      <c r="B308">
        <v>2297</v>
      </c>
      <c r="C308" t="s">
        <v>72</v>
      </c>
      <c r="D308" t="s">
        <v>193</v>
      </c>
      <c r="E308" t="s">
        <v>74</v>
      </c>
      <c r="F308" t="s">
        <v>75</v>
      </c>
      <c r="G308" t="s">
        <v>162</v>
      </c>
      <c r="H308">
        <v>14.954634857941985</v>
      </c>
      <c r="I308">
        <v>2</v>
      </c>
      <c r="J308">
        <v>6</v>
      </c>
      <c r="K308">
        <v>2</v>
      </c>
      <c r="L308">
        <v>4</v>
      </c>
      <c r="M308">
        <v>5</v>
      </c>
      <c r="N308">
        <v>2</v>
      </c>
      <c r="O308">
        <v>3</v>
      </c>
      <c r="P308">
        <v>9</v>
      </c>
      <c r="Q308">
        <v>2</v>
      </c>
      <c r="R308">
        <v>7</v>
      </c>
      <c r="S308">
        <v>8</v>
      </c>
      <c r="T308">
        <v>1</v>
      </c>
      <c r="U308">
        <v>7</v>
      </c>
      <c r="V308">
        <v>7</v>
      </c>
      <c r="W308">
        <v>2</v>
      </c>
      <c r="X308">
        <v>5</v>
      </c>
      <c r="Y308">
        <v>8</v>
      </c>
      <c r="Z308">
        <v>2</v>
      </c>
      <c r="AA308">
        <v>6</v>
      </c>
      <c r="AB308">
        <v>9</v>
      </c>
      <c r="AC308">
        <v>2</v>
      </c>
      <c r="AD308">
        <v>7</v>
      </c>
      <c r="AE308">
        <v>7</v>
      </c>
      <c r="AF308">
        <v>2</v>
      </c>
      <c r="AG308">
        <v>5</v>
      </c>
      <c r="AH308">
        <v>9</v>
      </c>
      <c r="AI308">
        <v>2</v>
      </c>
      <c r="AJ308">
        <v>7</v>
      </c>
      <c r="AK308" t="s">
        <v>2975</v>
      </c>
      <c r="AL308" t="s">
        <v>2976</v>
      </c>
      <c r="AM308" t="s">
        <v>2977</v>
      </c>
      <c r="AN308" t="s">
        <v>2978</v>
      </c>
      <c r="AO308" t="s">
        <v>2979</v>
      </c>
      <c r="AP308" t="s">
        <v>2980</v>
      </c>
      <c r="AQ308" t="s">
        <v>2981</v>
      </c>
      <c r="AR308" t="s">
        <v>2982</v>
      </c>
      <c r="AS308" t="s">
        <v>2983</v>
      </c>
    </row>
    <row r="309" spans="1:45" x14ac:dyDescent="0.45">
      <c r="A309">
        <v>308</v>
      </c>
      <c r="B309">
        <v>2298</v>
      </c>
      <c r="C309" t="s">
        <v>72</v>
      </c>
      <c r="D309" t="s">
        <v>79</v>
      </c>
      <c r="E309" t="s">
        <v>74</v>
      </c>
      <c r="F309" t="s">
        <v>75</v>
      </c>
      <c r="G309" t="s">
        <v>76</v>
      </c>
      <c r="H309">
        <v>184.79089577465027</v>
      </c>
      <c r="I309">
        <v>2</v>
      </c>
      <c r="J309">
        <v>7</v>
      </c>
      <c r="K309">
        <v>10</v>
      </c>
      <c r="L309">
        <v>-3</v>
      </c>
      <c r="M309">
        <v>8</v>
      </c>
      <c r="N309">
        <v>8</v>
      </c>
      <c r="O309">
        <v>0</v>
      </c>
      <c r="P309">
        <v>9</v>
      </c>
      <c r="Q309">
        <v>8</v>
      </c>
      <c r="R309">
        <v>1</v>
      </c>
      <c r="S309">
        <v>9</v>
      </c>
      <c r="T309">
        <v>8</v>
      </c>
      <c r="U309">
        <v>1</v>
      </c>
      <c r="V309">
        <v>8</v>
      </c>
      <c r="W309">
        <v>10</v>
      </c>
      <c r="X309">
        <v>-2</v>
      </c>
      <c r="Y309">
        <v>7</v>
      </c>
      <c r="Z309">
        <v>10</v>
      </c>
      <c r="AA309">
        <v>-3</v>
      </c>
      <c r="AB309">
        <v>8</v>
      </c>
      <c r="AC309">
        <v>6</v>
      </c>
      <c r="AD309">
        <v>2</v>
      </c>
      <c r="AE309">
        <v>7</v>
      </c>
      <c r="AF309">
        <v>8</v>
      </c>
      <c r="AG309">
        <v>-1</v>
      </c>
      <c r="AH309">
        <v>9</v>
      </c>
      <c r="AI309">
        <v>8</v>
      </c>
      <c r="AJ309">
        <v>1</v>
      </c>
      <c r="AK309" t="s">
        <v>2984</v>
      </c>
      <c r="AL309" t="s">
        <v>2985</v>
      </c>
      <c r="AM309" t="s">
        <v>2986</v>
      </c>
      <c r="AN309" t="s">
        <v>2987</v>
      </c>
      <c r="AO309" t="s">
        <v>2988</v>
      </c>
      <c r="AP309" t="s">
        <v>2989</v>
      </c>
      <c r="AQ309" t="s">
        <v>2990</v>
      </c>
      <c r="AR309" t="s">
        <v>2991</v>
      </c>
      <c r="AS309" t="s">
        <v>2992</v>
      </c>
    </row>
    <row r="310" spans="1:45" x14ac:dyDescent="0.45">
      <c r="A310">
        <v>309</v>
      </c>
      <c r="B310">
        <v>2299</v>
      </c>
      <c r="C310" t="s">
        <v>78</v>
      </c>
      <c r="D310" t="s">
        <v>73</v>
      </c>
      <c r="E310" t="s">
        <v>74</v>
      </c>
      <c r="F310" t="s">
        <v>77</v>
      </c>
      <c r="G310" t="s">
        <v>76</v>
      </c>
      <c r="H310">
        <v>50.676369719896847</v>
      </c>
      <c r="I310">
        <v>1</v>
      </c>
      <c r="J310">
        <v>6</v>
      </c>
      <c r="K310">
        <v>10</v>
      </c>
      <c r="L310">
        <v>-4</v>
      </c>
      <c r="M310">
        <v>7</v>
      </c>
      <c r="N310">
        <v>10</v>
      </c>
      <c r="O310">
        <v>-3</v>
      </c>
      <c r="P310">
        <v>8</v>
      </c>
      <c r="Q310">
        <v>10</v>
      </c>
      <c r="R310">
        <v>-2</v>
      </c>
      <c r="S310">
        <v>9</v>
      </c>
      <c r="T310">
        <v>10</v>
      </c>
      <c r="U310">
        <v>-1</v>
      </c>
      <c r="V310">
        <v>8</v>
      </c>
      <c r="W310">
        <v>10</v>
      </c>
      <c r="X310">
        <v>-2</v>
      </c>
      <c r="Y310">
        <v>9</v>
      </c>
      <c r="Z310">
        <v>9</v>
      </c>
      <c r="AA310">
        <v>0</v>
      </c>
      <c r="AB310">
        <v>8</v>
      </c>
      <c r="AC310">
        <v>9</v>
      </c>
      <c r="AD310">
        <v>-1</v>
      </c>
      <c r="AE310">
        <v>7</v>
      </c>
      <c r="AF310">
        <v>10</v>
      </c>
      <c r="AG310">
        <v>-3</v>
      </c>
      <c r="AH310">
        <v>9</v>
      </c>
      <c r="AI310">
        <v>10</v>
      </c>
      <c r="AJ310">
        <v>-1</v>
      </c>
      <c r="AK310" t="s">
        <v>2993</v>
      </c>
      <c r="AL310" t="s">
        <v>2994</v>
      </c>
      <c r="AM310" t="s">
        <v>2995</v>
      </c>
      <c r="AN310" t="s">
        <v>2996</v>
      </c>
      <c r="AO310" t="s">
        <v>2997</v>
      </c>
      <c r="AP310" t="s">
        <v>2998</v>
      </c>
      <c r="AQ310" t="s">
        <v>2999</v>
      </c>
      <c r="AR310" t="s">
        <v>3000</v>
      </c>
      <c r="AS310" t="s">
        <v>3001</v>
      </c>
    </row>
    <row r="311" spans="1:45" x14ac:dyDescent="0.45">
      <c r="A311">
        <v>310</v>
      </c>
      <c r="B311">
        <v>2300</v>
      </c>
      <c r="C311" t="s">
        <v>72</v>
      </c>
      <c r="D311" t="s">
        <v>189</v>
      </c>
      <c r="E311" t="s">
        <v>74</v>
      </c>
      <c r="F311" t="s">
        <v>77</v>
      </c>
      <c r="G311" t="s">
        <v>76</v>
      </c>
      <c r="H311">
        <v>21.771079265001994</v>
      </c>
      <c r="I311">
        <v>0</v>
      </c>
      <c r="J311">
        <v>7</v>
      </c>
      <c r="K311">
        <v>7</v>
      </c>
      <c r="L311">
        <v>0</v>
      </c>
      <c r="M311">
        <v>6</v>
      </c>
      <c r="N311">
        <v>7</v>
      </c>
      <c r="O311">
        <v>-1</v>
      </c>
      <c r="P311">
        <v>8</v>
      </c>
      <c r="Q311">
        <v>5</v>
      </c>
      <c r="R311">
        <v>3</v>
      </c>
      <c r="S311">
        <v>9</v>
      </c>
      <c r="T311">
        <v>8</v>
      </c>
      <c r="U311">
        <v>1</v>
      </c>
      <c r="V311">
        <v>7</v>
      </c>
      <c r="W311">
        <v>8</v>
      </c>
      <c r="X311">
        <v>-1</v>
      </c>
      <c r="Y311">
        <v>8</v>
      </c>
      <c r="Z311">
        <v>9</v>
      </c>
      <c r="AA311">
        <v>-1</v>
      </c>
      <c r="AB311">
        <v>7</v>
      </c>
      <c r="AC311">
        <v>9</v>
      </c>
      <c r="AD311">
        <v>-2</v>
      </c>
      <c r="AE311">
        <v>6</v>
      </c>
      <c r="AF311">
        <v>9</v>
      </c>
      <c r="AG311">
        <v>-3</v>
      </c>
      <c r="AH311">
        <v>8</v>
      </c>
      <c r="AI311">
        <v>10</v>
      </c>
      <c r="AJ311">
        <v>-2</v>
      </c>
      <c r="AK311" t="s">
        <v>3002</v>
      </c>
      <c r="AL311" t="s">
        <v>3003</v>
      </c>
      <c r="AM311" t="s">
        <v>3004</v>
      </c>
      <c r="AN311" t="s">
        <v>3005</v>
      </c>
      <c r="AO311" t="s">
        <v>3006</v>
      </c>
      <c r="AP311" t="s">
        <v>3007</v>
      </c>
      <c r="AQ311" t="s">
        <v>3008</v>
      </c>
      <c r="AR311" t="s">
        <v>3009</v>
      </c>
      <c r="AS311" t="s">
        <v>3010</v>
      </c>
    </row>
    <row r="312" spans="1:45" x14ac:dyDescent="0.45">
      <c r="A312">
        <v>311</v>
      </c>
      <c r="B312">
        <v>2301</v>
      </c>
      <c r="C312" t="s">
        <v>72</v>
      </c>
      <c r="D312" t="s">
        <v>189</v>
      </c>
      <c r="E312" t="s">
        <v>74</v>
      </c>
      <c r="F312" t="s">
        <v>77</v>
      </c>
      <c r="G312" t="s">
        <v>76</v>
      </c>
      <c r="H312">
        <v>15.690216748925257</v>
      </c>
      <c r="I312">
        <v>0</v>
      </c>
      <c r="J312">
        <v>9</v>
      </c>
      <c r="K312">
        <v>6</v>
      </c>
      <c r="L312">
        <v>3</v>
      </c>
      <c r="M312">
        <v>8</v>
      </c>
      <c r="N312">
        <v>5</v>
      </c>
      <c r="O312">
        <v>3</v>
      </c>
      <c r="P312">
        <v>9</v>
      </c>
      <c r="Q312">
        <v>4</v>
      </c>
      <c r="R312">
        <v>5</v>
      </c>
      <c r="S312">
        <v>10</v>
      </c>
      <c r="T312">
        <v>7</v>
      </c>
      <c r="U312">
        <v>3</v>
      </c>
      <c r="V312">
        <v>7</v>
      </c>
      <c r="W312">
        <v>5</v>
      </c>
      <c r="X312">
        <v>2</v>
      </c>
      <c r="Y312">
        <v>9</v>
      </c>
      <c r="Z312">
        <v>6</v>
      </c>
      <c r="AA312">
        <v>3</v>
      </c>
      <c r="AB312">
        <v>7</v>
      </c>
      <c r="AC312">
        <v>6</v>
      </c>
      <c r="AD312">
        <v>1</v>
      </c>
      <c r="AE312">
        <v>8</v>
      </c>
      <c r="AF312">
        <v>7</v>
      </c>
      <c r="AG312">
        <v>1</v>
      </c>
      <c r="AH312">
        <v>9</v>
      </c>
      <c r="AI312">
        <v>7</v>
      </c>
      <c r="AJ312">
        <v>2</v>
      </c>
      <c r="AK312" t="s">
        <v>3011</v>
      </c>
      <c r="AL312" t="s">
        <v>3012</v>
      </c>
      <c r="AM312" t="s">
        <v>3013</v>
      </c>
      <c r="AN312" t="s">
        <v>3014</v>
      </c>
      <c r="AO312" t="s">
        <v>3015</v>
      </c>
      <c r="AP312" t="s">
        <v>3016</v>
      </c>
      <c r="AQ312" t="s">
        <v>3017</v>
      </c>
      <c r="AR312" t="s">
        <v>3018</v>
      </c>
      <c r="AS312" t="s">
        <v>3019</v>
      </c>
    </row>
    <row r="313" spans="1:45" x14ac:dyDescent="0.45">
      <c r="A313">
        <v>312</v>
      </c>
      <c r="B313">
        <v>2302</v>
      </c>
      <c r="C313" t="s">
        <v>78</v>
      </c>
      <c r="D313" t="s">
        <v>81</v>
      </c>
      <c r="E313" t="s">
        <v>74</v>
      </c>
      <c r="F313" t="s">
        <v>77</v>
      </c>
      <c r="G313" t="s">
        <v>76</v>
      </c>
      <c r="H313">
        <v>21.220638313442763</v>
      </c>
      <c r="I313">
        <v>0</v>
      </c>
      <c r="J313">
        <v>6</v>
      </c>
      <c r="K313">
        <v>8</v>
      </c>
      <c r="L313">
        <v>-2</v>
      </c>
      <c r="M313">
        <v>7</v>
      </c>
      <c r="N313">
        <v>9</v>
      </c>
      <c r="O313">
        <v>-2</v>
      </c>
      <c r="P313">
        <v>9</v>
      </c>
      <c r="Q313">
        <v>10</v>
      </c>
      <c r="R313">
        <v>-1</v>
      </c>
      <c r="S313">
        <v>8</v>
      </c>
      <c r="T313">
        <v>10</v>
      </c>
      <c r="U313">
        <v>-2</v>
      </c>
      <c r="V313">
        <v>7</v>
      </c>
      <c r="W313">
        <v>8</v>
      </c>
      <c r="X313">
        <v>-1</v>
      </c>
      <c r="Y313">
        <v>9</v>
      </c>
      <c r="Z313">
        <v>9</v>
      </c>
      <c r="AA313">
        <v>0</v>
      </c>
      <c r="AB313">
        <v>6</v>
      </c>
      <c r="AC313">
        <v>8</v>
      </c>
      <c r="AD313">
        <v>-2</v>
      </c>
      <c r="AE313">
        <v>8</v>
      </c>
      <c r="AF313">
        <v>8</v>
      </c>
      <c r="AG313">
        <v>0</v>
      </c>
      <c r="AH313">
        <v>7</v>
      </c>
      <c r="AI313">
        <v>10</v>
      </c>
      <c r="AJ313">
        <v>-3</v>
      </c>
      <c r="AK313" t="s">
        <v>3020</v>
      </c>
      <c r="AL313" t="s">
        <v>3021</v>
      </c>
      <c r="AM313" t="s">
        <v>3022</v>
      </c>
      <c r="AN313" t="s">
        <v>3023</v>
      </c>
      <c r="AO313" t="s">
        <v>3024</v>
      </c>
      <c r="AP313" t="s">
        <v>3025</v>
      </c>
      <c r="AQ313" t="s">
        <v>3026</v>
      </c>
      <c r="AR313" t="s">
        <v>3027</v>
      </c>
      <c r="AS313" t="s">
        <v>3028</v>
      </c>
    </row>
    <row r="314" spans="1:45" x14ac:dyDescent="0.45">
      <c r="A314">
        <v>313</v>
      </c>
      <c r="B314">
        <v>2303</v>
      </c>
      <c r="C314" t="s">
        <v>78</v>
      </c>
      <c r="D314" t="s">
        <v>189</v>
      </c>
      <c r="E314" t="s">
        <v>74</v>
      </c>
      <c r="F314" t="s">
        <v>77</v>
      </c>
      <c r="G314" t="s">
        <v>76</v>
      </c>
      <c r="H314">
        <v>14.279434814435996</v>
      </c>
      <c r="I314">
        <v>0</v>
      </c>
      <c r="J314">
        <v>5</v>
      </c>
      <c r="K314">
        <v>6</v>
      </c>
      <c r="L314">
        <v>-1</v>
      </c>
      <c r="M314">
        <v>6</v>
      </c>
      <c r="N314">
        <v>6</v>
      </c>
      <c r="O314">
        <v>0</v>
      </c>
      <c r="P314">
        <v>7</v>
      </c>
      <c r="Q314">
        <v>7</v>
      </c>
      <c r="R314">
        <v>0</v>
      </c>
      <c r="S314">
        <v>8</v>
      </c>
      <c r="T314">
        <v>7</v>
      </c>
      <c r="U314">
        <v>1</v>
      </c>
      <c r="V314">
        <v>6</v>
      </c>
      <c r="W314">
        <v>7</v>
      </c>
      <c r="X314">
        <v>-1</v>
      </c>
      <c r="Y314">
        <v>8</v>
      </c>
      <c r="Z314">
        <v>8</v>
      </c>
      <c r="AA314">
        <v>0</v>
      </c>
      <c r="AB314">
        <v>7</v>
      </c>
      <c r="AC314">
        <v>5</v>
      </c>
      <c r="AD314">
        <v>2</v>
      </c>
      <c r="AE314">
        <v>6</v>
      </c>
      <c r="AF314">
        <v>5</v>
      </c>
      <c r="AG314">
        <v>1</v>
      </c>
      <c r="AH314">
        <v>8</v>
      </c>
      <c r="AI314">
        <v>8</v>
      </c>
      <c r="AJ314">
        <v>0</v>
      </c>
      <c r="AK314" t="s">
        <v>3029</v>
      </c>
      <c r="AL314" t="s">
        <v>3030</v>
      </c>
      <c r="AM314" t="s">
        <v>3031</v>
      </c>
      <c r="AN314" t="s">
        <v>3032</v>
      </c>
      <c r="AO314" t="s">
        <v>3033</v>
      </c>
      <c r="AP314" t="s">
        <v>3034</v>
      </c>
      <c r="AQ314" t="s">
        <v>3035</v>
      </c>
      <c r="AR314" t="s">
        <v>3036</v>
      </c>
      <c r="AS314" t="s">
        <v>3037</v>
      </c>
    </row>
    <row r="315" spans="1:45" x14ac:dyDescent="0.45">
      <c r="A315">
        <v>314</v>
      </c>
      <c r="B315">
        <v>2304</v>
      </c>
      <c r="C315" t="s">
        <v>72</v>
      </c>
      <c r="D315" t="s">
        <v>189</v>
      </c>
      <c r="E315" t="s">
        <v>74</v>
      </c>
      <c r="F315" t="s">
        <v>77</v>
      </c>
      <c r="G315" t="s">
        <v>76</v>
      </c>
      <c r="H315">
        <v>16.669427799534606</v>
      </c>
      <c r="I315">
        <v>0</v>
      </c>
      <c r="J315">
        <v>7</v>
      </c>
      <c r="K315">
        <v>7</v>
      </c>
      <c r="L315">
        <v>0</v>
      </c>
      <c r="M315">
        <v>6</v>
      </c>
      <c r="N315">
        <v>8</v>
      </c>
      <c r="O315">
        <v>-2</v>
      </c>
      <c r="P315">
        <v>8</v>
      </c>
      <c r="Q315">
        <v>8</v>
      </c>
      <c r="R315">
        <v>0</v>
      </c>
      <c r="S315">
        <v>9</v>
      </c>
      <c r="T315">
        <v>8</v>
      </c>
      <c r="U315">
        <v>1</v>
      </c>
      <c r="V315">
        <v>8</v>
      </c>
      <c r="W315">
        <v>5</v>
      </c>
      <c r="X315">
        <v>3</v>
      </c>
      <c r="Y315">
        <v>9</v>
      </c>
      <c r="Z315">
        <v>8</v>
      </c>
      <c r="AA315">
        <v>1</v>
      </c>
      <c r="AB315">
        <v>8</v>
      </c>
      <c r="AC315">
        <v>6</v>
      </c>
      <c r="AD315">
        <v>2</v>
      </c>
      <c r="AE315">
        <v>7</v>
      </c>
      <c r="AF315">
        <v>6</v>
      </c>
      <c r="AG315">
        <v>1</v>
      </c>
      <c r="AH315">
        <v>9</v>
      </c>
      <c r="AI315">
        <v>8</v>
      </c>
      <c r="AJ315">
        <v>1</v>
      </c>
      <c r="AK315" t="s">
        <v>3038</v>
      </c>
      <c r="AL315" t="s">
        <v>3039</v>
      </c>
      <c r="AM315" t="s">
        <v>3040</v>
      </c>
      <c r="AN315" t="s">
        <v>3041</v>
      </c>
      <c r="AO315" t="s">
        <v>3042</v>
      </c>
      <c r="AP315" t="s">
        <v>3043</v>
      </c>
      <c r="AQ315" t="s">
        <v>3044</v>
      </c>
      <c r="AR315" t="s">
        <v>3045</v>
      </c>
      <c r="AS315" t="s">
        <v>3046</v>
      </c>
    </row>
    <row r="316" spans="1:45" x14ac:dyDescent="0.45">
      <c r="A316">
        <v>315</v>
      </c>
      <c r="B316">
        <v>2305</v>
      </c>
      <c r="C316" t="s">
        <v>78</v>
      </c>
      <c r="D316" t="s">
        <v>189</v>
      </c>
      <c r="E316" t="s">
        <v>74</v>
      </c>
      <c r="F316" t="s">
        <v>77</v>
      </c>
      <c r="G316" t="s">
        <v>76</v>
      </c>
      <c r="H316">
        <v>18.646241298108148</v>
      </c>
      <c r="I316">
        <v>0</v>
      </c>
      <c r="J316">
        <v>7</v>
      </c>
      <c r="K316">
        <v>4</v>
      </c>
      <c r="L316">
        <v>3</v>
      </c>
      <c r="M316">
        <v>8</v>
      </c>
      <c r="N316">
        <v>5</v>
      </c>
      <c r="O316">
        <v>3</v>
      </c>
      <c r="P316">
        <v>9</v>
      </c>
      <c r="Q316">
        <v>5</v>
      </c>
      <c r="R316">
        <v>4</v>
      </c>
      <c r="S316">
        <v>8</v>
      </c>
      <c r="T316">
        <v>7</v>
      </c>
      <c r="U316">
        <v>1</v>
      </c>
      <c r="V316">
        <v>9</v>
      </c>
      <c r="W316">
        <v>5</v>
      </c>
      <c r="X316">
        <v>4</v>
      </c>
      <c r="Y316">
        <v>9</v>
      </c>
      <c r="Z316">
        <v>8</v>
      </c>
      <c r="AA316">
        <v>1</v>
      </c>
      <c r="AB316">
        <v>8</v>
      </c>
      <c r="AC316">
        <v>5</v>
      </c>
      <c r="AD316">
        <v>3</v>
      </c>
      <c r="AE316">
        <v>7</v>
      </c>
      <c r="AF316">
        <v>6</v>
      </c>
      <c r="AG316">
        <v>1</v>
      </c>
      <c r="AH316">
        <v>9</v>
      </c>
      <c r="AI316">
        <v>8</v>
      </c>
      <c r="AJ316">
        <v>1</v>
      </c>
      <c r="AK316" t="s">
        <v>3047</v>
      </c>
      <c r="AL316" t="s">
        <v>3048</v>
      </c>
      <c r="AM316" t="s">
        <v>3049</v>
      </c>
      <c r="AN316" t="s">
        <v>3050</v>
      </c>
      <c r="AO316" t="s">
        <v>3051</v>
      </c>
      <c r="AP316" t="s">
        <v>3052</v>
      </c>
      <c r="AQ316" t="s">
        <v>3053</v>
      </c>
      <c r="AR316" t="s">
        <v>3054</v>
      </c>
      <c r="AS316" t="s">
        <v>3055</v>
      </c>
    </row>
    <row r="317" spans="1:45" x14ac:dyDescent="0.45">
      <c r="A317">
        <v>316</v>
      </c>
      <c r="B317">
        <v>2306</v>
      </c>
      <c r="C317" t="s">
        <v>72</v>
      </c>
      <c r="D317" t="s">
        <v>81</v>
      </c>
      <c r="E317" t="s">
        <v>74</v>
      </c>
      <c r="F317" t="s">
        <v>77</v>
      </c>
      <c r="G317" t="s">
        <v>76</v>
      </c>
      <c r="H317">
        <v>30.586055792254186</v>
      </c>
      <c r="I317">
        <v>0</v>
      </c>
      <c r="J317">
        <v>7</v>
      </c>
      <c r="K317">
        <v>6</v>
      </c>
      <c r="L317">
        <v>1</v>
      </c>
      <c r="M317">
        <v>6</v>
      </c>
      <c r="N317">
        <v>8</v>
      </c>
      <c r="O317">
        <v>-2</v>
      </c>
      <c r="P317">
        <v>8</v>
      </c>
      <c r="Q317">
        <v>5</v>
      </c>
      <c r="R317">
        <v>3</v>
      </c>
      <c r="S317">
        <v>7</v>
      </c>
      <c r="T317">
        <v>6</v>
      </c>
      <c r="U317">
        <v>1</v>
      </c>
      <c r="V317">
        <v>8</v>
      </c>
      <c r="W317">
        <v>6</v>
      </c>
      <c r="X317">
        <v>2</v>
      </c>
      <c r="Y317">
        <v>9</v>
      </c>
      <c r="Z317">
        <v>7</v>
      </c>
      <c r="AA317">
        <v>2</v>
      </c>
      <c r="AB317">
        <v>8</v>
      </c>
      <c r="AC317">
        <v>6</v>
      </c>
      <c r="AD317">
        <v>2</v>
      </c>
      <c r="AE317">
        <v>7</v>
      </c>
      <c r="AF317">
        <v>7</v>
      </c>
      <c r="AG317">
        <v>0</v>
      </c>
      <c r="AH317">
        <v>9</v>
      </c>
      <c r="AI317">
        <v>7</v>
      </c>
      <c r="AJ317">
        <v>2</v>
      </c>
      <c r="AK317" t="s">
        <v>3056</v>
      </c>
      <c r="AL317" t="s">
        <v>3057</v>
      </c>
      <c r="AM317" t="s">
        <v>3058</v>
      </c>
      <c r="AN317" t="s">
        <v>3059</v>
      </c>
      <c r="AO317" t="s">
        <v>3060</v>
      </c>
      <c r="AP317" t="s">
        <v>3061</v>
      </c>
      <c r="AQ317" t="s">
        <v>3062</v>
      </c>
      <c r="AR317" t="s">
        <v>3063</v>
      </c>
      <c r="AS317" t="s">
        <v>3064</v>
      </c>
    </row>
    <row r="318" spans="1:45" x14ac:dyDescent="0.45">
      <c r="A318">
        <v>317</v>
      </c>
      <c r="B318">
        <v>2307</v>
      </c>
      <c r="C318" t="s">
        <v>72</v>
      </c>
      <c r="D318" t="s">
        <v>189</v>
      </c>
      <c r="E318" t="s">
        <v>74</v>
      </c>
      <c r="F318" t="s">
        <v>77</v>
      </c>
      <c r="G318" t="s">
        <v>76</v>
      </c>
      <c r="H318">
        <v>13.614504885833528</v>
      </c>
      <c r="I318">
        <v>0</v>
      </c>
      <c r="J318">
        <v>6</v>
      </c>
      <c r="K318">
        <v>7</v>
      </c>
      <c r="L318">
        <v>-1</v>
      </c>
      <c r="M318">
        <v>5</v>
      </c>
      <c r="N318">
        <v>7</v>
      </c>
      <c r="O318">
        <v>-2</v>
      </c>
      <c r="P318">
        <v>8</v>
      </c>
      <c r="Q318">
        <v>5</v>
      </c>
      <c r="R318">
        <v>3</v>
      </c>
      <c r="S318">
        <v>9</v>
      </c>
      <c r="T318">
        <v>8</v>
      </c>
      <c r="U318">
        <v>1</v>
      </c>
      <c r="V318">
        <v>7</v>
      </c>
      <c r="W318">
        <v>5</v>
      </c>
      <c r="X318">
        <v>2</v>
      </c>
      <c r="Y318">
        <v>8</v>
      </c>
      <c r="Z318">
        <v>8</v>
      </c>
      <c r="AA318">
        <v>0</v>
      </c>
      <c r="AB318">
        <v>7</v>
      </c>
      <c r="AC318">
        <v>5</v>
      </c>
      <c r="AD318">
        <v>2</v>
      </c>
      <c r="AE318">
        <v>6</v>
      </c>
      <c r="AF318">
        <v>7</v>
      </c>
      <c r="AG318">
        <v>-1</v>
      </c>
      <c r="AH318">
        <v>8</v>
      </c>
      <c r="AI318">
        <v>8</v>
      </c>
      <c r="AJ318">
        <v>0</v>
      </c>
      <c r="AK318" t="s">
        <v>3065</v>
      </c>
      <c r="AL318" t="s">
        <v>3066</v>
      </c>
      <c r="AM318" t="s">
        <v>3067</v>
      </c>
      <c r="AN318" t="s">
        <v>3068</v>
      </c>
      <c r="AO318" t="s">
        <v>3069</v>
      </c>
      <c r="AP318" t="s">
        <v>3070</v>
      </c>
      <c r="AQ318" t="s">
        <v>3071</v>
      </c>
      <c r="AR318" t="s">
        <v>3072</v>
      </c>
      <c r="AS318" t="s">
        <v>3073</v>
      </c>
    </row>
    <row r="319" spans="1:45" x14ac:dyDescent="0.45">
      <c r="A319">
        <v>318</v>
      </c>
      <c r="B319">
        <v>2308</v>
      </c>
      <c r="C319" t="s">
        <v>72</v>
      </c>
      <c r="D319" t="s">
        <v>81</v>
      </c>
      <c r="E319" t="s">
        <v>74</v>
      </c>
      <c r="F319" t="s">
        <v>75</v>
      </c>
      <c r="G319" t="s">
        <v>76</v>
      </c>
      <c r="H319">
        <v>21.386217368159549</v>
      </c>
      <c r="I319">
        <v>0</v>
      </c>
      <c r="J319">
        <v>7</v>
      </c>
      <c r="K319">
        <v>4</v>
      </c>
      <c r="L319">
        <v>3</v>
      </c>
      <c r="M319">
        <v>8</v>
      </c>
      <c r="N319">
        <v>4</v>
      </c>
      <c r="O319">
        <v>4</v>
      </c>
      <c r="P319">
        <v>9</v>
      </c>
      <c r="Q319">
        <v>6</v>
      </c>
      <c r="R319">
        <v>3</v>
      </c>
      <c r="S319">
        <v>9</v>
      </c>
      <c r="T319">
        <v>7</v>
      </c>
      <c r="U319">
        <v>2</v>
      </c>
      <c r="V319">
        <v>8</v>
      </c>
      <c r="W319">
        <v>5</v>
      </c>
      <c r="X319">
        <v>3</v>
      </c>
      <c r="Y319">
        <v>9</v>
      </c>
      <c r="Z319">
        <v>8</v>
      </c>
      <c r="AA319">
        <v>1</v>
      </c>
      <c r="AB319">
        <v>8</v>
      </c>
      <c r="AC319">
        <v>5</v>
      </c>
      <c r="AD319">
        <v>3</v>
      </c>
      <c r="AE319">
        <v>9</v>
      </c>
      <c r="AF319">
        <v>5</v>
      </c>
      <c r="AG319">
        <v>4</v>
      </c>
      <c r="AH319">
        <v>9</v>
      </c>
      <c r="AI319">
        <v>8</v>
      </c>
      <c r="AJ319">
        <v>1</v>
      </c>
      <c r="AK319" t="s">
        <v>3074</v>
      </c>
      <c r="AL319" t="s">
        <v>3075</v>
      </c>
      <c r="AM319" t="s">
        <v>3076</v>
      </c>
      <c r="AN319" t="s">
        <v>3077</v>
      </c>
      <c r="AO319" t="s">
        <v>3078</v>
      </c>
      <c r="AP319" t="s">
        <v>3079</v>
      </c>
      <c r="AQ319" t="s">
        <v>264</v>
      </c>
      <c r="AR319" t="s">
        <v>3080</v>
      </c>
      <c r="AS319" t="s">
        <v>3081</v>
      </c>
    </row>
    <row r="320" spans="1:45" x14ac:dyDescent="0.45">
      <c r="A320">
        <v>319</v>
      </c>
      <c r="B320">
        <v>2309</v>
      </c>
      <c r="C320" t="s">
        <v>72</v>
      </c>
      <c r="D320" t="s">
        <v>189</v>
      </c>
      <c r="E320" t="s">
        <v>74</v>
      </c>
      <c r="F320" t="s">
        <v>77</v>
      </c>
      <c r="G320" t="s">
        <v>76</v>
      </c>
      <c r="H320">
        <v>15.901916868626156</v>
      </c>
      <c r="I320">
        <v>0</v>
      </c>
      <c r="J320">
        <v>9</v>
      </c>
      <c r="K320">
        <v>8</v>
      </c>
      <c r="L320">
        <v>1</v>
      </c>
      <c r="M320">
        <v>8</v>
      </c>
      <c r="N320">
        <v>8</v>
      </c>
      <c r="O320">
        <v>0</v>
      </c>
      <c r="P320">
        <v>9</v>
      </c>
      <c r="Q320">
        <v>10</v>
      </c>
      <c r="R320">
        <v>-1</v>
      </c>
      <c r="S320">
        <v>10</v>
      </c>
      <c r="T320">
        <v>10</v>
      </c>
      <c r="U320">
        <v>0</v>
      </c>
      <c r="V320">
        <v>9</v>
      </c>
      <c r="W320">
        <v>9</v>
      </c>
      <c r="X320">
        <v>0</v>
      </c>
      <c r="Y320">
        <v>9</v>
      </c>
      <c r="Z320">
        <v>10</v>
      </c>
      <c r="AA320">
        <v>-1</v>
      </c>
      <c r="AB320">
        <v>8</v>
      </c>
      <c r="AC320">
        <v>8</v>
      </c>
      <c r="AD320">
        <v>0</v>
      </c>
      <c r="AE320">
        <v>9</v>
      </c>
      <c r="AF320">
        <v>8</v>
      </c>
      <c r="AG320">
        <v>1</v>
      </c>
      <c r="AH320">
        <v>10</v>
      </c>
      <c r="AI320">
        <v>10</v>
      </c>
      <c r="AJ320">
        <v>0</v>
      </c>
      <c r="AK320" t="s">
        <v>3082</v>
      </c>
      <c r="AL320" t="s">
        <v>3083</v>
      </c>
      <c r="AM320" t="s">
        <v>3084</v>
      </c>
      <c r="AN320" t="s">
        <v>3085</v>
      </c>
      <c r="AO320" t="s">
        <v>3086</v>
      </c>
      <c r="AP320" t="s">
        <v>3087</v>
      </c>
      <c r="AQ320" t="s">
        <v>3088</v>
      </c>
      <c r="AR320" t="s">
        <v>3089</v>
      </c>
      <c r="AS320" t="s">
        <v>3090</v>
      </c>
    </row>
    <row r="321" spans="1:45" x14ac:dyDescent="0.45">
      <c r="A321">
        <v>320</v>
      </c>
      <c r="B321">
        <v>2310</v>
      </c>
      <c r="C321" t="s">
        <v>78</v>
      </c>
      <c r="D321" t="s">
        <v>73</v>
      </c>
      <c r="E321" t="s">
        <v>74</v>
      </c>
      <c r="F321" t="s">
        <v>75</v>
      </c>
      <c r="G321" t="s">
        <v>76</v>
      </c>
      <c r="H321">
        <v>29.341342026175226</v>
      </c>
      <c r="I321">
        <v>0</v>
      </c>
      <c r="J321">
        <v>7</v>
      </c>
      <c r="K321">
        <v>5</v>
      </c>
      <c r="L321">
        <v>2</v>
      </c>
      <c r="M321">
        <v>8</v>
      </c>
      <c r="N321">
        <v>7</v>
      </c>
      <c r="O321">
        <v>1</v>
      </c>
      <c r="P321">
        <v>9</v>
      </c>
      <c r="Q321">
        <v>7</v>
      </c>
      <c r="R321">
        <v>2</v>
      </c>
      <c r="S321">
        <v>8</v>
      </c>
      <c r="T321">
        <v>9</v>
      </c>
      <c r="U321">
        <v>-1</v>
      </c>
      <c r="V321">
        <v>7</v>
      </c>
      <c r="W321">
        <v>5</v>
      </c>
      <c r="X321">
        <v>2</v>
      </c>
      <c r="Y321">
        <v>8</v>
      </c>
      <c r="Z321">
        <v>6</v>
      </c>
      <c r="AA321">
        <v>2</v>
      </c>
      <c r="AB321">
        <v>7</v>
      </c>
      <c r="AC321">
        <v>5</v>
      </c>
      <c r="AD321">
        <v>2</v>
      </c>
      <c r="AE321">
        <v>8</v>
      </c>
      <c r="AF321">
        <v>7</v>
      </c>
      <c r="AG321">
        <v>1</v>
      </c>
      <c r="AH321">
        <v>9</v>
      </c>
      <c r="AI321">
        <v>7</v>
      </c>
      <c r="AJ321">
        <v>2</v>
      </c>
      <c r="AK321" t="s">
        <v>3091</v>
      </c>
      <c r="AL321" t="s">
        <v>3092</v>
      </c>
      <c r="AM321" t="s">
        <v>3093</v>
      </c>
      <c r="AN321" t="s">
        <v>3094</v>
      </c>
      <c r="AO321" t="s">
        <v>3095</v>
      </c>
      <c r="AP321" t="s">
        <v>3096</v>
      </c>
      <c r="AQ321" t="s">
        <v>3097</v>
      </c>
      <c r="AR321" t="s">
        <v>3098</v>
      </c>
      <c r="AS321" t="s">
        <v>3099</v>
      </c>
    </row>
    <row r="322" spans="1:45" x14ac:dyDescent="0.45">
      <c r="A322">
        <v>321</v>
      </c>
      <c r="B322">
        <v>2311</v>
      </c>
      <c r="C322" t="s">
        <v>72</v>
      </c>
      <c r="D322" t="s">
        <v>189</v>
      </c>
      <c r="E322" t="s">
        <v>74</v>
      </c>
      <c r="F322" t="s">
        <v>77</v>
      </c>
      <c r="G322" t="s">
        <v>76</v>
      </c>
      <c r="H322">
        <v>12.933171919818072</v>
      </c>
      <c r="I322">
        <v>0</v>
      </c>
      <c r="J322">
        <v>6</v>
      </c>
      <c r="K322">
        <v>8</v>
      </c>
      <c r="L322">
        <v>-2</v>
      </c>
      <c r="M322">
        <v>8</v>
      </c>
      <c r="N322">
        <v>8</v>
      </c>
      <c r="O322">
        <v>0</v>
      </c>
      <c r="P322">
        <v>9</v>
      </c>
      <c r="Q322">
        <v>7</v>
      </c>
      <c r="R322">
        <v>2</v>
      </c>
      <c r="S322">
        <v>8</v>
      </c>
      <c r="T322">
        <v>9</v>
      </c>
      <c r="U322">
        <v>-1</v>
      </c>
      <c r="V322">
        <v>7</v>
      </c>
      <c r="W322">
        <v>9</v>
      </c>
      <c r="X322">
        <v>-2</v>
      </c>
      <c r="Y322">
        <v>9</v>
      </c>
      <c r="Z322">
        <v>9</v>
      </c>
      <c r="AA322">
        <v>0</v>
      </c>
      <c r="AB322">
        <v>7</v>
      </c>
      <c r="AC322">
        <v>7</v>
      </c>
      <c r="AD322">
        <v>0</v>
      </c>
      <c r="AE322">
        <v>8</v>
      </c>
      <c r="AF322">
        <v>9</v>
      </c>
      <c r="AG322">
        <v>-1</v>
      </c>
      <c r="AH322">
        <v>9</v>
      </c>
      <c r="AI322">
        <v>9</v>
      </c>
      <c r="AJ322">
        <v>0</v>
      </c>
      <c r="AK322" t="s">
        <v>3100</v>
      </c>
      <c r="AL322" t="s">
        <v>3101</v>
      </c>
      <c r="AM322" t="s">
        <v>3102</v>
      </c>
      <c r="AN322" t="s">
        <v>3103</v>
      </c>
      <c r="AO322" t="s">
        <v>1876</v>
      </c>
      <c r="AP322" t="s">
        <v>3104</v>
      </c>
      <c r="AQ322" t="s">
        <v>3105</v>
      </c>
      <c r="AR322" t="s">
        <v>3106</v>
      </c>
      <c r="AS322" t="s">
        <v>3107</v>
      </c>
    </row>
    <row r="323" spans="1:45" x14ac:dyDescent="0.45">
      <c r="A323">
        <v>322</v>
      </c>
      <c r="B323">
        <v>2312</v>
      </c>
      <c r="C323" t="s">
        <v>78</v>
      </c>
      <c r="D323" t="s">
        <v>81</v>
      </c>
      <c r="E323" t="s">
        <v>74</v>
      </c>
      <c r="F323" t="s">
        <v>77</v>
      </c>
      <c r="G323" t="s">
        <v>76</v>
      </c>
      <c r="H323">
        <v>26.840526521385101</v>
      </c>
      <c r="I323">
        <v>0</v>
      </c>
      <c r="J323">
        <v>7</v>
      </c>
      <c r="K323">
        <v>5</v>
      </c>
      <c r="L323">
        <v>2</v>
      </c>
      <c r="M323">
        <v>7</v>
      </c>
      <c r="N323">
        <v>5</v>
      </c>
      <c r="O323">
        <v>2</v>
      </c>
      <c r="P323">
        <v>8</v>
      </c>
      <c r="Q323">
        <v>5</v>
      </c>
      <c r="R323">
        <v>3</v>
      </c>
      <c r="S323">
        <v>6</v>
      </c>
      <c r="T323">
        <v>7</v>
      </c>
      <c r="U323">
        <v>-1</v>
      </c>
      <c r="V323">
        <v>7</v>
      </c>
      <c r="W323">
        <v>5</v>
      </c>
      <c r="X323">
        <v>2</v>
      </c>
      <c r="Y323">
        <v>8</v>
      </c>
      <c r="Z323">
        <v>7</v>
      </c>
      <c r="AA323">
        <v>1</v>
      </c>
      <c r="AB323">
        <v>6</v>
      </c>
      <c r="AC323">
        <v>5</v>
      </c>
      <c r="AD323">
        <v>1</v>
      </c>
      <c r="AE323">
        <v>7</v>
      </c>
      <c r="AF323">
        <v>5</v>
      </c>
      <c r="AG323">
        <v>2</v>
      </c>
      <c r="AH323">
        <v>8</v>
      </c>
      <c r="AI323">
        <v>7</v>
      </c>
      <c r="AJ323">
        <v>1</v>
      </c>
      <c r="AK323" t="s">
        <v>3108</v>
      </c>
      <c r="AL323" t="s">
        <v>3109</v>
      </c>
      <c r="AM323" t="s">
        <v>3110</v>
      </c>
      <c r="AN323" t="s">
        <v>3111</v>
      </c>
      <c r="AO323" t="s">
        <v>3112</v>
      </c>
      <c r="AP323" t="s">
        <v>3113</v>
      </c>
      <c r="AQ323" t="s">
        <v>3114</v>
      </c>
      <c r="AR323" t="s">
        <v>3115</v>
      </c>
      <c r="AS323" t="s">
        <v>3116</v>
      </c>
    </row>
    <row r="324" spans="1:45" x14ac:dyDescent="0.45">
      <c r="A324">
        <v>323</v>
      </c>
      <c r="B324">
        <v>2313</v>
      </c>
      <c r="C324" t="s">
        <v>78</v>
      </c>
      <c r="D324" t="s">
        <v>81</v>
      </c>
      <c r="E324" t="s">
        <v>74</v>
      </c>
      <c r="F324" t="s">
        <v>75</v>
      </c>
      <c r="G324" t="s">
        <v>76</v>
      </c>
      <c r="H324">
        <v>25.672394156601221</v>
      </c>
      <c r="I324">
        <v>0</v>
      </c>
      <c r="J324">
        <v>7</v>
      </c>
      <c r="K324">
        <v>7</v>
      </c>
      <c r="L324">
        <v>0</v>
      </c>
      <c r="M324">
        <v>6</v>
      </c>
      <c r="N324">
        <v>7</v>
      </c>
      <c r="O324">
        <v>-1</v>
      </c>
      <c r="P324">
        <v>9</v>
      </c>
      <c r="Q324">
        <v>8</v>
      </c>
      <c r="R324">
        <v>1</v>
      </c>
      <c r="S324">
        <v>8</v>
      </c>
      <c r="T324">
        <v>8</v>
      </c>
      <c r="U324">
        <v>0</v>
      </c>
      <c r="V324">
        <v>9</v>
      </c>
      <c r="W324">
        <v>6</v>
      </c>
      <c r="X324">
        <v>3</v>
      </c>
      <c r="Y324">
        <v>9</v>
      </c>
      <c r="Z324">
        <v>7</v>
      </c>
      <c r="AA324">
        <v>2</v>
      </c>
      <c r="AB324">
        <v>8</v>
      </c>
      <c r="AC324">
        <v>6</v>
      </c>
      <c r="AD324">
        <v>2</v>
      </c>
      <c r="AE324">
        <v>7</v>
      </c>
      <c r="AF324">
        <v>7</v>
      </c>
      <c r="AG324">
        <v>0</v>
      </c>
      <c r="AH324">
        <v>9</v>
      </c>
      <c r="AI324">
        <v>7</v>
      </c>
      <c r="AJ324">
        <v>2</v>
      </c>
      <c r="AK324" t="s">
        <v>3117</v>
      </c>
      <c r="AL324" t="s">
        <v>3118</v>
      </c>
      <c r="AM324" t="s">
        <v>3119</v>
      </c>
      <c r="AN324" t="s">
        <v>3120</v>
      </c>
      <c r="AO324" t="s">
        <v>3121</v>
      </c>
      <c r="AP324" t="s">
        <v>3122</v>
      </c>
      <c r="AQ324" t="s">
        <v>3123</v>
      </c>
      <c r="AR324" t="s">
        <v>3124</v>
      </c>
      <c r="AS324" t="s">
        <v>3125</v>
      </c>
    </row>
    <row r="325" spans="1:45" x14ac:dyDescent="0.45">
      <c r="A325">
        <v>324</v>
      </c>
      <c r="B325">
        <v>2314</v>
      </c>
      <c r="C325" t="s">
        <v>72</v>
      </c>
      <c r="D325" t="s">
        <v>189</v>
      </c>
      <c r="E325" t="s">
        <v>74</v>
      </c>
      <c r="F325" t="s">
        <v>77</v>
      </c>
      <c r="G325" t="s">
        <v>76</v>
      </c>
      <c r="H325">
        <v>12</v>
      </c>
      <c r="I325">
        <v>0</v>
      </c>
      <c r="J325">
        <v>8</v>
      </c>
      <c r="K325">
        <v>7</v>
      </c>
      <c r="L325">
        <v>1</v>
      </c>
      <c r="M325">
        <v>9</v>
      </c>
      <c r="N325">
        <v>7</v>
      </c>
      <c r="O325">
        <v>2</v>
      </c>
      <c r="P325">
        <v>8</v>
      </c>
      <c r="Q325">
        <v>5</v>
      </c>
      <c r="R325">
        <v>3</v>
      </c>
      <c r="S325">
        <v>9</v>
      </c>
      <c r="T325">
        <v>7</v>
      </c>
      <c r="U325">
        <v>2</v>
      </c>
      <c r="V325">
        <v>8</v>
      </c>
      <c r="W325">
        <v>7</v>
      </c>
      <c r="X325">
        <v>1</v>
      </c>
      <c r="Y325">
        <v>9</v>
      </c>
      <c r="Z325">
        <v>7</v>
      </c>
      <c r="AA325">
        <v>2</v>
      </c>
      <c r="AB325">
        <v>8</v>
      </c>
      <c r="AC325">
        <v>5</v>
      </c>
      <c r="AD325">
        <v>3</v>
      </c>
      <c r="AE325">
        <v>8</v>
      </c>
      <c r="AF325">
        <v>5</v>
      </c>
      <c r="AG325">
        <v>3</v>
      </c>
      <c r="AH325">
        <v>8</v>
      </c>
      <c r="AI325">
        <v>8</v>
      </c>
      <c r="AJ325">
        <v>0</v>
      </c>
      <c r="AK325" t="s">
        <v>3126</v>
      </c>
      <c r="AL325" t="s">
        <v>3127</v>
      </c>
      <c r="AM325" t="s">
        <v>3128</v>
      </c>
      <c r="AN325" t="s">
        <v>3129</v>
      </c>
      <c r="AO325" t="s">
        <v>3130</v>
      </c>
      <c r="AP325" t="s">
        <v>3131</v>
      </c>
      <c r="AQ325" t="s">
        <v>3132</v>
      </c>
      <c r="AR325" t="s">
        <v>3133</v>
      </c>
      <c r="AS325" t="s">
        <v>3134</v>
      </c>
    </row>
    <row r="326" spans="1:45" x14ac:dyDescent="0.45">
      <c r="A326">
        <v>325</v>
      </c>
      <c r="B326">
        <v>2315</v>
      </c>
      <c r="C326" t="s">
        <v>78</v>
      </c>
      <c r="D326" t="s">
        <v>73</v>
      </c>
      <c r="E326" t="s">
        <v>74</v>
      </c>
      <c r="F326" t="s">
        <v>77</v>
      </c>
      <c r="G326" t="s">
        <v>76</v>
      </c>
      <c r="H326">
        <v>32.421696879686671</v>
      </c>
      <c r="I326">
        <v>1</v>
      </c>
      <c r="J326">
        <v>6</v>
      </c>
      <c r="K326">
        <v>2</v>
      </c>
      <c r="L326">
        <v>4</v>
      </c>
      <c r="M326">
        <v>8</v>
      </c>
      <c r="N326">
        <v>2</v>
      </c>
      <c r="O326">
        <v>6</v>
      </c>
      <c r="P326">
        <v>9</v>
      </c>
      <c r="Q326">
        <v>6</v>
      </c>
      <c r="R326">
        <v>3</v>
      </c>
      <c r="S326">
        <v>10</v>
      </c>
      <c r="T326">
        <v>7</v>
      </c>
      <c r="U326">
        <v>3</v>
      </c>
      <c r="V326">
        <v>7</v>
      </c>
      <c r="W326">
        <v>2</v>
      </c>
      <c r="X326">
        <v>5</v>
      </c>
      <c r="Y326">
        <v>9</v>
      </c>
      <c r="Z326">
        <v>5</v>
      </c>
      <c r="AA326">
        <v>4</v>
      </c>
      <c r="AB326">
        <v>8</v>
      </c>
      <c r="AC326">
        <v>5</v>
      </c>
      <c r="AD326">
        <v>3</v>
      </c>
      <c r="AE326">
        <v>9</v>
      </c>
      <c r="AF326">
        <v>6</v>
      </c>
      <c r="AG326">
        <v>3</v>
      </c>
      <c r="AH326">
        <v>10</v>
      </c>
      <c r="AI326">
        <v>5</v>
      </c>
      <c r="AJ326">
        <v>5</v>
      </c>
      <c r="AK326" t="s">
        <v>3135</v>
      </c>
      <c r="AL326" t="s">
        <v>3136</v>
      </c>
      <c r="AM326" t="s">
        <v>3137</v>
      </c>
      <c r="AN326" t="s">
        <v>3138</v>
      </c>
      <c r="AO326" t="s">
        <v>3139</v>
      </c>
      <c r="AP326" t="s">
        <v>3140</v>
      </c>
      <c r="AQ326" t="s">
        <v>3141</v>
      </c>
      <c r="AR326" t="s">
        <v>3142</v>
      </c>
      <c r="AS326" t="s">
        <v>3143</v>
      </c>
    </row>
    <row r="327" spans="1:45" x14ac:dyDescent="0.45">
      <c r="A327">
        <v>326</v>
      </c>
      <c r="B327">
        <v>2316</v>
      </c>
      <c r="C327" t="s">
        <v>72</v>
      </c>
      <c r="D327" t="s">
        <v>79</v>
      </c>
      <c r="E327" t="s">
        <v>74</v>
      </c>
      <c r="F327" t="s">
        <v>77</v>
      </c>
      <c r="G327" t="s">
        <v>76</v>
      </c>
      <c r="H327">
        <v>66.599036760439176</v>
      </c>
      <c r="I327">
        <v>2</v>
      </c>
      <c r="J327">
        <v>6</v>
      </c>
      <c r="K327">
        <v>8</v>
      </c>
      <c r="L327">
        <v>-2</v>
      </c>
      <c r="M327">
        <v>7</v>
      </c>
      <c r="N327">
        <v>9</v>
      </c>
      <c r="O327">
        <v>-2</v>
      </c>
      <c r="P327">
        <v>9</v>
      </c>
      <c r="Q327">
        <v>9</v>
      </c>
      <c r="R327">
        <v>0</v>
      </c>
      <c r="S327">
        <v>8</v>
      </c>
      <c r="T327">
        <v>10</v>
      </c>
      <c r="U327">
        <v>-2</v>
      </c>
      <c r="V327">
        <v>7</v>
      </c>
      <c r="W327">
        <v>8</v>
      </c>
      <c r="X327">
        <v>-1</v>
      </c>
      <c r="Y327">
        <v>8</v>
      </c>
      <c r="Z327">
        <v>10</v>
      </c>
      <c r="AA327">
        <v>-2</v>
      </c>
      <c r="AB327">
        <v>7</v>
      </c>
      <c r="AC327">
        <v>9</v>
      </c>
      <c r="AD327">
        <v>-2</v>
      </c>
      <c r="AE327">
        <v>6</v>
      </c>
      <c r="AF327">
        <v>9</v>
      </c>
      <c r="AG327">
        <v>-3</v>
      </c>
      <c r="AH327">
        <v>9</v>
      </c>
      <c r="AI327">
        <v>10</v>
      </c>
      <c r="AJ327">
        <v>-1</v>
      </c>
      <c r="AK327" t="s">
        <v>3144</v>
      </c>
      <c r="AL327" t="s">
        <v>3145</v>
      </c>
      <c r="AM327" t="s">
        <v>3146</v>
      </c>
      <c r="AN327" t="s">
        <v>3147</v>
      </c>
      <c r="AO327" t="s">
        <v>3148</v>
      </c>
      <c r="AP327" t="s">
        <v>3149</v>
      </c>
      <c r="AQ327" t="s">
        <v>3150</v>
      </c>
      <c r="AR327" t="s">
        <v>3151</v>
      </c>
      <c r="AS327" t="s">
        <v>3152</v>
      </c>
    </row>
    <row r="328" spans="1:45" x14ac:dyDescent="0.45">
      <c r="A328">
        <v>327</v>
      </c>
      <c r="B328">
        <v>2317</v>
      </c>
      <c r="C328" t="s">
        <v>72</v>
      </c>
      <c r="D328" t="s">
        <v>81</v>
      </c>
      <c r="E328" t="s">
        <v>74</v>
      </c>
      <c r="F328" t="s">
        <v>77</v>
      </c>
      <c r="G328" t="s">
        <v>76</v>
      </c>
      <c r="H328">
        <v>21.42524974191797</v>
      </c>
      <c r="I328">
        <v>0</v>
      </c>
      <c r="J328">
        <v>7</v>
      </c>
      <c r="K328">
        <v>7</v>
      </c>
      <c r="L328">
        <v>0</v>
      </c>
      <c r="M328">
        <v>6</v>
      </c>
      <c r="N328">
        <v>7</v>
      </c>
      <c r="O328">
        <v>-1</v>
      </c>
      <c r="P328">
        <v>5</v>
      </c>
      <c r="Q328">
        <v>7</v>
      </c>
      <c r="R328">
        <v>-2</v>
      </c>
      <c r="S328">
        <v>8</v>
      </c>
      <c r="T328">
        <v>9</v>
      </c>
      <c r="U328">
        <v>-1</v>
      </c>
      <c r="V328">
        <v>6</v>
      </c>
      <c r="W328">
        <v>7</v>
      </c>
      <c r="X328">
        <v>-1</v>
      </c>
      <c r="Y328">
        <v>8</v>
      </c>
      <c r="Z328">
        <v>8</v>
      </c>
      <c r="AA328">
        <v>0</v>
      </c>
      <c r="AB328">
        <v>7</v>
      </c>
      <c r="AC328">
        <v>5</v>
      </c>
      <c r="AD328">
        <v>2</v>
      </c>
      <c r="AE328">
        <v>5</v>
      </c>
      <c r="AF328">
        <v>7</v>
      </c>
      <c r="AG328">
        <v>-2</v>
      </c>
      <c r="AH328">
        <v>9</v>
      </c>
      <c r="AI328">
        <v>8</v>
      </c>
      <c r="AJ328">
        <v>1</v>
      </c>
      <c r="AK328" t="s">
        <v>3153</v>
      </c>
      <c r="AL328" t="s">
        <v>3154</v>
      </c>
      <c r="AM328" t="s">
        <v>3155</v>
      </c>
      <c r="AN328" t="s">
        <v>3156</v>
      </c>
      <c r="AO328" t="s">
        <v>3157</v>
      </c>
      <c r="AP328" t="s">
        <v>3158</v>
      </c>
      <c r="AQ328" t="s">
        <v>3159</v>
      </c>
      <c r="AR328" t="s">
        <v>3160</v>
      </c>
      <c r="AS328" t="s">
        <v>3161</v>
      </c>
    </row>
    <row r="329" spans="1:45" x14ac:dyDescent="0.45">
      <c r="A329">
        <v>328</v>
      </c>
      <c r="B329">
        <v>2318</v>
      </c>
      <c r="C329" t="s">
        <v>78</v>
      </c>
      <c r="D329" t="s">
        <v>79</v>
      </c>
      <c r="E329" t="s">
        <v>74</v>
      </c>
      <c r="F329" t="s">
        <v>75</v>
      </c>
      <c r="G329" t="s">
        <v>76</v>
      </c>
      <c r="H329">
        <v>90.960749809410544</v>
      </c>
      <c r="I329">
        <v>3</v>
      </c>
      <c r="J329">
        <v>8</v>
      </c>
      <c r="K329">
        <v>7</v>
      </c>
      <c r="L329">
        <v>1</v>
      </c>
      <c r="M329">
        <v>9</v>
      </c>
      <c r="N329">
        <v>8</v>
      </c>
      <c r="O329">
        <v>1</v>
      </c>
      <c r="P329">
        <v>8</v>
      </c>
      <c r="Q329">
        <v>9</v>
      </c>
      <c r="R329">
        <v>-1</v>
      </c>
      <c r="S329">
        <v>9</v>
      </c>
      <c r="T329">
        <v>9</v>
      </c>
      <c r="U329">
        <v>0</v>
      </c>
      <c r="V329">
        <v>9</v>
      </c>
      <c r="W329">
        <v>9</v>
      </c>
      <c r="X329">
        <v>0</v>
      </c>
      <c r="Y329">
        <v>8</v>
      </c>
      <c r="Z329">
        <v>8</v>
      </c>
      <c r="AA329">
        <v>0</v>
      </c>
      <c r="AB329">
        <v>8</v>
      </c>
      <c r="AC329">
        <v>7</v>
      </c>
      <c r="AD329">
        <v>1</v>
      </c>
      <c r="AE329">
        <v>9</v>
      </c>
      <c r="AF329">
        <v>7</v>
      </c>
      <c r="AG329">
        <v>2</v>
      </c>
      <c r="AH329">
        <v>10</v>
      </c>
      <c r="AI329">
        <v>9</v>
      </c>
      <c r="AJ329">
        <v>1</v>
      </c>
      <c r="AK329" t="s">
        <v>3162</v>
      </c>
      <c r="AL329" t="s">
        <v>3163</v>
      </c>
      <c r="AM329" t="s">
        <v>3164</v>
      </c>
      <c r="AN329" t="s">
        <v>3165</v>
      </c>
      <c r="AO329" t="s">
        <v>3166</v>
      </c>
      <c r="AP329" t="s">
        <v>3167</v>
      </c>
      <c r="AQ329" t="s">
        <v>3168</v>
      </c>
      <c r="AR329" t="s">
        <v>3169</v>
      </c>
      <c r="AS329" t="s">
        <v>3170</v>
      </c>
    </row>
    <row r="330" spans="1:45" x14ac:dyDescent="0.45">
      <c r="A330">
        <v>329</v>
      </c>
      <c r="B330">
        <v>2319</v>
      </c>
      <c r="C330" t="s">
        <v>72</v>
      </c>
      <c r="D330" t="s">
        <v>81</v>
      </c>
      <c r="E330" t="s">
        <v>74</v>
      </c>
      <c r="F330" t="s">
        <v>77</v>
      </c>
      <c r="G330" t="s">
        <v>76</v>
      </c>
      <c r="H330">
        <v>16.728174054891092</v>
      </c>
      <c r="I330">
        <v>0</v>
      </c>
      <c r="J330">
        <v>8</v>
      </c>
      <c r="K330">
        <v>7</v>
      </c>
      <c r="L330">
        <v>1</v>
      </c>
      <c r="M330">
        <v>9</v>
      </c>
      <c r="N330">
        <v>7</v>
      </c>
      <c r="O330">
        <v>2</v>
      </c>
      <c r="P330">
        <v>9</v>
      </c>
      <c r="Q330">
        <v>9</v>
      </c>
      <c r="R330">
        <v>0</v>
      </c>
      <c r="S330">
        <v>10</v>
      </c>
      <c r="T330">
        <v>9</v>
      </c>
      <c r="U330">
        <v>1</v>
      </c>
      <c r="V330">
        <v>9</v>
      </c>
      <c r="W330">
        <v>9</v>
      </c>
      <c r="X330">
        <v>0</v>
      </c>
      <c r="Y330">
        <v>9</v>
      </c>
      <c r="Z330">
        <v>9</v>
      </c>
      <c r="AA330">
        <v>0</v>
      </c>
      <c r="AB330">
        <v>8</v>
      </c>
      <c r="AC330">
        <v>5</v>
      </c>
      <c r="AD330">
        <v>3</v>
      </c>
      <c r="AE330">
        <v>9</v>
      </c>
      <c r="AF330">
        <v>6</v>
      </c>
      <c r="AG330">
        <v>3</v>
      </c>
      <c r="AH330">
        <v>10</v>
      </c>
      <c r="AI330">
        <v>9</v>
      </c>
      <c r="AJ330">
        <v>1</v>
      </c>
      <c r="AK330" t="s">
        <v>3171</v>
      </c>
      <c r="AL330" t="s">
        <v>3172</v>
      </c>
      <c r="AM330" t="s">
        <v>3173</v>
      </c>
      <c r="AN330" t="s">
        <v>3174</v>
      </c>
      <c r="AO330" t="s">
        <v>3175</v>
      </c>
      <c r="AP330" t="s">
        <v>3176</v>
      </c>
      <c r="AQ330" t="s">
        <v>3177</v>
      </c>
      <c r="AR330" t="s">
        <v>3178</v>
      </c>
      <c r="AS330" t="s">
        <v>3179</v>
      </c>
    </row>
    <row r="331" spans="1:45" x14ac:dyDescent="0.45">
      <c r="A331">
        <v>330</v>
      </c>
      <c r="B331">
        <v>2320</v>
      </c>
      <c r="C331" t="s">
        <v>78</v>
      </c>
      <c r="D331" t="s">
        <v>189</v>
      </c>
      <c r="E331" t="s">
        <v>74</v>
      </c>
      <c r="F331" t="s">
        <v>77</v>
      </c>
      <c r="G331" t="s">
        <v>76</v>
      </c>
      <c r="H331">
        <v>12.050702345928158</v>
      </c>
      <c r="I331">
        <v>0</v>
      </c>
      <c r="J331">
        <v>6</v>
      </c>
      <c r="K331">
        <v>3</v>
      </c>
      <c r="L331">
        <v>3</v>
      </c>
      <c r="M331">
        <v>7</v>
      </c>
      <c r="N331">
        <v>3</v>
      </c>
      <c r="O331">
        <v>4</v>
      </c>
      <c r="P331">
        <v>8</v>
      </c>
      <c r="Q331">
        <v>5</v>
      </c>
      <c r="R331">
        <v>3</v>
      </c>
      <c r="S331">
        <v>9</v>
      </c>
      <c r="T331">
        <v>6</v>
      </c>
      <c r="U331">
        <v>3</v>
      </c>
      <c r="V331">
        <v>7</v>
      </c>
      <c r="W331">
        <v>4</v>
      </c>
      <c r="X331">
        <v>3</v>
      </c>
      <c r="Y331">
        <v>9</v>
      </c>
      <c r="Z331">
        <v>5</v>
      </c>
      <c r="AA331">
        <v>4</v>
      </c>
      <c r="AB331">
        <v>7</v>
      </c>
      <c r="AC331">
        <v>5</v>
      </c>
      <c r="AD331">
        <v>2</v>
      </c>
      <c r="AE331">
        <v>8</v>
      </c>
      <c r="AF331">
        <v>5</v>
      </c>
      <c r="AG331">
        <v>3</v>
      </c>
      <c r="AH331">
        <v>9</v>
      </c>
      <c r="AI331">
        <v>5</v>
      </c>
      <c r="AJ331">
        <v>4</v>
      </c>
      <c r="AK331" t="s">
        <v>3180</v>
      </c>
      <c r="AL331" t="s">
        <v>3181</v>
      </c>
      <c r="AM331" t="s">
        <v>3182</v>
      </c>
      <c r="AN331" t="s">
        <v>3183</v>
      </c>
      <c r="AO331" t="s">
        <v>3184</v>
      </c>
      <c r="AP331" t="s">
        <v>3185</v>
      </c>
      <c r="AQ331" t="s">
        <v>3186</v>
      </c>
      <c r="AR331" t="s">
        <v>3187</v>
      </c>
      <c r="AS331" t="s">
        <v>3188</v>
      </c>
    </row>
    <row r="332" spans="1:45" x14ac:dyDescent="0.45">
      <c r="A332">
        <v>331</v>
      </c>
      <c r="B332">
        <v>2321</v>
      </c>
      <c r="C332" t="s">
        <v>78</v>
      </c>
      <c r="D332" t="s">
        <v>73</v>
      </c>
      <c r="E332" t="s">
        <v>74</v>
      </c>
      <c r="F332" t="s">
        <v>77</v>
      </c>
      <c r="G332" t="s">
        <v>76</v>
      </c>
      <c r="H332">
        <v>25.593949633815651</v>
      </c>
      <c r="I332">
        <v>1</v>
      </c>
      <c r="J332">
        <v>7</v>
      </c>
      <c r="K332">
        <v>4</v>
      </c>
      <c r="L332">
        <v>3</v>
      </c>
      <c r="M332">
        <v>7</v>
      </c>
      <c r="N332">
        <v>4</v>
      </c>
      <c r="O332">
        <v>3</v>
      </c>
      <c r="P332">
        <v>9</v>
      </c>
      <c r="Q332">
        <v>5</v>
      </c>
      <c r="R332">
        <v>4</v>
      </c>
      <c r="S332">
        <v>8</v>
      </c>
      <c r="T332">
        <v>6</v>
      </c>
      <c r="U332">
        <v>2</v>
      </c>
      <c r="V332">
        <v>7</v>
      </c>
      <c r="W332">
        <v>4</v>
      </c>
      <c r="X332">
        <v>3</v>
      </c>
      <c r="Y332">
        <v>9</v>
      </c>
      <c r="Z332">
        <v>5</v>
      </c>
      <c r="AA332">
        <v>4</v>
      </c>
      <c r="AB332">
        <v>8</v>
      </c>
      <c r="AC332">
        <v>3</v>
      </c>
      <c r="AD332">
        <v>5</v>
      </c>
      <c r="AE332">
        <v>7</v>
      </c>
      <c r="AF332">
        <v>4</v>
      </c>
      <c r="AG332">
        <v>3</v>
      </c>
      <c r="AH332">
        <v>9</v>
      </c>
      <c r="AI332">
        <v>5</v>
      </c>
      <c r="AJ332">
        <v>4</v>
      </c>
      <c r="AK332" t="s">
        <v>3189</v>
      </c>
      <c r="AL332" t="s">
        <v>3190</v>
      </c>
      <c r="AM332" t="s">
        <v>3191</v>
      </c>
      <c r="AN332" t="s">
        <v>3192</v>
      </c>
      <c r="AO332" t="s">
        <v>3193</v>
      </c>
      <c r="AP332" t="s">
        <v>3194</v>
      </c>
      <c r="AQ332" t="s">
        <v>3195</v>
      </c>
      <c r="AR332" t="s">
        <v>3196</v>
      </c>
      <c r="AS332" t="s">
        <v>270</v>
      </c>
    </row>
    <row r="333" spans="1:45" x14ac:dyDescent="0.45">
      <c r="A333">
        <v>332</v>
      </c>
      <c r="B333">
        <v>2322</v>
      </c>
      <c r="C333" t="s">
        <v>72</v>
      </c>
      <c r="D333" t="s">
        <v>189</v>
      </c>
      <c r="E333" t="s">
        <v>74</v>
      </c>
      <c r="F333" t="s">
        <v>77</v>
      </c>
      <c r="G333" t="s">
        <v>76</v>
      </c>
      <c r="H333">
        <v>19.930764889106943</v>
      </c>
      <c r="I333">
        <v>0</v>
      </c>
      <c r="J333">
        <v>5</v>
      </c>
      <c r="K333">
        <v>7</v>
      </c>
      <c r="L333">
        <v>-2</v>
      </c>
      <c r="M333">
        <v>6</v>
      </c>
      <c r="N333">
        <v>7</v>
      </c>
      <c r="O333">
        <v>-1</v>
      </c>
      <c r="P333">
        <v>8</v>
      </c>
      <c r="Q333">
        <v>9</v>
      </c>
      <c r="R333">
        <v>-1</v>
      </c>
      <c r="S333">
        <v>9</v>
      </c>
      <c r="T333">
        <v>9</v>
      </c>
      <c r="U333">
        <v>0</v>
      </c>
      <c r="V333">
        <v>4</v>
      </c>
      <c r="W333">
        <v>8</v>
      </c>
      <c r="X333">
        <v>-4</v>
      </c>
      <c r="Y333">
        <v>7</v>
      </c>
      <c r="Z333">
        <v>9</v>
      </c>
      <c r="AA333">
        <v>-2</v>
      </c>
      <c r="AB333">
        <v>5</v>
      </c>
      <c r="AC333">
        <v>7</v>
      </c>
      <c r="AD333">
        <v>-2</v>
      </c>
      <c r="AE333">
        <v>8</v>
      </c>
      <c r="AF333">
        <v>9</v>
      </c>
      <c r="AG333">
        <v>-1</v>
      </c>
      <c r="AH333">
        <v>9</v>
      </c>
      <c r="AI333">
        <v>9</v>
      </c>
      <c r="AJ333">
        <v>0</v>
      </c>
      <c r="AK333" t="s">
        <v>3197</v>
      </c>
      <c r="AL333" t="s">
        <v>3198</v>
      </c>
      <c r="AM333" t="s">
        <v>3199</v>
      </c>
      <c r="AN333" t="s">
        <v>3200</v>
      </c>
      <c r="AO333" t="s">
        <v>3201</v>
      </c>
      <c r="AP333" t="s">
        <v>3202</v>
      </c>
      <c r="AQ333" t="s">
        <v>3203</v>
      </c>
      <c r="AR333" t="s">
        <v>3204</v>
      </c>
      <c r="AS333" t="s">
        <v>3205</v>
      </c>
    </row>
    <row r="334" spans="1:45" x14ac:dyDescent="0.45">
      <c r="A334">
        <v>333</v>
      </c>
      <c r="B334">
        <v>2323</v>
      </c>
      <c r="C334" t="s">
        <v>78</v>
      </c>
      <c r="D334" t="s">
        <v>79</v>
      </c>
      <c r="E334" t="s">
        <v>74</v>
      </c>
      <c r="F334" t="s">
        <v>75</v>
      </c>
      <c r="G334" t="s">
        <v>76</v>
      </c>
      <c r="H334">
        <v>71.918773550044762</v>
      </c>
      <c r="I334">
        <v>1</v>
      </c>
      <c r="J334">
        <v>9</v>
      </c>
      <c r="K334">
        <v>6</v>
      </c>
      <c r="L334">
        <v>3</v>
      </c>
      <c r="M334">
        <v>8</v>
      </c>
      <c r="N334">
        <v>6</v>
      </c>
      <c r="O334">
        <v>2</v>
      </c>
      <c r="P334">
        <v>9</v>
      </c>
      <c r="Q334">
        <v>8</v>
      </c>
      <c r="R334">
        <v>1</v>
      </c>
      <c r="S334">
        <v>8</v>
      </c>
      <c r="T334">
        <v>8</v>
      </c>
      <c r="U334">
        <v>0</v>
      </c>
      <c r="V334">
        <v>9</v>
      </c>
      <c r="W334">
        <v>6</v>
      </c>
      <c r="X334">
        <v>3</v>
      </c>
      <c r="Y334">
        <v>8</v>
      </c>
      <c r="Z334">
        <v>7</v>
      </c>
      <c r="AA334">
        <v>1</v>
      </c>
      <c r="AB334">
        <v>9</v>
      </c>
      <c r="AC334">
        <v>6</v>
      </c>
      <c r="AD334">
        <v>3</v>
      </c>
      <c r="AE334">
        <v>8</v>
      </c>
      <c r="AF334">
        <v>7</v>
      </c>
      <c r="AG334">
        <v>1</v>
      </c>
      <c r="AH334">
        <v>9</v>
      </c>
      <c r="AI334">
        <v>7</v>
      </c>
      <c r="AJ334">
        <v>2</v>
      </c>
      <c r="AK334" t="s">
        <v>3206</v>
      </c>
      <c r="AL334" t="s">
        <v>3207</v>
      </c>
      <c r="AM334" t="s">
        <v>3208</v>
      </c>
      <c r="AN334" t="s">
        <v>3209</v>
      </c>
      <c r="AO334" t="s">
        <v>3210</v>
      </c>
      <c r="AP334" t="s">
        <v>3211</v>
      </c>
      <c r="AQ334" t="s">
        <v>3212</v>
      </c>
      <c r="AR334" t="s">
        <v>3213</v>
      </c>
      <c r="AS334" t="s">
        <v>3214</v>
      </c>
    </row>
    <row r="335" spans="1:45" x14ac:dyDescent="0.45">
      <c r="A335">
        <v>334</v>
      </c>
      <c r="B335">
        <v>2324</v>
      </c>
      <c r="C335" t="s">
        <v>72</v>
      </c>
      <c r="D335" t="s">
        <v>191</v>
      </c>
      <c r="E335" t="s">
        <v>74</v>
      </c>
      <c r="F335" t="s">
        <v>75</v>
      </c>
      <c r="G335" t="s">
        <v>162</v>
      </c>
      <c r="H335">
        <v>234.60689954896262</v>
      </c>
      <c r="I335">
        <v>3</v>
      </c>
      <c r="J335">
        <v>6</v>
      </c>
      <c r="K335">
        <v>2</v>
      </c>
      <c r="L335">
        <v>4</v>
      </c>
      <c r="M335">
        <v>5</v>
      </c>
      <c r="N335">
        <v>2</v>
      </c>
      <c r="O335">
        <v>3</v>
      </c>
      <c r="P335">
        <v>8</v>
      </c>
      <c r="Q335">
        <v>3</v>
      </c>
      <c r="R335">
        <v>5</v>
      </c>
      <c r="S335">
        <v>7</v>
      </c>
      <c r="T335">
        <v>5</v>
      </c>
      <c r="U335">
        <v>2</v>
      </c>
      <c r="V335">
        <v>9</v>
      </c>
      <c r="W335">
        <v>1</v>
      </c>
      <c r="X335">
        <v>8</v>
      </c>
      <c r="Y335">
        <v>8</v>
      </c>
      <c r="Z335">
        <v>1</v>
      </c>
      <c r="AA335">
        <v>7</v>
      </c>
      <c r="AB335">
        <v>7</v>
      </c>
      <c r="AC335">
        <v>1</v>
      </c>
      <c r="AD335">
        <v>6</v>
      </c>
      <c r="AE335">
        <v>6</v>
      </c>
      <c r="AF335">
        <v>3</v>
      </c>
      <c r="AG335">
        <v>3</v>
      </c>
      <c r="AH335">
        <v>9</v>
      </c>
      <c r="AI335">
        <v>1</v>
      </c>
      <c r="AJ335">
        <v>8</v>
      </c>
      <c r="AK335" t="s">
        <v>3215</v>
      </c>
      <c r="AL335" t="s">
        <v>3216</v>
      </c>
      <c r="AM335" t="s">
        <v>3217</v>
      </c>
      <c r="AN335" t="s">
        <v>3218</v>
      </c>
      <c r="AO335" t="s">
        <v>3219</v>
      </c>
      <c r="AP335" t="s">
        <v>3220</v>
      </c>
      <c r="AQ335" t="s">
        <v>3221</v>
      </c>
      <c r="AR335" t="s">
        <v>3222</v>
      </c>
      <c r="AS335" t="s">
        <v>3223</v>
      </c>
    </row>
    <row r="336" spans="1:45" x14ac:dyDescent="0.45">
      <c r="A336">
        <v>335</v>
      </c>
      <c r="B336">
        <v>2325</v>
      </c>
      <c r="C336" t="s">
        <v>78</v>
      </c>
      <c r="D336" t="s">
        <v>189</v>
      </c>
      <c r="E336" t="s">
        <v>74</v>
      </c>
      <c r="F336" t="s">
        <v>77</v>
      </c>
      <c r="G336" t="s">
        <v>76</v>
      </c>
      <c r="H336">
        <v>16.434566267830931</v>
      </c>
      <c r="I336">
        <v>0</v>
      </c>
      <c r="J336">
        <v>9</v>
      </c>
      <c r="K336">
        <v>7</v>
      </c>
      <c r="L336">
        <v>2</v>
      </c>
      <c r="M336">
        <v>8</v>
      </c>
      <c r="N336">
        <v>7</v>
      </c>
      <c r="O336">
        <v>1</v>
      </c>
      <c r="P336">
        <v>8</v>
      </c>
      <c r="Q336">
        <v>8</v>
      </c>
      <c r="R336">
        <v>0</v>
      </c>
      <c r="S336">
        <v>9</v>
      </c>
      <c r="T336">
        <v>10</v>
      </c>
      <c r="U336">
        <v>-1</v>
      </c>
      <c r="V336">
        <v>8</v>
      </c>
      <c r="W336">
        <v>9</v>
      </c>
      <c r="X336">
        <v>-1</v>
      </c>
      <c r="Y336">
        <v>9</v>
      </c>
      <c r="Z336">
        <v>10</v>
      </c>
      <c r="AA336">
        <v>-1</v>
      </c>
      <c r="AB336">
        <v>8</v>
      </c>
      <c r="AC336">
        <v>8</v>
      </c>
      <c r="AD336">
        <v>0</v>
      </c>
      <c r="AE336">
        <v>9</v>
      </c>
      <c r="AF336">
        <v>8</v>
      </c>
      <c r="AG336">
        <v>1</v>
      </c>
      <c r="AH336">
        <v>9</v>
      </c>
      <c r="AI336">
        <v>10</v>
      </c>
      <c r="AJ336">
        <v>-1</v>
      </c>
      <c r="AK336" t="s">
        <v>3224</v>
      </c>
      <c r="AL336" t="s">
        <v>3225</v>
      </c>
      <c r="AM336" t="s">
        <v>3226</v>
      </c>
      <c r="AN336" t="s">
        <v>3227</v>
      </c>
      <c r="AO336" t="s">
        <v>2928</v>
      </c>
      <c r="AP336" t="s">
        <v>3228</v>
      </c>
      <c r="AQ336" t="s">
        <v>3229</v>
      </c>
      <c r="AR336" t="s">
        <v>3230</v>
      </c>
      <c r="AS336" t="s">
        <v>3231</v>
      </c>
    </row>
    <row r="337" spans="1:45" x14ac:dyDescent="0.45">
      <c r="A337">
        <v>336</v>
      </c>
      <c r="B337">
        <v>2326</v>
      </c>
      <c r="C337" t="s">
        <v>72</v>
      </c>
      <c r="D337" t="s">
        <v>81</v>
      </c>
      <c r="E337" t="s">
        <v>74</v>
      </c>
      <c r="F337" t="s">
        <v>77</v>
      </c>
      <c r="G337" t="s">
        <v>76</v>
      </c>
      <c r="H337">
        <v>21.539914408558545</v>
      </c>
      <c r="I337">
        <v>0</v>
      </c>
      <c r="J337">
        <v>9</v>
      </c>
      <c r="K337">
        <v>4</v>
      </c>
      <c r="L337">
        <v>5</v>
      </c>
      <c r="M337">
        <v>8</v>
      </c>
      <c r="N337">
        <v>5</v>
      </c>
      <c r="O337">
        <v>3</v>
      </c>
      <c r="P337">
        <v>9</v>
      </c>
      <c r="Q337">
        <v>5</v>
      </c>
      <c r="R337">
        <v>4</v>
      </c>
      <c r="S337">
        <v>8</v>
      </c>
      <c r="T337">
        <v>6</v>
      </c>
      <c r="U337">
        <v>2</v>
      </c>
      <c r="V337">
        <v>9</v>
      </c>
      <c r="W337">
        <v>5</v>
      </c>
      <c r="X337">
        <v>4</v>
      </c>
      <c r="Y337">
        <v>8</v>
      </c>
      <c r="Z337">
        <v>6</v>
      </c>
      <c r="AA337">
        <v>2</v>
      </c>
      <c r="AB337">
        <v>9</v>
      </c>
      <c r="AC337">
        <v>5</v>
      </c>
      <c r="AD337">
        <v>4</v>
      </c>
      <c r="AE337">
        <v>8</v>
      </c>
      <c r="AF337">
        <v>5</v>
      </c>
      <c r="AG337">
        <v>3</v>
      </c>
      <c r="AH337">
        <v>9</v>
      </c>
      <c r="AI337">
        <v>6</v>
      </c>
      <c r="AJ337">
        <v>3</v>
      </c>
      <c r="AK337" t="s">
        <v>3232</v>
      </c>
      <c r="AL337" t="s">
        <v>3233</v>
      </c>
      <c r="AM337" t="s">
        <v>3234</v>
      </c>
      <c r="AN337" t="s">
        <v>3235</v>
      </c>
      <c r="AO337" t="s">
        <v>3236</v>
      </c>
      <c r="AP337" t="s">
        <v>3237</v>
      </c>
      <c r="AQ337" t="s">
        <v>3238</v>
      </c>
      <c r="AR337" t="s">
        <v>3239</v>
      </c>
      <c r="AS337" t="s">
        <v>3240</v>
      </c>
    </row>
    <row r="338" spans="1:45" x14ac:dyDescent="0.45">
      <c r="A338">
        <v>337</v>
      </c>
      <c r="B338">
        <v>2327</v>
      </c>
      <c r="C338" t="s">
        <v>78</v>
      </c>
      <c r="D338" t="s">
        <v>73</v>
      </c>
      <c r="E338" t="s">
        <v>74</v>
      </c>
      <c r="F338" t="s">
        <v>77</v>
      </c>
      <c r="G338" t="s">
        <v>76</v>
      </c>
      <c r="H338">
        <v>28.625944835947372</v>
      </c>
      <c r="I338">
        <v>0</v>
      </c>
      <c r="J338">
        <v>4</v>
      </c>
      <c r="K338">
        <v>7</v>
      </c>
      <c r="L338">
        <v>-3</v>
      </c>
      <c r="M338">
        <v>5</v>
      </c>
      <c r="N338">
        <v>8</v>
      </c>
      <c r="O338">
        <v>-3</v>
      </c>
      <c r="P338">
        <v>8</v>
      </c>
      <c r="Q338">
        <v>7</v>
      </c>
      <c r="R338">
        <v>1</v>
      </c>
      <c r="S338">
        <v>7</v>
      </c>
      <c r="T338">
        <v>7</v>
      </c>
      <c r="U338">
        <v>0</v>
      </c>
      <c r="V338">
        <v>6</v>
      </c>
      <c r="W338">
        <v>6</v>
      </c>
      <c r="X338">
        <v>0</v>
      </c>
      <c r="Y338">
        <v>8</v>
      </c>
      <c r="Z338">
        <v>8</v>
      </c>
      <c r="AA338">
        <v>0</v>
      </c>
      <c r="AB338">
        <v>7</v>
      </c>
      <c r="AC338">
        <v>6</v>
      </c>
      <c r="AD338">
        <v>1</v>
      </c>
      <c r="AE338">
        <v>8</v>
      </c>
      <c r="AF338">
        <v>8</v>
      </c>
      <c r="AG338">
        <v>0</v>
      </c>
      <c r="AH338">
        <v>9</v>
      </c>
      <c r="AI338">
        <v>8</v>
      </c>
      <c r="AJ338">
        <v>1</v>
      </c>
      <c r="AK338" t="s">
        <v>3241</v>
      </c>
      <c r="AL338" t="s">
        <v>3242</v>
      </c>
      <c r="AM338" t="s">
        <v>550</v>
      </c>
      <c r="AN338" t="s">
        <v>3243</v>
      </c>
      <c r="AO338" t="s">
        <v>3244</v>
      </c>
      <c r="AP338" t="s">
        <v>3245</v>
      </c>
      <c r="AQ338" t="s">
        <v>3246</v>
      </c>
      <c r="AR338" t="s">
        <v>3247</v>
      </c>
      <c r="AS338" t="s">
        <v>3248</v>
      </c>
    </row>
    <row r="339" spans="1:45" x14ac:dyDescent="0.45">
      <c r="A339">
        <v>338</v>
      </c>
      <c r="B339">
        <v>2328</v>
      </c>
      <c r="C339" t="s">
        <v>78</v>
      </c>
      <c r="D339" t="s">
        <v>189</v>
      </c>
      <c r="E339" t="s">
        <v>74</v>
      </c>
      <c r="F339" t="s">
        <v>77</v>
      </c>
      <c r="G339" t="s">
        <v>76</v>
      </c>
      <c r="H339">
        <v>16.758565311772529</v>
      </c>
      <c r="I339">
        <v>0</v>
      </c>
      <c r="J339">
        <v>7</v>
      </c>
      <c r="K339">
        <v>8</v>
      </c>
      <c r="L339">
        <v>-1</v>
      </c>
      <c r="M339">
        <v>7</v>
      </c>
      <c r="N339">
        <v>8</v>
      </c>
      <c r="O339">
        <v>-1</v>
      </c>
      <c r="P339">
        <v>9</v>
      </c>
      <c r="Q339">
        <v>9</v>
      </c>
      <c r="R339">
        <v>0</v>
      </c>
      <c r="S339">
        <v>8</v>
      </c>
      <c r="T339">
        <v>9</v>
      </c>
      <c r="U339">
        <v>-1</v>
      </c>
      <c r="V339">
        <v>7</v>
      </c>
      <c r="W339">
        <v>8</v>
      </c>
      <c r="X339">
        <v>-1</v>
      </c>
      <c r="Y339">
        <v>6</v>
      </c>
      <c r="Z339">
        <v>9</v>
      </c>
      <c r="AA339">
        <v>-3</v>
      </c>
      <c r="AB339">
        <v>8</v>
      </c>
      <c r="AC339">
        <v>10</v>
      </c>
      <c r="AD339">
        <v>-2</v>
      </c>
      <c r="AE339">
        <v>7</v>
      </c>
      <c r="AF339">
        <v>9</v>
      </c>
      <c r="AG339">
        <v>-2</v>
      </c>
      <c r="AH339">
        <v>8</v>
      </c>
      <c r="AI339">
        <v>10</v>
      </c>
      <c r="AJ339">
        <v>-2</v>
      </c>
      <c r="AK339" t="s">
        <v>3249</v>
      </c>
      <c r="AL339" t="s">
        <v>3250</v>
      </c>
      <c r="AM339" t="s">
        <v>3251</v>
      </c>
      <c r="AN339" t="s">
        <v>3252</v>
      </c>
      <c r="AO339" t="s">
        <v>3253</v>
      </c>
      <c r="AP339" t="s">
        <v>3254</v>
      </c>
      <c r="AQ339" t="s">
        <v>3255</v>
      </c>
      <c r="AR339" t="s">
        <v>3256</v>
      </c>
      <c r="AS339" t="s">
        <v>3257</v>
      </c>
    </row>
    <row r="340" spans="1:45" x14ac:dyDescent="0.45">
      <c r="A340">
        <v>339</v>
      </c>
      <c r="B340">
        <v>2329</v>
      </c>
      <c r="C340" t="s">
        <v>72</v>
      </c>
      <c r="D340" t="s">
        <v>189</v>
      </c>
      <c r="E340" t="s">
        <v>74</v>
      </c>
      <c r="F340" t="s">
        <v>77</v>
      </c>
      <c r="G340" t="s">
        <v>76</v>
      </c>
      <c r="H340">
        <v>14.632622679515956</v>
      </c>
      <c r="I340">
        <v>0</v>
      </c>
      <c r="J340">
        <v>7</v>
      </c>
      <c r="K340">
        <v>7</v>
      </c>
      <c r="L340">
        <v>0</v>
      </c>
      <c r="M340">
        <v>8</v>
      </c>
      <c r="N340">
        <v>7</v>
      </c>
      <c r="O340">
        <v>1</v>
      </c>
      <c r="P340">
        <v>9</v>
      </c>
      <c r="Q340">
        <v>8</v>
      </c>
      <c r="R340">
        <v>1</v>
      </c>
      <c r="S340">
        <v>10</v>
      </c>
      <c r="T340">
        <v>8</v>
      </c>
      <c r="U340">
        <v>2</v>
      </c>
      <c r="V340">
        <v>8</v>
      </c>
      <c r="W340">
        <v>6</v>
      </c>
      <c r="X340">
        <v>2</v>
      </c>
      <c r="Y340">
        <v>9</v>
      </c>
      <c r="Z340">
        <v>7</v>
      </c>
      <c r="AA340">
        <v>2</v>
      </c>
      <c r="AB340">
        <v>8</v>
      </c>
      <c r="AC340">
        <v>6</v>
      </c>
      <c r="AD340">
        <v>2</v>
      </c>
      <c r="AE340">
        <v>7</v>
      </c>
      <c r="AF340">
        <v>6</v>
      </c>
      <c r="AG340">
        <v>1</v>
      </c>
      <c r="AH340">
        <v>9</v>
      </c>
      <c r="AI340">
        <v>7</v>
      </c>
      <c r="AJ340">
        <v>2</v>
      </c>
      <c r="AK340" t="s">
        <v>3258</v>
      </c>
      <c r="AL340" t="s">
        <v>3259</v>
      </c>
      <c r="AM340" t="s">
        <v>3260</v>
      </c>
      <c r="AN340" t="s">
        <v>263</v>
      </c>
      <c r="AO340" t="s">
        <v>3261</v>
      </c>
      <c r="AP340" t="s">
        <v>3262</v>
      </c>
      <c r="AQ340" t="s">
        <v>3263</v>
      </c>
      <c r="AR340" t="s">
        <v>3264</v>
      </c>
      <c r="AS340" t="s">
        <v>3265</v>
      </c>
    </row>
    <row r="341" spans="1:45" x14ac:dyDescent="0.45">
      <c r="A341">
        <v>340</v>
      </c>
      <c r="B341">
        <v>2330</v>
      </c>
      <c r="C341" t="s">
        <v>78</v>
      </c>
      <c r="D341" t="s">
        <v>81</v>
      </c>
      <c r="E341" t="s">
        <v>74</v>
      </c>
      <c r="F341" t="s">
        <v>77</v>
      </c>
      <c r="G341" t="s">
        <v>76</v>
      </c>
      <c r="H341">
        <v>14.958310988785255</v>
      </c>
      <c r="I341">
        <v>0</v>
      </c>
      <c r="J341">
        <v>7</v>
      </c>
      <c r="K341">
        <v>7</v>
      </c>
      <c r="L341">
        <v>0</v>
      </c>
      <c r="M341">
        <v>7</v>
      </c>
      <c r="N341">
        <v>8</v>
      </c>
      <c r="O341">
        <v>-1</v>
      </c>
      <c r="P341">
        <v>9</v>
      </c>
      <c r="Q341">
        <v>8</v>
      </c>
      <c r="R341">
        <v>1</v>
      </c>
      <c r="S341">
        <v>8</v>
      </c>
      <c r="T341">
        <v>8</v>
      </c>
      <c r="U341">
        <v>0</v>
      </c>
      <c r="V341">
        <v>9</v>
      </c>
      <c r="W341">
        <v>5</v>
      </c>
      <c r="X341">
        <v>4</v>
      </c>
      <c r="Y341">
        <v>8</v>
      </c>
      <c r="Z341">
        <v>8</v>
      </c>
      <c r="AA341">
        <v>0</v>
      </c>
      <c r="AB341">
        <v>9</v>
      </c>
      <c r="AC341">
        <v>5</v>
      </c>
      <c r="AD341">
        <v>4</v>
      </c>
      <c r="AE341">
        <v>8</v>
      </c>
      <c r="AF341">
        <v>8</v>
      </c>
      <c r="AG341">
        <v>0</v>
      </c>
      <c r="AH341">
        <v>9</v>
      </c>
      <c r="AI341">
        <v>8</v>
      </c>
      <c r="AJ341">
        <v>1</v>
      </c>
      <c r="AK341" t="s">
        <v>3266</v>
      </c>
      <c r="AL341" t="s">
        <v>3267</v>
      </c>
      <c r="AM341" t="s">
        <v>3268</v>
      </c>
      <c r="AN341" t="s">
        <v>3269</v>
      </c>
      <c r="AO341" t="s">
        <v>3270</v>
      </c>
      <c r="AP341" t="s">
        <v>3271</v>
      </c>
      <c r="AQ341" t="s">
        <v>3272</v>
      </c>
      <c r="AR341" t="s">
        <v>3273</v>
      </c>
      <c r="AS341" t="s">
        <v>3274</v>
      </c>
    </row>
    <row r="342" spans="1:45" x14ac:dyDescent="0.45">
      <c r="A342">
        <v>341</v>
      </c>
      <c r="B342">
        <v>2331</v>
      </c>
      <c r="C342" t="s">
        <v>72</v>
      </c>
      <c r="D342" t="s">
        <v>189</v>
      </c>
      <c r="E342" t="s">
        <v>74</v>
      </c>
      <c r="F342" t="s">
        <v>77</v>
      </c>
      <c r="G342" t="s">
        <v>76</v>
      </c>
      <c r="H342">
        <v>12</v>
      </c>
      <c r="I342">
        <v>0</v>
      </c>
      <c r="J342">
        <v>8</v>
      </c>
      <c r="K342">
        <v>8</v>
      </c>
      <c r="L342">
        <v>0</v>
      </c>
      <c r="M342">
        <v>9</v>
      </c>
      <c r="N342">
        <v>8</v>
      </c>
      <c r="O342">
        <v>1</v>
      </c>
      <c r="P342">
        <v>8</v>
      </c>
      <c r="Q342">
        <v>8</v>
      </c>
      <c r="R342">
        <v>0</v>
      </c>
      <c r="S342">
        <v>9</v>
      </c>
      <c r="T342">
        <v>9</v>
      </c>
      <c r="U342">
        <v>0</v>
      </c>
      <c r="V342">
        <v>8</v>
      </c>
      <c r="W342">
        <v>8</v>
      </c>
      <c r="X342">
        <v>0</v>
      </c>
      <c r="Y342">
        <v>9</v>
      </c>
      <c r="Z342">
        <v>8</v>
      </c>
      <c r="AA342">
        <v>1</v>
      </c>
      <c r="AB342">
        <v>8</v>
      </c>
      <c r="AC342">
        <v>7</v>
      </c>
      <c r="AD342">
        <v>1</v>
      </c>
      <c r="AE342">
        <v>9</v>
      </c>
      <c r="AF342">
        <v>7</v>
      </c>
      <c r="AG342">
        <v>2</v>
      </c>
      <c r="AH342">
        <v>9</v>
      </c>
      <c r="AI342">
        <v>8</v>
      </c>
      <c r="AJ342">
        <v>1</v>
      </c>
      <c r="AK342" t="s">
        <v>3275</v>
      </c>
      <c r="AL342" t="s">
        <v>3276</v>
      </c>
      <c r="AM342" t="s">
        <v>3277</v>
      </c>
      <c r="AN342" t="s">
        <v>3278</v>
      </c>
      <c r="AO342" t="s">
        <v>3279</v>
      </c>
      <c r="AP342" t="s">
        <v>3280</v>
      </c>
      <c r="AQ342" t="s">
        <v>3281</v>
      </c>
      <c r="AR342" t="s">
        <v>3282</v>
      </c>
      <c r="AS342" t="s">
        <v>3283</v>
      </c>
    </row>
    <row r="343" spans="1:45" x14ac:dyDescent="0.45">
      <c r="A343">
        <v>342</v>
      </c>
      <c r="B343">
        <v>2332</v>
      </c>
      <c r="C343" t="s">
        <v>78</v>
      </c>
      <c r="D343" t="s">
        <v>189</v>
      </c>
      <c r="E343" t="s">
        <v>74</v>
      </c>
      <c r="F343" t="s">
        <v>77</v>
      </c>
      <c r="G343" t="s">
        <v>76</v>
      </c>
      <c r="H343">
        <v>12</v>
      </c>
      <c r="I343">
        <v>0</v>
      </c>
      <c r="J343">
        <v>7</v>
      </c>
      <c r="K343">
        <v>5</v>
      </c>
      <c r="L343">
        <v>2</v>
      </c>
      <c r="M343">
        <v>8</v>
      </c>
      <c r="N343">
        <v>5</v>
      </c>
      <c r="O343">
        <v>3</v>
      </c>
      <c r="P343">
        <v>9</v>
      </c>
      <c r="Q343">
        <v>6</v>
      </c>
      <c r="R343">
        <v>3</v>
      </c>
      <c r="S343">
        <v>8</v>
      </c>
      <c r="T343">
        <v>7</v>
      </c>
      <c r="U343">
        <v>1</v>
      </c>
      <c r="V343">
        <v>9</v>
      </c>
      <c r="W343">
        <v>5</v>
      </c>
      <c r="X343">
        <v>4</v>
      </c>
      <c r="Y343">
        <v>8</v>
      </c>
      <c r="Z343">
        <v>8</v>
      </c>
      <c r="AA343">
        <v>0</v>
      </c>
      <c r="AB343">
        <v>9</v>
      </c>
      <c r="AC343">
        <v>6</v>
      </c>
      <c r="AD343">
        <v>3</v>
      </c>
      <c r="AE343">
        <v>8</v>
      </c>
      <c r="AF343">
        <v>6</v>
      </c>
      <c r="AG343">
        <v>2</v>
      </c>
      <c r="AH343">
        <v>9</v>
      </c>
      <c r="AI343">
        <v>7</v>
      </c>
      <c r="AJ343">
        <v>2</v>
      </c>
      <c r="AK343" t="s">
        <v>3284</v>
      </c>
      <c r="AL343" t="s">
        <v>3285</v>
      </c>
      <c r="AM343" t="s">
        <v>3286</v>
      </c>
      <c r="AN343" t="s">
        <v>3287</v>
      </c>
      <c r="AO343" t="s">
        <v>3288</v>
      </c>
      <c r="AP343" t="s">
        <v>3289</v>
      </c>
      <c r="AQ343" t="s">
        <v>3290</v>
      </c>
      <c r="AR343" t="s">
        <v>3291</v>
      </c>
      <c r="AS343" t="s">
        <v>3292</v>
      </c>
    </row>
    <row r="344" spans="1:45" x14ac:dyDescent="0.45">
      <c r="A344">
        <v>343</v>
      </c>
      <c r="B344">
        <v>2333</v>
      </c>
      <c r="C344" t="s">
        <v>78</v>
      </c>
      <c r="D344" t="s">
        <v>81</v>
      </c>
      <c r="E344" t="s">
        <v>74</v>
      </c>
      <c r="F344" t="s">
        <v>77</v>
      </c>
      <c r="G344" t="s">
        <v>76</v>
      </c>
      <c r="H344">
        <v>14.640203362523385</v>
      </c>
      <c r="I344">
        <v>0</v>
      </c>
      <c r="J344">
        <v>8</v>
      </c>
      <c r="K344">
        <v>7</v>
      </c>
      <c r="L344">
        <v>1</v>
      </c>
      <c r="M344">
        <v>9</v>
      </c>
      <c r="N344">
        <v>7</v>
      </c>
      <c r="O344">
        <v>2</v>
      </c>
      <c r="P344">
        <v>8</v>
      </c>
      <c r="Q344">
        <v>8</v>
      </c>
      <c r="R344">
        <v>0</v>
      </c>
      <c r="S344">
        <v>9</v>
      </c>
      <c r="T344">
        <v>7</v>
      </c>
      <c r="U344">
        <v>2</v>
      </c>
      <c r="V344">
        <v>8</v>
      </c>
      <c r="W344">
        <v>8</v>
      </c>
      <c r="X344">
        <v>0</v>
      </c>
      <c r="Y344">
        <v>9</v>
      </c>
      <c r="Z344">
        <v>8</v>
      </c>
      <c r="AA344">
        <v>1</v>
      </c>
      <c r="AB344">
        <v>8</v>
      </c>
      <c r="AC344">
        <v>8</v>
      </c>
      <c r="AD344">
        <v>0</v>
      </c>
      <c r="AE344">
        <v>9</v>
      </c>
      <c r="AF344">
        <v>7</v>
      </c>
      <c r="AG344">
        <v>2</v>
      </c>
      <c r="AH344">
        <v>9</v>
      </c>
      <c r="AI344">
        <v>8</v>
      </c>
      <c r="AJ344">
        <v>1</v>
      </c>
      <c r="AK344" t="s">
        <v>3293</v>
      </c>
      <c r="AL344" t="s">
        <v>3294</v>
      </c>
      <c r="AM344" t="s">
        <v>3295</v>
      </c>
      <c r="AN344" t="s">
        <v>3296</v>
      </c>
      <c r="AO344" t="s">
        <v>3297</v>
      </c>
      <c r="AP344" t="s">
        <v>3298</v>
      </c>
      <c r="AQ344" t="s">
        <v>3299</v>
      </c>
      <c r="AR344" t="s">
        <v>3300</v>
      </c>
      <c r="AS344" t="s">
        <v>3301</v>
      </c>
    </row>
    <row r="345" spans="1:45" x14ac:dyDescent="0.45">
      <c r="A345">
        <v>344</v>
      </c>
      <c r="B345">
        <v>2334</v>
      </c>
      <c r="C345" t="s">
        <v>78</v>
      </c>
      <c r="D345" t="s">
        <v>73</v>
      </c>
      <c r="E345" t="s">
        <v>74</v>
      </c>
      <c r="F345" t="s">
        <v>75</v>
      </c>
      <c r="G345" t="s">
        <v>76</v>
      </c>
      <c r="H345">
        <v>64.845851968529757</v>
      </c>
      <c r="I345">
        <v>2</v>
      </c>
      <c r="J345">
        <v>7</v>
      </c>
      <c r="K345">
        <v>7</v>
      </c>
      <c r="L345">
        <v>0</v>
      </c>
      <c r="M345">
        <v>8</v>
      </c>
      <c r="N345">
        <v>7</v>
      </c>
      <c r="O345">
        <v>1</v>
      </c>
      <c r="P345">
        <v>6</v>
      </c>
      <c r="Q345">
        <v>5</v>
      </c>
      <c r="R345">
        <v>1</v>
      </c>
      <c r="S345">
        <v>9</v>
      </c>
      <c r="T345">
        <v>8</v>
      </c>
      <c r="U345">
        <v>1</v>
      </c>
      <c r="V345">
        <v>7</v>
      </c>
      <c r="W345">
        <v>6</v>
      </c>
      <c r="X345">
        <v>1</v>
      </c>
      <c r="Y345">
        <v>8</v>
      </c>
      <c r="Z345">
        <v>5</v>
      </c>
      <c r="AA345">
        <v>3</v>
      </c>
      <c r="AB345">
        <v>9</v>
      </c>
      <c r="AC345">
        <v>5</v>
      </c>
      <c r="AD345">
        <v>4</v>
      </c>
      <c r="AE345">
        <v>7</v>
      </c>
      <c r="AF345">
        <v>6</v>
      </c>
      <c r="AG345">
        <v>1</v>
      </c>
      <c r="AH345">
        <v>9</v>
      </c>
      <c r="AI345">
        <v>5</v>
      </c>
      <c r="AJ345">
        <v>4</v>
      </c>
      <c r="AK345" t="s">
        <v>3302</v>
      </c>
      <c r="AL345" t="s">
        <v>3303</v>
      </c>
      <c r="AM345" t="s">
        <v>3304</v>
      </c>
      <c r="AN345" t="s">
        <v>3305</v>
      </c>
      <c r="AO345" t="s">
        <v>3306</v>
      </c>
      <c r="AP345" t="s">
        <v>3307</v>
      </c>
      <c r="AQ345" t="s">
        <v>3308</v>
      </c>
      <c r="AR345" t="s">
        <v>3309</v>
      </c>
      <c r="AS345" t="s">
        <v>3310</v>
      </c>
    </row>
    <row r="346" spans="1:45" x14ac:dyDescent="0.45">
      <c r="A346">
        <v>345</v>
      </c>
      <c r="B346">
        <v>2335</v>
      </c>
      <c r="C346" t="s">
        <v>72</v>
      </c>
      <c r="D346" t="s">
        <v>81</v>
      </c>
      <c r="E346" t="s">
        <v>74</v>
      </c>
      <c r="F346" t="s">
        <v>77</v>
      </c>
      <c r="G346" t="s">
        <v>76</v>
      </c>
      <c r="H346">
        <v>15.829406271752029</v>
      </c>
      <c r="I346">
        <v>0</v>
      </c>
      <c r="J346">
        <v>7</v>
      </c>
      <c r="K346">
        <v>7</v>
      </c>
      <c r="L346">
        <v>0</v>
      </c>
      <c r="M346">
        <v>7</v>
      </c>
      <c r="N346">
        <v>7</v>
      </c>
      <c r="O346">
        <v>0</v>
      </c>
      <c r="P346">
        <v>6</v>
      </c>
      <c r="Q346">
        <v>5</v>
      </c>
      <c r="R346">
        <v>1</v>
      </c>
      <c r="S346">
        <v>8</v>
      </c>
      <c r="T346">
        <v>8</v>
      </c>
      <c r="U346">
        <v>0</v>
      </c>
      <c r="V346">
        <v>6</v>
      </c>
      <c r="W346">
        <v>7</v>
      </c>
      <c r="X346">
        <v>-1</v>
      </c>
      <c r="Y346">
        <v>9</v>
      </c>
      <c r="Z346">
        <v>7</v>
      </c>
      <c r="AA346">
        <v>2</v>
      </c>
      <c r="AB346">
        <v>6</v>
      </c>
      <c r="AC346">
        <v>6</v>
      </c>
      <c r="AD346">
        <v>0</v>
      </c>
      <c r="AE346">
        <v>7</v>
      </c>
      <c r="AF346">
        <v>7</v>
      </c>
      <c r="AG346">
        <v>0</v>
      </c>
      <c r="AH346">
        <v>9</v>
      </c>
      <c r="AI346">
        <v>7</v>
      </c>
      <c r="AJ346">
        <v>2</v>
      </c>
      <c r="AK346" t="s">
        <v>3311</v>
      </c>
      <c r="AL346" t="s">
        <v>3312</v>
      </c>
      <c r="AM346" t="s">
        <v>3313</v>
      </c>
      <c r="AN346" t="s">
        <v>3314</v>
      </c>
      <c r="AO346" t="s">
        <v>3315</v>
      </c>
      <c r="AP346" t="s">
        <v>3316</v>
      </c>
      <c r="AQ346" t="s">
        <v>3317</v>
      </c>
      <c r="AR346" t="s">
        <v>3318</v>
      </c>
      <c r="AS346" t="s">
        <v>3319</v>
      </c>
    </row>
    <row r="347" spans="1:45" x14ac:dyDescent="0.45">
      <c r="A347">
        <v>346</v>
      </c>
      <c r="B347">
        <v>2336</v>
      </c>
      <c r="C347" t="s">
        <v>72</v>
      </c>
      <c r="D347" t="s">
        <v>73</v>
      </c>
      <c r="E347" t="s">
        <v>74</v>
      </c>
      <c r="F347" t="s">
        <v>77</v>
      </c>
      <c r="G347" t="s">
        <v>76</v>
      </c>
      <c r="H347">
        <v>25.519211290085583</v>
      </c>
      <c r="I347">
        <v>1</v>
      </c>
      <c r="J347">
        <v>6</v>
      </c>
      <c r="K347">
        <v>9</v>
      </c>
      <c r="L347">
        <v>-3</v>
      </c>
      <c r="M347">
        <v>7</v>
      </c>
      <c r="N347">
        <v>8</v>
      </c>
      <c r="O347">
        <v>-1</v>
      </c>
      <c r="P347">
        <v>8</v>
      </c>
      <c r="Q347">
        <v>8</v>
      </c>
      <c r="R347">
        <v>0</v>
      </c>
      <c r="S347">
        <v>9</v>
      </c>
      <c r="T347">
        <v>9</v>
      </c>
      <c r="U347">
        <v>0</v>
      </c>
      <c r="V347">
        <v>7</v>
      </c>
      <c r="W347">
        <v>7</v>
      </c>
      <c r="X347">
        <v>0</v>
      </c>
      <c r="Y347">
        <v>9</v>
      </c>
      <c r="Z347">
        <v>8</v>
      </c>
      <c r="AA347">
        <v>1</v>
      </c>
      <c r="AB347">
        <v>8</v>
      </c>
      <c r="AC347">
        <v>7</v>
      </c>
      <c r="AD347">
        <v>1</v>
      </c>
      <c r="AE347">
        <v>9</v>
      </c>
      <c r="AF347">
        <v>7</v>
      </c>
      <c r="AG347">
        <v>2</v>
      </c>
      <c r="AH347">
        <v>8</v>
      </c>
      <c r="AI347">
        <v>8</v>
      </c>
      <c r="AJ347">
        <v>0</v>
      </c>
      <c r="AK347" t="s">
        <v>3320</v>
      </c>
      <c r="AL347" t="s">
        <v>3321</v>
      </c>
      <c r="AM347" t="s">
        <v>3322</v>
      </c>
      <c r="AN347" t="s">
        <v>3323</v>
      </c>
      <c r="AO347" t="s">
        <v>3324</v>
      </c>
      <c r="AP347" t="s">
        <v>3325</v>
      </c>
      <c r="AQ347" t="s">
        <v>3326</v>
      </c>
      <c r="AR347" t="s">
        <v>3327</v>
      </c>
      <c r="AS347" t="s">
        <v>3328</v>
      </c>
    </row>
    <row r="348" spans="1:45" x14ac:dyDescent="0.45">
      <c r="A348">
        <v>347</v>
      </c>
      <c r="B348">
        <v>2337</v>
      </c>
      <c r="C348" t="s">
        <v>72</v>
      </c>
      <c r="D348" t="s">
        <v>81</v>
      </c>
      <c r="E348" t="s">
        <v>74</v>
      </c>
      <c r="F348" t="s">
        <v>77</v>
      </c>
      <c r="G348" t="s">
        <v>76</v>
      </c>
      <c r="H348">
        <v>20.777676159732167</v>
      </c>
      <c r="I348">
        <v>0</v>
      </c>
      <c r="J348">
        <v>8</v>
      </c>
      <c r="K348">
        <v>8</v>
      </c>
      <c r="L348">
        <v>0</v>
      </c>
      <c r="M348">
        <v>9</v>
      </c>
      <c r="N348">
        <v>8</v>
      </c>
      <c r="O348">
        <v>1</v>
      </c>
      <c r="P348">
        <v>8</v>
      </c>
      <c r="Q348">
        <v>7</v>
      </c>
      <c r="R348">
        <v>1</v>
      </c>
      <c r="S348">
        <v>9</v>
      </c>
      <c r="T348">
        <v>8</v>
      </c>
      <c r="U348">
        <v>1</v>
      </c>
      <c r="V348">
        <v>7</v>
      </c>
      <c r="W348">
        <v>6</v>
      </c>
      <c r="X348">
        <v>1</v>
      </c>
      <c r="Y348">
        <v>9</v>
      </c>
      <c r="Z348">
        <v>8</v>
      </c>
      <c r="AA348">
        <v>1</v>
      </c>
      <c r="AB348">
        <v>8</v>
      </c>
      <c r="AC348">
        <v>6</v>
      </c>
      <c r="AD348">
        <v>2</v>
      </c>
      <c r="AE348">
        <v>7</v>
      </c>
      <c r="AF348">
        <v>6</v>
      </c>
      <c r="AG348">
        <v>1</v>
      </c>
      <c r="AH348">
        <v>9</v>
      </c>
      <c r="AI348">
        <v>8</v>
      </c>
      <c r="AJ348">
        <v>1</v>
      </c>
      <c r="AK348" t="s">
        <v>3329</v>
      </c>
      <c r="AL348" t="s">
        <v>3330</v>
      </c>
      <c r="AM348" t="s">
        <v>3331</v>
      </c>
      <c r="AN348" t="s">
        <v>3332</v>
      </c>
      <c r="AO348" t="s">
        <v>3333</v>
      </c>
      <c r="AP348" t="s">
        <v>3334</v>
      </c>
      <c r="AQ348" t="s">
        <v>1080</v>
      </c>
      <c r="AR348" t="s">
        <v>254</v>
      </c>
      <c r="AS348" t="s">
        <v>2833</v>
      </c>
    </row>
    <row r="349" spans="1:45" x14ac:dyDescent="0.45">
      <c r="A349">
        <v>348</v>
      </c>
      <c r="B349">
        <v>2338</v>
      </c>
      <c r="C349" t="s">
        <v>72</v>
      </c>
      <c r="D349" t="s">
        <v>81</v>
      </c>
      <c r="E349" t="s">
        <v>74</v>
      </c>
      <c r="F349" t="s">
        <v>77</v>
      </c>
      <c r="G349" t="s">
        <v>76</v>
      </c>
      <c r="H349">
        <v>18.653231668521222</v>
      </c>
      <c r="I349">
        <v>0</v>
      </c>
      <c r="J349">
        <v>7</v>
      </c>
      <c r="K349">
        <v>8</v>
      </c>
      <c r="L349">
        <v>-1</v>
      </c>
      <c r="M349">
        <v>8</v>
      </c>
      <c r="N349">
        <v>8</v>
      </c>
      <c r="O349">
        <v>0</v>
      </c>
      <c r="P349">
        <v>9</v>
      </c>
      <c r="Q349">
        <v>7</v>
      </c>
      <c r="R349">
        <v>2</v>
      </c>
      <c r="S349">
        <v>10</v>
      </c>
      <c r="T349">
        <v>7</v>
      </c>
      <c r="U349">
        <v>3</v>
      </c>
      <c r="V349">
        <v>7</v>
      </c>
      <c r="W349">
        <v>6</v>
      </c>
      <c r="X349">
        <v>1</v>
      </c>
      <c r="Y349">
        <v>8</v>
      </c>
      <c r="Z349">
        <v>7</v>
      </c>
      <c r="AA349">
        <v>1</v>
      </c>
      <c r="AB349">
        <v>6</v>
      </c>
      <c r="AC349">
        <v>6</v>
      </c>
      <c r="AD349">
        <v>0</v>
      </c>
      <c r="AE349">
        <v>9</v>
      </c>
      <c r="AF349">
        <v>6</v>
      </c>
      <c r="AG349">
        <v>3</v>
      </c>
      <c r="AH349">
        <v>10</v>
      </c>
      <c r="AI349">
        <v>7</v>
      </c>
      <c r="AJ349">
        <v>3</v>
      </c>
      <c r="AK349" t="s">
        <v>3335</v>
      </c>
      <c r="AL349" t="s">
        <v>3336</v>
      </c>
      <c r="AM349" t="s">
        <v>3337</v>
      </c>
      <c r="AN349" t="s">
        <v>3338</v>
      </c>
      <c r="AO349" t="s">
        <v>267</v>
      </c>
      <c r="AP349" t="s">
        <v>3339</v>
      </c>
      <c r="AQ349" t="s">
        <v>3340</v>
      </c>
      <c r="AR349" t="s">
        <v>3341</v>
      </c>
      <c r="AS349" t="s">
        <v>3342</v>
      </c>
    </row>
    <row r="350" spans="1:45" x14ac:dyDescent="0.45">
      <c r="A350">
        <v>349</v>
      </c>
      <c r="B350">
        <v>2339</v>
      </c>
      <c r="C350" t="s">
        <v>72</v>
      </c>
      <c r="D350" t="s">
        <v>81</v>
      </c>
      <c r="E350" t="s">
        <v>74</v>
      </c>
      <c r="F350" t="s">
        <v>77</v>
      </c>
      <c r="G350" t="s">
        <v>76</v>
      </c>
      <c r="H350">
        <v>20.35320858682794</v>
      </c>
      <c r="I350">
        <v>0</v>
      </c>
      <c r="J350">
        <v>7</v>
      </c>
      <c r="K350">
        <v>4</v>
      </c>
      <c r="L350">
        <v>3</v>
      </c>
      <c r="M350">
        <v>8</v>
      </c>
      <c r="N350">
        <v>4</v>
      </c>
      <c r="O350">
        <v>4</v>
      </c>
      <c r="P350">
        <v>6</v>
      </c>
      <c r="Q350">
        <v>5</v>
      </c>
      <c r="R350">
        <v>1</v>
      </c>
      <c r="S350">
        <v>9</v>
      </c>
      <c r="T350">
        <v>7</v>
      </c>
      <c r="U350">
        <v>2</v>
      </c>
      <c r="V350">
        <v>7</v>
      </c>
      <c r="W350">
        <v>5</v>
      </c>
      <c r="X350">
        <v>2</v>
      </c>
      <c r="Y350">
        <v>8</v>
      </c>
      <c r="Z350">
        <v>6</v>
      </c>
      <c r="AA350">
        <v>2</v>
      </c>
      <c r="AB350">
        <v>6</v>
      </c>
      <c r="AC350">
        <v>6</v>
      </c>
      <c r="AD350">
        <v>0</v>
      </c>
      <c r="AE350">
        <v>7</v>
      </c>
      <c r="AF350">
        <v>6</v>
      </c>
      <c r="AG350">
        <v>1</v>
      </c>
      <c r="AH350">
        <v>8</v>
      </c>
      <c r="AI350">
        <v>6</v>
      </c>
      <c r="AJ350">
        <v>2</v>
      </c>
      <c r="AK350" t="s">
        <v>3343</v>
      </c>
      <c r="AL350" t="s">
        <v>3344</v>
      </c>
      <c r="AM350" t="s">
        <v>3345</v>
      </c>
      <c r="AN350" t="s">
        <v>3346</v>
      </c>
      <c r="AO350" t="s">
        <v>3347</v>
      </c>
      <c r="AP350" t="s">
        <v>3348</v>
      </c>
      <c r="AQ350" t="s">
        <v>3349</v>
      </c>
      <c r="AR350" t="s">
        <v>3350</v>
      </c>
      <c r="AS350" t="s">
        <v>3351</v>
      </c>
    </row>
    <row r="351" spans="1:45" x14ac:dyDescent="0.45">
      <c r="A351">
        <v>350</v>
      </c>
      <c r="B351">
        <v>2340</v>
      </c>
      <c r="C351" t="s">
        <v>72</v>
      </c>
      <c r="D351" t="s">
        <v>81</v>
      </c>
      <c r="E351" t="s">
        <v>74</v>
      </c>
      <c r="F351" t="s">
        <v>77</v>
      </c>
      <c r="G351" t="s">
        <v>76</v>
      </c>
      <c r="H351">
        <v>23.294302963266411</v>
      </c>
      <c r="I351">
        <v>0</v>
      </c>
      <c r="J351">
        <v>7</v>
      </c>
      <c r="K351">
        <v>7</v>
      </c>
      <c r="L351">
        <v>0</v>
      </c>
      <c r="M351">
        <v>6</v>
      </c>
      <c r="N351">
        <v>7</v>
      </c>
      <c r="O351">
        <v>-1</v>
      </c>
      <c r="P351">
        <v>8</v>
      </c>
      <c r="Q351">
        <v>8</v>
      </c>
      <c r="R351">
        <v>0</v>
      </c>
      <c r="S351">
        <v>9</v>
      </c>
      <c r="T351">
        <v>8</v>
      </c>
      <c r="U351">
        <v>1</v>
      </c>
      <c r="V351">
        <v>7</v>
      </c>
      <c r="W351">
        <v>7</v>
      </c>
      <c r="X351">
        <v>0</v>
      </c>
      <c r="Y351">
        <v>8</v>
      </c>
      <c r="Z351">
        <v>7</v>
      </c>
      <c r="AA351">
        <v>1</v>
      </c>
      <c r="AB351">
        <v>7</v>
      </c>
      <c r="AC351">
        <v>8</v>
      </c>
      <c r="AD351">
        <v>-1</v>
      </c>
      <c r="AE351">
        <v>8</v>
      </c>
      <c r="AF351">
        <v>7</v>
      </c>
      <c r="AG351">
        <v>1</v>
      </c>
      <c r="AH351">
        <v>9</v>
      </c>
      <c r="AI351">
        <v>8</v>
      </c>
      <c r="AJ351">
        <v>1</v>
      </c>
      <c r="AK351" t="s">
        <v>3352</v>
      </c>
      <c r="AL351" t="s">
        <v>3353</v>
      </c>
      <c r="AM351" t="s">
        <v>3354</v>
      </c>
      <c r="AN351" t="s">
        <v>3355</v>
      </c>
      <c r="AO351" t="s">
        <v>3356</v>
      </c>
      <c r="AP351" t="s">
        <v>3357</v>
      </c>
      <c r="AQ351" t="s">
        <v>3358</v>
      </c>
      <c r="AR351" t="s">
        <v>3359</v>
      </c>
      <c r="AS351" t="s">
        <v>3360</v>
      </c>
    </row>
    <row r="352" spans="1:45" x14ac:dyDescent="0.45">
      <c r="A352">
        <v>351</v>
      </c>
      <c r="B352">
        <v>2341</v>
      </c>
      <c r="C352" t="s">
        <v>72</v>
      </c>
      <c r="D352" t="s">
        <v>73</v>
      </c>
      <c r="E352" t="s">
        <v>74</v>
      </c>
      <c r="F352" t="s">
        <v>77</v>
      </c>
      <c r="G352" t="s">
        <v>76</v>
      </c>
      <c r="H352">
        <v>41.23280230271429</v>
      </c>
      <c r="I352">
        <v>2</v>
      </c>
      <c r="J352">
        <v>7</v>
      </c>
      <c r="K352">
        <v>8</v>
      </c>
      <c r="L352">
        <v>-1</v>
      </c>
      <c r="M352">
        <v>8</v>
      </c>
      <c r="N352">
        <v>8</v>
      </c>
      <c r="O352">
        <v>0</v>
      </c>
      <c r="P352">
        <v>7</v>
      </c>
      <c r="Q352">
        <v>6</v>
      </c>
      <c r="R352">
        <v>1</v>
      </c>
      <c r="S352">
        <v>9</v>
      </c>
      <c r="T352">
        <v>7</v>
      </c>
      <c r="U352">
        <v>2</v>
      </c>
      <c r="V352">
        <v>8</v>
      </c>
      <c r="W352">
        <v>6</v>
      </c>
      <c r="X352">
        <v>2</v>
      </c>
      <c r="Y352">
        <v>9</v>
      </c>
      <c r="Z352">
        <v>7</v>
      </c>
      <c r="AA352">
        <v>2</v>
      </c>
      <c r="AB352">
        <v>7</v>
      </c>
      <c r="AC352">
        <v>5</v>
      </c>
      <c r="AD352">
        <v>2</v>
      </c>
      <c r="AE352">
        <v>8</v>
      </c>
      <c r="AF352">
        <v>7</v>
      </c>
      <c r="AG352">
        <v>1</v>
      </c>
      <c r="AH352">
        <v>9</v>
      </c>
      <c r="AI352">
        <v>7</v>
      </c>
      <c r="AJ352">
        <v>2</v>
      </c>
      <c r="AK352" t="s">
        <v>3361</v>
      </c>
      <c r="AL352" t="s">
        <v>3362</v>
      </c>
      <c r="AM352" t="s">
        <v>3363</v>
      </c>
      <c r="AN352" t="s">
        <v>3364</v>
      </c>
      <c r="AO352" t="s">
        <v>3365</v>
      </c>
      <c r="AP352" t="s">
        <v>3366</v>
      </c>
      <c r="AQ352" t="s">
        <v>3367</v>
      </c>
      <c r="AR352" t="s">
        <v>3368</v>
      </c>
      <c r="AS352" t="s">
        <v>3369</v>
      </c>
    </row>
    <row r="353" spans="1:45" x14ac:dyDescent="0.45">
      <c r="A353">
        <v>352</v>
      </c>
      <c r="B353">
        <v>2342</v>
      </c>
      <c r="C353" t="s">
        <v>72</v>
      </c>
      <c r="D353" t="s">
        <v>73</v>
      </c>
      <c r="E353" t="s">
        <v>74</v>
      </c>
      <c r="F353" t="s">
        <v>77</v>
      </c>
      <c r="G353" t="s">
        <v>76</v>
      </c>
      <c r="H353">
        <v>29.307246409588465</v>
      </c>
      <c r="I353">
        <v>1</v>
      </c>
      <c r="J353">
        <v>9</v>
      </c>
      <c r="K353">
        <v>6</v>
      </c>
      <c r="L353">
        <v>3</v>
      </c>
      <c r="M353">
        <v>8</v>
      </c>
      <c r="N353">
        <v>6</v>
      </c>
      <c r="O353">
        <v>2</v>
      </c>
      <c r="P353">
        <v>9</v>
      </c>
      <c r="Q353">
        <v>8</v>
      </c>
      <c r="R353">
        <v>1</v>
      </c>
      <c r="S353">
        <v>8</v>
      </c>
      <c r="T353">
        <v>7</v>
      </c>
      <c r="U353">
        <v>1</v>
      </c>
      <c r="V353">
        <v>9</v>
      </c>
      <c r="W353">
        <v>7</v>
      </c>
      <c r="X353">
        <v>2</v>
      </c>
      <c r="Y353">
        <v>8</v>
      </c>
      <c r="Z353">
        <v>7</v>
      </c>
      <c r="AA353">
        <v>1</v>
      </c>
      <c r="AB353">
        <v>9</v>
      </c>
      <c r="AC353">
        <v>5</v>
      </c>
      <c r="AD353">
        <v>4</v>
      </c>
      <c r="AE353">
        <v>8</v>
      </c>
      <c r="AF353">
        <v>6</v>
      </c>
      <c r="AG353">
        <v>2</v>
      </c>
      <c r="AH353">
        <v>7</v>
      </c>
      <c r="AI353">
        <v>7</v>
      </c>
      <c r="AJ353">
        <v>0</v>
      </c>
      <c r="AK353" t="s">
        <v>3370</v>
      </c>
      <c r="AL353" t="s">
        <v>3371</v>
      </c>
      <c r="AM353" t="s">
        <v>3372</v>
      </c>
      <c r="AN353" t="s">
        <v>3373</v>
      </c>
      <c r="AO353" t="s">
        <v>3374</v>
      </c>
      <c r="AP353" t="s">
        <v>3375</v>
      </c>
      <c r="AQ353" t="s">
        <v>3376</v>
      </c>
      <c r="AR353" t="s">
        <v>3377</v>
      </c>
      <c r="AS353" t="s">
        <v>3378</v>
      </c>
    </row>
    <row r="354" spans="1:45" x14ac:dyDescent="0.45">
      <c r="A354">
        <v>353</v>
      </c>
      <c r="B354">
        <v>2343</v>
      </c>
      <c r="C354" t="s">
        <v>78</v>
      </c>
      <c r="D354" t="s">
        <v>79</v>
      </c>
      <c r="E354" t="s">
        <v>74</v>
      </c>
      <c r="F354" t="s">
        <v>77</v>
      </c>
      <c r="G354" t="s">
        <v>76</v>
      </c>
      <c r="H354">
        <v>84.90412737225077</v>
      </c>
      <c r="I354">
        <v>4</v>
      </c>
      <c r="J354">
        <v>5</v>
      </c>
      <c r="K354">
        <v>7</v>
      </c>
      <c r="L354">
        <v>-2</v>
      </c>
      <c r="M354">
        <v>6</v>
      </c>
      <c r="N354">
        <v>7</v>
      </c>
      <c r="O354">
        <v>-1</v>
      </c>
      <c r="P354">
        <v>8</v>
      </c>
      <c r="Q354">
        <v>8</v>
      </c>
      <c r="R354">
        <v>0</v>
      </c>
      <c r="S354">
        <v>9</v>
      </c>
      <c r="T354">
        <v>8</v>
      </c>
      <c r="U354">
        <v>1</v>
      </c>
      <c r="V354">
        <v>8</v>
      </c>
      <c r="W354">
        <v>6</v>
      </c>
      <c r="X354">
        <v>2</v>
      </c>
      <c r="Y354">
        <v>7</v>
      </c>
      <c r="Z354">
        <v>7</v>
      </c>
      <c r="AA354">
        <v>0</v>
      </c>
      <c r="AB354">
        <v>6</v>
      </c>
      <c r="AC354">
        <v>5</v>
      </c>
      <c r="AD354">
        <v>1</v>
      </c>
      <c r="AE354">
        <v>8</v>
      </c>
      <c r="AF354">
        <v>7</v>
      </c>
      <c r="AG354">
        <v>1</v>
      </c>
      <c r="AH354">
        <v>9</v>
      </c>
      <c r="AI354">
        <v>7</v>
      </c>
      <c r="AJ354">
        <v>2</v>
      </c>
      <c r="AK354" t="s">
        <v>221</v>
      </c>
      <c r="AL354" t="s">
        <v>3379</v>
      </c>
      <c r="AM354" t="s">
        <v>3380</v>
      </c>
      <c r="AN354" t="s">
        <v>3381</v>
      </c>
      <c r="AO354" t="s">
        <v>3382</v>
      </c>
      <c r="AP354" t="s">
        <v>3383</v>
      </c>
      <c r="AQ354" t="s">
        <v>3384</v>
      </c>
      <c r="AR354" t="s">
        <v>3385</v>
      </c>
      <c r="AS354" t="s">
        <v>3386</v>
      </c>
    </row>
    <row r="355" spans="1:45" x14ac:dyDescent="0.45">
      <c r="A355">
        <v>354</v>
      </c>
      <c r="B355">
        <v>2344</v>
      </c>
      <c r="C355" t="s">
        <v>72</v>
      </c>
      <c r="D355" t="s">
        <v>189</v>
      </c>
      <c r="E355" t="s">
        <v>74</v>
      </c>
      <c r="F355" t="s">
        <v>77</v>
      </c>
      <c r="G355" t="s">
        <v>76</v>
      </c>
      <c r="H355">
        <v>15.930593337444501</v>
      </c>
      <c r="I355">
        <v>0</v>
      </c>
      <c r="J355">
        <v>9</v>
      </c>
      <c r="K355">
        <v>9</v>
      </c>
      <c r="L355">
        <v>0</v>
      </c>
      <c r="M355">
        <v>8</v>
      </c>
      <c r="N355">
        <v>9</v>
      </c>
      <c r="O355">
        <v>-1</v>
      </c>
      <c r="P355">
        <v>9</v>
      </c>
      <c r="Q355">
        <v>10</v>
      </c>
      <c r="R355">
        <v>-1</v>
      </c>
      <c r="S355">
        <v>8</v>
      </c>
      <c r="T355">
        <v>10</v>
      </c>
      <c r="U355">
        <v>-2</v>
      </c>
      <c r="V355">
        <v>9</v>
      </c>
      <c r="W355">
        <v>9</v>
      </c>
      <c r="X355">
        <v>0</v>
      </c>
      <c r="Y355">
        <v>8</v>
      </c>
      <c r="Z355">
        <v>10</v>
      </c>
      <c r="AA355">
        <v>-2</v>
      </c>
      <c r="AB355">
        <v>9</v>
      </c>
      <c r="AC355">
        <v>8</v>
      </c>
      <c r="AD355">
        <v>1</v>
      </c>
      <c r="AE355">
        <v>8</v>
      </c>
      <c r="AF355">
        <v>8</v>
      </c>
      <c r="AG355">
        <v>0</v>
      </c>
      <c r="AH355">
        <v>9</v>
      </c>
      <c r="AI355">
        <v>9</v>
      </c>
      <c r="AJ355">
        <v>0</v>
      </c>
      <c r="AK355" t="s">
        <v>3387</v>
      </c>
      <c r="AL355" t="s">
        <v>3388</v>
      </c>
      <c r="AM355" t="s">
        <v>3389</v>
      </c>
      <c r="AN355" t="s">
        <v>3390</v>
      </c>
      <c r="AO355" t="s">
        <v>3391</v>
      </c>
      <c r="AP355" t="s">
        <v>3392</v>
      </c>
      <c r="AQ355" t="s">
        <v>3393</v>
      </c>
      <c r="AR355" t="s">
        <v>3394</v>
      </c>
      <c r="AS355" t="s">
        <v>3395</v>
      </c>
    </row>
    <row r="356" spans="1:45" x14ac:dyDescent="0.45">
      <c r="A356">
        <v>355</v>
      </c>
      <c r="B356">
        <v>2345</v>
      </c>
      <c r="C356" t="s">
        <v>78</v>
      </c>
      <c r="D356" t="s">
        <v>189</v>
      </c>
      <c r="E356" t="s">
        <v>74</v>
      </c>
      <c r="F356" t="s">
        <v>77</v>
      </c>
      <c r="G356" t="s">
        <v>76</v>
      </c>
      <c r="H356">
        <v>14.529106801505399</v>
      </c>
      <c r="I356">
        <v>0</v>
      </c>
      <c r="J356">
        <v>6</v>
      </c>
      <c r="K356">
        <v>7</v>
      </c>
      <c r="L356">
        <v>-1</v>
      </c>
      <c r="M356">
        <v>7</v>
      </c>
      <c r="N356">
        <v>8</v>
      </c>
      <c r="O356">
        <v>-1</v>
      </c>
      <c r="P356">
        <v>8</v>
      </c>
      <c r="Q356">
        <v>8</v>
      </c>
      <c r="R356">
        <v>0</v>
      </c>
      <c r="S356">
        <v>9</v>
      </c>
      <c r="T356">
        <v>9</v>
      </c>
      <c r="U356">
        <v>0</v>
      </c>
      <c r="V356">
        <v>7</v>
      </c>
      <c r="W356">
        <v>8</v>
      </c>
      <c r="X356">
        <v>-1</v>
      </c>
      <c r="Y356">
        <v>9</v>
      </c>
      <c r="Z356">
        <v>10</v>
      </c>
      <c r="AA356">
        <v>-1</v>
      </c>
      <c r="AB356">
        <v>8</v>
      </c>
      <c r="AC356">
        <v>8</v>
      </c>
      <c r="AD356">
        <v>0</v>
      </c>
      <c r="AE356">
        <v>9</v>
      </c>
      <c r="AF356">
        <v>8</v>
      </c>
      <c r="AG356">
        <v>1</v>
      </c>
      <c r="AH356">
        <v>10</v>
      </c>
      <c r="AI356">
        <v>9</v>
      </c>
      <c r="AJ356">
        <v>1</v>
      </c>
      <c r="AK356" t="s">
        <v>3396</v>
      </c>
      <c r="AL356" t="s">
        <v>3397</v>
      </c>
      <c r="AM356" t="s">
        <v>3398</v>
      </c>
      <c r="AN356" t="s">
        <v>3399</v>
      </c>
      <c r="AO356" t="s">
        <v>3400</v>
      </c>
      <c r="AP356" t="s">
        <v>3401</v>
      </c>
      <c r="AQ356" t="s">
        <v>3402</v>
      </c>
      <c r="AR356" t="s">
        <v>3403</v>
      </c>
      <c r="AS356" t="s">
        <v>3404</v>
      </c>
    </row>
    <row r="357" spans="1:45" x14ac:dyDescent="0.45">
      <c r="A357">
        <v>356</v>
      </c>
      <c r="B357">
        <v>2346</v>
      </c>
      <c r="C357" t="s">
        <v>78</v>
      </c>
      <c r="D357" t="s">
        <v>189</v>
      </c>
      <c r="E357" t="s">
        <v>74</v>
      </c>
      <c r="F357" t="s">
        <v>77</v>
      </c>
      <c r="G357" t="s">
        <v>76</v>
      </c>
      <c r="H357">
        <v>13.29466550493764</v>
      </c>
      <c r="I357">
        <v>0</v>
      </c>
      <c r="J357">
        <v>7</v>
      </c>
      <c r="K357">
        <v>7</v>
      </c>
      <c r="L357">
        <v>0</v>
      </c>
      <c r="M357">
        <v>6</v>
      </c>
      <c r="N357">
        <v>7</v>
      </c>
      <c r="O357">
        <v>-1</v>
      </c>
      <c r="P357">
        <v>8</v>
      </c>
      <c r="Q357">
        <v>8</v>
      </c>
      <c r="R357">
        <v>0</v>
      </c>
      <c r="S357">
        <v>7</v>
      </c>
      <c r="T357">
        <v>10</v>
      </c>
      <c r="U357">
        <v>-3</v>
      </c>
      <c r="V357">
        <v>8</v>
      </c>
      <c r="W357">
        <v>9</v>
      </c>
      <c r="X357">
        <v>-1</v>
      </c>
      <c r="Y357">
        <v>9</v>
      </c>
      <c r="Z357">
        <v>10</v>
      </c>
      <c r="AA357">
        <v>-1</v>
      </c>
      <c r="AB357">
        <v>8</v>
      </c>
      <c r="AC357">
        <v>8</v>
      </c>
      <c r="AD357">
        <v>0</v>
      </c>
      <c r="AE357">
        <v>9</v>
      </c>
      <c r="AF357">
        <v>8</v>
      </c>
      <c r="AG357">
        <v>1</v>
      </c>
      <c r="AH357">
        <v>9</v>
      </c>
      <c r="AI357">
        <v>10</v>
      </c>
      <c r="AJ357">
        <v>-1</v>
      </c>
      <c r="AK357" t="s">
        <v>3405</v>
      </c>
      <c r="AL357" t="s">
        <v>3406</v>
      </c>
      <c r="AM357" t="s">
        <v>3407</v>
      </c>
      <c r="AN357" t="s">
        <v>3408</v>
      </c>
      <c r="AO357" t="s">
        <v>3409</v>
      </c>
      <c r="AP357" t="s">
        <v>3410</v>
      </c>
      <c r="AQ357" t="s">
        <v>3411</v>
      </c>
      <c r="AR357" t="s">
        <v>3412</v>
      </c>
      <c r="AS357" t="s">
        <v>3413</v>
      </c>
    </row>
    <row r="358" spans="1:45" x14ac:dyDescent="0.45">
      <c r="A358">
        <v>357</v>
      </c>
      <c r="B358">
        <v>2347</v>
      </c>
      <c r="C358" t="s">
        <v>78</v>
      </c>
      <c r="D358" t="s">
        <v>81</v>
      </c>
      <c r="E358" t="s">
        <v>74</v>
      </c>
      <c r="F358" t="s">
        <v>77</v>
      </c>
      <c r="G358" t="s">
        <v>76</v>
      </c>
      <c r="H358">
        <v>25.004337059616322</v>
      </c>
      <c r="I358">
        <v>0</v>
      </c>
      <c r="J358">
        <v>6</v>
      </c>
      <c r="K358">
        <v>9</v>
      </c>
      <c r="L358">
        <v>-3</v>
      </c>
      <c r="M358">
        <v>7</v>
      </c>
      <c r="N358">
        <v>9</v>
      </c>
      <c r="O358">
        <v>-2</v>
      </c>
      <c r="P358">
        <v>8</v>
      </c>
      <c r="Q358">
        <v>8</v>
      </c>
      <c r="R358">
        <v>0</v>
      </c>
      <c r="S358">
        <v>9</v>
      </c>
      <c r="T358">
        <v>9</v>
      </c>
      <c r="U358">
        <v>0</v>
      </c>
      <c r="V358">
        <v>8</v>
      </c>
      <c r="W358">
        <v>8</v>
      </c>
      <c r="X358">
        <v>0</v>
      </c>
      <c r="Y358">
        <v>9</v>
      </c>
      <c r="Z358">
        <v>8</v>
      </c>
      <c r="AA358">
        <v>1</v>
      </c>
      <c r="AB358">
        <v>8</v>
      </c>
      <c r="AC358">
        <v>7</v>
      </c>
      <c r="AD358">
        <v>1</v>
      </c>
      <c r="AE358">
        <v>7</v>
      </c>
      <c r="AF358">
        <v>7</v>
      </c>
      <c r="AG358">
        <v>0</v>
      </c>
      <c r="AH358">
        <v>9</v>
      </c>
      <c r="AI358">
        <v>8</v>
      </c>
      <c r="AJ358">
        <v>1</v>
      </c>
      <c r="AK358" t="s">
        <v>3414</v>
      </c>
      <c r="AL358" t="s">
        <v>3415</v>
      </c>
      <c r="AM358" t="s">
        <v>3004</v>
      </c>
      <c r="AN358" t="s">
        <v>3416</v>
      </c>
      <c r="AO358" t="s">
        <v>3417</v>
      </c>
      <c r="AP358" t="s">
        <v>3418</v>
      </c>
      <c r="AQ358" t="s">
        <v>3419</v>
      </c>
      <c r="AR358" t="s">
        <v>3420</v>
      </c>
      <c r="AS358" t="s">
        <v>3421</v>
      </c>
    </row>
    <row r="359" spans="1:45" x14ac:dyDescent="0.45">
      <c r="A359">
        <v>358</v>
      </c>
      <c r="B359">
        <v>2348</v>
      </c>
      <c r="C359" t="s">
        <v>72</v>
      </c>
      <c r="D359" t="s">
        <v>189</v>
      </c>
      <c r="E359" t="s">
        <v>74</v>
      </c>
      <c r="F359" t="s">
        <v>77</v>
      </c>
      <c r="G359" t="s">
        <v>76</v>
      </c>
      <c r="H359">
        <v>13.343862758706214</v>
      </c>
      <c r="I359">
        <v>0</v>
      </c>
      <c r="J359">
        <v>6</v>
      </c>
      <c r="K359">
        <v>7</v>
      </c>
      <c r="L359">
        <v>-1</v>
      </c>
      <c r="M359">
        <v>7</v>
      </c>
      <c r="N359">
        <v>7</v>
      </c>
      <c r="O359">
        <v>0</v>
      </c>
      <c r="P359">
        <v>8</v>
      </c>
      <c r="Q359">
        <v>7</v>
      </c>
      <c r="R359">
        <v>1</v>
      </c>
      <c r="S359">
        <v>9</v>
      </c>
      <c r="T359">
        <v>8</v>
      </c>
      <c r="U359">
        <v>1</v>
      </c>
      <c r="V359">
        <v>8</v>
      </c>
      <c r="W359">
        <v>7</v>
      </c>
      <c r="X359">
        <v>1</v>
      </c>
      <c r="Y359">
        <v>7</v>
      </c>
      <c r="Z359">
        <v>9</v>
      </c>
      <c r="AA359">
        <v>-2</v>
      </c>
      <c r="AB359">
        <v>6</v>
      </c>
      <c r="AC359">
        <v>8</v>
      </c>
      <c r="AD359">
        <v>-2</v>
      </c>
      <c r="AE359">
        <v>7</v>
      </c>
      <c r="AF359">
        <v>8</v>
      </c>
      <c r="AG359">
        <v>-1</v>
      </c>
      <c r="AH359">
        <v>8</v>
      </c>
      <c r="AI359">
        <v>8</v>
      </c>
      <c r="AJ359">
        <v>0</v>
      </c>
      <c r="AK359" t="s">
        <v>3422</v>
      </c>
      <c r="AL359" t="s">
        <v>3423</v>
      </c>
      <c r="AM359" t="s">
        <v>3424</v>
      </c>
      <c r="AN359" t="s">
        <v>3425</v>
      </c>
      <c r="AO359" t="s">
        <v>3426</v>
      </c>
      <c r="AP359" t="s">
        <v>3427</v>
      </c>
      <c r="AQ359" t="s">
        <v>3428</v>
      </c>
      <c r="AR359" t="s">
        <v>3429</v>
      </c>
      <c r="AS359" t="s">
        <v>3430</v>
      </c>
    </row>
    <row r="360" spans="1:45" x14ac:dyDescent="0.45">
      <c r="A360">
        <v>359</v>
      </c>
      <c r="B360">
        <v>2349</v>
      </c>
      <c r="C360" t="s">
        <v>72</v>
      </c>
      <c r="D360" t="s">
        <v>81</v>
      </c>
      <c r="E360" t="s">
        <v>74</v>
      </c>
      <c r="F360" t="s">
        <v>77</v>
      </c>
      <c r="G360" t="s">
        <v>76</v>
      </c>
      <c r="H360">
        <v>18.804621973749335</v>
      </c>
      <c r="I360">
        <v>1</v>
      </c>
      <c r="J360">
        <v>6</v>
      </c>
      <c r="K360">
        <v>4</v>
      </c>
      <c r="L360">
        <v>2</v>
      </c>
      <c r="M360">
        <v>7</v>
      </c>
      <c r="N360">
        <v>5</v>
      </c>
      <c r="O360">
        <v>2</v>
      </c>
      <c r="P360">
        <v>9</v>
      </c>
      <c r="Q360">
        <v>6</v>
      </c>
      <c r="R360">
        <v>3</v>
      </c>
      <c r="S360">
        <v>10</v>
      </c>
      <c r="T360">
        <v>7</v>
      </c>
      <c r="U360">
        <v>3</v>
      </c>
      <c r="V360">
        <v>8</v>
      </c>
      <c r="W360">
        <v>7</v>
      </c>
      <c r="X360">
        <v>1</v>
      </c>
      <c r="Y360">
        <v>9</v>
      </c>
      <c r="Z360">
        <v>6</v>
      </c>
      <c r="AA360">
        <v>3</v>
      </c>
      <c r="AB360">
        <v>8</v>
      </c>
      <c r="AC360">
        <v>4</v>
      </c>
      <c r="AD360">
        <v>4</v>
      </c>
      <c r="AE360">
        <v>7</v>
      </c>
      <c r="AF360">
        <v>6</v>
      </c>
      <c r="AG360">
        <v>1</v>
      </c>
      <c r="AH360">
        <v>9</v>
      </c>
      <c r="AI360">
        <v>7</v>
      </c>
      <c r="AJ360">
        <v>2</v>
      </c>
      <c r="AK360" t="s">
        <v>3431</v>
      </c>
      <c r="AL360" t="s">
        <v>3432</v>
      </c>
      <c r="AM360" t="s">
        <v>3433</v>
      </c>
      <c r="AN360" t="s">
        <v>3434</v>
      </c>
      <c r="AO360" t="s">
        <v>3435</v>
      </c>
      <c r="AP360" t="s">
        <v>3436</v>
      </c>
      <c r="AQ360" t="s">
        <v>3437</v>
      </c>
      <c r="AR360" t="s">
        <v>3438</v>
      </c>
      <c r="AS360" t="s">
        <v>3439</v>
      </c>
    </row>
    <row r="361" spans="1:45" x14ac:dyDescent="0.45">
      <c r="A361">
        <v>360</v>
      </c>
      <c r="B361">
        <v>2350</v>
      </c>
      <c r="C361" t="s">
        <v>78</v>
      </c>
      <c r="D361" t="s">
        <v>81</v>
      </c>
      <c r="E361" t="s">
        <v>74</v>
      </c>
      <c r="F361" t="s">
        <v>77</v>
      </c>
      <c r="G361" t="s">
        <v>76</v>
      </c>
      <c r="H361">
        <v>21.424811989680624</v>
      </c>
      <c r="I361">
        <v>0</v>
      </c>
      <c r="J361">
        <v>6</v>
      </c>
      <c r="K361">
        <v>9</v>
      </c>
      <c r="L361">
        <v>-3</v>
      </c>
      <c r="M361">
        <v>6</v>
      </c>
      <c r="N361">
        <v>8</v>
      </c>
      <c r="O361">
        <v>-2</v>
      </c>
      <c r="P361">
        <v>9</v>
      </c>
      <c r="Q361">
        <v>8</v>
      </c>
      <c r="R361">
        <v>1</v>
      </c>
      <c r="S361">
        <v>8</v>
      </c>
      <c r="T361">
        <v>8</v>
      </c>
      <c r="U361">
        <v>0</v>
      </c>
      <c r="V361">
        <v>9</v>
      </c>
      <c r="W361">
        <v>7</v>
      </c>
      <c r="X361">
        <v>2</v>
      </c>
      <c r="Y361">
        <v>9</v>
      </c>
      <c r="Z361">
        <v>7</v>
      </c>
      <c r="AA361">
        <v>2</v>
      </c>
      <c r="AB361">
        <v>8</v>
      </c>
      <c r="AC361">
        <v>6</v>
      </c>
      <c r="AD361">
        <v>2</v>
      </c>
      <c r="AE361">
        <v>9</v>
      </c>
      <c r="AF361">
        <v>7</v>
      </c>
      <c r="AG361">
        <v>2</v>
      </c>
      <c r="AH361">
        <v>9</v>
      </c>
      <c r="AI361">
        <v>8</v>
      </c>
      <c r="AJ361">
        <v>1</v>
      </c>
      <c r="AK361" t="s">
        <v>3440</v>
      </c>
      <c r="AL361" t="s">
        <v>3441</v>
      </c>
      <c r="AM361" t="s">
        <v>3442</v>
      </c>
      <c r="AN361" t="s">
        <v>3443</v>
      </c>
      <c r="AO361" t="s">
        <v>3444</v>
      </c>
      <c r="AP361" t="s">
        <v>3445</v>
      </c>
      <c r="AQ361" t="s">
        <v>3446</v>
      </c>
      <c r="AR361" t="s">
        <v>3447</v>
      </c>
      <c r="AS361" t="s">
        <v>3448</v>
      </c>
    </row>
    <row r="362" spans="1:45" x14ac:dyDescent="0.45">
      <c r="A362">
        <v>361</v>
      </c>
      <c r="B362">
        <v>2351</v>
      </c>
      <c r="C362" t="s">
        <v>72</v>
      </c>
      <c r="D362" t="s">
        <v>189</v>
      </c>
      <c r="E362" t="s">
        <v>74</v>
      </c>
      <c r="F362" t="s">
        <v>77</v>
      </c>
      <c r="G362" t="s">
        <v>76</v>
      </c>
      <c r="H362">
        <v>12</v>
      </c>
      <c r="I362">
        <v>0</v>
      </c>
      <c r="J362">
        <v>7</v>
      </c>
      <c r="K362">
        <v>7</v>
      </c>
      <c r="L362">
        <v>0</v>
      </c>
      <c r="M362">
        <v>6</v>
      </c>
      <c r="N362">
        <v>7</v>
      </c>
      <c r="O362">
        <v>-1</v>
      </c>
      <c r="P362">
        <v>8</v>
      </c>
      <c r="Q362">
        <v>8</v>
      </c>
      <c r="R362">
        <v>0</v>
      </c>
      <c r="S362">
        <v>9</v>
      </c>
      <c r="T362">
        <v>9</v>
      </c>
      <c r="U362">
        <v>0</v>
      </c>
      <c r="V362">
        <v>8</v>
      </c>
      <c r="W362">
        <v>7</v>
      </c>
      <c r="X362">
        <v>1</v>
      </c>
      <c r="Y362">
        <v>9</v>
      </c>
      <c r="Z362">
        <v>10</v>
      </c>
      <c r="AA362">
        <v>-1</v>
      </c>
      <c r="AB362">
        <v>8</v>
      </c>
      <c r="AC362">
        <v>8</v>
      </c>
      <c r="AD362">
        <v>0</v>
      </c>
      <c r="AE362">
        <v>7</v>
      </c>
      <c r="AF362">
        <v>8</v>
      </c>
      <c r="AG362">
        <v>-1</v>
      </c>
      <c r="AH362">
        <v>9</v>
      </c>
      <c r="AI362">
        <v>10</v>
      </c>
      <c r="AJ362">
        <v>-1</v>
      </c>
      <c r="AK362" t="s">
        <v>202</v>
      </c>
      <c r="AL362" t="s">
        <v>202</v>
      </c>
      <c r="AM362" t="s">
        <v>202</v>
      </c>
      <c r="AN362" t="s">
        <v>202</v>
      </c>
      <c r="AO362" t="s">
        <v>202</v>
      </c>
      <c r="AP362" t="s">
        <v>202</v>
      </c>
      <c r="AQ362" t="s">
        <v>202</v>
      </c>
      <c r="AR362" t="s">
        <v>202</v>
      </c>
      <c r="AS362" t="s">
        <v>202</v>
      </c>
    </row>
    <row r="363" spans="1:45" x14ac:dyDescent="0.45">
      <c r="A363">
        <v>362</v>
      </c>
      <c r="B363">
        <v>2352</v>
      </c>
      <c r="C363" t="s">
        <v>72</v>
      </c>
      <c r="D363" t="s">
        <v>189</v>
      </c>
      <c r="E363" t="s">
        <v>74</v>
      </c>
      <c r="F363" t="s">
        <v>77</v>
      </c>
      <c r="G363" t="s">
        <v>76</v>
      </c>
      <c r="H363">
        <v>15.250439861908996</v>
      </c>
      <c r="I363">
        <v>0</v>
      </c>
      <c r="J363">
        <v>8</v>
      </c>
      <c r="K363">
        <v>3</v>
      </c>
      <c r="L363">
        <v>5</v>
      </c>
      <c r="M363">
        <v>9</v>
      </c>
      <c r="N363">
        <v>3</v>
      </c>
      <c r="O363">
        <v>6</v>
      </c>
      <c r="P363">
        <v>9</v>
      </c>
      <c r="Q363">
        <v>5</v>
      </c>
      <c r="R363">
        <v>4</v>
      </c>
      <c r="S363">
        <v>8</v>
      </c>
      <c r="T363">
        <v>6</v>
      </c>
      <c r="U363">
        <v>2</v>
      </c>
      <c r="V363">
        <v>9</v>
      </c>
      <c r="W363">
        <v>5</v>
      </c>
      <c r="X363">
        <v>4</v>
      </c>
      <c r="Y363">
        <v>9</v>
      </c>
      <c r="Z363">
        <v>6</v>
      </c>
      <c r="AA363">
        <v>3</v>
      </c>
      <c r="AB363">
        <v>9</v>
      </c>
      <c r="AC363">
        <v>4</v>
      </c>
      <c r="AD363">
        <v>5</v>
      </c>
      <c r="AE363">
        <v>8</v>
      </c>
      <c r="AF363">
        <v>6</v>
      </c>
      <c r="AG363">
        <v>2</v>
      </c>
      <c r="AH363">
        <v>9</v>
      </c>
      <c r="AI363">
        <v>6</v>
      </c>
      <c r="AJ363">
        <v>3</v>
      </c>
      <c r="AK363" t="s">
        <v>3449</v>
      </c>
      <c r="AL363" t="s">
        <v>3450</v>
      </c>
      <c r="AM363" t="s">
        <v>3451</v>
      </c>
      <c r="AN363" t="s">
        <v>3452</v>
      </c>
      <c r="AO363" t="s">
        <v>3453</v>
      </c>
      <c r="AP363" t="s">
        <v>3454</v>
      </c>
      <c r="AQ363" t="s">
        <v>3455</v>
      </c>
      <c r="AR363" t="s">
        <v>930</v>
      </c>
      <c r="AS363" t="s">
        <v>3456</v>
      </c>
    </row>
    <row r="364" spans="1:45" x14ac:dyDescent="0.45">
      <c r="A364">
        <v>363</v>
      </c>
      <c r="B364">
        <v>2353</v>
      </c>
      <c r="C364" t="s">
        <v>78</v>
      </c>
      <c r="D364" t="s">
        <v>81</v>
      </c>
      <c r="E364" t="s">
        <v>74</v>
      </c>
      <c r="F364" t="s">
        <v>77</v>
      </c>
      <c r="G364" t="s">
        <v>76</v>
      </c>
      <c r="H364">
        <v>29.363439304212196</v>
      </c>
      <c r="I364">
        <v>1</v>
      </c>
      <c r="J364">
        <v>7</v>
      </c>
      <c r="K364">
        <v>8</v>
      </c>
      <c r="L364">
        <v>-1</v>
      </c>
      <c r="M364">
        <v>6</v>
      </c>
      <c r="N364">
        <v>8</v>
      </c>
      <c r="O364">
        <v>-2</v>
      </c>
      <c r="P364">
        <v>8</v>
      </c>
      <c r="Q364">
        <v>5</v>
      </c>
      <c r="R364">
        <v>3</v>
      </c>
      <c r="S364">
        <v>9</v>
      </c>
      <c r="T364">
        <v>7</v>
      </c>
      <c r="U364">
        <v>2</v>
      </c>
      <c r="V364">
        <v>7</v>
      </c>
      <c r="W364">
        <v>5</v>
      </c>
      <c r="X364">
        <v>2</v>
      </c>
      <c r="Y364">
        <v>9</v>
      </c>
      <c r="Z364">
        <v>8</v>
      </c>
      <c r="AA364">
        <v>1</v>
      </c>
      <c r="AB364">
        <v>7</v>
      </c>
      <c r="AC364">
        <v>5</v>
      </c>
      <c r="AD364">
        <v>2</v>
      </c>
      <c r="AE364">
        <v>8</v>
      </c>
      <c r="AF364">
        <v>7</v>
      </c>
      <c r="AG364">
        <v>1</v>
      </c>
      <c r="AH364">
        <v>9</v>
      </c>
      <c r="AI364">
        <v>8</v>
      </c>
      <c r="AJ364">
        <v>1</v>
      </c>
      <c r="AK364" t="s">
        <v>3457</v>
      </c>
      <c r="AL364" t="s">
        <v>3458</v>
      </c>
      <c r="AM364" t="s">
        <v>3459</v>
      </c>
      <c r="AN364" t="s">
        <v>3460</v>
      </c>
      <c r="AO364" t="s">
        <v>3461</v>
      </c>
      <c r="AP364" t="s">
        <v>3462</v>
      </c>
      <c r="AQ364" t="s">
        <v>3463</v>
      </c>
      <c r="AR364" t="s">
        <v>3464</v>
      </c>
      <c r="AS364" t="s">
        <v>3465</v>
      </c>
    </row>
    <row r="365" spans="1:45" x14ac:dyDescent="0.45">
      <c r="A365">
        <v>364</v>
      </c>
      <c r="B365">
        <v>2354</v>
      </c>
      <c r="C365" t="s">
        <v>78</v>
      </c>
      <c r="D365" t="s">
        <v>73</v>
      </c>
      <c r="E365" t="s">
        <v>74</v>
      </c>
      <c r="F365" t="s">
        <v>77</v>
      </c>
      <c r="G365" t="s">
        <v>76</v>
      </c>
      <c r="H365">
        <v>18.725084011725549</v>
      </c>
      <c r="I365">
        <v>1</v>
      </c>
      <c r="J365">
        <v>6</v>
      </c>
      <c r="K365">
        <v>4</v>
      </c>
      <c r="L365">
        <v>2</v>
      </c>
      <c r="M365">
        <v>7</v>
      </c>
      <c r="N365">
        <v>5</v>
      </c>
      <c r="O365">
        <v>2</v>
      </c>
      <c r="P365">
        <v>9</v>
      </c>
      <c r="Q365">
        <v>5</v>
      </c>
      <c r="R365">
        <v>4</v>
      </c>
      <c r="S365">
        <v>8</v>
      </c>
      <c r="T365">
        <v>7</v>
      </c>
      <c r="U365">
        <v>1</v>
      </c>
      <c r="V365">
        <v>9</v>
      </c>
      <c r="W365">
        <v>5</v>
      </c>
      <c r="X365">
        <v>4</v>
      </c>
      <c r="Y365">
        <v>8</v>
      </c>
      <c r="Z365">
        <v>7</v>
      </c>
      <c r="AA365">
        <v>1</v>
      </c>
      <c r="AB365">
        <v>9</v>
      </c>
      <c r="AC365">
        <v>5</v>
      </c>
      <c r="AD365">
        <v>4</v>
      </c>
      <c r="AE365">
        <v>7</v>
      </c>
      <c r="AF365">
        <v>6</v>
      </c>
      <c r="AG365">
        <v>1</v>
      </c>
      <c r="AH365">
        <v>9</v>
      </c>
      <c r="AI365">
        <v>7</v>
      </c>
      <c r="AJ365">
        <v>2</v>
      </c>
      <c r="AK365" t="s">
        <v>3466</v>
      </c>
      <c r="AL365" t="s">
        <v>3467</v>
      </c>
      <c r="AM365" t="s">
        <v>3468</v>
      </c>
      <c r="AN365" t="s">
        <v>3469</v>
      </c>
      <c r="AO365" t="s">
        <v>3470</v>
      </c>
      <c r="AP365" t="s">
        <v>3471</v>
      </c>
      <c r="AQ365" t="s">
        <v>3472</v>
      </c>
      <c r="AR365" t="s">
        <v>3473</v>
      </c>
      <c r="AS365" t="s">
        <v>3474</v>
      </c>
    </row>
    <row r="366" spans="1:45" x14ac:dyDescent="0.45">
      <c r="A366">
        <v>365</v>
      </c>
      <c r="B366">
        <v>2355</v>
      </c>
      <c r="C366" t="s">
        <v>72</v>
      </c>
      <c r="D366" t="s">
        <v>81</v>
      </c>
      <c r="E366" t="s">
        <v>74</v>
      </c>
      <c r="F366" t="s">
        <v>77</v>
      </c>
      <c r="G366" t="s">
        <v>76</v>
      </c>
      <c r="H366">
        <v>39.830690095258355</v>
      </c>
      <c r="I366">
        <v>0</v>
      </c>
      <c r="J366">
        <v>7</v>
      </c>
      <c r="K366">
        <v>9</v>
      </c>
      <c r="L366">
        <v>-2</v>
      </c>
      <c r="M366">
        <v>7</v>
      </c>
      <c r="N366">
        <v>9</v>
      </c>
      <c r="O366">
        <v>-2</v>
      </c>
      <c r="P366">
        <v>8</v>
      </c>
      <c r="Q366">
        <v>8</v>
      </c>
      <c r="R366">
        <v>0</v>
      </c>
      <c r="S366">
        <v>9</v>
      </c>
      <c r="T366">
        <v>9</v>
      </c>
      <c r="U366">
        <v>0</v>
      </c>
      <c r="V366">
        <v>6</v>
      </c>
      <c r="W366">
        <v>9</v>
      </c>
      <c r="X366">
        <v>-3</v>
      </c>
      <c r="Y366">
        <v>8</v>
      </c>
      <c r="Z366">
        <v>7</v>
      </c>
      <c r="AA366">
        <v>1</v>
      </c>
      <c r="AB366">
        <v>7</v>
      </c>
      <c r="AC366">
        <v>7</v>
      </c>
      <c r="AD366">
        <v>0</v>
      </c>
      <c r="AE366">
        <v>6</v>
      </c>
      <c r="AF366">
        <v>7</v>
      </c>
      <c r="AG366">
        <v>-1</v>
      </c>
      <c r="AH366">
        <v>8</v>
      </c>
      <c r="AI366">
        <v>7</v>
      </c>
      <c r="AJ366">
        <v>1</v>
      </c>
      <c r="AK366" t="s">
        <v>3475</v>
      </c>
      <c r="AL366" t="s">
        <v>3476</v>
      </c>
      <c r="AM366" t="s">
        <v>3477</v>
      </c>
      <c r="AN366" t="s">
        <v>3478</v>
      </c>
      <c r="AO366" t="s">
        <v>3479</v>
      </c>
      <c r="AP366" t="s">
        <v>3480</v>
      </c>
      <c r="AQ366" t="s">
        <v>3481</v>
      </c>
      <c r="AR366" t="s">
        <v>3482</v>
      </c>
      <c r="AS366" t="s">
        <v>3483</v>
      </c>
    </row>
    <row r="367" spans="1:45" x14ac:dyDescent="0.45">
      <c r="A367">
        <v>366</v>
      </c>
      <c r="B367">
        <v>2356</v>
      </c>
      <c r="C367" t="s">
        <v>78</v>
      </c>
      <c r="D367" t="s">
        <v>73</v>
      </c>
      <c r="E367" t="s">
        <v>74</v>
      </c>
      <c r="F367" t="s">
        <v>75</v>
      </c>
      <c r="G367" t="s">
        <v>76</v>
      </c>
      <c r="H367">
        <v>51.45867378392812</v>
      </c>
      <c r="I367">
        <v>1</v>
      </c>
      <c r="J367">
        <v>6</v>
      </c>
      <c r="K367">
        <v>7</v>
      </c>
      <c r="L367">
        <v>-1</v>
      </c>
      <c r="M367">
        <v>7</v>
      </c>
      <c r="N367">
        <v>8</v>
      </c>
      <c r="O367">
        <v>-1</v>
      </c>
      <c r="P367">
        <v>8</v>
      </c>
      <c r="Q367">
        <v>8</v>
      </c>
      <c r="R367">
        <v>0</v>
      </c>
      <c r="S367">
        <v>9</v>
      </c>
      <c r="T367">
        <v>8</v>
      </c>
      <c r="U367">
        <v>1</v>
      </c>
      <c r="V367">
        <v>8</v>
      </c>
      <c r="W367">
        <v>5</v>
      </c>
      <c r="X367">
        <v>3</v>
      </c>
      <c r="Y367">
        <v>9</v>
      </c>
      <c r="Z367">
        <v>6</v>
      </c>
      <c r="AA367">
        <v>3</v>
      </c>
      <c r="AB367">
        <v>7</v>
      </c>
      <c r="AC367">
        <v>5</v>
      </c>
      <c r="AD367">
        <v>2</v>
      </c>
      <c r="AE367">
        <v>9</v>
      </c>
      <c r="AF367">
        <v>6</v>
      </c>
      <c r="AG367">
        <v>3</v>
      </c>
      <c r="AH367">
        <v>8</v>
      </c>
      <c r="AI367">
        <v>6</v>
      </c>
      <c r="AJ367">
        <v>2</v>
      </c>
      <c r="AK367" t="s">
        <v>3484</v>
      </c>
      <c r="AL367" t="s">
        <v>3485</v>
      </c>
      <c r="AM367" t="s">
        <v>3486</v>
      </c>
      <c r="AN367" t="s">
        <v>3487</v>
      </c>
      <c r="AO367" t="s">
        <v>3488</v>
      </c>
      <c r="AP367" t="s">
        <v>3489</v>
      </c>
      <c r="AQ367" t="s">
        <v>3490</v>
      </c>
      <c r="AR367" t="s">
        <v>3491</v>
      </c>
      <c r="AS367" t="s">
        <v>3492</v>
      </c>
    </row>
    <row r="368" spans="1:45" x14ac:dyDescent="0.45">
      <c r="A368">
        <v>367</v>
      </c>
      <c r="B368">
        <v>2357</v>
      </c>
      <c r="C368" t="s">
        <v>72</v>
      </c>
      <c r="D368" t="s">
        <v>189</v>
      </c>
      <c r="E368" t="s">
        <v>74</v>
      </c>
      <c r="F368" t="s">
        <v>77</v>
      </c>
      <c r="G368" t="s">
        <v>76</v>
      </c>
      <c r="H368">
        <v>12.963323804232729</v>
      </c>
      <c r="I368">
        <v>0</v>
      </c>
      <c r="J368">
        <v>6</v>
      </c>
      <c r="K368">
        <v>8</v>
      </c>
      <c r="L368">
        <v>-2</v>
      </c>
      <c r="M368">
        <v>7</v>
      </c>
      <c r="N368">
        <v>9</v>
      </c>
      <c r="O368">
        <v>-2</v>
      </c>
      <c r="P368">
        <v>9</v>
      </c>
      <c r="Q368">
        <v>8</v>
      </c>
      <c r="R368">
        <v>1</v>
      </c>
      <c r="S368">
        <v>8</v>
      </c>
      <c r="T368">
        <v>8</v>
      </c>
      <c r="U368">
        <v>0</v>
      </c>
      <c r="V368">
        <v>9</v>
      </c>
      <c r="W368">
        <v>9</v>
      </c>
      <c r="X368">
        <v>0</v>
      </c>
      <c r="Y368">
        <v>8</v>
      </c>
      <c r="Z368">
        <v>10</v>
      </c>
      <c r="AA368">
        <v>-2</v>
      </c>
      <c r="AB368">
        <v>9</v>
      </c>
      <c r="AC368">
        <v>10</v>
      </c>
      <c r="AD368">
        <v>-1</v>
      </c>
      <c r="AE368">
        <v>8</v>
      </c>
      <c r="AF368">
        <v>9</v>
      </c>
      <c r="AG368">
        <v>-1</v>
      </c>
      <c r="AH368">
        <v>9</v>
      </c>
      <c r="AI368">
        <v>10</v>
      </c>
      <c r="AJ368">
        <v>-1</v>
      </c>
      <c r="AK368" t="s">
        <v>3493</v>
      </c>
      <c r="AL368" t="s">
        <v>3494</v>
      </c>
      <c r="AM368" t="s">
        <v>3495</v>
      </c>
      <c r="AN368" t="s">
        <v>3496</v>
      </c>
      <c r="AO368" t="s">
        <v>3497</v>
      </c>
      <c r="AP368" t="s">
        <v>3498</v>
      </c>
      <c r="AQ368" t="s">
        <v>3499</v>
      </c>
      <c r="AR368" t="s">
        <v>3500</v>
      </c>
      <c r="AS368" t="s">
        <v>3501</v>
      </c>
    </row>
    <row r="369" spans="1:45" x14ac:dyDescent="0.45">
      <c r="A369">
        <v>368</v>
      </c>
      <c r="B369">
        <v>2358</v>
      </c>
      <c r="C369" t="s">
        <v>72</v>
      </c>
      <c r="D369" t="s">
        <v>81</v>
      </c>
      <c r="E369" t="s">
        <v>74</v>
      </c>
      <c r="F369" t="s">
        <v>75</v>
      </c>
      <c r="G369" t="s">
        <v>76</v>
      </c>
      <c r="H369">
        <v>29.994046877652671</v>
      </c>
      <c r="I369">
        <v>2</v>
      </c>
      <c r="J369">
        <v>6</v>
      </c>
      <c r="K369">
        <v>7</v>
      </c>
      <c r="L369">
        <v>-1</v>
      </c>
      <c r="M369">
        <v>5</v>
      </c>
      <c r="N369">
        <v>7</v>
      </c>
      <c r="O369">
        <v>-2</v>
      </c>
      <c r="P369">
        <v>8</v>
      </c>
      <c r="Q369">
        <v>8</v>
      </c>
      <c r="R369">
        <v>0</v>
      </c>
      <c r="S369">
        <v>9</v>
      </c>
      <c r="T369">
        <v>8</v>
      </c>
      <c r="U369">
        <v>1</v>
      </c>
      <c r="V369">
        <v>7</v>
      </c>
      <c r="W369">
        <v>6</v>
      </c>
      <c r="X369">
        <v>1</v>
      </c>
      <c r="Y369">
        <v>9</v>
      </c>
      <c r="Z369">
        <v>8</v>
      </c>
      <c r="AA369">
        <v>1</v>
      </c>
      <c r="AB369">
        <v>8</v>
      </c>
      <c r="AC369">
        <v>6</v>
      </c>
      <c r="AD369">
        <v>2</v>
      </c>
      <c r="AE369">
        <v>7</v>
      </c>
      <c r="AF369">
        <v>7</v>
      </c>
      <c r="AG369">
        <v>0</v>
      </c>
      <c r="AH369">
        <v>9</v>
      </c>
      <c r="AI369">
        <v>8</v>
      </c>
      <c r="AJ369">
        <v>1</v>
      </c>
      <c r="AK369" t="s">
        <v>3502</v>
      </c>
      <c r="AL369" t="s">
        <v>3503</v>
      </c>
      <c r="AM369" t="s">
        <v>3504</v>
      </c>
      <c r="AN369" t="s">
        <v>3505</v>
      </c>
      <c r="AO369" t="s">
        <v>3506</v>
      </c>
      <c r="AP369" t="s">
        <v>3507</v>
      </c>
      <c r="AQ369" t="s">
        <v>3508</v>
      </c>
      <c r="AR369" t="s">
        <v>3509</v>
      </c>
      <c r="AS369" t="s">
        <v>271</v>
      </c>
    </row>
    <row r="370" spans="1:45" x14ac:dyDescent="0.45">
      <c r="A370">
        <v>369</v>
      </c>
      <c r="B370">
        <v>2359</v>
      </c>
      <c r="C370" t="s">
        <v>78</v>
      </c>
      <c r="D370" t="s">
        <v>81</v>
      </c>
      <c r="E370" t="s">
        <v>74</v>
      </c>
      <c r="F370" t="s">
        <v>77</v>
      </c>
      <c r="G370" t="s">
        <v>76</v>
      </c>
      <c r="H370">
        <v>12.136423705738206</v>
      </c>
      <c r="I370">
        <v>0</v>
      </c>
      <c r="J370">
        <v>8</v>
      </c>
      <c r="K370">
        <v>6</v>
      </c>
      <c r="L370">
        <v>2</v>
      </c>
      <c r="M370">
        <v>8</v>
      </c>
      <c r="N370">
        <v>6</v>
      </c>
      <c r="O370">
        <v>2</v>
      </c>
      <c r="P370">
        <v>9</v>
      </c>
      <c r="Q370">
        <v>8</v>
      </c>
      <c r="R370">
        <v>1</v>
      </c>
      <c r="S370">
        <v>9</v>
      </c>
      <c r="T370">
        <v>9</v>
      </c>
      <c r="U370">
        <v>0</v>
      </c>
      <c r="V370">
        <v>8</v>
      </c>
      <c r="W370">
        <v>8</v>
      </c>
      <c r="X370">
        <v>0</v>
      </c>
      <c r="Y370">
        <v>9</v>
      </c>
      <c r="Z370">
        <v>8</v>
      </c>
      <c r="AA370">
        <v>1</v>
      </c>
      <c r="AB370">
        <v>8</v>
      </c>
      <c r="AC370">
        <v>5</v>
      </c>
      <c r="AD370">
        <v>3</v>
      </c>
      <c r="AE370">
        <v>9</v>
      </c>
      <c r="AF370">
        <v>7</v>
      </c>
      <c r="AG370">
        <v>2</v>
      </c>
      <c r="AH370">
        <v>9</v>
      </c>
      <c r="AI370">
        <v>8</v>
      </c>
      <c r="AJ370">
        <v>1</v>
      </c>
      <c r="AK370" t="s">
        <v>3510</v>
      </c>
      <c r="AL370" t="s">
        <v>3511</v>
      </c>
      <c r="AM370" t="s">
        <v>3512</v>
      </c>
      <c r="AN370" t="s">
        <v>3513</v>
      </c>
      <c r="AO370" t="s">
        <v>3514</v>
      </c>
      <c r="AP370" t="s">
        <v>3515</v>
      </c>
      <c r="AQ370" t="s">
        <v>3516</v>
      </c>
      <c r="AR370" t="s">
        <v>3517</v>
      </c>
      <c r="AS370" t="s">
        <v>3518</v>
      </c>
    </row>
    <row r="371" spans="1:45" x14ac:dyDescent="0.45">
      <c r="A371">
        <v>370</v>
      </c>
      <c r="B371">
        <v>2360</v>
      </c>
      <c r="C371" t="s">
        <v>78</v>
      </c>
      <c r="D371" t="s">
        <v>189</v>
      </c>
      <c r="E371" t="s">
        <v>74</v>
      </c>
      <c r="F371" t="s">
        <v>77</v>
      </c>
      <c r="G371" t="s">
        <v>76</v>
      </c>
      <c r="H371">
        <v>20.792196320437082</v>
      </c>
      <c r="I371">
        <v>0</v>
      </c>
      <c r="J371">
        <v>6</v>
      </c>
      <c r="K371">
        <v>6</v>
      </c>
      <c r="L371">
        <v>0</v>
      </c>
      <c r="M371">
        <v>6</v>
      </c>
      <c r="N371">
        <v>7</v>
      </c>
      <c r="O371">
        <v>-1</v>
      </c>
      <c r="P371">
        <v>7</v>
      </c>
      <c r="Q371">
        <v>7</v>
      </c>
      <c r="R371">
        <v>0</v>
      </c>
      <c r="S371">
        <v>8</v>
      </c>
      <c r="T371">
        <v>9</v>
      </c>
      <c r="U371">
        <v>-1</v>
      </c>
      <c r="W371">
        <v>7</v>
      </c>
      <c r="Z371">
        <v>9</v>
      </c>
      <c r="AC371">
        <v>9</v>
      </c>
      <c r="AF371">
        <v>9</v>
      </c>
      <c r="AI371">
        <v>9</v>
      </c>
      <c r="AK371" t="s">
        <v>202</v>
      </c>
      <c r="AL371" t="s">
        <v>202</v>
      </c>
      <c r="AM371" t="s">
        <v>202</v>
      </c>
      <c r="AN371" t="s">
        <v>202</v>
      </c>
      <c r="AO371" t="s">
        <v>202</v>
      </c>
      <c r="AP371" t="s">
        <v>202</v>
      </c>
      <c r="AQ371" t="s">
        <v>202</v>
      </c>
      <c r="AR371" t="s">
        <v>202</v>
      </c>
      <c r="AS371" t="s">
        <v>202</v>
      </c>
    </row>
    <row r="372" spans="1:45" x14ac:dyDescent="0.45">
      <c r="A372">
        <v>371</v>
      </c>
      <c r="B372">
        <v>2361</v>
      </c>
      <c r="C372" t="s">
        <v>78</v>
      </c>
      <c r="D372" t="s">
        <v>79</v>
      </c>
      <c r="E372" t="s">
        <v>74</v>
      </c>
      <c r="F372" t="s">
        <v>75</v>
      </c>
      <c r="G372" t="s">
        <v>76</v>
      </c>
      <c r="H372">
        <v>64.658827631072882</v>
      </c>
      <c r="I372">
        <v>3</v>
      </c>
      <c r="J372">
        <v>6</v>
      </c>
      <c r="K372">
        <v>4</v>
      </c>
      <c r="L372">
        <v>2</v>
      </c>
      <c r="M372">
        <v>7</v>
      </c>
      <c r="N372">
        <v>4</v>
      </c>
      <c r="O372">
        <v>3</v>
      </c>
      <c r="P372">
        <v>9</v>
      </c>
      <c r="Q372">
        <v>5</v>
      </c>
      <c r="R372">
        <v>4</v>
      </c>
      <c r="S372">
        <v>8</v>
      </c>
      <c r="T372">
        <v>5</v>
      </c>
      <c r="U372">
        <v>3</v>
      </c>
      <c r="V372">
        <v>6</v>
      </c>
      <c r="W372">
        <v>5</v>
      </c>
      <c r="X372">
        <v>1</v>
      </c>
      <c r="Y372">
        <v>9</v>
      </c>
      <c r="Z372">
        <v>4</v>
      </c>
      <c r="AA372">
        <v>5</v>
      </c>
      <c r="AB372">
        <v>7</v>
      </c>
      <c r="AC372">
        <v>5</v>
      </c>
      <c r="AD372">
        <v>2</v>
      </c>
      <c r="AE372">
        <v>8</v>
      </c>
      <c r="AF372">
        <v>6</v>
      </c>
      <c r="AG372">
        <v>2</v>
      </c>
      <c r="AH372">
        <v>9</v>
      </c>
      <c r="AI372">
        <v>5</v>
      </c>
      <c r="AJ372">
        <v>4</v>
      </c>
      <c r="AK372" t="s">
        <v>3519</v>
      </c>
      <c r="AL372" t="s">
        <v>3520</v>
      </c>
      <c r="AM372" t="s">
        <v>3521</v>
      </c>
      <c r="AN372" t="s">
        <v>3522</v>
      </c>
      <c r="AO372" t="s">
        <v>3523</v>
      </c>
      <c r="AP372" t="s">
        <v>3524</v>
      </c>
      <c r="AQ372" t="s">
        <v>3525</v>
      </c>
      <c r="AR372" t="s">
        <v>3526</v>
      </c>
      <c r="AS372" t="s">
        <v>3527</v>
      </c>
    </row>
    <row r="373" spans="1:45" x14ac:dyDescent="0.45">
      <c r="A373">
        <v>372</v>
      </c>
      <c r="B373">
        <v>2362</v>
      </c>
      <c r="C373" t="s">
        <v>72</v>
      </c>
      <c r="D373" t="s">
        <v>73</v>
      </c>
      <c r="E373" t="s">
        <v>74</v>
      </c>
      <c r="F373" t="s">
        <v>77</v>
      </c>
      <c r="G373" t="s">
        <v>76</v>
      </c>
      <c r="H373">
        <v>38.305383857010327</v>
      </c>
      <c r="I373">
        <v>2</v>
      </c>
      <c r="J373">
        <v>8</v>
      </c>
      <c r="K373">
        <v>6</v>
      </c>
      <c r="L373">
        <v>2</v>
      </c>
      <c r="M373">
        <v>9</v>
      </c>
      <c r="N373">
        <v>6</v>
      </c>
      <c r="O373">
        <v>3</v>
      </c>
      <c r="P373">
        <v>8</v>
      </c>
      <c r="Q373">
        <v>8</v>
      </c>
      <c r="R373">
        <v>0</v>
      </c>
      <c r="S373">
        <v>9</v>
      </c>
      <c r="T373">
        <v>8</v>
      </c>
      <c r="U373">
        <v>1</v>
      </c>
      <c r="V373">
        <v>8</v>
      </c>
      <c r="W373">
        <v>6</v>
      </c>
      <c r="X373">
        <v>2</v>
      </c>
      <c r="Y373">
        <v>9</v>
      </c>
      <c r="Z373">
        <v>7</v>
      </c>
      <c r="AA373">
        <v>2</v>
      </c>
      <c r="AB373">
        <v>8</v>
      </c>
      <c r="AC373">
        <v>5</v>
      </c>
      <c r="AD373">
        <v>3</v>
      </c>
      <c r="AE373">
        <v>9</v>
      </c>
      <c r="AF373">
        <v>6</v>
      </c>
      <c r="AG373">
        <v>3</v>
      </c>
      <c r="AH373">
        <v>9</v>
      </c>
      <c r="AI373">
        <v>6</v>
      </c>
      <c r="AJ373">
        <v>3</v>
      </c>
      <c r="AK373" t="s">
        <v>3528</v>
      </c>
      <c r="AL373" t="s">
        <v>3529</v>
      </c>
      <c r="AM373" t="s">
        <v>3530</v>
      </c>
      <c r="AN373" t="s">
        <v>3531</v>
      </c>
      <c r="AO373" t="s">
        <v>3532</v>
      </c>
      <c r="AP373" t="s">
        <v>3533</v>
      </c>
      <c r="AQ373" t="s">
        <v>3534</v>
      </c>
      <c r="AR373" t="s">
        <v>3535</v>
      </c>
      <c r="AS373" t="s">
        <v>3536</v>
      </c>
    </row>
    <row r="374" spans="1:45" x14ac:dyDescent="0.45">
      <c r="A374">
        <v>373</v>
      </c>
      <c r="B374">
        <v>2363</v>
      </c>
      <c r="C374" t="s">
        <v>72</v>
      </c>
      <c r="D374" t="s">
        <v>73</v>
      </c>
      <c r="E374" t="s">
        <v>74</v>
      </c>
      <c r="F374" t="s">
        <v>77</v>
      </c>
      <c r="G374" t="s">
        <v>76</v>
      </c>
      <c r="H374">
        <v>75.716250671386007</v>
      </c>
      <c r="I374">
        <v>2</v>
      </c>
      <c r="J374">
        <v>6</v>
      </c>
      <c r="K374">
        <v>8</v>
      </c>
      <c r="L374">
        <v>-2</v>
      </c>
      <c r="M374">
        <v>7</v>
      </c>
      <c r="N374">
        <v>8</v>
      </c>
      <c r="O374">
        <v>-1</v>
      </c>
      <c r="P374">
        <v>8</v>
      </c>
      <c r="Q374">
        <v>9</v>
      </c>
      <c r="R374">
        <v>-1</v>
      </c>
      <c r="S374">
        <v>9</v>
      </c>
      <c r="T374">
        <v>9</v>
      </c>
      <c r="U374">
        <v>0</v>
      </c>
      <c r="V374">
        <v>8</v>
      </c>
      <c r="W374">
        <v>5</v>
      </c>
      <c r="X374">
        <v>3</v>
      </c>
      <c r="Y374">
        <v>9</v>
      </c>
      <c r="Z374">
        <v>5</v>
      </c>
      <c r="AA374">
        <v>4</v>
      </c>
      <c r="AB374">
        <v>8</v>
      </c>
      <c r="AC374">
        <v>5</v>
      </c>
      <c r="AD374">
        <v>3</v>
      </c>
      <c r="AE374">
        <v>7</v>
      </c>
      <c r="AF374">
        <v>6</v>
      </c>
      <c r="AG374">
        <v>1</v>
      </c>
      <c r="AH374">
        <v>9</v>
      </c>
      <c r="AI374">
        <v>5</v>
      </c>
      <c r="AJ374">
        <v>4</v>
      </c>
      <c r="AK374" t="s">
        <v>3537</v>
      </c>
      <c r="AL374" t="s">
        <v>3538</v>
      </c>
      <c r="AM374" t="s">
        <v>3539</v>
      </c>
      <c r="AN374" t="s">
        <v>3540</v>
      </c>
      <c r="AO374" t="s">
        <v>3541</v>
      </c>
      <c r="AP374" t="s">
        <v>3542</v>
      </c>
      <c r="AQ374" t="s">
        <v>3543</v>
      </c>
      <c r="AR374" t="s">
        <v>3544</v>
      </c>
      <c r="AS374" t="s">
        <v>3545</v>
      </c>
    </row>
    <row r="375" spans="1:45" x14ac:dyDescent="0.45">
      <c r="A375">
        <v>374</v>
      </c>
      <c r="B375">
        <v>2364</v>
      </c>
      <c r="C375" t="s">
        <v>72</v>
      </c>
      <c r="D375" t="s">
        <v>73</v>
      </c>
      <c r="E375" t="s">
        <v>74</v>
      </c>
      <c r="F375" t="s">
        <v>77</v>
      </c>
      <c r="G375" t="s">
        <v>76</v>
      </c>
      <c r="H375">
        <v>46.286492782535312</v>
      </c>
      <c r="I375">
        <v>1</v>
      </c>
      <c r="J375">
        <v>7</v>
      </c>
      <c r="K375">
        <v>6</v>
      </c>
      <c r="L375">
        <v>1</v>
      </c>
      <c r="M375">
        <v>8</v>
      </c>
      <c r="N375">
        <v>6</v>
      </c>
      <c r="O375">
        <v>2</v>
      </c>
      <c r="P375">
        <v>9</v>
      </c>
      <c r="Q375">
        <v>7</v>
      </c>
      <c r="R375">
        <v>2</v>
      </c>
      <c r="S375">
        <v>9</v>
      </c>
      <c r="T375">
        <v>7</v>
      </c>
      <c r="U375">
        <v>2</v>
      </c>
      <c r="V375">
        <v>8</v>
      </c>
      <c r="W375">
        <v>6</v>
      </c>
      <c r="X375">
        <v>2</v>
      </c>
      <c r="Y375">
        <v>8</v>
      </c>
      <c r="Z375">
        <v>6</v>
      </c>
      <c r="AA375">
        <v>2</v>
      </c>
      <c r="AB375">
        <v>9</v>
      </c>
      <c r="AC375">
        <v>6</v>
      </c>
      <c r="AD375">
        <v>3</v>
      </c>
      <c r="AE375">
        <v>8</v>
      </c>
      <c r="AF375">
        <v>6</v>
      </c>
      <c r="AG375">
        <v>2</v>
      </c>
      <c r="AH375">
        <v>9</v>
      </c>
      <c r="AI375">
        <v>6</v>
      </c>
      <c r="AJ375">
        <v>3</v>
      </c>
      <c r="AK375" t="s">
        <v>3546</v>
      </c>
      <c r="AL375" t="s">
        <v>3547</v>
      </c>
      <c r="AM375" t="s">
        <v>3548</v>
      </c>
      <c r="AN375" t="s">
        <v>3549</v>
      </c>
      <c r="AO375" t="s">
        <v>3550</v>
      </c>
      <c r="AP375" t="s">
        <v>3551</v>
      </c>
      <c r="AQ375" t="s">
        <v>3552</v>
      </c>
      <c r="AR375" t="s">
        <v>3553</v>
      </c>
      <c r="AS375" t="s">
        <v>3554</v>
      </c>
    </row>
    <row r="376" spans="1:45" x14ac:dyDescent="0.45">
      <c r="A376">
        <v>375</v>
      </c>
      <c r="B376">
        <v>2365</v>
      </c>
      <c r="C376" t="s">
        <v>72</v>
      </c>
      <c r="D376" t="s">
        <v>73</v>
      </c>
      <c r="E376" t="s">
        <v>74</v>
      </c>
      <c r="F376" t="s">
        <v>77</v>
      </c>
      <c r="G376" t="s">
        <v>76</v>
      </c>
      <c r="H376">
        <v>61.904998155702714</v>
      </c>
      <c r="I376">
        <v>1</v>
      </c>
      <c r="J376">
        <v>7</v>
      </c>
      <c r="K376">
        <v>8</v>
      </c>
      <c r="L376">
        <v>-1</v>
      </c>
      <c r="M376">
        <v>8</v>
      </c>
      <c r="N376">
        <v>8</v>
      </c>
      <c r="O376">
        <v>0</v>
      </c>
      <c r="P376">
        <v>9</v>
      </c>
      <c r="Q376">
        <v>8</v>
      </c>
      <c r="R376">
        <v>1</v>
      </c>
      <c r="S376">
        <v>9</v>
      </c>
      <c r="T376">
        <v>8</v>
      </c>
      <c r="U376">
        <v>1</v>
      </c>
      <c r="V376">
        <v>8</v>
      </c>
      <c r="W376">
        <v>7</v>
      </c>
      <c r="X376">
        <v>1</v>
      </c>
      <c r="Y376">
        <v>9</v>
      </c>
      <c r="Z376">
        <v>6</v>
      </c>
      <c r="AA376">
        <v>3</v>
      </c>
      <c r="AB376">
        <v>8</v>
      </c>
      <c r="AC376">
        <v>6</v>
      </c>
      <c r="AD376">
        <v>2</v>
      </c>
      <c r="AE376">
        <v>7</v>
      </c>
      <c r="AF376">
        <v>5</v>
      </c>
      <c r="AG376">
        <v>2</v>
      </c>
      <c r="AH376">
        <v>9</v>
      </c>
      <c r="AI376">
        <v>7</v>
      </c>
      <c r="AJ376">
        <v>2</v>
      </c>
      <c r="AK376" t="s">
        <v>3555</v>
      </c>
      <c r="AL376" t="s">
        <v>3556</v>
      </c>
      <c r="AM376" t="s">
        <v>3557</v>
      </c>
      <c r="AN376" t="s">
        <v>3558</v>
      </c>
      <c r="AO376" t="s">
        <v>3559</v>
      </c>
      <c r="AP376" t="s">
        <v>3560</v>
      </c>
      <c r="AQ376" t="s">
        <v>3561</v>
      </c>
      <c r="AR376" t="s">
        <v>3562</v>
      </c>
      <c r="AS376" t="s">
        <v>3563</v>
      </c>
    </row>
    <row r="377" spans="1:45" x14ac:dyDescent="0.45">
      <c r="A377">
        <v>376</v>
      </c>
      <c r="B377">
        <v>2366</v>
      </c>
      <c r="C377" t="s">
        <v>72</v>
      </c>
      <c r="D377" t="s">
        <v>81</v>
      </c>
      <c r="E377" t="s">
        <v>74</v>
      </c>
      <c r="F377" t="s">
        <v>77</v>
      </c>
      <c r="G377" t="s">
        <v>76</v>
      </c>
      <c r="H377">
        <v>18.071519810931775</v>
      </c>
      <c r="I377">
        <v>0</v>
      </c>
      <c r="J377">
        <v>8</v>
      </c>
      <c r="K377">
        <v>6</v>
      </c>
      <c r="L377">
        <v>2</v>
      </c>
      <c r="M377">
        <v>9</v>
      </c>
      <c r="N377">
        <v>6</v>
      </c>
      <c r="O377">
        <v>3</v>
      </c>
      <c r="P377">
        <v>8</v>
      </c>
      <c r="Q377">
        <v>5</v>
      </c>
      <c r="R377">
        <v>3</v>
      </c>
      <c r="S377">
        <v>9</v>
      </c>
      <c r="T377">
        <v>7</v>
      </c>
      <c r="U377">
        <v>2</v>
      </c>
      <c r="V377">
        <v>8</v>
      </c>
      <c r="W377">
        <v>6</v>
      </c>
      <c r="X377">
        <v>2</v>
      </c>
      <c r="Y377">
        <v>9</v>
      </c>
      <c r="Z377">
        <v>7</v>
      </c>
      <c r="AA377">
        <v>2</v>
      </c>
      <c r="AB377">
        <v>8</v>
      </c>
      <c r="AC377">
        <v>5</v>
      </c>
      <c r="AD377">
        <v>3</v>
      </c>
      <c r="AE377">
        <v>8</v>
      </c>
      <c r="AF377">
        <v>6</v>
      </c>
      <c r="AG377">
        <v>2</v>
      </c>
      <c r="AH377">
        <v>9</v>
      </c>
      <c r="AI377">
        <v>7</v>
      </c>
      <c r="AJ377">
        <v>2</v>
      </c>
      <c r="AK377" t="s">
        <v>3564</v>
      </c>
      <c r="AL377" t="s">
        <v>3565</v>
      </c>
      <c r="AM377" t="s">
        <v>3566</v>
      </c>
      <c r="AN377" t="s">
        <v>3567</v>
      </c>
      <c r="AO377" t="s">
        <v>3568</v>
      </c>
      <c r="AP377" t="s">
        <v>3569</v>
      </c>
      <c r="AQ377" t="s">
        <v>3570</v>
      </c>
      <c r="AR377" t="s">
        <v>3571</v>
      </c>
      <c r="AS377" t="s">
        <v>3572</v>
      </c>
    </row>
    <row r="378" spans="1:45" x14ac:dyDescent="0.45">
      <c r="A378">
        <v>377</v>
      </c>
      <c r="B378">
        <v>2367</v>
      </c>
      <c r="C378" t="s">
        <v>78</v>
      </c>
      <c r="D378" t="s">
        <v>81</v>
      </c>
      <c r="E378" t="s">
        <v>74</v>
      </c>
      <c r="F378" t="s">
        <v>77</v>
      </c>
      <c r="G378" t="s">
        <v>76</v>
      </c>
      <c r="H378">
        <v>13.102010482953537</v>
      </c>
      <c r="I378">
        <v>0</v>
      </c>
      <c r="J378">
        <v>8</v>
      </c>
      <c r="K378">
        <v>7</v>
      </c>
      <c r="L378">
        <v>1</v>
      </c>
      <c r="M378">
        <v>9</v>
      </c>
      <c r="N378">
        <v>8</v>
      </c>
      <c r="O378">
        <v>1</v>
      </c>
      <c r="P378">
        <v>7</v>
      </c>
      <c r="Q378">
        <v>7</v>
      </c>
      <c r="R378">
        <v>0</v>
      </c>
      <c r="S378">
        <v>9</v>
      </c>
      <c r="T378">
        <v>7</v>
      </c>
      <c r="U378">
        <v>2</v>
      </c>
      <c r="V378">
        <v>8</v>
      </c>
      <c r="W378">
        <v>8</v>
      </c>
      <c r="X378">
        <v>0</v>
      </c>
      <c r="Y378">
        <v>9</v>
      </c>
      <c r="Z378">
        <v>9</v>
      </c>
      <c r="AA378">
        <v>0</v>
      </c>
      <c r="AB378">
        <v>7</v>
      </c>
      <c r="AC378">
        <v>7</v>
      </c>
      <c r="AD378">
        <v>0</v>
      </c>
      <c r="AE378">
        <v>8</v>
      </c>
      <c r="AF378">
        <v>7</v>
      </c>
      <c r="AG378">
        <v>1</v>
      </c>
      <c r="AH378">
        <v>9</v>
      </c>
      <c r="AI378">
        <v>8</v>
      </c>
      <c r="AJ378">
        <v>1</v>
      </c>
      <c r="AK378" t="s">
        <v>3573</v>
      </c>
      <c r="AL378" t="s">
        <v>3574</v>
      </c>
      <c r="AM378" t="s">
        <v>3575</v>
      </c>
      <c r="AN378" t="s">
        <v>3576</v>
      </c>
      <c r="AO378" t="s">
        <v>3577</v>
      </c>
      <c r="AP378" t="s">
        <v>3578</v>
      </c>
      <c r="AQ378" t="s">
        <v>3579</v>
      </c>
      <c r="AR378" t="s">
        <v>3580</v>
      </c>
      <c r="AS378" t="s">
        <v>3581</v>
      </c>
    </row>
    <row r="379" spans="1:45" x14ac:dyDescent="0.45">
      <c r="A379">
        <v>378</v>
      </c>
      <c r="B379">
        <v>2368</v>
      </c>
      <c r="C379" t="s">
        <v>72</v>
      </c>
      <c r="D379" t="s">
        <v>189</v>
      </c>
      <c r="E379" t="s">
        <v>74</v>
      </c>
      <c r="F379" t="s">
        <v>77</v>
      </c>
      <c r="G379" t="s">
        <v>76</v>
      </c>
      <c r="H379">
        <v>21.345968841037703</v>
      </c>
      <c r="I379">
        <v>0</v>
      </c>
      <c r="J379">
        <v>7</v>
      </c>
      <c r="K379">
        <v>6</v>
      </c>
      <c r="L379">
        <v>1</v>
      </c>
      <c r="M379">
        <v>8</v>
      </c>
      <c r="N379">
        <v>7</v>
      </c>
      <c r="O379">
        <v>1</v>
      </c>
      <c r="P379">
        <v>7</v>
      </c>
      <c r="Q379">
        <v>5</v>
      </c>
      <c r="R379">
        <v>2</v>
      </c>
      <c r="S379">
        <v>9</v>
      </c>
      <c r="T379">
        <v>8</v>
      </c>
      <c r="U379">
        <v>1</v>
      </c>
      <c r="V379">
        <v>7</v>
      </c>
      <c r="W379">
        <v>7</v>
      </c>
      <c r="X379">
        <v>0</v>
      </c>
      <c r="Y379">
        <v>8</v>
      </c>
      <c r="Z379">
        <v>7</v>
      </c>
      <c r="AA379">
        <v>1</v>
      </c>
      <c r="AB379">
        <v>7</v>
      </c>
      <c r="AC379">
        <v>7</v>
      </c>
      <c r="AD379">
        <v>0</v>
      </c>
      <c r="AE379">
        <v>8</v>
      </c>
      <c r="AF379">
        <v>7</v>
      </c>
      <c r="AG379">
        <v>1</v>
      </c>
      <c r="AH379">
        <v>9</v>
      </c>
      <c r="AI379">
        <v>8</v>
      </c>
      <c r="AJ379">
        <v>1</v>
      </c>
      <c r="AK379" t="s">
        <v>3582</v>
      </c>
      <c r="AL379" t="s">
        <v>3583</v>
      </c>
      <c r="AM379" t="s">
        <v>3584</v>
      </c>
      <c r="AN379" t="s">
        <v>252</v>
      </c>
      <c r="AO379" t="s">
        <v>3585</v>
      </c>
      <c r="AP379" t="s">
        <v>3586</v>
      </c>
      <c r="AQ379" t="s">
        <v>3587</v>
      </c>
      <c r="AR379" t="s">
        <v>3588</v>
      </c>
      <c r="AS379" t="s">
        <v>3589</v>
      </c>
    </row>
    <row r="380" spans="1:45" x14ac:dyDescent="0.45">
      <c r="A380">
        <v>379</v>
      </c>
      <c r="B380">
        <v>2369</v>
      </c>
      <c r="C380" t="s">
        <v>72</v>
      </c>
      <c r="D380" t="s">
        <v>189</v>
      </c>
      <c r="E380" t="s">
        <v>74</v>
      </c>
      <c r="F380" t="s">
        <v>77</v>
      </c>
      <c r="G380" t="s">
        <v>76</v>
      </c>
      <c r="H380">
        <v>13.086150560138417</v>
      </c>
      <c r="I380">
        <v>0</v>
      </c>
      <c r="J380">
        <v>6</v>
      </c>
      <c r="K380">
        <v>8</v>
      </c>
      <c r="L380">
        <v>-2</v>
      </c>
      <c r="M380">
        <v>8</v>
      </c>
      <c r="N380">
        <v>8</v>
      </c>
      <c r="O380">
        <v>0</v>
      </c>
      <c r="P380">
        <v>9</v>
      </c>
      <c r="Q380">
        <v>9</v>
      </c>
      <c r="R380">
        <v>0</v>
      </c>
      <c r="S380">
        <v>9</v>
      </c>
      <c r="T380">
        <v>9</v>
      </c>
      <c r="U380">
        <v>0</v>
      </c>
      <c r="V380">
        <v>7</v>
      </c>
      <c r="W380">
        <v>7</v>
      </c>
      <c r="X380">
        <v>0</v>
      </c>
      <c r="Y380">
        <v>9</v>
      </c>
      <c r="Z380">
        <v>9</v>
      </c>
      <c r="AA380">
        <v>0</v>
      </c>
      <c r="AB380">
        <v>8</v>
      </c>
      <c r="AC380">
        <v>7</v>
      </c>
      <c r="AD380">
        <v>1</v>
      </c>
      <c r="AE380">
        <v>7</v>
      </c>
      <c r="AF380">
        <v>7</v>
      </c>
      <c r="AG380">
        <v>0</v>
      </c>
      <c r="AH380">
        <v>9</v>
      </c>
      <c r="AI380">
        <v>9</v>
      </c>
      <c r="AJ380">
        <v>0</v>
      </c>
      <c r="AK380" t="s">
        <v>3590</v>
      </c>
      <c r="AL380" t="s">
        <v>3591</v>
      </c>
      <c r="AM380" t="s">
        <v>3592</v>
      </c>
      <c r="AN380" t="s">
        <v>3593</v>
      </c>
      <c r="AO380" t="s">
        <v>3594</v>
      </c>
      <c r="AP380" t="s">
        <v>3595</v>
      </c>
      <c r="AQ380" t="s">
        <v>3596</v>
      </c>
      <c r="AR380" t="s">
        <v>3597</v>
      </c>
      <c r="AS380" t="s">
        <v>3598</v>
      </c>
    </row>
    <row r="381" spans="1:45" x14ac:dyDescent="0.45">
      <c r="A381">
        <v>380</v>
      </c>
      <c r="B381">
        <v>2370</v>
      </c>
      <c r="C381" t="s">
        <v>78</v>
      </c>
      <c r="D381" t="s">
        <v>189</v>
      </c>
      <c r="E381" t="s">
        <v>74</v>
      </c>
      <c r="F381" t="s">
        <v>77</v>
      </c>
      <c r="G381" t="s">
        <v>76</v>
      </c>
      <c r="H381">
        <v>19.891782772163314</v>
      </c>
      <c r="I381">
        <v>0</v>
      </c>
      <c r="J381">
        <v>9</v>
      </c>
      <c r="K381">
        <v>8</v>
      </c>
      <c r="L381">
        <v>1</v>
      </c>
      <c r="M381">
        <v>8</v>
      </c>
      <c r="N381">
        <v>8</v>
      </c>
      <c r="O381">
        <v>0</v>
      </c>
      <c r="P381">
        <v>8</v>
      </c>
      <c r="Q381">
        <v>5</v>
      </c>
      <c r="R381">
        <v>3</v>
      </c>
      <c r="S381">
        <v>8</v>
      </c>
      <c r="T381">
        <v>8</v>
      </c>
      <c r="U381">
        <v>0</v>
      </c>
      <c r="V381">
        <v>9</v>
      </c>
      <c r="W381">
        <v>6</v>
      </c>
      <c r="X381">
        <v>3</v>
      </c>
      <c r="Y381">
        <v>9</v>
      </c>
      <c r="Z381">
        <v>9</v>
      </c>
      <c r="AA381">
        <v>0</v>
      </c>
      <c r="AB381">
        <v>9</v>
      </c>
      <c r="AC381">
        <v>5</v>
      </c>
      <c r="AD381">
        <v>4</v>
      </c>
      <c r="AE381">
        <v>9</v>
      </c>
      <c r="AF381">
        <v>7</v>
      </c>
      <c r="AG381">
        <v>2</v>
      </c>
      <c r="AH381">
        <v>9</v>
      </c>
      <c r="AI381">
        <v>8</v>
      </c>
      <c r="AJ381">
        <v>1</v>
      </c>
      <c r="AK381" t="s">
        <v>3599</v>
      </c>
      <c r="AL381" t="s">
        <v>3600</v>
      </c>
      <c r="AM381" t="s">
        <v>3601</v>
      </c>
      <c r="AN381" t="s">
        <v>3602</v>
      </c>
      <c r="AO381" t="s">
        <v>3603</v>
      </c>
      <c r="AP381" t="s">
        <v>3604</v>
      </c>
      <c r="AQ381" t="s">
        <v>3605</v>
      </c>
      <c r="AR381" t="s">
        <v>3606</v>
      </c>
      <c r="AS381" t="s">
        <v>3607</v>
      </c>
    </row>
    <row r="382" spans="1:45" x14ac:dyDescent="0.45">
      <c r="A382">
        <v>381</v>
      </c>
      <c r="B382">
        <v>2371</v>
      </c>
      <c r="C382" t="s">
        <v>78</v>
      </c>
      <c r="D382" t="s">
        <v>189</v>
      </c>
      <c r="E382" t="s">
        <v>74</v>
      </c>
      <c r="F382" t="s">
        <v>190</v>
      </c>
      <c r="G382" t="s">
        <v>76</v>
      </c>
      <c r="H382">
        <v>14.038254947353952</v>
      </c>
      <c r="I382">
        <v>0</v>
      </c>
      <c r="J382">
        <v>8</v>
      </c>
      <c r="K382">
        <v>9</v>
      </c>
      <c r="L382">
        <v>-1</v>
      </c>
      <c r="M382">
        <v>9</v>
      </c>
      <c r="N382">
        <v>9</v>
      </c>
      <c r="O382">
        <v>0</v>
      </c>
      <c r="P382">
        <v>9</v>
      </c>
      <c r="Q382">
        <v>8</v>
      </c>
      <c r="R382">
        <v>1</v>
      </c>
      <c r="S382">
        <v>10</v>
      </c>
      <c r="T382">
        <v>9</v>
      </c>
      <c r="U382">
        <v>1</v>
      </c>
      <c r="V382">
        <v>8</v>
      </c>
      <c r="W382">
        <v>8</v>
      </c>
      <c r="X382">
        <v>0</v>
      </c>
      <c r="Y382">
        <v>9</v>
      </c>
      <c r="Z382">
        <v>10</v>
      </c>
      <c r="AA382">
        <v>-1</v>
      </c>
      <c r="AB382">
        <v>8</v>
      </c>
      <c r="AC382">
        <v>8</v>
      </c>
      <c r="AD382">
        <v>0</v>
      </c>
      <c r="AE382">
        <v>9</v>
      </c>
      <c r="AF382">
        <v>8</v>
      </c>
      <c r="AG382">
        <v>1</v>
      </c>
      <c r="AH382">
        <v>9</v>
      </c>
      <c r="AI382">
        <v>10</v>
      </c>
      <c r="AJ382">
        <v>-1</v>
      </c>
      <c r="AK382" t="s">
        <v>3608</v>
      </c>
      <c r="AL382" t="s">
        <v>3609</v>
      </c>
      <c r="AM382" t="s">
        <v>3610</v>
      </c>
      <c r="AN382" t="s">
        <v>3611</v>
      </c>
      <c r="AO382" t="s">
        <v>3612</v>
      </c>
      <c r="AP382" t="s">
        <v>3613</v>
      </c>
      <c r="AQ382" t="s">
        <v>3614</v>
      </c>
      <c r="AR382" t="s">
        <v>3615</v>
      </c>
      <c r="AS382" t="s">
        <v>3616</v>
      </c>
    </row>
    <row r="383" spans="1:45" x14ac:dyDescent="0.45">
      <c r="A383">
        <v>382</v>
      </c>
      <c r="B383">
        <v>2372</v>
      </c>
      <c r="C383" t="s">
        <v>72</v>
      </c>
      <c r="D383" t="s">
        <v>189</v>
      </c>
      <c r="E383" t="s">
        <v>74</v>
      </c>
      <c r="F383" t="s">
        <v>77</v>
      </c>
      <c r="G383" t="s">
        <v>76</v>
      </c>
      <c r="H383">
        <v>21.567787991110219</v>
      </c>
      <c r="I383">
        <v>1</v>
      </c>
      <c r="J383">
        <v>8</v>
      </c>
      <c r="K383">
        <v>5</v>
      </c>
      <c r="L383">
        <v>3</v>
      </c>
      <c r="M383">
        <v>7</v>
      </c>
      <c r="N383">
        <v>5</v>
      </c>
      <c r="O383">
        <v>2</v>
      </c>
      <c r="P383">
        <v>6</v>
      </c>
      <c r="Q383">
        <v>4</v>
      </c>
      <c r="R383">
        <v>2</v>
      </c>
      <c r="S383">
        <v>9</v>
      </c>
      <c r="T383">
        <v>8</v>
      </c>
      <c r="U383">
        <v>1</v>
      </c>
      <c r="V383">
        <v>7</v>
      </c>
      <c r="W383">
        <v>4</v>
      </c>
      <c r="X383">
        <v>3</v>
      </c>
      <c r="Y383">
        <v>9</v>
      </c>
      <c r="Z383">
        <v>8</v>
      </c>
      <c r="AA383">
        <v>1</v>
      </c>
      <c r="AB383">
        <v>6</v>
      </c>
      <c r="AC383">
        <v>4</v>
      </c>
      <c r="AD383">
        <v>2</v>
      </c>
      <c r="AE383">
        <v>7</v>
      </c>
      <c r="AF383">
        <v>5</v>
      </c>
      <c r="AG383">
        <v>2</v>
      </c>
      <c r="AH383">
        <v>9</v>
      </c>
      <c r="AI383">
        <v>7</v>
      </c>
      <c r="AJ383">
        <v>2</v>
      </c>
      <c r="AK383" t="s">
        <v>3617</v>
      </c>
      <c r="AL383" t="s">
        <v>3618</v>
      </c>
      <c r="AM383" t="s">
        <v>3619</v>
      </c>
      <c r="AN383" t="s">
        <v>3620</v>
      </c>
      <c r="AO383" t="s">
        <v>3621</v>
      </c>
      <c r="AP383" t="s">
        <v>3622</v>
      </c>
      <c r="AQ383" t="s">
        <v>3623</v>
      </c>
      <c r="AR383" t="s">
        <v>3624</v>
      </c>
      <c r="AS383" t="s">
        <v>3625</v>
      </c>
    </row>
    <row r="384" spans="1:45" x14ac:dyDescent="0.45">
      <c r="A384">
        <v>383</v>
      </c>
      <c r="B384">
        <v>2373</v>
      </c>
      <c r="C384" t="s">
        <v>78</v>
      </c>
      <c r="D384" t="s">
        <v>191</v>
      </c>
      <c r="E384" t="s">
        <v>74</v>
      </c>
      <c r="F384" t="s">
        <v>75</v>
      </c>
      <c r="G384" t="s">
        <v>76</v>
      </c>
      <c r="H384">
        <v>86.583662625862345</v>
      </c>
      <c r="I384">
        <v>2</v>
      </c>
      <c r="J384">
        <v>7</v>
      </c>
      <c r="K384">
        <v>1</v>
      </c>
      <c r="L384">
        <v>6</v>
      </c>
      <c r="M384">
        <v>6</v>
      </c>
      <c r="N384">
        <v>1</v>
      </c>
      <c r="O384">
        <v>5</v>
      </c>
      <c r="P384">
        <v>8</v>
      </c>
      <c r="Q384">
        <v>4</v>
      </c>
      <c r="R384">
        <v>4</v>
      </c>
      <c r="S384">
        <v>9</v>
      </c>
      <c r="T384">
        <v>5</v>
      </c>
      <c r="U384">
        <v>4</v>
      </c>
      <c r="V384">
        <v>7</v>
      </c>
      <c r="W384">
        <v>5</v>
      </c>
      <c r="X384">
        <v>2</v>
      </c>
      <c r="Y384">
        <v>8</v>
      </c>
      <c r="Z384">
        <v>4</v>
      </c>
      <c r="AA384">
        <v>4</v>
      </c>
      <c r="AB384">
        <v>7</v>
      </c>
      <c r="AC384">
        <v>4</v>
      </c>
      <c r="AD384">
        <v>3</v>
      </c>
      <c r="AE384">
        <v>6</v>
      </c>
      <c r="AF384">
        <v>5</v>
      </c>
      <c r="AG384">
        <v>1</v>
      </c>
      <c r="AH384">
        <v>9</v>
      </c>
      <c r="AI384">
        <v>3</v>
      </c>
      <c r="AJ384">
        <v>6</v>
      </c>
      <c r="AK384" t="s">
        <v>3626</v>
      </c>
      <c r="AL384" t="s">
        <v>3627</v>
      </c>
      <c r="AM384" t="s">
        <v>3628</v>
      </c>
      <c r="AN384" t="s">
        <v>3629</v>
      </c>
      <c r="AO384" t="s">
        <v>3630</v>
      </c>
      <c r="AP384" t="s">
        <v>3631</v>
      </c>
      <c r="AQ384" t="s">
        <v>3632</v>
      </c>
      <c r="AR384" t="s">
        <v>3633</v>
      </c>
      <c r="AS384" t="s">
        <v>3634</v>
      </c>
    </row>
    <row r="385" spans="1:45" x14ac:dyDescent="0.45">
      <c r="A385">
        <v>384</v>
      </c>
      <c r="B385">
        <v>2374</v>
      </c>
      <c r="C385" t="s">
        <v>78</v>
      </c>
      <c r="D385" t="s">
        <v>189</v>
      </c>
      <c r="E385" t="s">
        <v>74</v>
      </c>
      <c r="F385" t="s">
        <v>77</v>
      </c>
      <c r="G385" t="s">
        <v>76</v>
      </c>
      <c r="H385">
        <v>12</v>
      </c>
      <c r="I385">
        <v>0</v>
      </c>
      <c r="J385">
        <v>3</v>
      </c>
      <c r="K385">
        <v>7</v>
      </c>
      <c r="L385">
        <v>-4</v>
      </c>
      <c r="M385">
        <v>3</v>
      </c>
      <c r="N385">
        <v>7</v>
      </c>
      <c r="O385">
        <v>-4</v>
      </c>
      <c r="P385">
        <v>9</v>
      </c>
      <c r="Q385">
        <v>7</v>
      </c>
      <c r="R385">
        <v>2</v>
      </c>
      <c r="S385">
        <v>8</v>
      </c>
      <c r="T385">
        <v>9</v>
      </c>
      <c r="U385">
        <v>-1</v>
      </c>
      <c r="V385">
        <v>6</v>
      </c>
      <c r="W385">
        <v>8</v>
      </c>
      <c r="X385">
        <v>-2</v>
      </c>
      <c r="Y385">
        <v>7</v>
      </c>
      <c r="Z385">
        <v>10</v>
      </c>
      <c r="AA385">
        <v>-3</v>
      </c>
      <c r="AB385">
        <v>6</v>
      </c>
      <c r="AC385">
        <v>8</v>
      </c>
      <c r="AD385">
        <v>-2</v>
      </c>
      <c r="AE385">
        <v>8</v>
      </c>
      <c r="AF385">
        <v>7</v>
      </c>
      <c r="AG385">
        <v>1</v>
      </c>
      <c r="AH385">
        <v>7</v>
      </c>
      <c r="AI385">
        <v>10</v>
      </c>
      <c r="AJ385">
        <v>-3</v>
      </c>
      <c r="AK385" t="s">
        <v>3635</v>
      </c>
      <c r="AL385" t="s">
        <v>3636</v>
      </c>
      <c r="AM385" t="s">
        <v>3637</v>
      </c>
      <c r="AN385" t="s">
        <v>3638</v>
      </c>
      <c r="AO385" t="s">
        <v>3639</v>
      </c>
      <c r="AP385" t="s">
        <v>3640</v>
      </c>
      <c r="AQ385" t="s">
        <v>3641</v>
      </c>
      <c r="AR385" t="s">
        <v>251</v>
      </c>
      <c r="AS385" t="s">
        <v>3642</v>
      </c>
    </row>
    <row r="386" spans="1:45" x14ac:dyDescent="0.45">
      <c r="A386">
        <v>385</v>
      </c>
      <c r="B386">
        <v>2375</v>
      </c>
      <c r="C386" t="s">
        <v>78</v>
      </c>
      <c r="D386" t="s">
        <v>79</v>
      </c>
      <c r="E386" t="s">
        <v>74</v>
      </c>
      <c r="F386" t="s">
        <v>77</v>
      </c>
      <c r="G386" t="s">
        <v>76</v>
      </c>
      <c r="H386">
        <v>35.124308822432177</v>
      </c>
      <c r="I386">
        <v>2</v>
      </c>
      <c r="J386">
        <v>6</v>
      </c>
      <c r="K386">
        <v>3</v>
      </c>
      <c r="L386">
        <v>3</v>
      </c>
      <c r="M386">
        <v>6</v>
      </c>
      <c r="N386">
        <v>3</v>
      </c>
      <c r="O386">
        <v>3</v>
      </c>
      <c r="P386">
        <v>8</v>
      </c>
      <c r="Q386">
        <v>4</v>
      </c>
      <c r="R386">
        <v>4</v>
      </c>
      <c r="S386">
        <v>9</v>
      </c>
      <c r="T386">
        <v>6</v>
      </c>
      <c r="U386">
        <v>3</v>
      </c>
      <c r="V386">
        <v>7</v>
      </c>
      <c r="W386">
        <v>4</v>
      </c>
      <c r="X386">
        <v>3</v>
      </c>
      <c r="Y386">
        <v>9</v>
      </c>
      <c r="Z386">
        <v>5</v>
      </c>
      <c r="AA386">
        <v>4</v>
      </c>
      <c r="AB386">
        <v>7</v>
      </c>
      <c r="AC386">
        <v>4</v>
      </c>
      <c r="AD386">
        <v>3</v>
      </c>
      <c r="AE386">
        <v>8</v>
      </c>
      <c r="AF386">
        <v>5</v>
      </c>
      <c r="AG386">
        <v>3</v>
      </c>
      <c r="AH386">
        <v>9</v>
      </c>
      <c r="AI386">
        <v>5</v>
      </c>
      <c r="AJ386">
        <v>4</v>
      </c>
      <c r="AK386" t="s">
        <v>3643</v>
      </c>
      <c r="AL386" t="s">
        <v>3644</v>
      </c>
      <c r="AM386" t="s">
        <v>3645</v>
      </c>
      <c r="AN386" t="s">
        <v>3646</v>
      </c>
      <c r="AO386" t="s">
        <v>3647</v>
      </c>
      <c r="AP386" t="s">
        <v>3648</v>
      </c>
      <c r="AQ386" t="s">
        <v>3649</v>
      </c>
      <c r="AR386" t="s">
        <v>3650</v>
      </c>
      <c r="AS386" t="s">
        <v>3651</v>
      </c>
    </row>
    <row r="387" spans="1:45" x14ac:dyDescent="0.45">
      <c r="A387">
        <v>386</v>
      </c>
      <c r="B387">
        <v>2376</v>
      </c>
      <c r="C387" t="s">
        <v>72</v>
      </c>
      <c r="D387" t="s">
        <v>81</v>
      </c>
      <c r="E387" t="s">
        <v>74</v>
      </c>
      <c r="F387" t="s">
        <v>75</v>
      </c>
      <c r="G387" t="s">
        <v>76</v>
      </c>
      <c r="H387">
        <v>29.241842720020962</v>
      </c>
      <c r="I387">
        <v>0</v>
      </c>
      <c r="J387">
        <v>7</v>
      </c>
      <c r="K387">
        <v>8</v>
      </c>
      <c r="L387">
        <v>-1</v>
      </c>
      <c r="M387">
        <v>8</v>
      </c>
      <c r="N387">
        <v>8</v>
      </c>
      <c r="O387">
        <v>0</v>
      </c>
      <c r="P387">
        <v>9</v>
      </c>
      <c r="Q387">
        <v>9</v>
      </c>
      <c r="R387">
        <v>0</v>
      </c>
      <c r="S387">
        <v>10</v>
      </c>
      <c r="T387">
        <v>8</v>
      </c>
      <c r="U387">
        <v>2</v>
      </c>
      <c r="V387">
        <v>7</v>
      </c>
      <c r="W387">
        <v>7</v>
      </c>
      <c r="X387">
        <v>0</v>
      </c>
      <c r="Y387">
        <v>9</v>
      </c>
      <c r="Z387">
        <v>8</v>
      </c>
      <c r="AA387">
        <v>1</v>
      </c>
      <c r="AB387">
        <v>7</v>
      </c>
      <c r="AC387">
        <v>7</v>
      </c>
      <c r="AD387">
        <v>0</v>
      </c>
      <c r="AE387">
        <v>8</v>
      </c>
      <c r="AF387">
        <v>7</v>
      </c>
      <c r="AG387">
        <v>1</v>
      </c>
      <c r="AH387">
        <v>9</v>
      </c>
      <c r="AI387">
        <v>8</v>
      </c>
      <c r="AJ387">
        <v>1</v>
      </c>
      <c r="AK387" t="s">
        <v>3652</v>
      </c>
      <c r="AL387" t="s">
        <v>3653</v>
      </c>
      <c r="AM387" t="s">
        <v>3654</v>
      </c>
      <c r="AN387" t="s">
        <v>3655</v>
      </c>
      <c r="AO387" t="s">
        <v>3656</v>
      </c>
      <c r="AP387" t="s">
        <v>3657</v>
      </c>
      <c r="AQ387" t="s">
        <v>3658</v>
      </c>
      <c r="AR387" t="s">
        <v>3659</v>
      </c>
      <c r="AS387" t="s">
        <v>3660</v>
      </c>
    </row>
    <row r="388" spans="1:45" x14ac:dyDescent="0.45">
      <c r="A388">
        <v>387</v>
      </c>
      <c r="B388">
        <v>2377</v>
      </c>
      <c r="C388" t="s">
        <v>78</v>
      </c>
      <c r="D388" t="s">
        <v>73</v>
      </c>
      <c r="E388" t="s">
        <v>74</v>
      </c>
      <c r="F388" t="s">
        <v>77</v>
      </c>
      <c r="G388" t="s">
        <v>76</v>
      </c>
      <c r="H388">
        <v>52.847932292906329</v>
      </c>
      <c r="I388">
        <v>2</v>
      </c>
      <c r="J388">
        <v>7</v>
      </c>
      <c r="K388">
        <v>5</v>
      </c>
      <c r="L388">
        <v>2</v>
      </c>
      <c r="M388">
        <v>8</v>
      </c>
      <c r="N388">
        <v>5</v>
      </c>
      <c r="O388">
        <v>3</v>
      </c>
      <c r="P388">
        <v>9</v>
      </c>
      <c r="Q388">
        <v>5</v>
      </c>
      <c r="R388">
        <v>4</v>
      </c>
      <c r="S388">
        <v>10</v>
      </c>
      <c r="T388">
        <v>5</v>
      </c>
      <c r="U388">
        <v>5</v>
      </c>
      <c r="V388">
        <v>9</v>
      </c>
      <c r="W388">
        <v>5</v>
      </c>
      <c r="X388">
        <v>4</v>
      </c>
      <c r="Y388">
        <v>9</v>
      </c>
      <c r="Z388">
        <v>5</v>
      </c>
      <c r="AA388">
        <v>4</v>
      </c>
      <c r="AB388">
        <v>9</v>
      </c>
      <c r="AC388">
        <v>5</v>
      </c>
      <c r="AD388">
        <v>4</v>
      </c>
      <c r="AE388">
        <v>8</v>
      </c>
      <c r="AF388">
        <v>5</v>
      </c>
      <c r="AG388">
        <v>3</v>
      </c>
      <c r="AH388">
        <v>9</v>
      </c>
      <c r="AI388">
        <v>5</v>
      </c>
      <c r="AJ388">
        <v>4</v>
      </c>
      <c r="AK388" t="s">
        <v>3661</v>
      </c>
      <c r="AL388" t="s">
        <v>3662</v>
      </c>
      <c r="AM388" t="s">
        <v>3663</v>
      </c>
      <c r="AN388" t="s">
        <v>3664</v>
      </c>
      <c r="AO388" t="s">
        <v>3665</v>
      </c>
      <c r="AP388" t="s">
        <v>3666</v>
      </c>
      <c r="AQ388" t="s">
        <v>3667</v>
      </c>
      <c r="AR388" t="s">
        <v>3668</v>
      </c>
      <c r="AS388" t="s">
        <v>3669</v>
      </c>
    </row>
    <row r="389" spans="1:45" x14ac:dyDescent="0.45">
      <c r="A389">
        <v>388</v>
      </c>
      <c r="B389">
        <v>2378</v>
      </c>
      <c r="C389" t="s">
        <v>78</v>
      </c>
      <c r="D389" t="s">
        <v>189</v>
      </c>
      <c r="E389" t="s">
        <v>74</v>
      </c>
      <c r="F389" t="s">
        <v>77</v>
      </c>
      <c r="G389" t="s">
        <v>76</v>
      </c>
      <c r="H389">
        <v>12.676222042255832</v>
      </c>
      <c r="I389">
        <v>0</v>
      </c>
      <c r="J389">
        <v>7</v>
      </c>
      <c r="K389">
        <v>7</v>
      </c>
      <c r="L389">
        <v>0</v>
      </c>
      <c r="M389">
        <v>7</v>
      </c>
      <c r="N389">
        <v>7</v>
      </c>
      <c r="O389">
        <v>0</v>
      </c>
      <c r="P389">
        <v>8</v>
      </c>
      <c r="Q389">
        <v>5</v>
      </c>
      <c r="R389">
        <v>3</v>
      </c>
      <c r="S389">
        <v>7</v>
      </c>
      <c r="T389">
        <v>8</v>
      </c>
      <c r="U389">
        <v>-1</v>
      </c>
      <c r="V389">
        <v>9</v>
      </c>
      <c r="W389">
        <v>6</v>
      </c>
      <c r="X389">
        <v>3</v>
      </c>
      <c r="Y389">
        <v>8</v>
      </c>
      <c r="Z389">
        <v>8</v>
      </c>
      <c r="AA389">
        <v>0</v>
      </c>
      <c r="AB389">
        <v>9</v>
      </c>
      <c r="AC389">
        <v>5</v>
      </c>
      <c r="AD389">
        <v>4</v>
      </c>
      <c r="AE389">
        <v>8</v>
      </c>
      <c r="AF389">
        <v>5</v>
      </c>
      <c r="AG389">
        <v>3</v>
      </c>
      <c r="AH389">
        <v>9</v>
      </c>
      <c r="AI389">
        <v>8</v>
      </c>
      <c r="AJ389">
        <v>1</v>
      </c>
      <c r="AK389" t="s">
        <v>3670</v>
      </c>
      <c r="AL389" t="s">
        <v>3671</v>
      </c>
      <c r="AM389" t="s">
        <v>3672</v>
      </c>
      <c r="AN389" t="s">
        <v>3673</v>
      </c>
      <c r="AO389" t="s">
        <v>3674</v>
      </c>
      <c r="AP389" t="s">
        <v>3675</v>
      </c>
      <c r="AQ389" t="s">
        <v>3676</v>
      </c>
      <c r="AR389" t="s">
        <v>3677</v>
      </c>
      <c r="AS389" t="s">
        <v>3678</v>
      </c>
    </row>
    <row r="390" spans="1:45" x14ac:dyDescent="0.45">
      <c r="A390">
        <v>389</v>
      </c>
      <c r="B390">
        <v>2379</v>
      </c>
      <c r="C390" t="s">
        <v>78</v>
      </c>
      <c r="D390" t="s">
        <v>81</v>
      </c>
      <c r="E390" t="s">
        <v>74</v>
      </c>
      <c r="F390" t="s">
        <v>77</v>
      </c>
      <c r="G390" t="s">
        <v>76</v>
      </c>
      <c r="H390">
        <v>20.136205359719021</v>
      </c>
      <c r="I390">
        <v>0</v>
      </c>
      <c r="J390">
        <v>9</v>
      </c>
      <c r="K390">
        <v>6</v>
      </c>
      <c r="L390">
        <v>3</v>
      </c>
      <c r="M390">
        <v>9</v>
      </c>
      <c r="N390">
        <v>8</v>
      </c>
      <c r="O390">
        <v>1</v>
      </c>
      <c r="P390">
        <v>8</v>
      </c>
      <c r="Q390">
        <v>7</v>
      </c>
      <c r="R390">
        <v>1</v>
      </c>
      <c r="S390">
        <v>9</v>
      </c>
      <c r="T390">
        <v>8</v>
      </c>
      <c r="U390">
        <v>1</v>
      </c>
      <c r="V390">
        <v>8</v>
      </c>
      <c r="W390">
        <v>6</v>
      </c>
      <c r="X390">
        <v>2</v>
      </c>
      <c r="Y390">
        <v>9</v>
      </c>
      <c r="Z390">
        <v>8</v>
      </c>
      <c r="AA390">
        <v>1</v>
      </c>
      <c r="AB390">
        <v>8</v>
      </c>
      <c r="AC390">
        <v>5</v>
      </c>
      <c r="AD390">
        <v>3</v>
      </c>
      <c r="AE390">
        <v>9</v>
      </c>
      <c r="AF390">
        <v>5</v>
      </c>
      <c r="AG390">
        <v>4</v>
      </c>
      <c r="AH390">
        <v>8</v>
      </c>
      <c r="AI390">
        <v>8</v>
      </c>
      <c r="AJ390">
        <v>0</v>
      </c>
      <c r="AK390" t="s">
        <v>3679</v>
      </c>
      <c r="AL390" t="s">
        <v>3680</v>
      </c>
      <c r="AM390" t="s">
        <v>3681</v>
      </c>
      <c r="AN390" t="s">
        <v>3682</v>
      </c>
      <c r="AO390" t="s">
        <v>3683</v>
      </c>
      <c r="AP390" t="s">
        <v>3684</v>
      </c>
      <c r="AQ390" t="s">
        <v>3685</v>
      </c>
      <c r="AR390" t="s">
        <v>3686</v>
      </c>
      <c r="AS390" t="s">
        <v>3687</v>
      </c>
    </row>
    <row r="391" spans="1:45" x14ac:dyDescent="0.45">
      <c r="A391">
        <v>390</v>
      </c>
      <c r="B391">
        <v>2380</v>
      </c>
      <c r="C391" t="s">
        <v>72</v>
      </c>
      <c r="D391" t="s">
        <v>79</v>
      </c>
      <c r="E391" t="s">
        <v>74</v>
      </c>
      <c r="F391" t="s">
        <v>75</v>
      </c>
      <c r="G391" t="s">
        <v>76</v>
      </c>
      <c r="H391">
        <v>34.459279784677925</v>
      </c>
      <c r="I391">
        <v>3</v>
      </c>
      <c r="J391">
        <v>5</v>
      </c>
      <c r="K391">
        <v>10</v>
      </c>
      <c r="L391">
        <v>-5</v>
      </c>
      <c r="M391">
        <v>7</v>
      </c>
      <c r="N391">
        <v>10</v>
      </c>
      <c r="O391">
        <v>-3</v>
      </c>
      <c r="P391">
        <v>6</v>
      </c>
      <c r="Q391">
        <v>5</v>
      </c>
      <c r="R391">
        <v>1</v>
      </c>
      <c r="S391">
        <v>8</v>
      </c>
      <c r="T391">
        <v>9</v>
      </c>
      <c r="U391">
        <v>-1</v>
      </c>
      <c r="V391">
        <v>7</v>
      </c>
      <c r="W391">
        <v>7</v>
      </c>
      <c r="X391">
        <v>0</v>
      </c>
      <c r="Y391">
        <v>8</v>
      </c>
      <c r="Z391">
        <v>8</v>
      </c>
      <c r="AA391">
        <v>0</v>
      </c>
      <c r="AB391">
        <v>7</v>
      </c>
      <c r="AC391">
        <v>5</v>
      </c>
      <c r="AD391">
        <v>2</v>
      </c>
      <c r="AE391">
        <v>6</v>
      </c>
      <c r="AF391">
        <v>5</v>
      </c>
      <c r="AG391">
        <v>1</v>
      </c>
      <c r="AH391">
        <v>9</v>
      </c>
      <c r="AI391">
        <v>8</v>
      </c>
      <c r="AJ391">
        <v>1</v>
      </c>
      <c r="AK391" t="s">
        <v>3688</v>
      </c>
      <c r="AL391" t="s">
        <v>3689</v>
      </c>
      <c r="AM391" t="s">
        <v>3690</v>
      </c>
      <c r="AN391" t="s">
        <v>3691</v>
      </c>
      <c r="AO391" t="s">
        <v>3692</v>
      </c>
      <c r="AP391" t="s">
        <v>3693</v>
      </c>
      <c r="AQ391" t="s">
        <v>3694</v>
      </c>
      <c r="AR391" t="s">
        <v>3695</v>
      </c>
      <c r="AS391" t="s">
        <v>3696</v>
      </c>
    </row>
    <row r="392" spans="1:45" x14ac:dyDescent="0.45">
      <c r="A392">
        <v>391</v>
      </c>
      <c r="B392">
        <v>2381</v>
      </c>
      <c r="C392" t="s">
        <v>78</v>
      </c>
      <c r="D392" t="s">
        <v>81</v>
      </c>
      <c r="E392" t="s">
        <v>74</v>
      </c>
      <c r="F392" t="s">
        <v>77</v>
      </c>
      <c r="G392" t="s">
        <v>76</v>
      </c>
      <c r="H392">
        <v>15.101688341676548</v>
      </c>
      <c r="I392">
        <v>0</v>
      </c>
      <c r="J392">
        <v>9</v>
      </c>
      <c r="K392">
        <v>4</v>
      </c>
      <c r="L392">
        <v>5</v>
      </c>
      <c r="M392">
        <v>8</v>
      </c>
      <c r="N392">
        <v>5</v>
      </c>
      <c r="O392">
        <v>3</v>
      </c>
      <c r="P392">
        <v>9</v>
      </c>
      <c r="Q392">
        <v>7</v>
      </c>
      <c r="R392">
        <v>2</v>
      </c>
      <c r="S392">
        <v>9</v>
      </c>
      <c r="T392">
        <v>7</v>
      </c>
      <c r="U392">
        <v>2</v>
      </c>
      <c r="V392">
        <v>8</v>
      </c>
      <c r="W392">
        <v>5</v>
      </c>
      <c r="X392">
        <v>3</v>
      </c>
      <c r="Y392">
        <v>9</v>
      </c>
      <c r="Z392">
        <v>7</v>
      </c>
      <c r="AA392">
        <v>2</v>
      </c>
      <c r="AB392">
        <v>8</v>
      </c>
      <c r="AC392">
        <v>5</v>
      </c>
      <c r="AD392">
        <v>3</v>
      </c>
      <c r="AE392">
        <v>9</v>
      </c>
      <c r="AF392">
        <v>5</v>
      </c>
      <c r="AG392">
        <v>4</v>
      </c>
      <c r="AH392">
        <v>10</v>
      </c>
      <c r="AI392">
        <v>7</v>
      </c>
      <c r="AJ392">
        <v>3</v>
      </c>
      <c r="AK392" t="s">
        <v>3697</v>
      </c>
      <c r="AL392" t="s">
        <v>3698</v>
      </c>
      <c r="AM392" t="s">
        <v>3699</v>
      </c>
      <c r="AN392" t="s">
        <v>3700</v>
      </c>
      <c r="AO392" t="s">
        <v>3701</v>
      </c>
      <c r="AP392" t="s">
        <v>3702</v>
      </c>
      <c r="AQ392" t="s">
        <v>3703</v>
      </c>
      <c r="AR392" t="s">
        <v>3704</v>
      </c>
      <c r="AS392" t="s">
        <v>3705</v>
      </c>
    </row>
    <row r="393" spans="1:45" x14ac:dyDescent="0.45">
      <c r="A393">
        <v>392</v>
      </c>
      <c r="B393">
        <v>2382</v>
      </c>
      <c r="C393" t="s">
        <v>72</v>
      </c>
      <c r="D393" t="s">
        <v>193</v>
      </c>
      <c r="E393" t="s">
        <v>74</v>
      </c>
      <c r="F393" t="s">
        <v>75</v>
      </c>
      <c r="G393" t="s">
        <v>76</v>
      </c>
      <c r="H393">
        <v>153.63499539382221</v>
      </c>
      <c r="I393">
        <v>4</v>
      </c>
      <c r="J393">
        <v>7</v>
      </c>
      <c r="K393">
        <v>2</v>
      </c>
      <c r="L393">
        <v>5</v>
      </c>
      <c r="M393">
        <v>8</v>
      </c>
      <c r="N393">
        <v>3</v>
      </c>
      <c r="O393">
        <v>5</v>
      </c>
      <c r="P393">
        <v>6</v>
      </c>
      <c r="Q393">
        <v>3</v>
      </c>
      <c r="R393">
        <v>3</v>
      </c>
      <c r="S393">
        <v>9</v>
      </c>
      <c r="T393">
        <v>6</v>
      </c>
      <c r="U393">
        <v>3</v>
      </c>
      <c r="V393">
        <v>7</v>
      </c>
      <c r="W393">
        <v>5</v>
      </c>
      <c r="X393">
        <v>2</v>
      </c>
      <c r="Y393">
        <v>8</v>
      </c>
      <c r="Z393">
        <v>5</v>
      </c>
      <c r="AA393">
        <v>3</v>
      </c>
      <c r="AB393">
        <v>7</v>
      </c>
      <c r="AC393">
        <v>5</v>
      </c>
      <c r="AD393">
        <v>2</v>
      </c>
      <c r="AE393">
        <v>8</v>
      </c>
      <c r="AF393">
        <v>5</v>
      </c>
      <c r="AG393">
        <v>3</v>
      </c>
      <c r="AH393">
        <v>9</v>
      </c>
      <c r="AI393">
        <v>5</v>
      </c>
      <c r="AJ393">
        <v>4</v>
      </c>
      <c r="AK393" t="s">
        <v>3706</v>
      </c>
      <c r="AL393" t="s">
        <v>3707</v>
      </c>
      <c r="AM393" t="s">
        <v>3708</v>
      </c>
      <c r="AN393" t="s">
        <v>3709</v>
      </c>
      <c r="AO393" t="s">
        <v>3710</v>
      </c>
      <c r="AP393" t="s">
        <v>3711</v>
      </c>
      <c r="AQ393" t="s">
        <v>3712</v>
      </c>
      <c r="AR393" t="s">
        <v>3713</v>
      </c>
      <c r="AS393" t="s">
        <v>3714</v>
      </c>
    </row>
    <row r="394" spans="1:45" x14ac:dyDescent="0.45">
      <c r="A394">
        <v>393</v>
      </c>
      <c r="B394">
        <v>2383</v>
      </c>
      <c r="C394" t="s">
        <v>72</v>
      </c>
      <c r="D394" t="s">
        <v>73</v>
      </c>
      <c r="E394" t="s">
        <v>74</v>
      </c>
      <c r="F394" t="s">
        <v>77</v>
      </c>
      <c r="G394" t="s">
        <v>76</v>
      </c>
      <c r="H394">
        <v>26.366368373254399</v>
      </c>
      <c r="I394">
        <v>2</v>
      </c>
      <c r="J394">
        <v>7</v>
      </c>
      <c r="K394">
        <v>7</v>
      </c>
      <c r="L394">
        <v>0</v>
      </c>
      <c r="M394">
        <v>6</v>
      </c>
      <c r="N394">
        <v>7</v>
      </c>
      <c r="O394">
        <v>-1</v>
      </c>
      <c r="P394">
        <v>9</v>
      </c>
      <c r="Q394">
        <v>5</v>
      </c>
      <c r="R394">
        <v>4</v>
      </c>
      <c r="S394">
        <v>8</v>
      </c>
      <c r="T394">
        <v>8</v>
      </c>
      <c r="U394">
        <v>0</v>
      </c>
      <c r="V394">
        <v>7</v>
      </c>
      <c r="W394">
        <v>7</v>
      </c>
      <c r="X394">
        <v>0</v>
      </c>
      <c r="Y394">
        <v>9</v>
      </c>
      <c r="Z394">
        <v>7</v>
      </c>
      <c r="AA394">
        <v>2</v>
      </c>
      <c r="AB394">
        <v>6</v>
      </c>
      <c r="AC394">
        <v>5</v>
      </c>
      <c r="AD394">
        <v>1</v>
      </c>
      <c r="AE394">
        <v>7</v>
      </c>
      <c r="AF394">
        <v>6</v>
      </c>
      <c r="AG394">
        <v>1</v>
      </c>
      <c r="AH394">
        <v>9</v>
      </c>
      <c r="AI394">
        <v>7</v>
      </c>
      <c r="AJ394">
        <v>2</v>
      </c>
      <c r="AK394" t="s">
        <v>3715</v>
      </c>
      <c r="AL394" t="s">
        <v>3716</v>
      </c>
      <c r="AM394" t="s">
        <v>3717</v>
      </c>
      <c r="AN394" t="s">
        <v>3718</v>
      </c>
      <c r="AO394" t="s">
        <v>3719</v>
      </c>
      <c r="AP394" t="s">
        <v>3720</v>
      </c>
      <c r="AQ394" t="s">
        <v>3721</v>
      </c>
      <c r="AR394" t="s">
        <v>3722</v>
      </c>
      <c r="AS394" t="s">
        <v>3723</v>
      </c>
    </row>
    <row r="395" spans="1:45" x14ac:dyDescent="0.45">
      <c r="A395">
        <v>394</v>
      </c>
      <c r="B395">
        <v>2384</v>
      </c>
      <c r="C395" t="s">
        <v>78</v>
      </c>
      <c r="D395" t="s">
        <v>81</v>
      </c>
      <c r="E395" t="s">
        <v>74</v>
      </c>
      <c r="F395" t="s">
        <v>77</v>
      </c>
      <c r="G395" t="s">
        <v>76</v>
      </c>
      <c r="H395">
        <v>12</v>
      </c>
      <c r="I395">
        <v>1</v>
      </c>
      <c r="J395">
        <v>6</v>
      </c>
      <c r="K395">
        <v>9</v>
      </c>
      <c r="L395">
        <v>-3</v>
      </c>
      <c r="M395">
        <v>6</v>
      </c>
      <c r="N395">
        <v>9</v>
      </c>
      <c r="O395">
        <v>-3</v>
      </c>
      <c r="P395">
        <v>8</v>
      </c>
      <c r="Q395">
        <v>9</v>
      </c>
      <c r="R395">
        <v>-1</v>
      </c>
      <c r="S395">
        <v>9</v>
      </c>
      <c r="T395">
        <v>7</v>
      </c>
      <c r="U395">
        <v>2</v>
      </c>
      <c r="V395">
        <v>7</v>
      </c>
      <c r="W395">
        <v>8</v>
      </c>
      <c r="X395">
        <v>-1</v>
      </c>
      <c r="Y395">
        <v>8</v>
      </c>
      <c r="Z395">
        <v>6</v>
      </c>
      <c r="AA395">
        <v>2</v>
      </c>
      <c r="AB395">
        <v>7</v>
      </c>
      <c r="AC395">
        <v>8</v>
      </c>
      <c r="AD395">
        <v>-1</v>
      </c>
      <c r="AE395">
        <v>6</v>
      </c>
      <c r="AF395">
        <v>10</v>
      </c>
      <c r="AG395">
        <v>-4</v>
      </c>
      <c r="AH395">
        <v>9</v>
      </c>
      <c r="AI395">
        <v>10</v>
      </c>
      <c r="AJ395">
        <v>-1</v>
      </c>
      <c r="AK395" t="s">
        <v>3724</v>
      </c>
      <c r="AL395" t="s">
        <v>3725</v>
      </c>
      <c r="AM395" t="s">
        <v>3726</v>
      </c>
      <c r="AN395" t="s">
        <v>3727</v>
      </c>
      <c r="AO395" t="s">
        <v>3728</v>
      </c>
      <c r="AP395" t="s">
        <v>3729</v>
      </c>
      <c r="AQ395" t="s">
        <v>3730</v>
      </c>
      <c r="AR395" t="s">
        <v>3731</v>
      </c>
      <c r="AS395" t="s">
        <v>3732</v>
      </c>
    </row>
    <row r="396" spans="1:45" x14ac:dyDescent="0.45">
      <c r="A396">
        <v>395</v>
      </c>
      <c r="B396">
        <v>2385</v>
      </c>
      <c r="C396" t="s">
        <v>78</v>
      </c>
      <c r="D396" t="s">
        <v>191</v>
      </c>
      <c r="E396" t="s">
        <v>74</v>
      </c>
      <c r="F396" t="s">
        <v>77</v>
      </c>
      <c r="G396" t="s">
        <v>76</v>
      </c>
      <c r="H396">
        <v>37.18922022252984</v>
      </c>
      <c r="I396">
        <v>1</v>
      </c>
      <c r="J396">
        <v>7</v>
      </c>
      <c r="K396">
        <v>7</v>
      </c>
      <c r="L396">
        <v>0</v>
      </c>
      <c r="M396">
        <v>8</v>
      </c>
      <c r="N396">
        <v>7</v>
      </c>
      <c r="O396">
        <v>1</v>
      </c>
      <c r="P396">
        <v>9</v>
      </c>
      <c r="Q396">
        <v>5</v>
      </c>
      <c r="R396">
        <v>4</v>
      </c>
      <c r="S396">
        <v>9</v>
      </c>
      <c r="T396">
        <v>7</v>
      </c>
      <c r="U396">
        <v>2</v>
      </c>
      <c r="V396">
        <v>8</v>
      </c>
      <c r="W396">
        <v>5</v>
      </c>
      <c r="X396">
        <v>3</v>
      </c>
      <c r="Y396">
        <v>9</v>
      </c>
      <c r="Z396">
        <v>6</v>
      </c>
      <c r="AA396">
        <v>3</v>
      </c>
      <c r="AB396">
        <v>8</v>
      </c>
      <c r="AC396">
        <v>5</v>
      </c>
      <c r="AD396">
        <v>3</v>
      </c>
      <c r="AE396">
        <v>9</v>
      </c>
      <c r="AF396">
        <v>6</v>
      </c>
      <c r="AG396">
        <v>3</v>
      </c>
      <c r="AH396">
        <v>9</v>
      </c>
      <c r="AI396">
        <v>6</v>
      </c>
      <c r="AJ396">
        <v>3</v>
      </c>
      <c r="AK396" t="s">
        <v>3733</v>
      </c>
      <c r="AL396" t="s">
        <v>3734</v>
      </c>
      <c r="AM396" t="s">
        <v>3735</v>
      </c>
      <c r="AN396" t="s">
        <v>3736</v>
      </c>
      <c r="AO396" t="s">
        <v>3737</v>
      </c>
      <c r="AP396" t="s">
        <v>3738</v>
      </c>
      <c r="AQ396" t="s">
        <v>3739</v>
      </c>
      <c r="AR396" t="s">
        <v>3740</v>
      </c>
      <c r="AS396" t="s">
        <v>3741</v>
      </c>
    </row>
    <row r="397" spans="1:45" x14ac:dyDescent="0.45">
      <c r="A397">
        <v>396</v>
      </c>
      <c r="B397">
        <v>2386</v>
      </c>
      <c r="C397" t="s">
        <v>72</v>
      </c>
      <c r="D397" t="s">
        <v>73</v>
      </c>
      <c r="E397" t="s">
        <v>74</v>
      </c>
      <c r="F397" t="s">
        <v>190</v>
      </c>
      <c r="G397" t="s">
        <v>76</v>
      </c>
      <c r="H397">
        <v>25.669016257260886</v>
      </c>
      <c r="I397">
        <v>1</v>
      </c>
      <c r="J397">
        <v>8</v>
      </c>
      <c r="K397">
        <v>2</v>
      </c>
      <c r="L397">
        <v>6</v>
      </c>
      <c r="M397">
        <v>7</v>
      </c>
      <c r="N397">
        <v>2</v>
      </c>
      <c r="O397">
        <v>5</v>
      </c>
      <c r="P397">
        <v>8</v>
      </c>
      <c r="Q397">
        <v>4</v>
      </c>
      <c r="R397">
        <v>4</v>
      </c>
      <c r="S397">
        <v>9</v>
      </c>
      <c r="T397">
        <v>5</v>
      </c>
      <c r="U397">
        <v>4</v>
      </c>
      <c r="V397">
        <v>7</v>
      </c>
      <c r="W397">
        <v>5</v>
      </c>
      <c r="X397">
        <v>2</v>
      </c>
      <c r="Y397">
        <v>9</v>
      </c>
      <c r="Z397">
        <v>3</v>
      </c>
      <c r="AA397">
        <v>6</v>
      </c>
      <c r="AB397">
        <v>8</v>
      </c>
      <c r="AC397">
        <v>5</v>
      </c>
      <c r="AD397">
        <v>3</v>
      </c>
      <c r="AE397">
        <v>7</v>
      </c>
      <c r="AF397">
        <v>5</v>
      </c>
      <c r="AG397">
        <v>2</v>
      </c>
      <c r="AH397">
        <v>9</v>
      </c>
      <c r="AI397">
        <v>5</v>
      </c>
      <c r="AJ397">
        <v>4</v>
      </c>
      <c r="AK397" t="s">
        <v>3742</v>
      </c>
      <c r="AL397" t="s">
        <v>3743</v>
      </c>
      <c r="AM397" t="s">
        <v>3744</v>
      </c>
      <c r="AN397" t="s">
        <v>3745</v>
      </c>
      <c r="AO397" t="s">
        <v>3746</v>
      </c>
      <c r="AP397" t="s">
        <v>3747</v>
      </c>
      <c r="AQ397" t="s">
        <v>249</v>
      </c>
      <c r="AR397" t="s">
        <v>3748</v>
      </c>
      <c r="AS397" t="s">
        <v>3749</v>
      </c>
    </row>
    <row r="398" spans="1:45" x14ac:dyDescent="0.45">
      <c r="A398">
        <v>397</v>
      </c>
      <c r="B398">
        <v>2387</v>
      </c>
      <c r="C398" t="s">
        <v>72</v>
      </c>
      <c r="D398" t="s">
        <v>81</v>
      </c>
      <c r="E398" t="s">
        <v>74</v>
      </c>
      <c r="F398" t="s">
        <v>77</v>
      </c>
      <c r="G398" t="s">
        <v>76</v>
      </c>
      <c r="H398">
        <v>27.270332931984399</v>
      </c>
      <c r="I398">
        <v>0</v>
      </c>
      <c r="J398">
        <v>6</v>
      </c>
      <c r="K398">
        <v>8</v>
      </c>
      <c r="L398">
        <v>-2</v>
      </c>
      <c r="M398">
        <v>6</v>
      </c>
      <c r="N398">
        <v>8</v>
      </c>
      <c r="O398">
        <v>-2</v>
      </c>
      <c r="P398">
        <v>8</v>
      </c>
      <c r="Q398">
        <v>7</v>
      </c>
      <c r="R398">
        <v>1</v>
      </c>
      <c r="S398">
        <v>9</v>
      </c>
      <c r="T398">
        <v>7</v>
      </c>
      <c r="U398">
        <v>2</v>
      </c>
      <c r="V398">
        <v>7</v>
      </c>
      <c r="W398">
        <v>7</v>
      </c>
      <c r="X398">
        <v>0</v>
      </c>
      <c r="Y398">
        <v>9</v>
      </c>
      <c r="Z398">
        <v>8</v>
      </c>
      <c r="AA398">
        <v>1</v>
      </c>
      <c r="AB398">
        <v>8</v>
      </c>
      <c r="AC398">
        <v>7</v>
      </c>
      <c r="AD398">
        <v>1</v>
      </c>
      <c r="AE398">
        <v>7</v>
      </c>
      <c r="AF398">
        <v>8</v>
      </c>
      <c r="AG398">
        <v>-1</v>
      </c>
      <c r="AH398">
        <v>9</v>
      </c>
      <c r="AI398">
        <v>8</v>
      </c>
      <c r="AJ398">
        <v>1</v>
      </c>
      <c r="AK398" t="s">
        <v>3750</v>
      </c>
      <c r="AL398" t="s">
        <v>3751</v>
      </c>
      <c r="AM398" t="s">
        <v>3752</v>
      </c>
      <c r="AN398" t="s">
        <v>3753</v>
      </c>
      <c r="AO398" t="s">
        <v>3754</v>
      </c>
      <c r="AP398" t="s">
        <v>3755</v>
      </c>
      <c r="AQ398" t="s">
        <v>253</v>
      </c>
      <c r="AR398" t="s">
        <v>3756</v>
      </c>
      <c r="AS398" t="s">
        <v>3757</v>
      </c>
    </row>
    <row r="399" spans="1:45" x14ac:dyDescent="0.45">
      <c r="A399">
        <v>398</v>
      </c>
      <c r="B399">
        <v>2388</v>
      </c>
      <c r="C399" t="s">
        <v>72</v>
      </c>
      <c r="D399" t="s">
        <v>189</v>
      </c>
      <c r="E399" t="s">
        <v>74</v>
      </c>
      <c r="F399" t="s">
        <v>77</v>
      </c>
      <c r="G399" t="s">
        <v>76</v>
      </c>
      <c r="H399">
        <v>12</v>
      </c>
      <c r="I399">
        <v>0</v>
      </c>
      <c r="J399">
        <v>7</v>
      </c>
      <c r="K399">
        <v>9</v>
      </c>
      <c r="L399">
        <v>-2</v>
      </c>
      <c r="M399">
        <v>6</v>
      </c>
      <c r="N399">
        <v>9</v>
      </c>
      <c r="O399">
        <v>-3</v>
      </c>
      <c r="P399">
        <v>8</v>
      </c>
      <c r="Q399">
        <v>8</v>
      </c>
      <c r="R399">
        <v>0</v>
      </c>
      <c r="S399">
        <v>9</v>
      </c>
      <c r="T399">
        <v>9</v>
      </c>
      <c r="U399">
        <v>0</v>
      </c>
      <c r="V399">
        <v>8</v>
      </c>
      <c r="W399">
        <v>7</v>
      </c>
      <c r="X399">
        <v>1</v>
      </c>
      <c r="Y399">
        <v>9</v>
      </c>
      <c r="Z399">
        <v>9</v>
      </c>
      <c r="AA399">
        <v>0</v>
      </c>
      <c r="AB399">
        <v>8</v>
      </c>
      <c r="AC399">
        <v>8</v>
      </c>
      <c r="AD399">
        <v>0</v>
      </c>
      <c r="AE399">
        <v>9</v>
      </c>
      <c r="AF399">
        <v>8</v>
      </c>
      <c r="AG399">
        <v>1</v>
      </c>
      <c r="AH399">
        <v>9</v>
      </c>
      <c r="AI399">
        <v>8</v>
      </c>
      <c r="AJ399">
        <v>1</v>
      </c>
      <c r="AK399" t="s">
        <v>3758</v>
      </c>
      <c r="AL399" t="s">
        <v>3759</v>
      </c>
      <c r="AM399" t="s">
        <v>3760</v>
      </c>
      <c r="AN399" t="s">
        <v>3761</v>
      </c>
      <c r="AO399" t="s">
        <v>3762</v>
      </c>
      <c r="AP399" t="s">
        <v>3763</v>
      </c>
      <c r="AQ399" t="s">
        <v>3764</v>
      </c>
      <c r="AR399" t="s">
        <v>3765</v>
      </c>
      <c r="AS399" t="s">
        <v>3766</v>
      </c>
    </row>
    <row r="400" spans="1:45" x14ac:dyDescent="0.45">
      <c r="A400">
        <v>399</v>
      </c>
      <c r="B400">
        <v>2389</v>
      </c>
      <c r="C400" t="s">
        <v>72</v>
      </c>
      <c r="D400" t="s">
        <v>81</v>
      </c>
      <c r="E400" t="s">
        <v>74</v>
      </c>
      <c r="F400" t="s">
        <v>75</v>
      </c>
      <c r="G400" t="s">
        <v>76</v>
      </c>
      <c r="H400">
        <v>27.74387359222391</v>
      </c>
      <c r="I400">
        <v>0</v>
      </c>
      <c r="J400">
        <v>7</v>
      </c>
      <c r="K400">
        <v>7</v>
      </c>
      <c r="L400">
        <v>0</v>
      </c>
      <c r="M400">
        <v>8</v>
      </c>
      <c r="N400">
        <v>7</v>
      </c>
      <c r="O400">
        <v>1</v>
      </c>
      <c r="P400">
        <v>9</v>
      </c>
      <c r="Q400">
        <v>5</v>
      </c>
      <c r="R400">
        <v>4</v>
      </c>
      <c r="S400">
        <v>8</v>
      </c>
      <c r="T400">
        <v>8</v>
      </c>
      <c r="U400">
        <v>0</v>
      </c>
      <c r="V400">
        <v>7</v>
      </c>
      <c r="W400">
        <v>7</v>
      </c>
      <c r="X400">
        <v>0</v>
      </c>
      <c r="Y400">
        <v>8</v>
      </c>
      <c r="Z400">
        <v>8</v>
      </c>
      <c r="AA400">
        <v>0</v>
      </c>
      <c r="AB400">
        <v>6</v>
      </c>
      <c r="AC400">
        <v>6</v>
      </c>
      <c r="AD400">
        <v>0</v>
      </c>
      <c r="AE400">
        <v>8</v>
      </c>
      <c r="AF400">
        <v>6</v>
      </c>
      <c r="AG400">
        <v>2</v>
      </c>
      <c r="AH400">
        <v>7</v>
      </c>
      <c r="AI400">
        <v>8</v>
      </c>
      <c r="AJ400">
        <v>-1</v>
      </c>
      <c r="AK400" t="s">
        <v>3767</v>
      </c>
      <c r="AL400" t="s">
        <v>3768</v>
      </c>
      <c r="AM400" t="s">
        <v>3769</v>
      </c>
      <c r="AN400" t="s">
        <v>3770</v>
      </c>
      <c r="AO400" t="s">
        <v>3771</v>
      </c>
      <c r="AP400" t="s">
        <v>3772</v>
      </c>
      <c r="AQ400" t="s">
        <v>3773</v>
      </c>
      <c r="AR400" t="s">
        <v>3774</v>
      </c>
      <c r="AS400" t="s">
        <v>3775</v>
      </c>
    </row>
    <row r="401" spans="1:45" x14ac:dyDescent="0.45">
      <c r="A401">
        <v>400</v>
      </c>
      <c r="B401">
        <v>2390</v>
      </c>
      <c r="C401" t="s">
        <v>72</v>
      </c>
      <c r="D401" t="s">
        <v>79</v>
      </c>
      <c r="E401" t="s">
        <v>74</v>
      </c>
      <c r="F401" t="s">
        <v>77</v>
      </c>
      <c r="G401" t="s">
        <v>76</v>
      </c>
      <c r="H401">
        <v>38.514138274483862</v>
      </c>
      <c r="I401">
        <v>3</v>
      </c>
      <c r="J401">
        <v>7</v>
      </c>
      <c r="K401">
        <v>8</v>
      </c>
      <c r="L401">
        <v>-1</v>
      </c>
      <c r="M401">
        <v>6</v>
      </c>
      <c r="N401">
        <v>9</v>
      </c>
      <c r="O401">
        <v>-3</v>
      </c>
      <c r="P401">
        <v>9</v>
      </c>
      <c r="Q401">
        <v>8</v>
      </c>
      <c r="R401">
        <v>1</v>
      </c>
      <c r="S401">
        <v>8</v>
      </c>
      <c r="T401">
        <v>8</v>
      </c>
      <c r="U401">
        <v>0</v>
      </c>
      <c r="V401">
        <v>7</v>
      </c>
      <c r="W401">
        <v>7</v>
      </c>
      <c r="X401">
        <v>0</v>
      </c>
      <c r="Y401">
        <v>8</v>
      </c>
      <c r="Z401">
        <v>7</v>
      </c>
      <c r="AA401">
        <v>1</v>
      </c>
      <c r="AB401">
        <v>6</v>
      </c>
      <c r="AC401">
        <v>7</v>
      </c>
      <c r="AD401">
        <v>-1</v>
      </c>
      <c r="AE401">
        <v>7</v>
      </c>
      <c r="AF401">
        <v>7</v>
      </c>
      <c r="AG401">
        <v>0</v>
      </c>
      <c r="AH401">
        <v>8</v>
      </c>
      <c r="AI401">
        <v>8</v>
      </c>
      <c r="AJ401">
        <v>0</v>
      </c>
      <c r="AK401" t="s">
        <v>3776</v>
      </c>
      <c r="AL401" t="s">
        <v>3777</v>
      </c>
      <c r="AM401" t="s">
        <v>3778</v>
      </c>
      <c r="AN401" t="s">
        <v>3779</v>
      </c>
      <c r="AO401" t="s">
        <v>3780</v>
      </c>
      <c r="AP401" t="s">
        <v>3781</v>
      </c>
      <c r="AQ401" t="s">
        <v>3782</v>
      </c>
      <c r="AR401" t="s">
        <v>3783</v>
      </c>
      <c r="AS401" t="s">
        <v>3784</v>
      </c>
    </row>
    <row r="402" spans="1:45" x14ac:dyDescent="0.45">
      <c r="A402">
        <v>401</v>
      </c>
      <c r="B402">
        <v>2391</v>
      </c>
      <c r="C402" t="s">
        <v>72</v>
      </c>
      <c r="D402" t="s">
        <v>81</v>
      </c>
      <c r="E402" t="s">
        <v>80</v>
      </c>
      <c r="F402" t="s">
        <v>77</v>
      </c>
      <c r="G402" t="s">
        <v>76</v>
      </c>
      <c r="H402">
        <v>16.079860024526425</v>
      </c>
      <c r="I402">
        <v>0</v>
      </c>
      <c r="J402">
        <v>7</v>
      </c>
      <c r="K402">
        <v>4</v>
      </c>
      <c r="L402">
        <v>3</v>
      </c>
      <c r="M402">
        <v>8</v>
      </c>
      <c r="N402">
        <v>4</v>
      </c>
      <c r="O402">
        <v>4</v>
      </c>
      <c r="P402">
        <v>9</v>
      </c>
      <c r="Q402">
        <v>3</v>
      </c>
      <c r="R402">
        <v>6</v>
      </c>
      <c r="S402">
        <v>10</v>
      </c>
      <c r="T402">
        <v>5</v>
      </c>
      <c r="U402">
        <v>5</v>
      </c>
      <c r="V402">
        <v>6</v>
      </c>
      <c r="W402">
        <v>5</v>
      </c>
      <c r="X402">
        <v>1</v>
      </c>
      <c r="Y402">
        <v>9</v>
      </c>
      <c r="Z402">
        <v>2</v>
      </c>
      <c r="AA402">
        <v>7</v>
      </c>
      <c r="AB402">
        <v>7</v>
      </c>
      <c r="AC402">
        <v>2</v>
      </c>
      <c r="AD402">
        <v>5</v>
      </c>
      <c r="AE402">
        <v>8</v>
      </c>
      <c r="AF402">
        <v>5</v>
      </c>
      <c r="AG402">
        <v>3</v>
      </c>
      <c r="AH402">
        <v>9</v>
      </c>
      <c r="AI402">
        <v>2</v>
      </c>
      <c r="AJ402">
        <v>7</v>
      </c>
      <c r="AK402" t="s">
        <v>3785</v>
      </c>
      <c r="AL402" t="s">
        <v>3786</v>
      </c>
      <c r="AM402" t="s">
        <v>3787</v>
      </c>
      <c r="AN402" t="s">
        <v>3788</v>
      </c>
      <c r="AO402" t="s">
        <v>3789</v>
      </c>
      <c r="AP402" t="s">
        <v>3790</v>
      </c>
      <c r="AQ402" t="s">
        <v>3791</v>
      </c>
      <c r="AR402" t="s">
        <v>3792</v>
      </c>
      <c r="AS402" t="s">
        <v>3793</v>
      </c>
    </row>
    <row r="403" spans="1:45" x14ac:dyDescent="0.45">
      <c r="A403">
        <v>402</v>
      </c>
      <c r="B403">
        <v>2392</v>
      </c>
      <c r="C403" t="s">
        <v>78</v>
      </c>
      <c r="D403" t="s">
        <v>193</v>
      </c>
      <c r="E403" t="s">
        <v>74</v>
      </c>
      <c r="F403" t="s">
        <v>75</v>
      </c>
      <c r="G403" t="s">
        <v>76</v>
      </c>
      <c r="H403">
        <v>246.83245577454321</v>
      </c>
      <c r="I403">
        <v>4</v>
      </c>
      <c r="J403">
        <v>8</v>
      </c>
      <c r="K403">
        <v>7</v>
      </c>
      <c r="L403">
        <v>1</v>
      </c>
      <c r="M403">
        <v>7</v>
      </c>
      <c r="N403">
        <v>7</v>
      </c>
      <c r="O403">
        <v>0</v>
      </c>
      <c r="P403">
        <v>9</v>
      </c>
      <c r="Q403">
        <v>4</v>
      </c>
      <c r="R403">
        <v>5</v>
      </c>
      <c r="S403">
        <v>9</v>
      </c>
      <c r="T403">
        <v>6</v>
      </c>
      <c r="U403">
        <v>3</v>
      </c>
      <c r="V403">
        <v>8</v>
      </c>
      <c r="W403">
        <v>5</v>
      </c>
      <c r="X403">
        <v>3</v>
      </c>
      <c r="Y403">
        <v>9</v>
      </c>
      <c r="Z403">
        <v>4</v>
      </c>
      <c r="AA403">
        <v>5</v>
      </c>
      <c r="AB403">
        <v>8</v>
      </c>
      <c r="AC403">
        <v>5</v>
      </c>
      <c r="AD403">
        <v>3</v>
      </c>
      <c r="AE403">
        <v>7</v>
      </c>
      <c r="AF403">
        <v>5</v>
      </c>
      <c r="AG403">
        <v>2</v>
      </c>
      <c r="AH403">
        <v>9</v>
      </c>
      <c r="AI403">
        <v>5</v>
      </c>
      <c r="AJ403">
        <v>4</v>
      </c>
      <c r="AK403" t="s">
        <v>3794</v>
      </c>
      <c r="AL403" t="s">
        <v>3795</v>
      </c>
      <c r="AM403" t="s">
        <v>3796</v>
      </c>
      <c r="AN403" t="s">
        <v>3797</v>
      </c>
      <c r="AO403" t="s">
        <v>3798</v>
      </c>
      <c r="AP403" t="s">
        <v>3799</v>
      </c>
      <c r="AQ403" t="s">
        <v>3800</v>
      </c>
      <c r="AR403" t="s">
        <v>3801</v>
      </c>
      <c r="AS403" t="s">
        <v>3802</v>
      </c>
    </row>
    <row r="404" spans="1:45" x14ac:dyDescent="0.45">
      <c r="A404">
        <v>403</v>
      </c>
      <c r="B404">
        <v>2393</v>
      </c>
      <c r="C404" t="s">
        <v>72</v>
      </c>
      <c r="D404" t="s">
        <v>81</v>
      </c>
      <c r="E404" t="s">
        <v>74</v>
      </c>
      <c r="F404" t="s">
        <v>77</v>
      </c>
      <c r="G404" t="s">
        <v>76</v>
      </c>
      <c r="H404">
        <v>23.605855353203044</v>
      </c>
      <c r="I404">
        <v>0</v>
      </c>
      <c r="J404">
        <v>8</v>
      </c>
      <c r="K404">
        <v>7</v>
      </c>
      <c r="L404">
        <v>1</v>
      </c>
      <c r="M404">
        <v>9</v>
      </c>
      <c r="N404">
        <v>7</v>
      </c>
      <c r="O404">
        <v>2</v>
      </c>
      <c r="P404">
        <v>7</v>
      </c>
      <c r="Q404">
        <v>7</v>
      </c>
      <c r="R404">
        <v>0</v>
      </c>
      <c r="S404">
        <v>9</v>
      </c>
      <c r="T404">
        <v>7</v>
      </c>
      <c r="U404">
        <v>2</v>
      </c>
      <c r="V404">
        <v>8</v>
      </c>
      <c r="W404">
        <v>7</v>
      </c>
      <c r="X404">
        <v>1</v>
      </c>
      <c r="Y404">
        <v>9</v>
      </c>
      <c r="Z404">
        <v>7</v>
      </c>
      <c r="AA404">
        <v>2</v>
      </c>
      <c r="AB404">
        <v>8</v>
      </c>
      <c r="AC404">
        <v>7</v>
      </c>
      <c r="AD404">
        <v>1</v>
      </c>
      <c r="AE404">
        <v>9</v>
      </c>
      <c r="AF404">
        <v>7</v>
      </c>
      <c r="AG404">
        <v>2</v>
      </c>
      <c r="AH404">
        <v>9</v>
      </c>
      <c r="AI404">
        <v>7</v>
      </c>
      <c r="AJ404">
        <v>2</v>
      </c>
      <c r="AK404" t="s">
        <v>3803</v>
      </c>
      <c r="AL404" t="s">
        <v>3804</v>
      </c>
      <c r="AM404" t="s">
        <v>3805</v>
      </c>
      <c r="AN404" t="s">
        <v>3806</v>
      </c>
      <c r="AO404" t="s">
        <v>3807</v>
      </c>
      <c r="AP404" t="s">
        <v>3808</v>
      </c>
      <c r="AQ404" t="s">
        <v>3809</v>
      </c>
      <c r="AR404" t="s">
        <v>3810</v>
      </c>
      <c r="AS404" t="s">
        <v>3811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O1" workbookViewId="0">
      <selection activeCell="O1" sqref="O1"/>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row>
    <row r="2" spans="1:17" x14ac:dyDescent="0.45">
      <c r="A2" s="19">
        <v>46016.586805555555</v>
      </c>
      <c r="B2" t="s">
        <v>72</v>
      </c>
      <c r="C2" t="s">
        <v>81</v>
      </c>
      <c r="D2" t="s">
        <v>74</v>
      </c>
      <c r="E2" t="s">
        <v>77</v>
      </c>
      <c r="F2" t="s">
        <v>100</v>
      </c>
      <c r="G2" t="s">
        <v>104</v>
      </c>
      <c r="H2" t="s">
        <v>102</v>
      </c>
      <c r="I2">
        <v>10</v>
      </c>
      <c r="J2">
        <v>8</v>
      </c>
      <c r="K2">
        <v>5</v>
      </c>
      <c r="L2">
        <v>5</v>
      </c>
      <c r="M2">
        <v>10</v>
      </c>
      <c r="N2">
        <v>10</v>
      </c>
      <c r="O2">
        <v>10</v>
      </c>
      <c r="P2">
        <v>10</v>
      </c>
      <c r="Q2">
        <v>10</v>
      </c>
    </row>
    <row r="3" spans="1:17" x14ac:dyDescent="0.45">
      <c r="A3" s="19">
        <v>46016.586805555555</v>
      </c>
      <c r="B3" t="s">
        <v>72</v>
      </c>
      <c r="C3" t="s">
        <v>81</v>
      </c>
      <c r="D3" t="s">
        <v>74</v>
      </c>
      <c r="E3" t="s">
        <v>77</v>
      </c>
      <c r="F3" t="s">
        <v>100</v>
      </c>
      <c r="G3" t="s">
        <v>104</v>
      </c>
      <c r="H3" t="s">
        <v>110</v>
      </c>
      <c r="I3">
        <v>8</v>
      </c>
      <c r="J3">
        <v>8</v>
      </c>
      <c r="K3">
        <v>6</v>
      </c>
      <c r="L3">
        <v>9</v>
      </c>
      <c r="M3">
        <v>10</v>
      </c>
      <c r="N3">
        <v>9</v>
      </c>
      <c r="O3">
        <v>8</v>
      </c>
      <c r="P3">
        <v>9</v>
      </c>
      <c r="Q3">
        <v>10</v>
      </c>
    </row>
    <row r="4" spans="1:17" x14ac:dyDescent="0.45">
      <c r="A4" s="19">
        <v>46016.588194444441</v>
      </c>
      <c r="B4" t="s">
        <v>78</v>
      </c>
      <c r="C4" t="s">
        <v>79</v>
      </c>
      <c r="D4" t="s">
        <v>74</v>
      </c>
      <c r="E4" t="s">
        <v>75</v>
      </c>
      <c r="F4" t="s">
        <v>100</v>
      </c>
      <c r="G4" t="s">
        <v>111</v>
      </c>
      <c r="H4" t="s">
        <v>106</v>
      </c>
      <c r="I4">
        <v>6</v>
      </c>
      <c r="J4">
        <v>5</v>
      </c>
      <c r="K4">
        <v>4</v>
      </c>
      <c r="L4">
        <v>5</v>
      </c>
      <c r="M4">
        <v>4</v>
      </c>
      <c r="N4">
        <v>4</v>
      </c>
      <c r="O4">
        <v>4</v>
      </c>
      <c r="P4">
        <v>10</v>
      </c>
      <c r="Q4">
        <v>4</v>
      </c>
    </row>
    <row r="5" spans="1:17" x14ac:dyDescent="0.45">
      <c r="A5" s="19">
        <v>46016.588194444441</v>
      </c>
      <c r="B5" t="s">
        <v>72</v>
      </c>
      <c r="C5" t="s">
        <v>189</v>
      </c>
      <c r="D5" t="s">
        <v>74</v>
      </c>
      <c r="E5" t="s">
        <v>77</v>
      </c>
      <c r="F5" t="s">
        <v>100</v>
      </c>
      <c r="G5" t="s">
        <v>194</v>
      </c>
      <c r="H5" t="s">
        <v>110</v>
      </c>
      <c r="I5">
        <v>10</v>
      </c>
      <c r="J5">
        <v>10</v>
      </c>
      <c r="K5">
        <v>8</v>
      </c>
      <c r="L5">
        <v>9</v>
      </c>
      <c r="M5">
        <v>9</v>
      </c>
      <c r="N5">
        <v>7</v>
      </c>
      <c r="O5">
        <v>10</v>
      </c>
      <c r="P5">
        <v>7</v>
      </c>
      <c r="Q5">
        <v>10</v>
      </c>
    </row>
    <row r="6" spans="1:17" x14ac:dyDescent="0.45">
      <c r="A6" s="19">
        <v>46016.588888888888</v>
      </c>
      <c r="B6" t="s">
        <v>72</v>
      </c>
      <c r="C6" t="s">
        <v>81</v>
      </c>
      <c r="D6" t="s">
        <v>74</v>
      </c>
      <c r="E6" t="s">
        <v>77</v>
      </c>
      <c r="F6" t="s">
        <v>100</v>
      </c>
      <c r="G6" t="s">
        <v>194</v>
      </c>
      <c r="H6" t="s">
        <v>110</v>
      </c>
      <c r="I6">
        <v>9</v>
      </c>
      <c r="J6">
        <v>9</v>
      </c>
      <c r="K6">
        <v>10</v>
      </c>
      <c r="L6">
        <v>9</v>
      </c>
      <c r="M6">
        <v>9</v>
      </c>
      <c r="N6">
        <v>9</v>
      </c>
      <c r="O6">
        <v>9</v>
      </c>
      <c r="P6">
        <v>9</v>
      </c>
      <c r="Q6">
        <v>9</v>
      </c>
    </row>
    <row r="7" spans="1:17" x14ac:dyDescent="0.45">
      <c r="A7" s="19">
        <v>46016.595138888886</v>
      </c>
      <c r="B7" t="s">
        <v>72</v>
      </c>
      <c r="C7" t="s">
        <v>73</v>
      </c>
      <c r="D7" t="s">
        <v>74</v>
      </c>
      <c r="E7" t="s">
        <v>75</v>
      </c>
      <c r="F7" t="s">
        <v>100</v>
      </c>
      <c r="G7" t="s">
        <v>107</v>
      </c>
      <c r="H7" t="s">
        <v>195</v>
      </c>
      <c r="I7">
        <v>8</v>
      </c>
      <c r="J7">
        <v>8</v>
      </c>
      <c r="K7">
        <v>5</v>
      </c>
      <c r="L7">
        <v>8</v>
      </c>
      <c r="M7">
        <v>6</v>
      </c>
      <c r="N7">
        <v>6</v>
      </c>
      <c r="O7">
        <v>4</v>
      </c>
      <c r="P7">
        <v>5</v>
      </c>
      <c r="Q7">
        <v>6</v>
      </c>
    </row>
    <row r="8" spans="1:17" x14ac:dyDescent="0.45">
      <c r="A8" s="19">
        <v>46016.59652777778</v>
      </c>
      <c r="B8" t="s">
        <v>72</v>
      </c>
      <c r="C8" t="s">
        <v>73</v>
      </c>
      <c r="D8" t="s">
        <v>74</v>
      </c>
      <c r="E8" t="s">
        <v>77</v>
      </c>
      <c r="F8" t="s">
        <v>100</v>
      </c>
      <c r="G8" t="s">
        <v>196</v>
      </c>
      <c r="H8" t="s">
        <v>105</v>
      </c>
      <c r="I8">
        <v>5</v>
      </c>
      <c r="J8">
        <v>4</v>
      </c>
      <c r="K8">
        <v>4</v>
      </c>
      <c r="L8">
        <v>6</v>
      </c>
      <c r="M8">
        <v>6</v>
      </c>
      <c r="N8">
        <v>7</v>
      </c>
      <c r="O8">
        <v>2</v>
      </c>
      <c r="P8">
        <v>4</v>
      </c>
      <c r="Q8">
        <v>4</v>
      </c>
    </row>
    <row r="9" spans="1:17" x14ac:dyDescent="0.45">
      <c r="A9" s="19">
        <v>46016.602777777778</v>
      </c>
      <c r="B9" t="s">
        <v>78</v>
      </c>
      <c r="C9" t="s">
        <v>79</v>
      </c>
      <c r="D9" t="s">
        <v>74</v>
      </c>
      <c r="E9" t="s">
        <v>75</v>
      </c>
      <c r="F9" t="s">
        <v>100</v>
      </c>
      <c r="G9" t="s">
        <v>194</v>
      </c>
      <c r="H9" t="s">
        <v>105</v>
      </c>
      <c r="I9">
        <v>1</v>
      </c>
      <c r="J9">
        <v>1</v>
      </c>
      <c r="K9">
        <v>2</v>
      </c>
      <c r="L9">
        <v>3</v>
      </c>
      <c r="M9">
        <v>6</v>
      </c>
      <c r="N9">
        <v>2</v>
      </c>
      <c r="O9">
        <v>7</v>
      </c>
      <c r="P9">
        <v>3</v>
      </c>
      <c r="Q9">
        <v>3</v>
      </c>
    </row>
    <row r="10" spans="1:17" x14ac:dyDescent="0.45">
      <c r="A10" s="19">
        <v>46016.649305555555</v>
      </c>
      <c r="B10" t="s">
        <v>72</v>
      </c>
      <c r="C10" t="s">
        <v>81</v>
      </c>
      <c r="D10" t="s">
        <v>80</v>
      </c>
      <c r="E10" t="s">
        <v>77</v>
      </c>
      <c r="F10" t="s">
        <v>103</v>
      </c>
      <c r="G10" t="s">
        <v>104</v>
      </c>
      <c r="H10" t="s">
        <v>102</v>
      </c>
      <c r="I10">
        <v>10</v>
      </c>
      <c r="J10">
        <v>10</v>
      </c>
      <c r="K10">
        <v>8</v>
      </c>
      <c r="L10">
        <v>7</v>
      </c>
      <c r="M10">
        <v>7</v>
      </c>
      <c r="N10">
        <v>5</v>
      </c>
      <c r="O10">
        <v>5</v>
      </c>
      <c r="P10">
        <v>9</v>
      </c>
      <c r="Q10">
        <v>8</v>
      </c>
    </row>
    <row r="11" spans="1:17" x14ac:dyDescent="0.45">
      <c r="A11" s="19">
        <v>46016.660416666666</v>
      </c>
      <c r="B11" t="s">
        <v>72</v>
      </c>
      <c r="C11" t="s">
        <v>81</v>
      </c>
      <c r="D11" t="s">
        <v>74</v>
      </c>
      <c r="E11" t="s">
        <v>77</v>
      </c>
      <c r="F11" t="s">
        <v>100</v>
      </c>
      <c r="G11" t="s">
        <v>196</v>
      </c>
      <c r="H11" t="s">
        <v>110</v>
      </c>
      <c r="I11">
        <v>7</v>
      </c>
      <c r="J11">
        <v>10</v>
      </c>
      <c r="K11">
        <v>1</v>
      </c>
      <c r="L11">
        <v>5</v>
      </c>
      <c r="M11">
        <v>8</v>
      </c>
      <c r="N11">
        <v>5</v>
      </c>
      <c r="O11">
        <v>5</v>
      </c>
      <c r="P11">
        <v>5</v>
      </c>
      <c r="Q11">
        <v>10</v>
      </c>
    </row>
    <row r="12" spans="1:17" x14ac:dyDescent="0.45">
      <c r="A12" s="19">
        <v>46016.661111111112</v>
      </c>
      <c r="B12" t="s">
        <v>78</v>
      </c>
      <c r="C12" t="s">
        <v>73</v>
      </c>
      <c r="D12" t="s">
        <v>74</v>
      </c>
      <c r="E12" t="s">
        <v>75</v>
      </c>
      <c r="F12" t="s">
        <v>103</v>
      </c>
      <c r="G12" t="s">
        <v>109</v>
      </c>
      <c r="H12" t="s">
        <v>195</v>
      </c>
      <c r="I12">
        <v>10</v>
      </c>
      <c r="J12">
        <v>3</v>
      </c>
      <c r="K12">
        <v>1</v>
      </c>
      <c r="L12">
        <v>7</v>
      </c>
      <c r="M12">
        <v>1</v>
      </c>
      <c r="N12">
        <v>5</v>
      </c>
      <c r="O12">
        <v>1</v>
      </c>
      <c r="P12">
        <v>8</v>
      </c>
      <c r="Q12">
        <v>6</v>
      </c>
    </row>
    <row r="13" spans="1:17" x14ac:dyDescent="0.45">
      <c r="A13" s="19">
        <v>46016.709027777775</v>
      </c>
      <c r="B13" t="s">
        <v>72</v>
      </c>
      <c r="C13" t="s">
        <v>189</v>
      </c>
      <c r="D13" t="s">
        <v>74</v>
      </c>
      <c r="E13" t="s">
        <v>77</v>
      </c>
      <c r="F13" t="s">
        <v>100</v>
      </c>
      <c r="G13" t="s">
        <v>194</v>
      </c>
      <c r="H13" t="s">
        <v>110</v>
      </c>
      <c r="I13">
        <v>5</v>
      </c>
      <c r="J13">
        <v>8</v>
      </c>
      <c r="K13">
        <v>5</v>
      </c>
      <c r="L13">
        <v>5</v>
      </c>
      <c r="M13">
        <v>6</v>
      </c>
      <c r="N13">
        <v>5</v>
      </c>
      <c r="O13">
        <v>5</v>
      </c>
      <c r="P13">
        <v>5</v>
      </c>
      <c r="Q13">
        <v>5</v>
      </c>
    </row>
    <row r="14" spans="1:17" x14ac:dyDescent="0.45">
      <c r="A14" s="19">
        <v>46016.745833333334</v>
      </c>
      <c r="B14" t="s">
        <v>72</v>
      </c>
      <c r="C14" t="s">
        <v>189</v>
      </c>
      <c r="D14" t="s">
        <v>74</v>
      </c>
      <c r="E14" t="s">
        <v>77</v>
      </c>
      <c r="F14" t="s">
        <v>100</v>
      </c>
      <c r="G14" t="s">
        <v>194</v>
      </c>
      <c r="H14" t="s">
        <v>110</v>
      </c>
      <c r="I14">
        <v>8</v>
      </c>
      <c r="J14">
        <v>7</v>
      </c>
      <c r="K14">
        <v>7</v>
      </c>
      <c r="L14">
        <v>7</v>
      </c>
      <c r="M14">
        <v>7</v>
      </c>
      <c r="N14">
        <v>8</v>
      </c>
      <c r="O14">
        <v>7</v>
      </c>
      <c r="P14">
        <v>7</v>
      </c>
      <c r="Q14">
        <v>7</v>
      </c>
    </row>
    <row r="15" spans="1:17" x14ac:dyDescent="0.45">
      <c r="A15" s="19">
        <v>46016.844444444447</v>
      </c>
      <c r="B15" t="s">
        <v>72</v>
      </c>
      <c r="C15" t="s">
        <v>73</v>
      </c>
      <c r="D15" t="s">
        <v>74</v>
      </c>
      <c r="E15" t="s">
        <v>75</v>
      </c>
      <c r="F15" t="s">
        <v>100</v>
      </c>
      <c r="G15" t="s">
        <v>196</v>
      </c>
      <c r="H15" t="s">
        <v>110</v>
      </c>
      <c r="I15">
        <v>10</v>
      </c>
      <c r="J15">
        <v>10</v>
      </c>
      <c r="K15">
        <v>8</v>
      </c>
      <c r="L15">
        <v>8</v>
      </c>
      <c r="M15">
        <v>8</v>
      </c>
      <c r="N15">
        <v>6</v>
      </c>
      <c r="O15">
        <v>6</v>
      </c>
      <c r="P15">
        <v>5</v>
      </c>
      <c r="Q15">
        <v>5</v>
      </c>
    </row>
    <row r="16" spans="1:17" x14ac:dyDescent="0.45">
      <c r="A16" s="19">
        <v>46016.84652777778</v>
      </c>
      <c r="B16" t="s">
        <v>78</v>
      </c>
      <c r="C16" t="s">
        <v>73</v>
      </c>
      <c r="D16" t="s">
        <v>74</v>
      </c>
      <c r="E16" t="s">
        <v>75</v>
      </c>
      <c r="F16" t="s">
        <v>100</v>
      </c>
      <c r="G16" t="s">
        <v>109</v>
      </c>
      <c r="H16" t="s">
        <v>105</v>
      </c>
      <c r="I16">
        <v>7</v>
      </c>
      <c r="J16">
        <v>9</v>
      </c>
      <c r="K16">
        <v>3</v>
      </c>
      <c r="L16">
        <v>6</v>
      </c>
      <c r="M16">
        <v>1</v>
      </c>
      <c r="N16">
        <v>1</v>
      </c>
      <c r="O16">
        <v>1</v>
      </c>
      <c r="P16">
        <v>1</v>
      </c>
      <c r="Q16">
        <v>1</v>
      </c>
    </row>
    <row r="17" spans="1:17" x14ac:dyDescent="0.45">
      <c r="A17" s="19">
        <v>46016.881249999999</v>
      </c>
      <c r="B17" t="s">
        <v>78</v>
      </c>
      <c r="C17" t="s">
        <v>79</v>
      </c>
      <c r="D17" t="s">
        <v>74</v>
      </c>
      <c r="E17" t="s">
        <v>75</v>
      </c>
      <c r="F17" t="s">
        <v>100</v>
      </c>
      <c r="G17" t="s">
        <v>107</v>
      </c>
      <c r="H17" t="s">
        <v>195</v>
      </c>
      <c r="I17">
        <v>8</v>
      </c>
      <c r="J17">
        <v>8</v>
      </c>
      <c r="K17">
        <v>8</v>
      </c>
      <c r="L17">
        <v>9</v>
      </c>
      <c r="M17">
        <v>7</v>
      </c>
      <c r="N17">
        <v>7</v>
      </c>
      <c r="O17">
        <v>9</v>
      </c>
      <c r="P17">
        <v>8</v>
      </c>
      <c r="Q17">
        <v>7</v>
      </c>
    </row>
    <row r="18" spans="1:17" x14ac:dyDescent="0.45">
      <c r="A18" s="19">
        <v>46016.885416666664</v>
      </c>
      <c r="B18" t="s">
        <v>72</v>
      </c>
      <c r="C18" t="s">
        <v>81</v>
      </c>
      <c r="D18" t="s">
        <v>74</v>
      </c>
      <c r="E18" t="s">
        <v>77</v>
      </c>
      <c r="F18" t="s">
        <v>100</v>
      </c>
      <c r="G18" t="s">
        <v>196</v>
      </c>
      <c r="H18" t="s">
        <v>105</v>
      </c>
      <c r="I18">
        <v>6</v>
      </c>
      <c r="J18">
        <v>7</v>
      </c>
      <c r="K18">
        <v>5</v>
      </c>
      <c r="L18">
        <v>5</v>
      </c>
      <c r="M18">
        <v>6</v>
      </c>
      <c r="N18">
        <v>7</v>
      </c>
      <c r="O18">
        <v>3</v>
      </c>
      <c r="P18">
        <v>4</v>
      </c>
      <c r="Q18">
        <v>5</v>
      </c>
    </row>
    <row r="19" spans="1:17" x14ac:dyDescent="0.45">
      <c r="A19" s="19">
        <v>46016.907638888886</v>
      </c>
      <c r="B19" t="s">
        <v>78</v>
      </c>
      <c r="C19" t="s">
        <v>79</v>
      </c>
      <c r="D19" t="s">
        <v>74</v>
      </c>
      <c r="E19" t="s">
        <v>77</v>
      </c>
      <c r="F19" t="s">
        <v>103</v>
      </c>
      <c r="G19" t="s">
        <v>104</v>
      </c>
      <c r="H19" t="s">
        <v>110</v>
      </c>
      <c r="I19">
        <v>6</v>
      </c>
      <c r="J19">
        <v>8</v>
      </c>
      <c r="K19">
        <v>7</v>
      </c>
      <c r="L19">
        <v>8</v>
      </c>
      <c r="M19">
        <v>8</v>
      </c>
      <c r="N19">
        <v>7</v>
      </c>
      <c r="O19">
        <v>7</v>
      </c>
      <c r="P19">
        <v>6</v>
      </c>
      <c r="Q19">
        <v>8</v>
      </c>
    </row>
    <row r="20" spans="1:17" x14ac:dyDescent="0.45">
      <c r="A20" s="19">
        <v>46016.910416666666</v>
      </c>
      <c r="B20" t="s">
        <v>78</v>
      </c>
      <c r="C20" t="s">
        <v>79</v>
      </c>
      <c r="D20" t="s">
        <v>74</v>
      </c>
      <c r="E20" t="s">
        <v>77</v>
      </c>
      <c r="F20" t="s">
        <v>100</v>
      </c>
      <c r="G20" t="s">
        <v>108</v>
      </c>
      <c r="H20" t="s">
        <v>195</v>
      </c>
      <c r="I20">
        <v>10</v>
      </c>
      <c r="J20">
        <v>10</v>
      </c>
      <c r="K20">
        <v>5</v>
      </c>
      <c r="L20">
        <v>5</v>
      </c>
      <c r="M20">
        <v>5</v>
      </c>
      <c r="N20">
        <v>3</v>
      </c>
      <c r="O20">
        <v>2</v>
      </c>
      <c r="P20">
        <v>5</v>
      </c>
      <c r="Q20">
        <v>8</v>
      </c>
    </row>
    <row r="21" spans="1:17" x14ac:dyDescent="0.45">
      <c r="A21" s="19">
        <v>46017.081250000003</v>
      </c>
      <c r="B21" t="s">
        <v>78</v>
      </c>
      <c r="C21" t="s">
        <v>73</v>
      </c>
      <c r="D21" t="s">
        <v>74</v>
      </c>
      <c r="E21" t="s">
        <v>75</v>
      </c>
      <c r="F21" t="s">
        <v>100</v>
      </c>
      <c r="G21" t="s">
        <v>111</v>
      </c>
      <c r="H21" t="s">
        <v>105</v>
      </c>
      <c r="I21">
        <v>9</v>
      </c>
      <c r="J21">
        <v>9</v>
      </c>
      <c r="K21">
        <v>7</v>
      </c>
      <c r="L21">
        <v>9</v>
      </c>
      <c r="M21">
        <v>7</v>
      </c>
      <c r="N21">
        <v>8</v>
      </c>
      <c r="O21">
        <v>5</v>
      </c>
      <c r="P21">
        <v>5</v>
      </c>
      <c r="Q21">
        <v>6</v>
      </c>
    </row>
    <row r="22" spans="1:17" x14ac:dyDescent="0.45">
      <c r="A22" s="19">
        <v>46017.3125</v>
      </c>
      <c r="B22" t="s">
        <v>72</v>
      </c>
      <c r="C22" t="s">
        <v>79</v>
      </c>
      <c r="D22" t="s">
        <v>74</v>
      </c>
      <c r="E22" t="s">
        <v>77</v>
      </c>
      <c r="F22" t="s">
        <v>100</v>
      </c>
      <c r="G22" t="s">
        <v>108</v>
      </c>
      <c r="H22" t="s">
        <v>106</v>
      </c>
      <c r="I22">
        <v>10</v>
      </c>
      <c r="J22">
        <v>10</v>
      </c>
      <c r="K22">
        <v>8</v>
      </c>
      <c r="L22">
        <v>7</v>
      </c>
      <c r="M22">
        <v>7</v>
      </c>
      <c r="N22">
        <v>7</v>
      </c>
      <c r="O22">
        <v>2</v>
      </c>
      <c r="P22">
        <v>3</v>
      </c>
      <c r="Q22">
        <v>3</v>
      </c>
    </row>
    <row r="23" spans="1:17" x14ac:dyDescent="0.45">
      <c r="A23" s="19">
        <v>46017.362500000003</v>
      </c>
      <c r="B23" t="s">
        <v>72</v>
      </c>
      <c r="C23" t="s">
        <v>189</v>
      </c>
      <c r="D23" t="s">
        <v>74</v>
      </c>
      <c r="E23" t="s">
        <v>77</v>
      </c>
      <c r="F23" t="s">
        <v>100</v>
      </c>
      <c r="G23" t="s">
        <v>104</v>
      </c>
      <c r="H23" t="s">
        <v>110</v>
      </c>
      <c r="I23">
        <v>8</v>
      </c>
      <c r="J23">
        <v>8</v>
      </c>
      <c r="K23">
        <v>5</v>
      </c>
      <c r="L23">
        <v>8</v>
      </c>
      <c r="M23">
        <v>8</v>
      </c>
      <c r="N23">
        <v>8</v>
      </c>
      <c r="O23">
        <v>8</v>
      </c>
      <c r="P23">
        <v>8</v>
      </c>
      <c r="Q23">
        <v>8</v>
      </c>
    </row>
    <row r="24" spans="1:17" x14ac:dyDescent="0.45">
      <c r="A24" s="19">
        <v>46017.4</v>
      </c>
      <c r="B24" t="s">
        <v>72</v>
      </c>
      <c r="C24" t="s">
        <v>79</v>
      </c>
      <c r="D24" t="s">
        <v>74</v>
      </c>
      <c r="E24" t="s">
        <v>75</v>
      </c>
      <c r="F24" t="s">
        <v>100</v>
      </c>
      <c r="G24" t="s">
        <v>107</v>
      </c>
      <c r="H24" t="s">
        <v>106</v>
      </c>
      <c r="I24">
        <v>5</v>
      </c>
      <c r="J24">
        <v>5</v>
      </c>
      <c r="K24">
        <v>5</v>
      </c>
      <c r="L24">
        <v>5</v>
      </c>
      <c r="M24">
        <v>5</v>
      </c>
      <c r="N24">
        <v>5</v>
      </c>
      <c r="O24">
        <v>5</v>
      </c>
      <c r="P24">
        <v>5</v>
      </c>
      <c r="Q24">
        <v>5</v>
      </c>
    </row>
    <row r="25" spans="1:17" x14ac:dyDescent="0.45">
      <c r="A25" s="19">
        <v>46017.484027777777</v>
      </c>
      <c r="B25" t="s">
        <v>72</v>
      </c>
      <c r="C25" t="s">
        <v>73</v>
      </c>
      <c r="D25" t="s">
        <v>80</v>
      </c>
      <c r="E25" t="s">
        <v>77</v>
      </c>
      <c r="F25" t="s">
        <v>100</v>
      </c>
      <c r="G25" t="s">
        <v>101</v>
      </c>
      <c r="H25" t="s">
        <v>105</v>
      </c>
      <c r="I25">
        <v>9</v>
      </c>
      <c r="J25">
        <v>8</v>
      </c>
      <c r="K25">
        <v>6</v>
      </c>
      <c r="L25">
        <v>9</v>
      </c>
      <c r="M25">
        <v>8</v>
      </c>
      <c r="N25">
        <v>10</v>
      </c>
      <c r="O25">
        <v>6</v>
      </c>
      <c r="P25">
        <v>6</v>
      </c>
      <c r="Q25">
        <v>8</v>
      </c>
    </row>
    <row r="26" spans="1:17" x14ac:dyDescent="0.45">
      <c r="A26" s="19">
        <v>46017.486111111109</v>
      </c>
      <c r="B26" t="s">
        <v>78</v>
      </c>
      <c r="C26" t="s">
        <v>73</v>
      </c>
      <c r="D26" t="s">
        <v>74</v>
      </c>
      <c r="E26" t="s">
        <v>75</v>
      </c>
      <c r="F26" t="s">
        <v>100</v>
      </c>
      <c r="G26" t="s">
        <v>109</v>
      </c>
      <c r="H26" t="s">
        <v>102</v>
      </c>
      <c r="I26">
        <v>6</v>
      </c>
      <c r="J26">
        <v>7</v>
      </c>
      <c r="K26">
        <v>5</v>
      </c>
      <c r="L26">
        <v>6</v>
      </c>
      <c r="M26">
        <v>7</v>
      </c>
      <c r="N26">
        <v>7</v>
      </c>
      <c r="O26">
        <v>3</v>
      </c>
      <c r="P26">
        <v>3</v>
      </c>
      <c r="Q26">
        <v>5</v>
      </c>
    </row>
    <row r="27" spans="1:17" x14ac:dyDescent="0.45">
      <c r="A27" s="19">
        <v>46017.489583333336</v>
      </c>
      <c r="B27" t="s">
        <v>78</v>
      </c>
      <c r="C27" t="s">
        <v>73</v>
      </c>
      <c r="D27" t="s">
        <v>74</v>
      </c>
      <c r="E27" t="s">
        <v>75</v>
      </c>
      <c r="F27" t="s">
        <v>100</v>
      </c>
      <c r="G27" t="s">
        <v>194</v>
      </c>
      <c r="H27" t="s">
        <v>195</v>
      </c>
      <c r="I27">
        <v>10</v>
      </c>
      <c r="J27">
        <v>10</v>
      </c>
      <c r="K27">
        <v>10</v>
      </c>
      <c r="L27">
        <v>6</v>
      </c>
      <c r="M27">
        <v>6</v>
      </c>
      <c r="N27">
        <v>10</v>
      </c>
      <c r="O27">
        <v>1</v>
      </c>
      <c r="P27">
        <v>4</v>
      </c>
      <c r="Q27">
        <v>10</v>
      </c>
    </row>
    <row r="28" spans="1:17" x14ac:dyDescent="0.45">
      <c r="A28" s="19">
        <v>46017.504166666666</v>
      </c>
      <c r="B28" t="s">
        <v>78</v>
      </c>
      <c r="C28" t="s">
        <v>189</v>
      </c>
      <c r="D28" t="s">
        <v>74</v>
      </c>
      <c r="E28" t="s">
        <v>77</v>
      </c>
      <c r="F28" t="s">
        <v>100</v>
      </c>
      <c r="G28" t="s">
        <v>194</v>
      </c>
      <c r="H28" t="s">
        <v>110</v>
      </c>
      <c r="I28">
        <v>1</v>
      </c>
      <c r="J28">
        <v>1</v>
      </c>
      <c r="K28">
        <v>1</v>
      </c>
      <c r="L28">
        <v>1</v>
      </c>
      <c r="M28">
        <v>1</v>
      </c>
      <c r="N28">
        <v>1</v>
      </c>
      <c r="O28">
        <v>1</v>
      </c>
      <c r="P28">
        <v>1</v>
      </c>
      <c r="Q28">
        <v>1</v>
      </c>
    </row>
    <row r="29" spans="1:17" x14ac:dyDescent="0.45">
      <c r="A29" s="19">
        <v>46017.504166666666</v>
      </c>
      <c r="B29" t="s">
        <v>78</v>
      </c>
      <c r="C29" t="s">
        <v>81</v>
      </c>
      <c r="D29" t="s">
        <v>74</v>
      </c>
      <c r="E29" t="s">
        <v>77</v>
      </c>
      <c r="F29" t="s">
        <v>100</v>
      </c>
      <c r="G29" t="s">
        <v>104</v>
      </c>
      <c r="H29" t="s">
        <v>110</v>
      </c>
      <c r="I29">
        <v>1</v>
      </c>
      <c r="J29">
        <v>1</v>
      </c>
      <c r="K29">
        <v>1</v>
      </c>
      <c r="L29">
        <v>1</v>
      </c>
      <c r="M29">
        <v>1</v>
      </c>
      <c r="N29">
        <v>1</v>
      </c>
      <c r="O29">
        <v>1</v>
      </c>
      <c r="P29">
        <v>1</v>
      </c>
      <c r="Q29">
        <v>1</v>
      </c>
    </row>
    <row r="30" spans="1:17" x14ac:dyDescent="0.45">
      <c r="A30" s="19">
        <v>46017.504861111112</v>
      </c>
      <c r="B30" t="s">
        <v>72</v>
      </c>
      <c r="C30" t="s">
        <v>189</v>
      </c>
      <c r="D30" t="s">
        <v>74</v>
      </c>
      <c r="E30" t="s">
        <v>77</v>
      </c>
      <c r="F30" t="s">
        <v>100</v>
      </c>
      <c r="G30" t="s">
        <v>104</v>
      </c>
      <c r="H30" t="s">
        <v>110</v>
      </c>
      <c r="I30">
        <v>10</v>
      </c>
      <c r="J30">
        <v>10</v>
      </c>
      <c r="K30">
        <v>9</v>
      </c>
      <c r="L30">
        <v>10</v>
      </c>
      <c r="M30">
        <v>10</v>
      </c>
      <c r="N30">
        <v>9</v>
      </c>
      <c r="O30">
        <v>10</v>
      </c>
      <c r="P30">
        <v>10</v>
      </c>
      <c r="Q30">
        <v>10</v>
      </c>
    </row>
    <row r="31" spans="1:17" x14ac:dyDescent="0.45">
      <c r="A31" s="19">
        <v>46017.504861111112</v>
      </c>
      <c r="B31" t="s">
        <v>72</v>
      </c>
      <c r="C31" t="s">
        <v>189</v>
      </c>
      <c r="D31" t="s">
        <v>74</v>
      </c>
      <c r="E31" t="s">
        <v>77</v>
      </c>
      <c r="F31" t="s">
        <v>100</v>
      </c>
      <c r="G31" t="s">
        <v>104</v>
      </c>
      <c r="H31" t="s">
        <v>110</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100</v>
      </c>
      <c r="G32" t="s">
        <v>101</v>
      </c>
      <c r="H32" t="s">
        <v>110</v>
      </c>
      <c r="I32">
        <v>10</v>
      </c>
      <c r="J32">
        <v>7</v>
      </c>
      <c r="K32">
        <v>10</v>
      </c>
      <c r="L32">
        <v>7</v>
      </c>
      <c r="M32">
        <v>10</v>
      </c>
      <c r="N32">
        <v>10</v>
      </c>
      <c r="O32">
        <v>3</v>
      </c>
      <c r="P32">
        <v>5</v>
      </c>
      <c r="Q32">
        <v>8</v>
      </c>
    </row>
    <row r="33" spans="1:17" x14ac:dyDescent="0.45">
      <c r="A33" s="19">
        <v>46017.505555555559</v>
      </c>
      <c r="B33" t="s">
        <v>72</v>
      </c>
      <c r="C33" t="s">
        <v>189</v>
      </c>
      <c r="D33" t="s">
        <v>74</v>
      </c>
      <c r="E33" t="s">
        <v>77</v>
      </c>
      <c r="F33" t="s">
        <v>100</v>
      </c>
      <c r="G33" t="s">
        <v>101</v>
      </c>
      <c r="H33" t="s">
        <v>110</v>
      </c>
      <c r="I33">
        <v>5</v>
      </c>
      <c r="J33">
        <v>5</v>
      </c>
      <c r="K33">
        <v>5</v>
      </c>
      <c r="L33">
        <v>5</v>
      </c>
      <c r="M33">
        <v>5</v>
      </c>
      <c r="N33">
        <v>5</v>
      </c>
      <c r="O33">
        <v>5</v>
      </c>
      <c r="P33">
        <v>5</v>
      </c>
      <c r="Q33">
        <v>5</v>
      </c>
    </row>
    <row r="34" spans="1:17" x14ac:dyDescent="0.45">
      <c r="A34" s="19">
        <v>46017.505555555559</v>
      </c>
      <c r="B34" t="s">
        <v>72</v>
      </c>
      <c r="C34" t="s">
        <v>81</v>
      </c>
      <c r="D34" t="s">
        <v>74</v>
      </c>
      <c r="E34" t="s">
        <v>77</v>
      </c>
      <c r="F34" t="s">
        <v>100</v>
      </c>
      <c r="G34" t="s">
        <v>101</v>
      </c>
      <c r="H34" t="s">
        <v>110</v>
      </c>
      <c r="I34">
        <v>8</v>
      </c>
      <c r="J34">
        <v>9</v>
      </c>
      <c r="K34">
        <v>7</v>
      </c>
      <c r="L34">
        <v>8</v>
      </c>
      <c r="M34">
        <v>8</v>
      </c>
      <c r="N34">
        <v>8</v>
      </c>
      <c r="O34">
        <v>3</v>
      </c>
      <c r="P34">
        <v>6</v>
      </c>
      <c r="Q34">
        <v>7</v>
      </c>
    </row>
    <row r="35" spans="1:17" x14ac:dyDescent="0.45">
      <c r="A35" s="19">
        <v>46017.505555555559</v>
      </c>
      <c r="B35" t="s">
        <v>78</v>
      </c>
      <c r="C35" t="s">
        <v>81</v>
      </c>
      <c r="D35" t="s">
        <v>74</v>
      </c>
      <c r="E35" t="s">
        <v>77</v>
      </c>
      <c r="F35" t="s">
        <v>100</v>
      </c>
      <c r="G35" t="s">
        <v>104</v>
      </c>
      <c r="H35" t="s">
        <v>102</v>
      </c>
      <c r="I35">
        <v>10</v>
      </c>
      <c r="J35">
        <v>10</v>
      </c>
      <c r="K35">
        <v>10</v>
      </c>
      <c r="L35">
        <v>10</v>
      </c>
      <c r="M35">
        <v>10</v>
      </c>
      <c r="N35">
        <v>10</v>
      </c>
      <c r="O35">
        <v>10</v>
      </c>
      <c r="P35">
        <v>10</v>
      </c>
      <c r="Q35">
        <v>10</v>
      </c>
    </row>
    <row r="36" spans="1:17" x14ac:dyDescent="0.45">
      <c r="A36" s="19">
        <v>46017.509722222225</v>
      </c>
      <c r="B36" t="s">
        <v>72</v>
      </c>
      <c r="C36" t="s">
        <v>73</v>
      </c>
      <c r="D36" t="s">
        <v>74</v>
      </c>
      <c r="E36" t="s">
        <v>190</v>
      </c>
      <c r="F36" t="s">
        <v>100</v>
      </c>
      <c r="G36" t="s">
        <v>104</v>
      </c>
      <c r="H36" t="s">
        <v>106</v>
      </c>
      <c r="I36">
        <v>10</v>
      </c>
      <c r="J36">
        <v>10</v>
      </c>
      <c r="K36">
        <v>10</v>
      </c>
      <c r="L36">
        <v>10</v>
      </c>
      <c r="M36">
        <v>10</v>
      </c>
      <c r="N36">
        <v>10</v>
      </c>
      <c r="O36">
        <v>10</v>
      </c>
      <c r="P36">
        <v>10</v>
      </c>
      <c r="Q36">
        <v>10</v>
      </c>
    </row>
    <row r="37" spans="1:17" x14ac:dyDescent="0.45">
      <c r="A37" s="19">
        <v>46017.510416666664</v>
      </c>
      <c r="B37" t="s">
        <v>72</v>
      </c>
      <c r="C37" t="s">
        <v>189</v>
      </c>
      <c r="D37" t="s">
        <v>74</v>
      </c>
      <c r="E37" t="s">
        <v>77</v>
      </c>
      <c r="F37" t="s">
        <v>100</v>
      </c>
      <c r="G37" t="s">
        <v>104</v>
      </c>
      <c r="H37" t="s">
        <v>110</v>
      </c>
      <c r="I37">
        <v>10</v>
      </c>
      <c r="J37">
        <v>9</v>
      </c>
      <c r="K37">
        <v>10</v>
      </c>
      <c r="L37">
        <v>8</v>
      </c>
      <c r="M37">
        <v>10</v>
      </c>
      <c r="N37">
        <v>9</v>
      </c>
      <c r="O37">
        <v>10</v>
      </c>
      <c r="P37">
        <v>10</v>
      </c>
      <c r="Q37">
        <v>10</v>
      </c>
    </row>
    <row r="38" spans="1:17" x14ac:dyDescent="0.45">
      <c r="A38" s="19">
        <v>46017.511111111111</v>
      </c>
      <c r="B38" t="s">
        <v>78</v>
      </c>
      <c r="C38" t="s">
        <v>189</v>
      </c>
      <c r="D38" t="s">
        <v>74</v>
      </c>
      <c r="E38" t="s">
        <v>77</v>
      </c>
      <c r="F38" t="s">
        <v>100</v>
      </c>
      <c r="G38" t="s">
        <v>104</v>
      </c>
      <c r="H38" t="s">
        <v>110</v>
      </c>
      <c r="I38">
        <v>10</v>
      </c>
      <c r="J38">
        <v>10</v>
      </c>
      <c r="K38">
        <v>10</v>
      </c>
      <c r="L38">
        <v>10</v>
      </c>
      <c r="M38">
        <v>9</v>
      </c>
      <c r="N38">
        <v>9</v>
      </c>
      <c r="O38">
        <v>9</v>
      </c>
      <c r="P38">
        <v>9</v>
      </c>
      <c r="Q38">
        <v>8</v>
      </c>
    </row>
    <row r="39" spans="1:17" x14ac:dyDescent="0.45">
      <c r="A39" s="19">
        <v>46017.511111111111</v>
      </c>
      <c r="B39" t="s">
        <v>72</v>
      </c>
      <c r="C39" t="s">
        <v>73</v>
      </c>
      <c r="D39" t="s">
        <v>74</v>
      </c>
      <c r="E39" t="s">
        <v>77</v>
      </c>
      <c r="F39" t="s">
        <v>100</v>
      </c>
      <c r="G39" t="s">
        <v>109</v>
      </c>
      <c r="H39" t="s">
        <v>102</v>
      </c>
      <c r="I39">
        <v>8</v>
      </c>
      <c r="J39">
        <v>8</v>
      </c>
      <c r="K39">
        <v>8</v>
      </c>
      <c r="L39">
        <v>8</v>
      </c>
      <c r="M39">
        <v>8</v>
      </c>
      <c r="N39">
        <v>8</v>
      </c>
      <c r="O39">
        <v>8</v>
      </c>
      <c r="P39">
        <v>8</v>
      </c>
      <c r="Q39">
        <v>8</v>
      </c>
    </row>
    <row r="40" spans="1:17" x14ac:dyDescent="0.45">
      <c r="A40" s="19">
        <v>46017.511111111111</v>
      </c>
      <c r="B40" t="s">
        <v>78</v>
      </c>
      <c r="C40" t="s">
        <v>81</v>
      </c>
      <c r="D40" t="s">
        <v>74</v>
      </c>
      <c r="E40" t="s">
        <v>77</v>
      </c>
      <c r="F40" t="s">
        <v>100</v>
      </c>
      <c r="G40" t="s">
        <v>104</v>
      </c>
      <c r="H40" t="s">
        <v>110</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100</v>
      </c>
      <c r="G41" t="s">
        <v>108</v>
      </c>
      <c r="H41" t="s">
        <v>102</v>
      </c>
      <c r="I41">
        <v>8</v>
      </c>
      <c r="J41">
        <v>8</v>
      </c>
      <c r="K41">
        <v>6</v>
      </c>
      <c r="L41">
        <v>8</v>
      </c>
      <c r="M41">
        <v>7</v>
      </c>
      <c r="N41">
        <v>8</v>
      </c>
      <c r="O41">
        <v>5</v>
      </c>
      <c r="P41">
        <v>6</v>
      </c>
      <c r="Q41">
        <v>7</v>
      </c>
    </row>
    <row r="42" spans="1:17" x14ac:dyDescent="0.45">
      <c r="A42" s="19">
        <v>46017.511805555558</v>
      </c>
      <c r="B42" t="s">
        <v>78</v>
      </c>
      <c r="C42" t="s">
        <v>73</v>
      </c>
      <c r="D42" t="s">
        <v>74</v>
      </c>
      <c r="E42" t="s">
        <v>77</v>
      </c>
      <c r="F42" t="s">
        <v>100</v>
      </c>
      <c r="G42" t="s">
        <v>107</v>
      </c>
      <c r="H42" t="s">
        <v>105</v>
      </c>
      <c r="I42">
        <v>9</v>
      </c>
      <c r="J42">
        <v>8</v>
      </c>
      <c r="K42">
        <v>7</v>
      </c>
      <c r="L42">
        <v>8</v>
      </c>
      <c r="M42">
        <v>7</v>
      </c>
      <c r="N42">
        <v>4</v>
      </c>
      <c r="O42">
        <v>2</v>
      </c>
      <c r="P42">
        <v>8</v>
      </c>
      <c r="Q42">
        <v>8</v>
      </c>
    </row>
    <row r="43" spans="1:17" x14ac:dyDescent="0.45">
      <c r="A43" s="19">
        <v>46017.513194444444</v>
      </c>
      <c r="B43" t="s">
        <v>72</v>
      </c>
      <c r="C43" t="s">
        <v>73</v>
      </c>
      <c r="D43" t="s">
        <v>74</v>
      </c>
      <c r="E43" t="s">
        <v>77</v>
      </c>
      <c r="F43" t="s">
        <v>100</v>
      </c>
      <c r="G43" t="s">
        <v>109</v>
      </c>
      <c r="H43" t="s">
        <v>106</v>
      </c>
      <c r="I43">
        <v>10</v>
      </c>
      <c r="J43">
        <v>10</v>
      </c>
      <c r="K43">
        <v>9</v>
      </c>
      <c r="L43">
        <v>8</v>
      </c>
      <c r="M43">
        <v>7</v>
      </c>
      <c r="N43">
        <v>9</v>
      </c>
      <c r="O43">
        <v>9</v>
      </c>
      <c r="P43">
        <v>8</v>
      </c>
      <c r="Q43">
        <v>8</v>
      </c>
    </row>
    <row r="44" spans="1:17" x14ac:dyDescent="0.45">
      <c r="A44" s="19">
        <v>46017.515277777777</v>
      </c>
      <c r="B44" t="s">
        <v>72</v>
      </c>
      <c r="C44" t="s">
        <v>73</v>
      </c>
      <c r="D44" t="s">
        <v>74</v>
      </c>
      <c r="E44" t="s">
        <v>77</v>
      </c>
      <c r="F44" t="s">
        <v>100</v>
      </c>
      <c r="G44" t="s">
        <v>108</v>
      </c>
      <c r="H44" t="s">
        <v>105</v>
      </c>
      <c r="I44">
        <v>6</v>
      </c>
      <c r="J44">
        <v>6</v>
      </c>
      <c r="K44">
        <v>8</v>
      </c>
      <c r="L44">
        <v>10</v>
      </c>
      <c r="M44">
        <v>9</v>
      </c>
      <c r="N44">
        <v>1</v>
      </c>
      <c r="O44">
        <v>7</v>
      </c>
      <c r="P44">
        <v>7</v>
      </c>
      <c r="Q44">
        <v>8</v>
      </c>
    </row>
    <row r="45" spans="1:17" x14ac:dyDescent="0.45">
      <c r="A45" s="19">
        <v>46017.515972222223</v>
      </c>
      <c r="B45" t="s">
        <v>78</v>
      </c>
      <c r="C45" t="s">
        <v>73</v>
      </c>
      <c r="D45" t="s">
        <v>74</v>
      </c>
      <c r="E45" t="s">
        <v>77</v>
      </c>
      <c r="F45" t="s">
        <v>100</v>
      </c>
      <c r="G45" t="s">
        <v>101</v>
      </c>
      <c r="H45" t="s">
        <v>102</v>
      </c>
      <c r="I45">
        <v>8</v>
      </c>
      <c r="J45">
        <v>8</v>
      </c>
      <c r="K45">
        <v>8</v>
      </c>
      <c r="L45">
        <v>8</v>
      </c>
      <c r="M45">
        <v>8</v>
      </c>
      <c r="N45">
        <v>8</v>
      </c>
      <c r="O45">
        <v>9</v>
      </c>
      <c r="P45">
        <v>5</v>
      </c>
      <c r="Q45">
        <v>9</v>
      </c>
    </row>
    <row r="46" spans="1:17" x14ac:dyDescent="0.45">
      <c r="A46" s="19">
        <v>46017.518750000003</v>
      </c>
      <c r="B46" t="s">
        <v>72</v>
      </c>
      <c r="C46" t="s">
        <v>79</v>
      </c>
      <c r="D46" t="s">
        <v>74</v>
      </c>
      <c r="E46" t="s">
        <v>77</v>
      </c>
      <c r="F46" t="s">
        <v>100</v>
      </c>
      <c r="G46" t="s">
        <v>101</v>
      </c>
      <c r="H46" t="s">
        <v>105</v>
      </c>
      <c r="I46">
        <v>10</v>
      </c>
      <c r="J46">
        <v>10</v>
      </c>
      <c r="K46">
        <v>10</v>
      </c>
      <c r="L46">
        <v>9</v>
      </c>
      <c r="M46">
        <v>10</v>
      </c>
      <c r="N46">
        <v>10</v>
      </c>
      <c r="O46">
        <v>10</v>
      </c>
      <c r="P46">
        <v>10</v>
      </c>
      <c r="Q46">
        <v>10</v>
      </c>
    </row>
    <row r="47" spans="1:17" x14ac:dyDescent="0.45">
      <c r="A47" s="19">
        <v>46017.519444444442</v>
      </c>
      <c r="B47" t="s">
        <v>72</v>
      </c>
      <c r="C47" t="s">
        <v>191</v>
      </c>
      <c r="D47" t="s">
        <v>80</v>
      </c>
      <c r="E47" t="s">
        <v>77</v>
      </c>
      <c r="F47" t="s">
        <v>100</v>
      </c>
      <c r="G47" t="s">
        <v>194</v>
      </c>
      <c r="H47" t="s">
        <v>105</v>
      </c>
      <c r="I47">
        <v>1</v>
      </c>
      <c r="J47">
        <v>1</v>
      </c>
      <c r="K47">
        <v>2</v>
      </c>
      <c r="L47">
        <v>1</v>
      </c>
      <c r="M47">
        <v>1</v>
      </c>
      <c r="N47">
        <v>1</v>
      </c>
      <c r="O47">
        <v>1</v>
      </c>
      <c r="P47">
        <v>1</v>
      </c>
      <c r="Q47">
        <v>1</v>
      </c>
    </row>
    <row r="48" spans="1:17" x14ac:dyDescent="0.45">
      <c r="A48" s="19">
        <v>46017.519444444442</v>
      </c>
      <c r="B48" t="s">
        <v>78</v>
      </c>
      <c r="C48" t="s">
        <v>73</v>
      </c>
      <c r="D48" t="s">
        <v>74</v>
      </c>
      <c r="E48" t="s">
        <v>77</v>
      </c>
      <c r="F48" t="s">
        <v>100</v>
      </c>
      <c r="G48" t="s">
        <v>194</v>
      </c>
      <c r="H48" t="s">
        <v>110</v>
      </c>
      <c r="I48">
        <v>8</v>
      </c>
      <c r="J48">
        <v>8</v>
      </c>
      <c r="K48">
        <v>8</v>
      </c>
      <c r="L48">
        <v>7</v>
      </c>
      <c r="M48">
        <v>6</v>
      </c>
      <c r="N48">
        <v>8</v>
      </c>
      <c r="O48">
        <v>8</v>
      </c>
      <c r="P48">
        <v>9</v>
      </c>
      <c r="Q48">
        <v>8</v>
      </c>
    </row>
    <row r="49" spans="1:17" x14ac:dyDescent="0.45">
      <c r="A49" s="19">
        <v>46017.520138888889</v>
      </c>
      <c r="B49" t="s">
        <v>72</v>
      </c>
      <c r="C49" t="s">
        <v>73</v>
      </c>
      <c r="D49" t="s">
        <v>74</v>
      </c>
      <c r="E49" t="s">
        <v>77</v>
      </c>
      <c r="F49" t="s">
        <v>100</v>
      </c>
      <c r="G49" t="s">
        <v>109</v>
      </c>
      <c r="H49" t="s">
        <v>106</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100</v>
      </c>
      <c r="G50" t="s">
        <v>108</v>
      </c>
      <c r="H50" t="s">
        <v>105</v>
      </c>
      <c r="I50">
        <v>8</v>
      </c>
      <c r="J50">
        <v>8</v>
      </c>
      <c r="K50">
        <v>7</v>
      </c>
      <c r="L50">
        <v>8</v>
      </c>
      <c r="M50">
        <v>6</v>
      </c>
      <c r="N50">
        <v>8</v>
      </c>
      <c r="O50">
        <v>6</v>
      </c>
      <c r="P50">
        <v>5</v>
      </c>
      <c r="Q50">
        <v>8</v>
      </c>
    </row>
    <row r="51" spans="1:17" x14ac:dyDescent="0.45">
      <c r="A51" s="19">
        <v>46017.521527777775</v>
      </c>
      <c r="B51" t="s">
        <v>72</v>
      </c>
      <c r="C51" t="s">
        <v>73</v>
      </c>
      <c r="D51" t="s">
        <v>74</v>
      </c>
      <c r="E51" t="s">
        <v>77</v>
      </c>
      <c r="F51" t="s">
        <v>100</v>
      </c>
      <c r="G51" t="s">
        <v>196</v>
      </c>
      <c r="H51" t="s">
        <v>106</v>
      </c>
      <c r="I51">
        <v>10</v>
      </c>
      <c r="J51">
        <v>10</v>
      </c>
      <c r="K51">
        <v>10</v>
      </c>
      <c r="L51">
        <v>8</v>
      </c>
      <c r="M51">
        <v>8</v>
      </c>
      <c r="N51">
        <v>8</v>
      </c>
      <c r="O51">
        <v>8</v>
      </c>
      <c r="P51">
        <v>8</v>
      </c>
      <c r="Q51">
        <v>8</v>
      </c>
    </row>
    <row r="52" spans="1:17" x14ac:dyDescent="0.45">
      <c r="A52" s="19">
        <v>46017.526388888888</v>
      </c>
      <c r="B52" t="s">
        <v>78</v>
      </c>
      <c r="C52" t="s">
        <v>81</v>
      </c>
      <c r="D52" t="s">
        <v>74</v>
      </c>
      <c r="E52" t="s">
        <v>77</v>
      </c>
      <c r="F52" t="s">
        <v>100</v>
      </c>
      <c r="G52" t="s">
        <v>104</v>
      </c>
      <c r="H52" t="s">
        <v>110</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100</v>
      </c>
      <c r="G53" t="s">
        <v>196</v>
      </c>
      <c r="H53" t="s">
        <v>102</v>
      </c>
      <c r="I53">
        <v>10</v>
      </c>
      <c r="J53">
        <v>10</v>
      </c>
      <c r="K53">
        <v>10</v>
      </c>
      <c r="L53">
        <v>10</v>
      </c>
      <c r="M53">
        <v>10</v>
      </c>
      <c r="N53">
        <v>10</v>
      </c>
      <c r="O53">
        <v>10</v>
      </c>
      <c r="P53">
        <v>10</v>
      </c>
      <c r="Q53">
        <v>8</v>
      </c>
    </row>
    <row r="54" spans="1:17" x14ac:dyDescent="0.45">
      <c r="A54" s="19">
        <v>46017.53125</v>
      </c>
      <c r="B54" t="s">
        <v>78</v>
      </c>
      <c r="C54" t="s">
        <v>81</v>
      </c>
      <c r="D54" t="s">
        <v>74</v>
      </c>
      <c r="E54" t="s">
        <v>75</v>
      </c>
      <c r="F54" t="s">
        <v>100</v>
      </c>
      <c r="G54" t="s">
        <v>104</v>
      </c>
      <c r="H54" t="s">
        <v>105</v>
      </c>
      <c r="I54">
        <v>10</v>
      </c>
      <c r="J54">
        <v>10</v>
      </c>
      <c r="K54">
        <v>10</v>
      </c>
      <c r="L54">
        <v>10</v>
      </c>
      <c r="M54">
        <v>10</v>
      </c>
      <c r="N54">
        <v>10</v>
      </c>
      <c r="O54">
        <v>10</v>
      </c>
      <c r="P54">
        <v>10</v>
      </c>
      <c r="Q54">
        <v>10</v>
      </c>
    </row>
    <row r="55" spans="1:17" x14ac:dyDescent="0.45">
      <c r="A55" s="19">
        <v>46017.53125</v>
      </c>
      <c r="B55" t="s">
        <v>72</v>
      </c>
      <c r="C55" t="s">
        <v>79</v>
      </c>
      <c r="D55" t="s">
        <v>74</v>
      </c>
      <c r="E55" t="s">
        <v>77</v>
      </c>
      <c r="F55" t="s">
        <v>100</v>
      </c>
      <c r="G55" t="s">
        <v>109</v>
      </c>
      <c r="H55" t="s">
        <v>105</v>
      </c>
      <c r="I55">
        <v>8</v>
      </c>
      <c r="J55">
        <v>7</v>
      </c>
      <c r="K55">
        <v>7</v>
      </c>
      <c r="L55">
        <v>8</v>
      </c>
      <c r="M55">
        <v>7</v>
      </c>
      <c r="N55">
        <v>8</v>
      </c>
      <c r="O55">
        <v>7</v>
      </c>
      <c r="P55">
        <v>7</v>
      </c>
      <c r="Q55">
        <v>8</v>
      </c>
    </row>
    <row r="56" spans="1:17" x14ac:dyDescent="0.45">
      <c r="A56" s="19">
        <v>46017.533333333333</v>
      </c>
      <c r="B56" t="s">
        <v>72</v>
      </c>
      <c r="C56" t="s">
        <v>73</v>
      </c>
      <c r="D56" t="s">
        <v>74</v>
      </c>
      <c r="E56" t="s">
        <v>77</v>
      </c>
      <c r="F56" t="s">
        <v>100</v>
      </c>
      <c r="G56" t="s">
        <v>109</v>
      </c>
      <c r="H56" t="s">
        <v>102</v>
      </c>
      <c r="I56">
        <v>10</v>
      </c>
      <c r="J56">
        <v>9</v>
      </c>
      <c r="K56">
        <v>3</v>
      </c>
      <c r="L56">
        <v>4</v>
      </c>
      <c r="M56">
        <v>3</v>
      </c>
      <c r="N56">
        <v>3</v>
      </c>
      <c r="O56">
        <v>1</v>
      </c>
      <c r="P56">
        <v>1</v>
      </c>
      <c r="Q56">
        <v>3</v>
      </c>
    </row>
    <row r="57" spans="1:17" x14ac:dyDescent="0.45">
      <c r="A57" s="19">
        <v>46017.537499999999</v>
      </c>
      <c r="B57" t="s">
        <v>78</v>
      </c>
      <c r="C57" t="s">
        <v>81</v>
      </c>
      <c r="D57" t="s">
        <v>74</v>
      </c>
      <c r="E57" t="s">
        <v>77</v>
      </c>
      <c r="F57" t="s">
        <v>100</v>
      </c>
      <c r="G57" t="s">
        <v>194</v>
      </c>
      <c r="H57" t="s">
        <v>110</v>
      </c>
      <c r="I57">
        <v>10</v>
      </c>
      <c r="J57">
        <v>10</v>
      </c>
      <c r="K57">
        <v>9</v>
      </c>
      <c r="L57">
        <v>10</v>
      </c>
      <c r="M57">
        <v>9</v>
      </c>
      <c r="N57">
        <v>10</v>
      </c>
      <c r="O57">
        <v>9</v>
      </c>
      <c r="P57">
        <v>10</v>
      </c>
      <c r="Q57">
        <v>9</v>
      </c>
    </row>
    <row r="58" spans="1:17" x14ac:dyDescent="0.45">
      <c r="A58" s="19">
        <v>46017.55972222222</v>
      </c>
      <c r="B58" t="s">
        <v>72</v>
      </c>
      <c r="C58" t="s">
        <v>73</v>
      </c>
      <c r="D58" t="s">
        <v>74</v>
      </c>
      <c r="E58" t="s">
        <v>77</v>
      </c>
      <c r="F58" t="s">
        <v>100</v>
      </c>
      <c r="G58" t="s">
        <v>104</v>
      </c>
      <c r="H58" t="s">
        <v>105</v>
      </c>
      <c r="I58">
        <v>10</v>
      </c>
      <c r="J58">
        <v>10</v>
      </c>
      <c r="K58">
        <v>1</v>
      </c>
      <c r="L58">
        <v>5</v>
      </c>
      <c r="M58">
        <v>7</v>
      </c>
      <c r="N58">
        <v>10</v>
      </c>
      <c r="O58">
        <v>9</v>
      </c>
      <c r="P58">
        <v>9</v>
      </c>
      <c r="Q58">
        <v>10</v>
      </c>
    </row>
    <row r="59" spans="1:17" x14ac:dyDescent="0.45">
      <c r="A59" s="19">
        <v>46017.580555555556</v>
      </c>
      <c r="B59" t="s">
        <v>72</v>
      </c>
      <c r="C59" t="s">
        <v>79</v>
      </c>
      <c r="D59" t="s">
        <v>74</v>
      </c>
      <c r="E59" t="s">
        <v>75</v>
      </c>
      <c r="F59" t="s">
        <v>100</v>
      </c>
      <c r="G59" t="s">
        <v>101</v>
      </c>
      <c r="H59" t="s">
        <v>102</v>
      </c>
      <c r="I59">
        <v>5</v>
      </c>
      <c r="J59">
        <v>5</v>
      </c>
      <c r="K59">
        <v>4</v>
      </c>
      <c r="L59">
        <v>8</v>
      </c>
      <c r="M59">
        <v>5</v>
      </c>
      <c r="N59">
        <v>7</v>
      </c>
      <c r="O59">
        <v>7</v>
      </c>
      <c r="P59">
        <v>7</v>
      </c>
      <c r="Q59">
        <v>7</v>
      </c>
    </row>
    <row r="60" spans="1:17" x14ac:dyDescent="0.45">
      <c r="A60" s="19">
        <v>46017.626388888886</v>
      </c>
      <c r="B60" t="s">
        <v>72</v>
      </c>
      <c r="C60" t="s">
        <v>189</v>
      </c>
      <c r="D60" t="s">
        <v>74</v>
      </c>
      <c r="E60" t="s">
        <v>77</v>
      </c>
      <c r="F60" t="s">
        <v>103</v>
      </c>
      <c r="G60" t="s">
        <v>194</v>
      </c>
      <c r="H60" t="s">
        <v>110</v>
      </c>
      <c r="I60">
        <v>9</v>
      </c>
      <c r="J60">
        <v>9</v>
      </c>
      <c r="K60">
        <v>9</v>
      </c>
      <c r="L60">
        <v>7</v>
      </c>
      <c r="M60">
        <v>7</v>
      </c>
      <c r="N60">
        <v>8</v>
      </c>
      <c r="O60">
        <v>8</v>
      </c>
      <c r="P60">
        <v>6</v>
      </c>
      <c r="Q60">
        <v>5</v>
      </c>
    </row>
    <row r="61" spans="1:17" x14ac:dyDescent="0.45">
      <c r="A61" s="19">
        <v>46017.688194444447</v>
      </c>
      <c r="B61" t="s">
        <v>78</v>
      </c>
      <c r="C61" t="s">
        <v>81</v>
      </c>
      <c r="D61" t="s">
        <v>74</v>
      </c>
      <c r="E61" t="s">
        <v>77</v>
      </c>
      <c r="F61" t="s">
        <v>100</v>
      </c>
      <c r="G61" t="s">
        <v>104</v>
      </c>
      <c r="H61" t="s">
        <v>110</v>
      </c>
      <c r="I61">
        <v>5</v>
      </c>
      <c r="J61">
        <v>5</v>
      </c>
      <c r="K61">
        <v>5</v>
      </c>
      <c r="L61">
        <v>5</v>
      </c>
      <c r="M61">
        <v>5</v>
      </c>
      <c r="N61">
        <v>8</v>
      </c>
      <c r="O61">
        <v>4</v>
      </c>
      <c r="P61">
        <v>5</v>
      </c>
      <c r="Q61">
        <v>5</v>
      </c>
    </row>
    <row r="62" spans="1:17" x14ac:dyDescent="0.45">
      <c r="A62" s="19">
        <v>46017.698611111111</v>
      </c>
      <c r="B62" t="s">
        <v>72</v>
      </c>
      <c r="C62" t="s">
        <v>73</v>
      </c>
      <c r="D62" t="s">
        <v>74</v>
      </c>
      <c r="E62" t="s">
        <v>75</v>
      </c>
      <c r="F62" t="s">
        <v>100</v>
      </c>
      <c r="G62" t="s">
        <v>196</v>
      </c>
      <c r="H62" t="s">
        <v>102</v>
      </c>
      <c r="I62">
        <v>8</v>
      </c>
      <c r="J62">
        <v>9</v>
      </c>
      <c r="K62">
        <v>9</v>
      </c>
      <c r="L62">
        <v>9</v>
      </c>
      <c r="M62">
        <v>9</v>
      </c>
      <c r="N62">
        <v>8</v>
      </c>
      <c r="O62">
        <v>8</v>
      </c>
      <c r="P62">
        <v>8</v>
      </c>
      <c r="Q62">
        <v>9</v>
      </c>
    </row>
    <row r="63" spans="1:17" x14ac:dyDescent="0.45">
      <c r="A63" s="19">
        <v>46017.711111111108</v>
      </c>
      <c r="B63" t="s">
        <v>72</v>
      </c>
      <c r="C63" t="s">
        <v>81</v>
      </c>
      <c r="D63" t="s">
        <v>74</v>
      </c>
      <c r="E63" t="s">
        <v>75</v>
      </c>
      <c r="F63" t="s">
        <v>100</v>
      </c>
      <c r="G63" t="s">
        <v>101</v>
      </c>
      <c r="H63" t="s">
        <v>110</v>
      </c>
      <c r="I63">
        <v>9</v>
      </c>
      <c r="J63">
        <v>9</v>
      </c>
      <c r="K63">
        <v>7</v>
      </c>
      <c r="L63">
        <v>6</v>
      </c>
      <c r="M63">
        <v>7</v>
      </c>
      <c r="N63">
        <v>5</v>
      </c>
      <c r="O63">
        <v>6</v>
      </c>
      <c r="P63">
        <v>8</v>
      </c>
      <c r="Q63">
        <v>5</v>
      </c>
    </row>
    <row r="64" spans="1:17" x14ac:dyDescent="0.45">
      <c r="A64" s="19">
        <v>46017.80972222222</v>
      </c>
      <c r="B64" t="s">
        <v>72</v>
      </c>
      <c r="C64" t="s">
        <v>191</v>
      </c>
      <c r="D64" t="s">
        <v>80</v>
      </c>
      <c r="E64" t="s">
        <v>77</v>
      </c>
      <c r="F64" t="s">
        <v>100</v>
      </c>
      <c r="G64" t="s">
        <v>196</v>
      </c>
      <c r="H64" t="s">
        <v>102</v>
      </c>
      <c r="I64">
        <v>9</v>
      </c>
      <c r="J64">
        <v>9</v>
      </c>
      <c r="K64">
        <v>9</v>
      </c>
      <c r="L64">
        <v>9</v>
      </c>
      <c r="M64">
        <v>8</v>
      </c>
      <c r="N64">
        <v>9</v>
      </c>
      <c r="O64">
        <v>9</v>
      </c>
      <c r="P64">
        <v>8</v>
      </c>
      <c r="Q64">
        <v>7</v>
      </c>
    </row>
    <row r="65" spans="1:17" x14ac:dyDescent="0.45">
      <c r="A65" s="19">
        <v>46018.36041666667</v>
      </c>
      <c r="B65" t="s">
        <v>72</v>
      </c>
      <c r="C65" t="s">
        <v>73</v>
      </c>
      <c r="D65" t="s">
        <v>74</v>
      </c>
      <c r="E65" t="s">
        <v>77</v>
      </c>
      <c r="F65" t="s">
        <v>103</v>
      </c>
      <c r="G65" t="s">
        <v>108</v>
      </c>
      <c r="H65" t="s">
        <v>105</v>
      </c>
      <c r="I65">
        <v>9</v>
      </c>
      <c r="J65">
        <v>10</v>
      </c>
      <c r="K65">
        <v>9</v>
      </c>
      <c r="L65">
        <v>10</v>
      </c>
      <c r="M65">
        <v>10</v>
      </c>
      <c r="N65">
        <v>5</v>
      </c>
      <c r="O65">
        <v>10</v>
      </c>
      <c r="P65">
        <v>7</v>
      </c>
      <c r="Q65">
        <v>9</v>
      </c>
    </row>
    <row r="66" spans="1:17" x14ac:dyDescent="0.45">
      <c r="A66" s="19">
        <v>46019.6</v>
      </c>
      <c r="B66" t="s">
        <v>72</v>
      </c>
      <c r="C66" t="s">
        <v>79</v>
      </c>
      <c r="D66" t="s">
        <v>80</v>
      </c>
      <c r="E66" t="s">
        <v>77</v>
      </c>
      <c r="F66" t="s">
        <v>100</v>
      </c>
      <c r="G66" t="s">
        <v>194</v>
      </c>
      <c r="H66" t="s">
        <v>105</v>
      </c>
      <c r="I66">
        <v>10</v>
      </c>
      <c r="J66">
        <v>10</v>
      </c>
      <c r="K66">
        <v>10</v>
      </c>
      <c r="L66">
        <v>10</v>
      </c>
      <c r="M66">
        <v>10</v>
      </c>
      <c r="N66">
        <v>10</v>
      </c>
      <c r="O66">
        <v>10</v>
      </c>
      <c r="P66">
        <v>10</v>
      </c>
      <c r="Q66">
        <v>10</v>
      </c>
    </row>
    <row r="67" spans="1:17" x14ac:dyDescent="0.45">
      <c r="A67" s="19">
        <v>46019.604166666664</v>
      </c>
      <c r="B67" t="s">
        <v>72</v>
      </c>
      <c r="C67" t="s">
        <v>81</v>
      </c>
      <c r="D67" t="s">
        <v>74</v>
      </c>
      <c r="E67" t="s">
        <v>190</v>
      </c>
      <c r="F67" t="s">
        <v>100</v>
      </c>
      <c r="G67" t="s">
        <v>104</v>
      </c>
      <c r="H67" t="s">
        <v>110</v>
      </c>
      <c r="I67">
        <v>7</v>
      </c>
      <c r="J67">
        <v>5</v>
      </c>
      <c r="K67">
        <v>3</v>
      </c>
      <c r="L67">
        <v>5</v>
      </c>
      <c r="M67">
        <v>4</v>
      </c>
      <c r="N67">
        <v>3</v>
      </c>
      <c r="O67">
        <v>5</v>
      </c>
      <c r="P67">
        <v>6</v>
      </c>
      <c r="Q67">
        <v>6</v>
      </c>
    </row>
    <row r="68" spans="1:17" x14ac:dyDescent="0.45">
      <c r="A68" s="19">
        <v>46019.626388888886</v>
      </c>
      <c r="B68" t="s">
        <v>78</v>
      </c>
      <c r="C68" t="s">
        <v>79</v>
      </c>
      <c r="D68" t="s">
        <v>74</v>
      </c>
      <c r="E68" t="s">
        <v>75</v>
      </c>
      <c r="F68" t="s">
        <v>100</v>
      </c>
      <c r="G68" t="s">
        <v>107</v>
      </c>
      <c r="H68" t="s">
        <v>105</v>
      </c>
      <c r="I68">
        <v>5</v>
      </c>
      <c r="J68">
        <v>5</v>
      </c>
      <c r="K68">
        <v>4</v>
      </c>
      <c r="L68">
        <v>4</v>
      </c>
      <c r="M68">
        <v>2</v>
      </c>
      <c r="N68">
        <v>3</v>
      </c>
      <c r="O68">
        <v>2</v>
      </c>
      <c r="P68">
        <v>3</v>
      </c>
      <c r="Q68">
        <v>3</v>
      </c>
    </row>
    <row r="69" spans="1:17" x14ac:dyDescent="0.45">
      <c r="A69" s="19">
        <v>46019.645833333336</v>
      </c>
      <c r="B69" t="s">
        <v>72</v>
      </c>
      <c r="C69" t="s">
        <v>79</v>
      </c>
      <c r="D69" t="s">
        <v>74</v>
      </c>
      <c r="E69" t="s">
        <v>77</v>
      </c>
      <c r="F69" t="s">
        <v>100</v>
      </c>
      <c r="G69" t="s">
        <v>111</v>
      </c>
      <c r="H69" t="s">
        <v>105</v>
      </c>
      <c r="I69">
        <v>4</v>
      </c>
      <c r="J69">
        <v>3</v>
      </c>
      <c r="K69">
        <v>1</v>
      </c>
      <c r="L69">
        <v>5</v>
      </c>
      <c r="M69">
        <v>4</v>
      </c>
      <c r="N69">
        <v>3</v>
      </c>
      <c r="O69">
        <v>1</v>
      </c>
      <c r="P69">
        <v>3</v>
      </c>
      <c r="Q69">
        <v>5</v>
      </c>
    </row>
    <row r="70" spans="1:17" x14ac:dyDescent="0.45">
      <c r="A70" s="19">
        <v>46019.647916666669</v>
      </c>
      <c r="B70" t="s">
        <v>78</v>
      </c>
      <c r="C70" t="s">
        <v>81</v>
      </c>
      <c r="D70" t="s">
        <v>74</v>
      </c>
      <c r="E70" t="s">
        <v>77</v>
      </c>
      <c r="F70" t="s">
        <v>100</v>
      </c>
      <c r="G70" t="s">
        <v>196</v>
      </c>
      <c r="H70" t="s">
        <v>110</v>
      </c>
      <c r="I70">
        <v>7</v>
      </c>
      <c r="J70">
        <v>7</v>
      </c>
      <c r="K70">
        <v>8</v>
      </c>
      <c r="L70">
        <v>9</v>
      </c>
      <c r="M70">
        <v>8</v>
      </c>
      <c r="N70">
        <v>10</v>
      </c>
      <c r="O70">
        <v>9</v>
      </c>
      <c r="P70">
        <v>9</v>
      </c>
      <c r="Q70">
        <v>9</v>
      </c>
    </row>
    <row r="71" spans="1:17" x14ac:dyDescent="0.45">
      <c r="A71" s="19">
        <v>46019.648611111108</v>
      </c>
      <c r="B71" t="s">
        <v>78</v>
      </c>
      <c r="C71" t="s">
        <v>79</v>
      </c>
      <c r="D71" t="s">
        <v>74</v>
      </c>
      <c r="E71" t="s">
        <v>75</v>
      </c>
      <c r="F71" t="s">
        <v>103</v>
      </c>
      <c r="G71" t="s">
        <v>108</v>
      </c>
      <c r="H71" t="s">
        <v>102</v>
      </c>
      <c r="I71">
        <v>6</v>
      </c>
      <c r="J71">
        <v>6</v>
      </c>
      <c r="K71">
        <v>5</v>
      </c>
      <c r="L71">
        <v>5</v>
      </c>
      <c r="M71">
        <v>5</v>
      </c>
      <c r="N71">
        <v>1</v>
      </c>
      <c r="O71">
        <v>5</v>
      </c>
      <c r="P71">
        <v>5</v>
      </c>
      <c r="Q71">
        <v>5</v>
      </c>
    </row>
    <row r="72" spans="1:17" x14ac:dyDescent="0.45">
      <c r="A72" s="19">
        <v>46019.650694444441</v>
      </c>
      <c r="B72" t="s">
        <v>72</v>
      </c>
      <c r="C72" t="s">
        <v>73</v>
      </c>
      <c r="D72" t="s">
        <v>74</v>
      </c>
      <c r="E72" t="s">
        <v>75</v>
      </c>
      <c r="F72" t="s">
        <v>100</v>
      </c>
      <c r="G72" t="s">
        <v>101</v>
      </c>
      <c r="H72" t="s">
        <v>105</v>
      </c>
      <c r="I72">
        <v>3</v>
      </c>
      <c r="J72">
        <v>3</v>
      </c>
      <c r="K72">
        <v>3</v>
      </c>
      <c r="L72">
        <v>5</v>
      </c>
      <c r="M72">
        <v>3</v>
      </c>
      <c r="N72">
        <v>3</v>
      </c>
      <c r="O72">
        <v>3</v>
      </c>
      <c r="P72">
        <v>3</v>
      </c>
      <c r="Q72">
        <v>4</v>
      </c>
    </row>
    <row r="73" spans="1:17" x14ac:dyDescent="0.45">
      <c r="A73" s="19">
        <v>46019.652083333334</v>
      </c>
      <c r="B73" t="s">
        <v>78</v>
      </c>
      <c r="C73" t="s">
        <v>73</v>
      </c>
      <c r="D73" t="s">
        <v>74</v>
      </c>
      <c r="E73" t="s">
        <v>77</v>
      </c>
      <c r="F73" t="s">
        <v>103</v>
      </c>
      <c r="G73" t="s">
        <v>196</v>
      </c>
      <c r="H73" t="s">
        <v>106</v>
      </c>
      <c r="I73">
        <v>8</v>
      </c>
      <c r="J73">
        <v>8</v>
      </c>
      <c r="K73">
        <v>4</v>
      </c>
      <c r="L73">
        <v>2</v>
      </c>
      <c r="M73">
        <v>6</v>
      </c>
      <c r="N73">
        <v>3</v>
      </c>
      <c r="O73">
        <v>8</v>
      </c>
      <c r="P73">
        <v>4</v>
      </c>
      <c r="Q73">
        <v>8</v>
      </c>
    </row>
    <row r="74" spans="1:17" x14ac:dyDescent="0.45">
      <c r="A74" s="19">
        <v>46019.658333333333</v>
      </c>
      <c r="B74" t="s">
        <v>78</v>
      </c>
      <c r="C74" t="s">
        <v>189</v>
      </c>
      <c r="D74" t="s">
        <v>74</v>
      </c>
      <c r="E74" t="s">
        <v>192</v>
      </c>
      <c r="F74" t="s">
        <v>100</v>
      </c>
      <c r="G74" t="s">
        <v>104</v>
      </c>
      <c r="H74" t="s">
        <v>110</v>
      </c>
      <c r="I74">
        <v>5</v>
      </c>
      <c r="J74">
        <v>5</v>
      </c>
      <c r="K74">
        <v>5</v>
      </c>
      <c r="L74">
        <v>5</v>
      </c>
      <c r="M74">
        <v>5</v>
      </c>
      <c r="N74">
        <v>10</v>
      </c>
      <c r="O74">
        <v>5</v>
      </c>
      <c r="P74">
        <v>5</v>
      </c>
      <c r="Q74">
        <v>10</v>
      </c>
    </row>
    <row r="75" spans="1:17" x14ac:dyDescent="0.45">
      <c r="A75" s="19">
        <v>46019.685416666667</v>
      </c>
      <c r="B75" t="s">
        <v>72</v>
      </c>
      <c r="C75" t="s">
        <v>73</v>
      </c>
      <c r="D75" t="s">
        <v>74</v>
      </c>
      <c r="E75" t="s">
        <v>77</v>
      </c>
      <c r="F75" t="s">
        <v>103</v>
      </c>
      <c r="G75" t="s">
        <v>196</v>
      </c>
      <c r="H75" t="s">
        <v>102</v>
      </c>
      <c r="I75">
        <v>5</v>
      </c>
      <c r="J75">
        <v>10</v>
      </c>
      <c r="K75">
        <v>2</v>
      </c>
      <c r="L75">
        <v>8</v>
      </c>
      <c r="M75">
        <v>5</v>
      </c>
      <c r="N75">
        <v>5</v>
      </c>
      <c r="O75">
        <v>1</v>
      </c>
      <c r="P75">
        <v>4</v>
      </c>
      <c r="Q75">
        <v>5</v>
      </c>
    </row>
    <row r="76" spans="1:17" x14ac:dyDescent="0.45">
      <c r="A76" s="19">
        <v>46019.6875</v>
      </c>
      <c r="B76" t="s">
        <v>78</v>
      </c>
      <c r="C76" t="s">
        <v>79</v>
      </c>
      <c r="D76" t="s">
        <v>74</v>
      </c>
      <c r="E76" t="s">
        <v>75</v>
      </c>
      <c r="F76" t="s">
        <v>100</v>
      </c>
      <c r="G76" t="s">
        <v>111</v>
      </c>
      <c r="H76" t="s">
        <v>105</v>
      </c>
      <c r="I76">
        <v>8</v>
      </c>
      <c r="J76">
        <v>9</v>
      </c>
      <c r="K76">
        <v>9</v>
      </c>
      <c r="L76">
        <v>9</v>
      </c>
      <c r="M76">
        <v>3</v>
      </c>
      <c r="N76">
        <v>3</v>
      </c>
      <c r="O76">
        <v>2</v>
      </c>
      <c r="P76">
        <v>2</v>
      </c>
      <c r="Q76">
        <v>6</v>
      </c>
    </row>
    <row r="77" spans="1:17" x14ac:dyDescent="0.45">
      <c r="A77" s="19">
        <v>46019.693749999999</v>
      </c>
      <c r="B77" t="s">
        <v>78</v>
      </c>
      <c r="C77" t="s">
        <v>79</v>
      </c>
      <c r="D77" t="s">
        <v>80</v>
      </c>
      <c r="E77" t="s">
        <v>192</v>
      </c>
      <c r="F77" t="s">
        <v>103</v>
      </c>
      <c r="G77" t="s">
        <v>104</v>
      </c>
      <c r="H77" t="s">
        <v>106</v>
      </c>
      <c r="I77">
        <v>5</v>
      </c>
      <c r="J77">
        <v>5</v>
      </c>
      <c r="K77">
        <v>5</v>
      </c>
      <c r="L77">
        <v>5</v>
      </c>
      <c r="M77">
        <v>5</v>
      </c>
      <c r="N77">
        <v>5</v>
      </c>
      <c r="O77">
        <v>5</v>
      </c>
      <c r="P77">
        <v>5</v>
      </c>
      <c r="Q77">
        <v>5</v>
      </c>
    </row>
    <row r="78" spans="1:17" x14ac:dyDescent="0.45">
      <c r="A78" s="19">
        <v>46019.697222222225</v>
      </c>
      <c r="B78" t="s">
        <v>72</v>
      </c>
      <c r="C78" t="s">
        <v>191</v>
      </c>
      <c r="D78" t="s">
        <v>74</v>
      </c>
      <c r="E78" t="s">
        <v>77</v>
      </c>
      <c r="F78" t="s">
        <v>100</v>
      </c>
      <c r="G78" t="s">
        <v>104</v>
      </c>
      <c r="H78" t="s">
        <v>105</v>
      </c>
      <c r="I78">
        <v>8</v>
      </c>
      <c r="J78">
        <v>8</v>
      </c>
      <c r="K78">
        <v>8</v>
      </c>
      <c r="L78">
        <v>8</v>
      </c>
      <c r="M78">
        <v>9</v>
      </c>
      <c r="N78">
        <v>7</v>
      </c>
      <c r="O78">
        <v>9</v>
      </c>
      <c r="P78">
        <v>10</v>
      </c>
      <c r="Q78">
        <v>8</v>
      </c>
    </row>
    <row r="79" spans="1:17" x14ac:dyDescent="0.45">
      <c r="A79" s="19">
        <v>46019.699305555558</v>
      </c>
      <c r="B79" t="s">
        <v>72</v>
      </c>
      <c r="C79" t="s">
        <v>73</v>
      </c>
      <c r="D79" t="s">
        <v>74</v>
      </c>
      <c r="E79" t="s">
        <v>75</v>
      </c>
      <c r="F79" t="s">
        <v>100</v>
      </c>
      <c r="G79" t="s">
        <v>109</v>
      </c>
      <c r="H79" t="s">
        <v>105</v>
      </c>
      <c r="I79">
        <v>8</v>
      </c>
      <c r="J79">
        <v>7</v>
      </c>
      <c r="K79">
        <v>9</v>
      </c>
      <c r="L79">
        <v>8</v>
      </c>
      <c r="M79">
        <v>8</v>
      </c>
      <c r="N79">
        <v>8</v>
      </c>
      <c r="O79">
        <v>6</v>
      </c>
      <c r="P79">
        <v>6</v>
      </c>
      <c r="Q79">
        <v>7</v>
      </c>
    </row>
    <row r="80" spans="1:17" x14ac:dyDescent="0.45">
      <c r="A80" s="19">
        <v>46019.737500000003</v>
      </c>
      <c r="B80" t="s">
        <v>72</v>
      </c>
      <c r="C80" t="s">
        <v>193</v>
      </c>
      <c r="D80" t="s">
        <v>74</v>
      </c>
      <c r="E80" t="s">
        <v>192</v>
      </c>
      <c r="F80" t="s">
        <v>197</v>
      </c>
      <c r="G80" t="s">
        <v>104</v>
      </c>
      <c r="H80" t="s">
        <v>110</v>
      </c>
      <c r="I80">
        <v>6</v>
      </c>
      <c r="J80">
        <v>2</v>
      </c>
      <c r="K80">
        <v>3</v>
      </c>
      <c r="L80">
        <v>2</v>
      </c>
      <c r="M80">
        <v>3</v>
      </c>
      <c r="N80">
        <v>7</v>
      </c>
      <c r="O80">
        <v>5</v>
      </c>
      <c r="P80">
        <v>5</v>
      </c>
      <c r="Q80">
        <v>7</v>
      </c>
    </row>
    <row r="81" spans="1:17" x14ac:dyDescent="0.45">
      <c r="A81" s="19">
        <v>46019.746527777781</v>
      </c>
      <c r="B81" t="s">
        <v>78</v>
      </c>
      <c r="C81" t="s">
        <v>81</v>
      </c>
      <c r="D81" t="s">
        <v>74</v>
      </c>
      <c r="E81" t="s">
        <v>77</v>
      </c>
      <c r="F81" t="s">
        <v>100</v>
      </c>
      <c r="G81" t="s">
        <v>104</v>
      </c>
      <c r="H81" t="s">
        <v>110</v>
      </c>
      <c r="I81">
        <v>8</v>
      </c>
      <c r="J81">
        <v>8</v>
      </c>
      <c r="K81">
        <v>8</v>
      </c>
      <c r="L81">
        <v>8</v>
      </c>
      <c r="M81">
        <v>8</v>
      </c>
      <c r="N81">
        <v>8</v>
      </c>
      <c r="O81">
        <v>8</v>
      </c>
      <c r="P81">
        <v>8</v>
      </c>
      <c r="Q81">
        <v>8</v>
      </c>
    </row>
    <row r="82" spans="1:17" x14ac:dyDescent="0.45">
      <c r="A82" s="19">
        <v>46019.775694444441</v>
      </c>
      <c r="B82" t="s">
        <v>78</v>
      </c>
      <c r="C82" t="s">
        <v>193</v>
      </c>
      <c r="D82" t="s">
        <v>74</v>
      </c>
      <c r="E82" t="s">
        <v>75</v>
      </c>
      <c r="F82" t="s">
        <v>197</v>
      </c>
      <c r="G82" t="s">
        <v>194</v>
      </c>
      <c r="H82" t="s">
        <v>110</v>
      </c>
      <c r="I82">
        <v>7</v>
      </c>
      <c r="J82">
        <v>7</v>
      </c>
      <c r="K82">
        <v>5</v>
      </c>
      <c r="L82">
        <v>5</v>
      </c>
      <c r="M82">
        <v>6</v>
      </c>
      <c r="N82">
        <v>5</v>
      </c>
      <c r="O82">
        <v>8</v>
      </c>
      <c r="P82">
        <v>6</v>
      </c>
      <c r="Q82">
        <v>8</v>
      </c>
    </row>
    <row r="83" spans="1:17" x14ac:dyDescent="0.45">
      <c r="A83" s="19">
        <v>46019.807638888888</v>
      </c>
      <c r="B83" t="s">
        <v>72</v>
      </c>
      <c r="C83" t="s">
        <v>193</v>
      </c>
      <c r="D83" t="s">
        <v>74</v>
      </c>
      <c r="E83" t="s">
        <v>77</v>
      </c>
      <c r="F83" t="s">
        <v>197</v>
      </c>
      <c r="G83" t="s">
        <v>104</v>
      </c>
      <c r="H83" t="s">
        <v>102</v>
      </c>
      <c r="I83">
        <v>8</v>
      </c>
      <c r="J83">
        <v>9</v>
      </c>
      <c r="K83">
        <v>5</v>
      </c>
      <c r="L83">
        <v>5</v>
      </c>
      <c r="M83">
        <v>5</v>
      </c>
      <c r="N83">
        <v>5</v>
      </c>
      <c r="O83">
        <v>1</v>
      </c>
      <c r="P83">
        <v>5</v>
      </c>
      <c r="Q83">
        <v>5</v>
      </c>
    </row>
    <row r="84" spans="1:17" x14ac:dyDescent="0.45">
      <c r="A84" s="19">
        <v>46019.814583333333</v>
      </c>
      <c r="B84" t="s">
        <v>72</v>
      </c>
      <c r="C84" t="s">
        <v>79</v>
      </c>
      <c r="D84" t="s">
        <v>74</v>
      </c>
      <c r="E84" t="s">
        <v>75</v>
      </c>
      <c r="F84" t="s">
        <v>100</v>
      </c>
      <c r="G84" t="s">
        <v>104</v>
      </c>
      <c r="H84" t="s">
        <v>105</v>
      </c>
      <c r="I84">
        <v>10</v>
      </c>
      <c r="J84">
        <v>8</v>
      </c>
      <c r="K84">
        <v>8</v>
      </c>
      <c r="L84">
        <v>7</v>
      </c>
      <c r="M84">
        <v>7</v>
      </c>
      <c r="N84">
        <v>6</v>
      </c>
      <c r="O84">
        <v>7</v>
      </c>
      <c r="P84">
        <v>6</v>
      </c>
      <c r="Q84">
        <v>8</v>
      </c>
    </row>
    <row r="85" spans="1:17" x14ac:dyDescent="0.45">
      <c r="A85" s="19">
        <v>46019.818055555559</v>
      </c>
      <c r="B85" t="s">
        <v>72</v>
      </c>
      <c r="C85" t="s">
        <v>73</v>
      </c>
      <c r="D85" t="s">
        <v>74</v>
      </c>
      <c r="E85" t="s">
        <v>190</v>
      </c>
      <c r="F85" t="s">
        <v>100</v>
      </c>
      <c r="G85" t="s">
        <v>104</v>
      </c>
      <c r="H85" t="s">
        <v>102</v>
      </c>
      <c r="I85">
        <v>6</v>
      </c>
      <c r="J85">
        <v>7</v>
      </c>
      <c r="K85">
        <v>5</v>
      </c>
      <c r="L85">
        <v>5</v>
      </c>
      <c r="M85">
        <v>5</v>
      </c>
      <c r="N85">
        <v>5</v>
      </c>
      <c r="O85">
        <v>5</v>
      </c>
      <c r="P85">
        <v>5</v>
      </c>
      <c r="Q85">
        <v>5</v>
      </c>
    </row>
    <row r="86" spans="1:17" x14ac:dyDescent="0.45">
      <c r="A86" s="19">
        <v>46019.819444444445</v>
      </c>
      <c r="B86" t="s">
        <v>72</v>
      </c>
      <c r="C86" t="s">
        <v>79</v>
      </c>
      <c r="D86" t="s">
        <v>74</v>
      </c>
      <c r="E86" t="s">
        <v>77</v>
      </c>
      <c r="F86" t="s">
        <v>100</v>
      </c>
      <c r="G86" t="s">
        <v>104</v>
      </c>
      <c r="H86" t="s">
        <v>105</v>
      </c>
      <c r="I86">
        <v>9</v>
      </c>
      <c r="J86">
        <v>9</v>
      </c>
      <c r="K86">
        <v>8</v>
      </c>
      <c r="L86">
        <v>9</v>
      </c>
      <c r="M86">
        <v>9</v>
      </c>
      <c r="N86">
        <v>9</v>
      </c>
      <c r="O86">
        <v>7</v>
      </c>
      <c r="P86">
        <v>8</v>
      </c>
      <c r="Q86">
        <v>8</v>
      </c>
    </row>
    <row r="87" spans="1:17" x14ac:dyDescent="0.45">
      <c r="A87" s="19">
        <v>46019.820138888892</v>
      </c>
      <c r="B87" t="s">
        <v>78</v>
      </c>
      <c r="C87" t="s">
        <v>73</v>
      </c>
      <c r="D87" t="s">
        <v>80</v>
      </c>
      <c r="E87" t="s">
        <v>77</v>
      </c>
      <c r="F87" t="s">
        <v>100</v>
      </c>
      <c r="G87" t="s">
        <v>104</v>
      </c>
      <c r="H87" t="s">
        <v>110</v>
      </c>
      <c r="I87">
        <v>5</v>
      </c>
      <c r="J87">
        <v>5</v>
      </c>
      <c r="K87">
        <v>10</v>
      </c>
      <c r="L87">
        <v>4</v>
      </c>
      <c r="M87">
        <v>4</v>
      </c>
      <c r="N87">
        <v>5</v>
      </c>
      <c r="O87">
        <v>5</v>
      </c>
      <c r="P87">
        <v>8</v>
      </c>
      <c r="Q87">
        <v>8</v>
      </c>
    </row>
    <row r="88" spans="1:17" x14ac:dyDescent="0.45">
      <c r="A88" s="19">
        <v>46019.824999999997</v>
      </c>
      <c r="B88" t="s">
        <v>78</v>
      </c>
      <c r="C88" t="s">
        <v>79</v>
      </c>
      <c r="D88" t="s">
        <v>74</v>
      </c>
      <c r="E88" t="s">
        <v>77</v>
      </c>
      <c r="F88" t="s">
        <v>100</v>
      </c>
      <c r="G88" t="s">
        <v>104</v>
      </c>
      <c r="H88" t="s">
        <v>105</v>
      </c>
      <c r="I88">
        <v>10</v>
      </c>
      <c r="J88">
        <v>9</v>
      </c>
      <c r="K88">
        <v>9</v>
      </c>
      <c r="L88">
        <v>9</v>
      </c>
      <c r="M88">
        <v>9</v>
      </c>
      <c r="N88">
        <v>9</v>
      </c>
      <c r="O88">
        <v>10</v>
      </c>
      <c r="P88">
        <v>9</v>
      </c>
      <c r="Q88">
        <v>10</v>
      </c>
    </row>
    <row r="89" spans="1:17" x14ac:dyDescent="0.45">
      <c r="A89" s="19">
        <v>46019.836805555555</v>
      </c>
      <c r="B89" t="s">
        <v>72</v>
      </c>
      <c r="C89" t="s">
        <v>79</v>
      </c>
      <c r="D89" t="s">
        <v>74</v>
      </c>
      <c r="E89" t="s">
        <v>192</v>
      </c>
      <c r="F89" t="s">
        <v>100</v>
      </c>
      <c r="G89" t="s">
        <v>194</v>
      </c>
      <c r="H89" t="s">
        <v>105</v>
      </c>
      <c r="I89">
        <v>10</v>
      </c>
      <c r="J89">
        <v>10</v>
      </c>
      <c r="K89">
        <v>10</v>
      </c>
      <c r="L89">
        <v>10</v>
      </c>
      <c r="M89">
        <v>10</v>
      </c>
      <c r="N89">
        <v>10</v>
      </c>
      <c r="O89">
        <v>10</v>
      </c>
      <c r="P89">
        <v>10</v>
      </c>
      <c r="Q89">
        <v>10</v>
      </c>
    </row>
    <row r="90" spans="1:17" x14ac:dyDescent="0.45">
      <c r="A90" s="19">
        <v>46019.838888888888</v>
      </c>
      <c r="B90" t="s">
        <v>72</v>
      </c>
      <c r="C90" t="s">
        <v>73</v>
      </c>
      <c r="D90" t="s">
        <v>74</v>
      </c>
      <c r="E90" t="s">
        <v>190</v>
      </c>
      <c r="F90" t="s">
        <v>100</v>
      </c>
      <c r="G90" t="s">
        <v>194</v>
      </c>
      <c r="H90" t="s">
        <v>102</v>
      </c>
      <c r="I90">
        <v>10</v>
      </c>
      <c r="J90">
        <v>9</v>
      </c>
      <c r="K90">
        <v>9</v>
      </c>
      <c r="L90">
        <v>9</v>
      </c>
      <c r="M90">
        <v>10</v>
      </c>
      <c r="N90">
        <v>9</v>
      </c>
      <c r="O90">
        <v>9</v>
      </c>
      <c r="P90">
        <v>8</v>
      </c>
      <c r="Q90">
        <v>9</v>
      </c>
    </row>
    <row r="91" spans="1:17" x14ac:dyDescent="0.45">
      <c r="A91" s="19">
        <v>46019.84097222222</v>
      </c>
      <c r="B91" t="s">
        <v>72</v>
      </c>
      <c r="C91" t="s">
        <v>73</v>
      </c>
      <c r="D91" t="s">
        <v>80</v>
      </c>
      <c r="E91" t="s">
        <v>77</v>
      </c>
      <c r="F91" t="s">
        <v>100</v>
      </c>
      <c r="G91" t="s">
        <v>194</v>
      </c>
      <c r="H91" t="s">
        <v>195</v>
      </c>
      <c r="I91">
        <v>6</v>
      </c>
      <c r="J91">
        <v>10</v>
      </c>
      <c r="K91">
        <v>8</v>
      </c>
      <c r="L91">
        <v>9</v>
      </c>
      <c r="M91">
        <v>9</v>
      </c>
      <c r="N91">
        <v>9</v>
      </c>
      <c r="O91">
        <v>8</v>
      </c>
      <c r="P91">
        <v>8</v>
      </c>
      <c r="Q91">
        <v>9</v>
      </c>
    </row>
    <row r="92" spans="1:17" x14ac:dyDescent="0.45">
      <c r="A92" s="19">
        <v>46019.848611111112</v>
      </c>
      <c r="B92" t="s">
        <v>72</v>
      </c>
      <c r="C92" t="s">
        <v>73</v>
      </c>
      <c r="D92" t="s">
        <v>74</v>
      </c>
      <c r="E92" t="s">
        <v>77</v>
      </c>
      <c r="F92" t="s">
        <v>100</v>
      </c>
      <c r="G92" t="s">
        <v>194</v>
      </c>
      <c r="H92" t="s">
        <v>105</v>
      </c>
      <c r="I92">
        <v>10</v>
      </c>
      <c r="J92">
        <v>9</v>
      </c>
      <c r="K92">
        <v>9</v>
      </c>
      <c r="L92">
        <v>9</v>
      </c>
      <c r="M92">
        <v>10</v>
      </c>
      <c r="N92">
        <v>9</v>
      </c>
      <c r="O92">
        <v>8</v>
      </c>
      <c r="P92">
        <v>8</v>
      </c>
      <c r="Q92">
        <v>10</v>
      </c>
    </row>
    <row r="93" spans="1:17" x14ac:dyDescent="0.45">
      <c r="A93" s="19">
        <v>46019.859722222223</v>
      </c>
      <c r="B93" t="s">
        <v>78</v>
      </c>
      <c r="C93" t="s">
        <v>73</v>
      </c>
      <c r="D93" t="s">
        <v>74</v>
      </c>
      <c r="E93" t="s">
        <v>77</v>
      </c>
      <c r="F93" t="s">
        <v>100</v>
      </c>
      <c r="G93" t="s">
        <v>194</v>
      </c>
      <c r="H93" t="s">
        <v>105</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100</v>
      </c>
      <c r="G94" t="s">
        <v>109</v>
      </c>
      <c r="H94" t="s">
        <v>105</v>
      </c>
      <c r="I94">
        <v>5</v>
      </c>
      <c r="J94">
        <v>8</v>
      </c>
      <c r="K94">
        <v>4</v>
      </c>
      <c r="L94">
        <v>9</v>
      </c>
      <c r="M94">
        <v>7</v>
      </c>
      <c r="N94">
        <v>5</v>
      </c>
      <c r="O94">
        <v>7</v>
      </c>
      <c r="P94">
        <v>8</v>
      </c>
      <c r="Q94">
        <v>10</v>
      </c>
    </row>
    <row r="95" spans="1:17" x14ac:dyDescent="0.45">
      <c r="A95" s="19">
        <v>46019.88958333333</v>
      </c>
      <c r="B95" t="s">
        <v>72</v>
      </c>
      <c r="C95" t="s">
        <v>73</v>
      </c>
      <c r="D95" t="s">
        <v>74</v>
      </c>
      <c r="E95" t="s">
        <v>75</v>
      </c>
      <c r="F95" t="s">
        <v>100</v>
      </c>
      <c r="G95" t="s">
        <v>194</v>
      </c>
      <c r="H95" t="s">
        <v>110</v>
      </c>
      <c r="I95">
        <v>9</v>
      </c>
      <c r="J95">
        <v>7</v>
      </c>
      <c r="K95">
        <v>5</v>
      </c>
      <c r="L95">
        <v>7</v>
      </c>
      <c r="M95">
        <v>5</v>
      </c>
      <c r="N95">
        <v>8</v>
      </c>
      <c r="O95">
        <v>5</v>
      </c>
      <c r="P95">
        <v>5</v>
      </c>
      <c r="Q95">
        <v>7</v>
      </c>
    </row>
    <row r="96" spans="1:17" x14ac:dyDescent="0.45">
      <c r="A96" s="19">
        <v>46019.900694444441</v>
      </c>
      <c r="B96" t="s">
        <v>72</v>
      </c>
      <c r="C96" t="s">
        <v>79</v>
      </c>
      <c r="D96" t="s">
        <v>74</v>
      </c>
      <c r="E96" t="s">
        <v>77</v>
      </c>
      <c r="F96" t="s">
        <v>100</v>
      </c>
      <c r="G96" t="s">
        <v>109</v>
      </c>
      <c r="H96" t="s">
        <v>106</v>
      </c>
      <c r="I96">
        <v>4</v>
      </c>
      <c r="J96">
        <v>6</v>
      </c>
      <c r="K96">
        <v>5</v>
      </c>
      <c r="L96">
        <v>5</v>
      </c>
      <c r="M96">
        <v>4</v>
      </c>
      <c r="N96">
        <v>4</v>
      </c>
      <c r="O96">
        <v>3</v>
      </c>
      <c r="P96">
        <v>4</v>
      </c>
      <c r="Q96">
        <v>3</v>
      </c>
    </row>
    <row r="97" spans="1:17" x14ac:dyDescent="0.45">
      <c r="A97" s="19">
        <v>46019.902083333334</v>
      </c>
      <c r="B97" t="s">
        <v>78</v>
      </c>
      <c r="C97" t="s">
        <v>189</v>
      </c>
      <c r="D97" t="s">
        <v>74</v>
      </c>
      <c r="E97" t="s">
        <v>77</v>
      </c>
      <c r="F97" t="s">
        <v>100</v>
      </c>
      <c r="G97" t="s">
        <v>194</v>
      </c>
      <c r="H97" t="s">
        <v>110</v>
      </c>
      <c r="I97">
        <v>8</v>
      </c>
      <c r="J97">
        <v>7</v>
      </c>
      <c r="K97">
        <v>5</v>
      </c>
      <c r="L97">
        <v>7</v>
      </c>
      <c r="M97">
        <v>7</v>
      </c>
      <c r="N97">
        <v>5</v>
      </c>
      <c r="O97">
        <v>5</v>
      </c>
      <c r="P97">
        <v>7</v>
      </c>
      <c r="Q97">
        <v>7</v>
      </c>
    </row>
    <row r="98" spans="1:17" x14ac:dyDescent="0.45">
      <c r="A98" s="19">
        <v>46019.902777777781</v>
      </c>
      <c r="B98" t="s">
        <v>72</v>
      </c>
      <c r="C98" t="s">
        <v>193</v>
      </c>
      <c r="D98" t="s">
        <v>74</v>
      </c>
      <c r="E98" t="s">
        <v>77</v>
      </c>
      <c r="F98" t="s">
        <v>103</v>
      </c>
      <c r="G98" t="s">
        <v>108</v>
      </c>
      <c r="H98" t="s">
        <v>195</v>
      </c>
      <c r="I98">
        <v>6</v>
      </c>
      <c r="J98">
        <v>6</v>
      </c>
      <c r="K98">
        <v>5</v>
      </c>
      <c r="L98">
        <v>5</v>
      </c>
      <c r="M98">
        <v>5</v>
      </c>
      <c r="N98">
        <v>5</v>
      </c>
      <c r="O98">
        <v>5</v>
      </c>
      <c r="P98">
        <v>5</v>
      </c>
      <c r="Q98">
        <v>5</v>
      </c>
    </row>
    <row r="99" spans="1:17" x14ac:dyDescent="0.45">
      <c r="A99" s="19">
        <v>46019.90347222222</v>
      </c>
      <c r="B99" t="s">
        <v>72</v>
      </c>
      <c r="C99" t="s">
        <v>73</v>
      </c>
      <c r="D99" t="s">
        <v>80</v>
      </c>
      <c r="E99" t="s">
        <v>77</v>
      </c>
      <c r="F99" t="s">
        <v>100</v>
      </c>
      <c r="G99" t="s">
        <v>196</v>
      </c>
      <c r="H99" t="s">
        <v>110</v>
      </c>
      <c r="I99">
        <v>8</v>
      </c>
      <c r="J99">
        <v>8</v>
      </c>
      <c r="K99">
        <v>5</v>
      </c>
      <c r="L99">
        <v>8</v>
      </c>
      <c r="M99">
        <v>6</v>
      </c>
      <c r="N99">
        <v>9</v>
      </c>
      <c r="O99">
        <v>5</v>
      </c>
      <c r="P99">
        <v>7</v>
      </c>
      <c r="Q99">
        <v>8</v>
      </c>
    </row>
    <row r="100" spans="1:17" x14ac:dyDescent="0.45">
      <c r="A100" s="19">
        <v>46019.904861111114</v>
      </c>
      <c r="B100" t="s">
        <v>78</v>
      </c>
      <c r="C100" t="s">
        <v>81</v>
      </c>
      <c r="D100" t="s">
        <v>74</v>
      </c>
      <c r="E100" t="s">
        <v>77</v>
      </c>
      <c r="F100" t="s">
        <v>100</v>
      </c>
      <c r="G100" t="s">
        <v>101</v>
      </c>
      <c r="H100" t="s">
        <v>102</v>
      </c>
      <c r="I100">
        <v>6</v>
      </c>
      <c r="J100">
        <v>6</v>
      </c>
      <c r="K100">
        <v>3</v>
      </c>
      <c r="L100">
        <v>6</v>
      </c>
      <c r="M100">
        <v>5</v>
      </c>
      <c r="N100">
        <v>6</v>
      </c>
      <c r="O100">
        <v>5</v>
      </c>
      <c r="P100">
        <v>6</v>
      </c>
      <c r="Q100">
        <v>6</v>
      </c>
    </row>
    <row r="101" spans="1:17" x14ac:dyDescent="0.45">
      <c r="A101" s="19">
        <v>46020.206944444442</v>
      </c>
      <c r="B101" t="s">
        <v>72</v>
      </c>
      <c r="C101" t="s">
        <v>193</v>
      </c>
      <c r="D101" t="s">
        <v>74</v>
      </c>
      <c r="E101" t="s">
        <v>77</v>
      </c>
      <c r="F101" t="s">
        <v>100</v>
      </c>
      <c r="G101" t="s">
        <v>104</v>
      </c>
      <c r="H101" t="s">
        <v>102</v>
      </c>
      <c r="I101">
        <v>8</v>
      </c>
      <c r="J101">
        <v>8</v>
      </c>
      <c r="K101">
        <v>8</v>
      </c>
      <c r="L101">
        <v>10</v>
      </c>
      <c r="M101">
        <v>10</v>
      </c>
      <c r="N101">
        <v>10</v>
      </c>
      <c r="O101">
        <v>10</v>
      </c>
      <c r="P101">
        <v>10</v>
      </c>
      <c r="Q101">
        <v>10</v>
      </c>
    </row>
    <row r="102" spans="1:17" x14ac:dyDescent="0.45">
      <c r="A102" s="19">
        <v>46020.280555555553</v>
      </c>
      <c r="B102" t="s">
        <v>72</v>
      </c>
      <c r="C102" t="s">
        <v>191</v>
      </c>
      <c r="D102" t="s">
        <v>74</v>
      </c>
      <c r="E102" t="s">
        <v>75</v>
      </c>
      <c r="F102" t="s">
        <v>100</v>
      </c>
      <c r="G102" t="s">
        <v>107</v>
      </c>
      <c r="H102" t="s">
        <v>195</v>
      </c>
      <c r="I102">
        <v>8</v>
      </c>
      <c r="J102">
        <v>8</v>
      </c>
      <c r="K102">
        <v>7</v>
      </c>
      <c r="L102">
        <v>8</v>
      </c>
      <c r="M102">
        <v>8</v>
      </c>
      <c r="N102">
        <v>7</v>
      </c>
      <c r="O102">
        <v>7</v>
      </c>
      <c r="P102">
        <v>7</v>
      </c>
      <c r="Q102">
        <v>8</v>
      </c>
    </row>
    <row r="103" spans="1:17" x14ac:dyDescent="0.45">
      <c r="A103" s="19">
        <v>46020.28125</v>
      </c>
      <c r="B103" t="s">
        <v>78</v>
      </c>
      <c r="C103" t="s">
        <v>189</v>
      </c>
      <c r="D103" t="s">
        <v>74</v>
      </c>
      <c r="E103" t="s">
        <v>77</v>
      </c>
      <c r="F103" t="s">
        <v>100</v>
      </c>
      <c r="G103" t="s">
        <v>104</v>
      </c>
      <c r="H103" t="s">
        <v>110</v>
      </c>
      <c r="I103">
        <v>5</v>
      </c>
      <c r="J103">
        <v>5</v>
      </c>
      <c r="K103">
        <v>5</v>
      </c>
      <c r="L103">
        <v>5</v>
      </c>
      <c r="M103">
        <v>5</v>
      </c>
      <c r="N103">
        <v>5</v>
      </c>
      <c r="O103">
        <v>5</v>
      </c>
      <c r="P103">
        <v>5</v>
      </c>
      <c r="Q103">
        <v>5</v>
      </c>
    </row>
    <row r="104" spans="1:17" x14ac:dyDescent="0.45">
      <c r="A104" s="19">
        <v>46020.282638888886</v>
      </c>
      <c r="B104" t="s">
        <v>72</v>
      </c>
      <c r="C104" t="s">
        <v>193</v>
      </c>
      <c r="D104" t="s">
        <v>74</v>
      </c>
      <c r="E104" t="s">
        <v>77</v>
      </c>
      <c r="F104" t="s">
        <v>100</v>
      </c>
      <c r="G104" t="s">
        <v>109</v>
      </c>
      <c r="H104" t="s">
        <v>105</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100</v>
      </c>
      <c r="G105" t="s">
        <v>196</v>
      </c>
      <c r="H105" t="s">
        <v>110</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100</v>
      </c>
      <c r="G106" t="s">
        <v>104</v>
      </c>
      <c r="H106" t="s">
        <v>102</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100</v>
      </c>
      <c r="G107" t="s">
        <v>194</v>
      </c>
      <c r="H107" t="s">
        <v>110</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100</v>
      </c>
      <c r="G108" t="s">
        <v>101</v>
      </c>
      <c r="H108" t="s">
        <v>102</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100</v>
      </c>
      <c r="G109" t="s">
        <v>104</v>
      </c>
      <c r="H109" t="s">
        <v>102</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100</v>
      </c>
      <c r="G110" t="s">
        <v>104</v>
      </c>
      <c r="H110" t="s">
        <v>102</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100</v>
      </c>
      <c r="G111" t="s">
        <v>111</v>
      </c>
      <c r="H111" t="s">
        <v>105</v>
      </c>
      <c r="I111">
        <v>7</v>
      </c>
      <c r="J111">
        <v>6</v>
      </c>
      <c r="K111">
        <v>8</v>
      </c>
      <c r="L111">
        <v>8</v>
      </c>
      <c r="M111">
        <v>7</v>
      </c>
      <c r="N111">
        <v>6</v>
      </c>
      <c r="O111">
        <v>5</v>
      </c>
      <c r="P111">
        <v>5</v>
      </c>
      <c r="Q111">
        <v>8</v>
      </c>
    </row>
    <row r="112" spans="1:17" x14ac:dyDescent="0.45">
      <c r="A112" s="19">
        <v>46020.398611111108</v>
      </c>
      <c r="B112" t="s">
        <v>78</v>
      </c>
      <c r="C112" t="s">
        <v>191</v>
      </c>
      <c r="D112" t="s">
        <v>74</v>
      </c>
      <c r="E112" t="s">
        <v>77</v>
      </c>
      <c r="F112" t="s">
        <v>100</v>
      </c>
      <c r="G112" t="s">
        <v>101</v>
      </c>
      <c r="H112" t="s">
        <v>102</v>
      </c>
      <c r="I112">
        <v>8</v>
      </c>
      <c r="J112">
        <v>8</v>
      </c>
      <c r="K112">
        <v>6</v>
      </c>
      <c r="L112">
        <v>7</v>
      </c>
      <c r="M112">
        <v>6</v>
      </c>
      <c r="N112">
        <v>7</v>
      </c>
      <c r="O112">
        <v>5</v>
      </c>
      <c r="P112">
        <v>5</v>
      </c>
      <c r="Q112">
        <v>5</v>
      </c>
    </row>
    <row r="113" spans="1:17" x14ac:dyDescent="0.45">
      <c r="A113" s="19">
        <v>46020.4</v>
      </c>
      <c r="B113" t="s">
        <v>72</v>
      </c>
      <c r="C113" t="s">
        <v>79</v>
      </c>
      <c r="D113" t="s">
        <v>74</v>
      </c>
      <c r="E113" t="s">
        <v>77</v>
      </c>
      <c r="F113" t="s">
        <v>100</v>
      </c>
      <c r="G113" t="s">
        <v>196</v>
      </c>
      <c r="H113" t="s">
        <v>105</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100</v>
      </c>
      <c r="G114" t="s">
        <v>194</v>
      </c>
      <c r="H114" t="s">
        <v>106</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100</v>
      </c>
      <c r="G115" t="s">
        <v>196</v>
      </c>
      <c r="H115" t="s">
        <v>195</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100</v>
      </c>
      <c r="G116" t="s">
        <v>104</v>
      </c>
      <c r="H116" t="s">
        <v>195</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100</v>
      </c>
      <c r="G117" t="s">
        <v>104</v>
      </c>
      <c r="H117" t="s">
        <v>110</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100</v>
      </c>
      <c r="G118" t="s">
        <v>111</v>
      </c>
      <c r="H118" t="s">
        <v>110</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100</v>
      </c>
      <c r="G119" t="s">
        <v>109</v>
      </c>
      <c r="H119" t="s">
        <v>102</v>
      </c>
      <c r="I119">
        <v>4</v>
      </c>
      <c r="J119">
        <v>1</v>
      </c>
      <c r="K119">
        <v>1</v>
      </c>
      <c r="L119">
        <v>5</v>
      </c>
      <c r="M119">
        <v>1</v>
      </c>
      <c r="N119">
        <v>3</v>
      </c>
      <c r="O119">
        <v>1</v>
      </c>
      <c r="P119">
        <v>1</v>
      </c>
      <c r="Q119">
        <v>5</v>
      </c>
    </row>
    <row r="120" spans="1:17" x14ac:dyDescent="0.45">
      <c r="A120" s="19">
        <v>46020.543055555558</v>
      </c>
      <c r="B120" t="s">
        <v>72</v>
      </c>
      <c r="C120" t="s">
        <v>193</v>
      </c>
      <c r="D120" t="s">
        <v>74</v>
      </c>
      <c r="E120" t="s">
        <v>77</v>
      </c>
      <c r="F120" t="s">
        <v>100</v>
      </c>
      <c r="G120" t="s">
        <v>111</v>
      </c>
      <c r="H120" t="s">
        <v>195</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100</v>
      </c>
      <c r="G121" t="s">
        <v>101</v>
      </c>
      <c r="H121" t="s">
        <v>106</v>
      </c>
      <c r="I121">
        <v>6</v>
      </c>
      <c r="J121">
        <v>6</v>
      </c>
      <c r="K121">
        <v>6</v>
      </c>
      <c r="L121">
        <v>6</v>
      </c>
      <c r="M121">
        <v>6</v>
      </c>
      <c r="N121">
        <v>6</v>
      </c>
      <c r="O121">
        <v>6</v>
      </c>
      <c r="P121">
        <v>6</v>
      </c>
      <c r="Q121">
        <v>6</v>
      </c>
    </row>
    <row r="122" spans="1:17" x14ac:dyDescent="0.45">
      <c r="A122" s="19">
        <v>46020.544444444444</v>
      </c>
      <c r="B122" t="s">
        <v>78</v>
      </c>
      <c r="C122" t="s">
        <v>191</v>
      </c>
      <c r="D122" t="s">
        <v>74</v>
      </c>
      <c r="E122" t="s">
        <v>75</v>
      </c>
      <c r="F122" t="s">
        <v>103</v>
      </c>
      <c r="G122" t="s">
        <v>108</v>
      </c>
      <c r="H122" t="s">
        <v>195</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100</v>
      </c>
      <c r="G123" t="s">
        <v>108</v>
      </c>
      <c r="H123" t="s">
        <v>110</v>
      </c>
      <c r="I123">
        <v>4</v>
      </c>
      <c r="J123">
        <v>4</v>
      </c>
      <c r="K123">
        <v>2</v>
      </c>
      <c r="L123">
        <v>5</v>
      </c>
      <c r="M123">
        <v>1</v>
      </c>
      <c r="N123">
        <v>1</v>
      </c>
      <c r="O123">
        <v>1</v>
      </c>
      <c r="P123">
        <v>4</v>
      </c>
      <c r="Q123">
        <v>4</v>
      </c>
    </row>
    <row r="124" spans="1:17" x14ac:dyDescent="0.45">
      <c r="A124" s="19">
        <v>46020.54583333333</v>
      </c>
      <c r="B124" t="s">
        <v>72</v>
      </c>
      <c r="C124" t="s">
        <v>189</v>
      </c>
      <c r="D124" t="s">
        <v>74</v>
      </c>
      <c r="E124" t="s">
        <v>77</v>
      </c>
      <c r="F124" t="s">
        <v>100</v>
      </c>
      <c r="G124" t="s">
        <v>194</v>
      </c>
      <c r="H124" t="s">
        <v>110</v>
      </c>
      <c r="I124">
        <v>7</v>
      </c>
      <c r="J124">
        <v>7</v>
      </c>
      <c r="K124">
        <v>7</v>
      </c>
      <c r="L124">
        <v>7</v>
      </c>
      <c r="M124">
        <v>7</v>
      </c>
      <c r="N124">
        <v>7</v>
      </c>
      <c r="O124">
        <v>7</v>
      </c>
      <c r="P124">
        <v>7</v>
      </c>
      <c r="Q124">
        <v>8</v>
      </c>
    </row>
    <row r="125" spans="1:17" x14ac:dyDescent="0.45">
      <c r="A125" s="19">
        <v>46020.589583333334</v>
      </c>
      <c r="B125" t="s">
        <v>72</v>
      </c>
      <c r="C125" t="s">
        <v>191</v>
      </c>
      <c r="D125" t="s">
        <v>74</v>
      </c>
      <c r="E125" t="s">
        <v>75</v>
      </c>
      <c r="F125" t="s">
        <v>100</v>
      </c>
      <c r="G125" t="s">
        <v>109</v>
      </c>
      <c r="H125" t="s">
        <v>102</v>
      </c>
      <c r="I125">
        <v>10</v>
      </c>
      <c r="J125">
        <v>9</v>
      </c>
      <c r="K125">
        <v>10</v>
      </c>
      <c r="L125">
        <v>10</v>
      </c>
      <c r="M125">
        <v>10</v>
      </c>
      <c r="N125">
        <v>8</v>
      </c>
      <c r="O125">
        <v>9</v>
      </c>
      <c r="P125">
        <v>9</v>
      </c>
      <c r="Q125">
        <v>9</v>
      </c>
    </row>
    <row r="126" spans="1:17" x14ac:dyDescent="0.45">
      <c r="A126" s="19">
        <v>46020.590277777781</v>
      </c>
      <c r="B126" t="s">
        <v>72</v>
      </c>
      <c r="C126" t="s">
        <v>189</v>
      </c>
      <c r="D126" t="s">
        <v>74</v>
      </c>
      <c r="E126" t="s">
        <v>77</v>
      </c>
      <c r="F126" t="s">
        <v>100</v>
      </c>
      <c r="G126" t="s">
        <v>104</v>
      </c>
      <c r="H126" t="s">
        <v>105</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100</v>
      </c>
      <c r="G127" t="s">
        <v>101</v>
      </c>
      <c r="H127" t="s">
        <v>110</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100</v>
      </c>
      <c r="G128" t="s">
        <v>108</v>
      </c>
      <c r="H128" t="s">
        <v>195</v>
      </c>
      <c r="I128">
        <v>1</v>
      </c>
      <c r="J128">
        <v>1</v>
      </c>
      <c r="K128">
        <v>1</v>
      </c>
      <c r="L128">
        <v>5</v>
      </c>
      <c r="M128">
        <v>1</v>
      </c>
      <c r="N128">
        <v>1</v>
      </c>
      <c r="O128">
        <v>1</v>
      </c>
      <c r="P128">
        <v>5</v>
      </c>
      <c r="Q128">
        <v>5</v>
      </c>
    </row>
    <row r="129" spans="1:17" x14ac:dyDescent="0.45">
      <c r="A129" s="19">
        <v>46020.602777777778</v>
      </c>
      <c r="B129" t="s">
        <v>78</v>
      </c>
      <c r="C129" t="s">
        <v>191</v>
      </c>
      <c r="D129" t="s">
        <v>74</v>
      </c>
      <c r="E129" t="s">
        <v>77</v>
      </c>
      <c r="F129" t="s">
        <v>100</v>
      </c>
      <c r="G129" t="s">
        <v>108</v>
      </c>
      <c r="H129" t="s">
        <v>195</v>
      </c>
      <c r="I129">
        <v>6</v>
      </c>
      <c r="J129">
        <v>6</v>
      </c>
      <c r="K129">
        <v>6</v>
      </c>
      <c r="L129">
        <v>8</v>
      </c>
      <c r="M129">
        <v>6</v>
      </c>
      <c r="N129">
        <v>3</v>
      </c>
      <c r="O129">
        <v>5</v>
      </c>
      <c r="P129">
        <v>5</v>
      </c>
      <c r="Q129">
        <v>4</v>
      </c>
    </row>
    <row r="130" spans="1:17" x14ac:dyDescent="0.45">
      <c r="A130" s="19">
        <v>46020.603472222225</v>
      </c>
      <c r="B130" t="s">
        <v>78</v>
      </c>
      <c r="C130" t="s">
        <v>191</v>
      </c>
      <c r="D130" t="s">
        <v>74</v>
      </c>
      <c r="E130" t="s">
        <v>75</v>
      </c>
      <c r="F130" t="s">
        <v>100</v>
      </c>
      <c r="G130" t="s">
        <v>108</v>
      </c>
      <c r="H130" t="s">
        <v>106</v>
      </c>
      <c r="I130">
        <v>6</v>
      </c>
      <c r="J130">
        <v>6</v>
      </c>
      <c r="K130">
        <v>4</v>
      </c>
      <c r="L130">
        <v>5</v>
      </c>
      <c r="M130">
        <v>5</v>
      </c>
      <c r="N130">
        <v>1</v>
      </c>
      <c r="O130">
        <v>5</v>
      </c>
      <c r="P130">
        <v>4</v>
      </c>
      <c r="Q130">
        <v>5</v>
      </c>
    </row>
    <row r="131" spans="1:17" x14ac:dyDescent="0.45">
      <c r="A131" s="19">
        <v>46020.603472222225</v>
      </c>
      <c r="B131" t="s">
        <v>72</v>
      </c>
      <c r="C131" t="s">
        <v>193</v>
      </c>
      <c r="D131" t="s">
        <v>74</v>
      </c>
      <c r="E131" t="s">
        <v>75</v>
      </c>
      <c r="F131" t="s">
        <v>100</v>
      </c>
      <c r="G131" t="s">
        <v>107</v>
      </c>
      <c r="H131" t="s">
        <v>105</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100</v>
      </c>
      <c r="G132" t="s">
        <v>107</v>
      </c>
      <c r="H132" t="s">
        <v>102</v>
      </c>
      <c r="I132">
        <v>8</v>
      </c>
      <c r="J132">
        <v>9</v>
      </c>
      <c r="K132">
        <v>5</v>
      </c>
      <c r="L132">
        <v>5</v>
      </c>
      <c r="M132">
        <v>5</v>
      </c>
      <c r="N132">
        <v>4</v>
      </c>
      <c r="O132">
        <v>5</v>
      </c>
      <c r="P132">
        <v>5</v>
      </c>
      <c r="Q132">
        <v>5</v>
      </c>
    </row>
    <row r="133" spans="1:17" x14ac:dyDescent="0.45">
      <c r="A133" s="19">
        <v>46020.604861111111</v>
      </c>
      <c r="B133" t="s">
        <v>78</v>
      </c>
      <c r="C133" t="s">
        <v>189</v>
      </c>
      <c r="D133" t="s">
        <v>74</v>
      </c>
      <c r="E133" t="s">
        <v>77</v>
      </c>
      <c r="F133" t="s">
        <v>100</v>
      </c>
      <c r="G133" t="s">
        <v>104</v>
      </c>
      <c r="H133" t="s">
        <v>110</v>
      </c>
      <c r="I133">
        <v>9</v>
      </c>
      <c r="J133">
        <v>9</v>
      </c>
      <c r="K133">
        <v>9</v>
      </c>
      <c r="L133">
        <v>9</v>
      </c>
      <c r="M133">
        <v>7</v>
      </c>
      <c r="N133">
        <v>10</v>
      </c>
      <c r="O133">
        <v>5</v>
      </c>
      <c r="P133">
        <v>5</v>
      </c>
      <c r="Q133">
        <v>9</v>
      </c>
    </row>
    <row r="134" spans="1:17" x14ac:dyDescent="0.45">
      <c r="A134" s="19">
        <v>46020.605555555558</v>
      </c>
      <c r="B134" t="s">
        <v>78</v>
      </c>
      <c r="C134" t="s">
        <v>81</v>
      </c>
      <c r="D134" t="s">
        <v>74</v>
      </c>
      <c r="E134" t="s">
        <v>190</v>
      </c>
      <c r="F134" t="s">
        <v>100</v>
      </c>
      <c r="G134" t="s">
        <v>109</v>
      </c>
      <c r="H134" t="s">
        <v>110</v>
      </c>
      <c r="I134">
        <v>5</v>
      </c>
      <c r="J134">
        <v>5</v>
      </c>
      <c r="K134">
        <v>5</v>
      </c>
      <c r="L134">
        <v>5</v>
      </c>
      <c r="M134">
        <v>5</v>
      </c>
      <c r="N134">
        <v>5</v>
      </c>
      <c r="O134">
        <v>5</v>
      </c>
      <c r="P134">
        <v>5</v>
      </c>
      <c r="Q134">
        <v>5</v>
      </c>
    </row>
    <row r="135" spans="1:17" x14ac:dyDescent="0.45">
      <c r="A135" s="19">
        <v>46020.606249999997</v>
      </c>
      <c r="B135" t="s">
        <v>72</v>
      </c>
      <c r="C135" t="s">
        <v>189</v>
      </c>
      <c r="D135" t="s">
        <v>74</v>
      </c>
      <c r="E135" t="s">
        <v>77</v>
      </c>
      <c r="F135" t="s">
        <v>100</v>
      </c>
      <c r="G135" t="s">
        <v>196</v>
      </c>
      <c r="H135" t="s">
        <v>110</v>
      </c>
      <c r="I135">
        <v>9</v>
      </c>
      <c r="J135">
        <v>9</v>
      </c>
      <c r="K135">
        <v>5</v>
      </c>
      <c r="L135">
        <v>9</v>
      </c>
      <c r="M135">
        <v>8</v>
      </c>
      <c r="N135">
        <v>10</v>
      </c>
      <c r="O135">
        <v>5</v>
      </c>
      <c r="P135">
        <v>5</v>
      </c>
      <c r="Q135">
        <v>7</v>
      </c>
    </row>
    <row r="136" spans="1:17" x14ac:dyDescent="0.45">
      <c r="A136" s="19">
        <v>46020.609027777777</v>
      </c>
      <c r="B136" t="s">
        <v>78</v>
      </c>
      <c r="C136" t="s">
        <v>189</v>
      </c>
      <c r="D136" t="s">
        <v>74</v>
      </c>
      <c r="E136" t="s">
        <v>77</v>
      </c>
      <c r="F136" t="s">
        <v>100</v>
      </c>
      <c r="G136" t="s">
        <v>104</v>
      </c>
      <c r="H136" t="s">
        <v>110</v>
      </c>
      <c r="I136">
        <v>5</v>
      </c>
      <c r="J136">
        <v>5</v>
      </c>
      <c r="K136">
        <v>5</v>
      </c>
      <c r="L136">
        <v>6</v>
      </c>
      <c r="M136">
        <v>6</v>
      </c>
      <c r="N136">
        <v>6</v>
      </c>
      <c r="O136">
        <v>6</v>
      </c>
      <c r="P136">
        <v>6</v>
      </c>
      <c r="Q136">
        <v>6</v>
      </c>
    </row>
    <row r="137" spans="1:17" x14ac:dyDescent="0.45">
      <c r="A137" s="19">
        <v>46020.613194444442</v>
      </c>
      <c r="B137" t="s">
        <v>72</v>
      </c>
      <c r="C137" t="s">
        <v>193</v>
      </c>
      <c r="D137" t="s">
        <v>74</v>
      </c>
      <c r="E137" t="s">
        <v>77</v>
      </c>
      <c r="F137" t="s">
        <v>197</v>
      </c>
      <c r="G137" t="s">
        <v>194</v>
      </c>
      <c r="H137" t="s">
        <v>110</v>
      </c>
      <c r="I137">
        <v>8</v>
      </c>
      <c r="J137">
        <v>8</v>
      </c>
      <c r="K137">
        <v>8</v>
      </c>
      <c r="L137">
        <v>8</v>
      </c>
      <c r="M137">
        <v>10</v>
      </c>
      <c r="N137">
        <v>10</v>
      </c>
      <c r="O137">
        <v>10</v>
      </c>
      <c r="P137">
        <v>10</v>
      </c>
      <c r="Q137">
        <v>10</v>
      </c>
    </row>
    <row r="138" spans="1:17" x14ac:dyDescent="0.45">
      <c r="A138" s="19">
        <v>46020.637499999997</v>
      </c>
      <c r="B138" t="s">
        <v>78</v>
      </c>
      <c r="C138" t="s">
        <v>191</v>
      </c>
      <c r="D138" t="s">
        <v>74</v>
      </c>
      <c r="E138" t="s">
        <v>77</v>
      </c>
      <c r="F138" t="s">
        <v>100</v>
      </c>
      <c r="G138" t="s">
        <v>108</v>
      </c>
      <c r="H138" t="s">
        <v>195</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100</v>
      </c>
      <c r="G139" t="s">
        <v>104</v>
      </c>
      <c r="H139" t="s">
        <v>110</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100</v>
      </c>
      <c r="G140" t="s">
        <v>108</v>
      </c>
      <c r="H140" t="s">
        <v>105</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100</v>
      </c>
      <c r="G141" t="s">
        <v>101</v>
      </c>
      <c r="H141" t="s">
        <v>102</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100</v>
      </c>
      <c r="G142" t="s">
        <v>101</v>
      </c>
      <c r="H142" t="s">
        <v>102</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100</v>
      </c>
      <c r="G143" t="s">
        <v>194</v>
      </c>
      <c r="H143" t="s">
        <v>102</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100</v>
      </c>
      <c r="G144" t="s">
        <v>108</v>
      </c>
      <c r="H144" t="s">
        <v>110</v>
      </c>
      <c r="I144">
        <v>1</v>
      </c>
      <c r="J144">
        <v>1</v>
      </c>
      <c r="K144">
        <v>8</v>
      </c>
      <c r="L144">
        <v>8</v>
      </c>
      <c r="M144">
        <v>8</v>
      </c>
      <c r="N144">
        <v>8</v>
      </c>
      <c r="O144">
        <v>8</v>
      </c>
      <c r="P144">
        <v>8</v>
      </c>
      <c r="Q144">
        <v>8</v>
      </c>
    </row>
    <row r="145" spans="1:17" x14ac:dyDescent="0.45">
      <c r="A145" s="19">
        <v>46021.449305555558</v>
      </c>
      <c r="B145" t="s">
        <v>72</v>
      </c>
      <c r="C145" t="s">
        <v>191</v>
      </c>
      <c r="D145" t="s">
        <v>74</v>
      </c>
      <c r="E145" t="s">
        <v>77</v>
      </c>
      <c r="F145" t="s">
        <v>100</v>
      </c>
      <c r="G145" t="s">
        <v>111</v>
      </c>
      <c r="H145" t="s">
        <v>105</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100</v>
      </c>
      <c r="G146" t="s">
        <v>111</v>
      </c>
      <c r="H146" t="s">
        <v>105</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100</v>
      </c>
      <c r="G147" t="s">
        <v>107</v>
      </c>
      <c r="H147" t="s">
        <v>106</v>
      </c>
      <c r="I147">
        <v>8</v>
      </c>
      <c r="J147">
        <v>8</v>
      </c>
      <c r="K147">
        <v>5</v>
      </c>
      <c r="L147">
        <v>5</v>
      </c>
      <c r="M147">
        <v>5</v>
      </c>
      <c r="N147">
        <v>3</v>
      </c>
      <c r="O147">
        <v>5</v>
      </c>
      <c r="P147">
        <v>5</v>
      </c>
      <c r="Q147">
        <v>5</v>
      </c>
    </row>
    <row r="148" spans="1:17" x14ac:dyDescent="0.45">
      <c r="A148" s="19">
        <v>46021.457638888889</v>
      </c>
      <c r="B148" t="s">
        <v>72</v>
      </c>
      <c r="C148" t="s">
        <v>193</v>
      </c>
      <c r="D148" t="s">
        <v>74</v>
      </c>
      <c r="E148" t="s">
        <v>75</v>
      </c>
      <c r="F148" t="s">
        <v>100</v>
      </c>
      <c r="G148" t="s">
        <v>108</v>
      </c>
      <c r="H148" t="s">
        <v>110</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100</v>
      </c>
      <c r="G149" t="s">
        <v>196</v>
      </c>
      <c r="H149" t="s">
        <v>110</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100</v>
      </c>
      <c r="G150" t="s">
        <v>108</v>
      </c>
      <c r="H150" t="s">
        <v>106</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100</v>
      </c>
      <c r="G151" t="s">
        <v>111</v>
      </c>
      <c r="H151" t="s">
        <v>105</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100</v>
      </c>
      <c r="G152" t="s">
        <v>107</v>
      </c>
      <c r="H152" t="s">
        <v>105</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100</v>
      </c>
      <c r="G153" t="s">
        <v>107</v>
      </c>
      <c r="H153" t="s">
        <v>105</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100</v>
      </c>
      <c r="G154" t="s">
        <v>194</v>
      </c>
      <c r="H154" t="s">
        <v>102</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100</v>
      </c>
      <c r="G155" t="s">
        <v>194</v>
      </c>
      <c r="H155" t="s">
        <v>105</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100</v>
      </c>
      <c r="G156" t="s">
        <v>111</v>
      </c>
      <c r="H156" t="s">
        <v>102</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100</v>
      </c>
      <c r="G157" t="s">
        <v>101</v>
      </c>
      <c r="H157" t="s">
        <v>102</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100</v>
      </c>
      <c r="G158" t="s">
        <v>107</v>
      </c>
      <c r="H158" t="s">
        <v>195</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100</v>
      </c>
      <c r="G159" t="s">
        <v>107</v>
      </c>
      <c r="H159" t="s">
        <v>105</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100</v>
      </c>
      <c r="G160" t="s">
        <v>109</v>
      </c>
      <c r="H160" t="s">
        <v>110</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100</v>
      </c>
      <c r="G161" t="s">
        <v>109</v>
      </c>
      <c r="H161" t="s">
        <v>110</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100</v>
      </c>
      <c r="G162" t="s">
        <v>104</v>
      </c>
      <c r="H162" t="s">
        <v>110</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100</v>
      </c>
      <c r="G163" t="s">
        <v>194</v>
      </c>
      <c r="H163" t="s">
        <v>110</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100</v>
      </c>
      <c r="G164" t="s">
        <v>104</v>
      </c>
      <c r="H164" t="s">
        <v>110</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100</v>
      </c>
      <c r="G165" t="s">
        <v>109</v>
      </c>
      <c r="H165" t="s">
        <v>105</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100</v>
      </c>
      <c r="G166" t="s">
        <v>109</v>
      </c>
      <c r="H166" t="s">
        <v>110</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100</v>
      </c>
      <c r="G167" t="s">
        <v>109</v>
      </c>
      <c r="H167" t="s">
        <v>102</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100</v>
      </c>
      <c r="G168" t="s">
        <v>107</v>
      </c>
      <c r="H168" t="s">
        <v>110</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100</v>
      </c>
      <c r="G169" t="s">
        <v>196</v>
      </c>
      <c r="H169" t="s">
        <v>110</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100</v>
      </c>
      <c r="G170" t="s">
        <v>109</v>
      </c>
      <c r="H170" t="s">
        <v>110</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103</v>
      </c>
      <c r="G171" t="s">
        <v>104</v>
      </c>
      <c r="H171" t="s">
        <v>110</v>
      </c>
      <c r="I171">
        <v>5</v>
      </c>
      <c r="J171">
        <v>8</v>
      </c>
      <c r="K171">
        <v>7</v>
      </c>
      <c r="L171">
        <v>8</v>
      </c>
      <c r="M171">
        <v>1</v>
      </c>
      <c r="N171">
        <v>2</v>
      </c>
      <c r="O171">
        <v>3</v>
      </c>
      <c r="P171">
        <v>3</v>
      </c>
      <c r="Q171">
        <v>7</v>
      </c>
    </row>
    <row r="172" spans="1:17" x14ac:dyDescent="0.45">
      <c r="A172" s="19">
        <v>46026.576388888891</v>
      </c>
      <c r="B172" t="s">
        <v>78</v>
      </c>
      <c r="C172" t="s">
        <v>189</v>
      </c>
      <c r="D172" t="s">
        <v>74</v>
      </c>
      <c r="E172" t="s">
        <v>77</v>
      </c>
      <c r="F172" t="s">
        <v>100</v>
      </c>
      <c r="G172" t="s">
        <v>194</v>
      </c>
      <c r="H172" t="s">
        <v>110</v>
      </c>
      <c r="I172">
        <v>6</v>
      </c>
      <c r="J172">
        <v>7</v>
      </c>
      <c r="K172">
        <v>5</v>
      </c>
      <c r="L172">
        <v>7</v>
      </c>
      <c r="M172">
        <v>7</v>
      </c>
      <c r="N172">
        <v>7</v>
      </c>
      <c r="O172">
        <v>5</v>
      </c>
      <c r="P172">
        <v>7</v>
      </c>
      <c r="Q172">
        <v>7</v>
      </c>
    </row>
    <row r="173" spans="1:17" x14ac:dyDescent="0.45">
      <c r="A173" s="19">
        <v>46026.57708333333</v>
      </c>
      <c r="B173" t="s">
        <v>78</v>
      </c>
      <c r="C173" t="s">
        <v>191</v>
      </c>
      <c r="D173" t="s">
        <v>74</v>
      </c>
      <c r="E173" t="s">
        <v>75</v>
      </c>
      <c r="F173" t="s">
        <v>100</v>
      </c>
      <c r="G173" t="s">
        <v>108</v>
      </c>
      <c r="H173" t="s">
        <v>195</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100</v>
      </c>
      <c r="G174" t="s">
        <v>107</v>
      </c>
      <c r="H174" t="s">
        <v>106</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100</v>
      </c>
      <c r="G175" t="s">
        <v>109</v>
      </c>
      <c r="H175" t="s">
        <v>102</v>
      </c>
      <c r="I175">
        <v>6</v>
      </c>
      <c r="J175">
        <v>6</v>
      </c>
      <c r="K175">
        <v>6</v>
      </c>
      <c r="L175">
        <v>6</v>
      </c>
      <c r="M175">
        <v>7</v>
      </c>
      <c r="N175">
        <v>7</v>
      </c>
      <c r="O175">
        <v>5</v>
      </c>
      <c r="P175">
        <v>7</v>
      </c>
      <c r="Q175">
        <v>6</v>
      </c>
    </row>
    <row r="176" spans="1:17" x14ac:dyDescent="0.45">
      <c r="A176" s="19">
        <v>46026.57916666667</v>
      </c>
      <c r="B176" t="s">
        <v>72</v>
      </c>
      <c r="C176" t="s">
        <v>191</v>
      </c>
      <c r="D176" t="s">
        <v>74</v>
      </c>
      <c r="E176" t="s">
        <v>75</v>
      </c>
      <c r="F176" t="s">
        <v>100</v>
      </c>
      <c r="G176" t="s">
        <v>108</v>
      </c>
      <c r="H176" t="s">
        <v>106</v>
      </c>
      <c r="I176">
        <v>4</v>
      </c>
      <c r="J176">
        <v>5</v>
      </c>
      <c r="K176">
        <v>4</v>
      </c>
      <c r="L176">
        <v>6</v>
      </c>
      <c r="M176">
        <v>4</v>
      </c>
      <c r="N176">
        <v>4</v>
      </c>
      <c r="O176">
        <v>4</v>
      </c>
      <c r="P176">
        <v>5</v>
      </c>
      <c r="Q176">
        <v>4</v>
      </c>
    </row>
    <row r="177" spans="1:17" x14ac:dyDescent="0.45">
      <c r="A177" s="19">
        <v>46026.57916666667</v>
      </c>
      <c r="B177" t="s">
        <v>72</v>
      </c>
      <c r="C177" t="s">
        <v>193</v>
      </c>
      <c r="D177" t="s">
        <v>80</v>
      </c>
      <c r="E177" t="s">
        <v>75</v>
      </c>
      <c r="F177" t="s">
        <v>100</v>
      </c>
      <c r="G177" t="s">
        <v>108</v>
      </c>
      <c r="H177" t="s">
        <v>110</v>
      </c>
      <c r="I177">
        <v>2</v>
      </c>
      <c r="J177">
        <v>4</v>
      </c>
      <c r="K177">
        <v>3</v>
      </c>
      <c r="L177">
        <v>5</v>
      </c>
      <c r="M177">
        <v>4</v>
      </c>
      <c r="N177">
        <v>1</v>
      </c>
      <c r="O177">
        <v>1</v>
      </c>
      <c r="P177">
        <v>4</v>
      </c>
      <c r="Q177">
        <v>4</v>
      </c>
    </row>
    <row r="178" spans="1:17" x14ac:dyDescent="0.45">
      <c r="A178" s="19">
        <v>46026.580555555556</v>
      </c>
      <c r="B178" t="s">
        <v>72</v>
      </c>
      <c r="C178" t="s">
        <v>191</v>
      </c>
      <c r="D178" t="s">
        <v>74</v>
      </c>
      <c r="E178" t="s">
        <v>75</v>
      </c>
      <c r="F178" t="s">
        <v>100</v>
      </c>
      <c r="G178" t="s">
        <v>107</v>
      </c>
      <c r="H178" t="s">
        <v>105</v>
      </c>
      <c r="I178">
        <v>4</v>
      </c>
      <c r="J178">
        <v>4</v>
      </c>
      <c r="K178">
        <v>3</v>
      </c>
      <c r="L178">
        <v>5</v>
      </c>
      <c r="M178">
        <v>3</v>
      </c>
      <c r="N178">
        <v>2</v>
      </c>
      <c r="O178">
        <v>1</v>
      </c>
      <c r="P178">
        <v>1</v>
      </c>
      <c r="Q178">
        <v>1</v>
      </c>
    </row>
    <row r="179" spans="1:17" x14ac:dyDescent="0.45">
      <c r="A179" s="19">
        <v>46026.580555555556</v>
      </c>
      <c r="B179" t="s">
        <v>72</v>
      </c>
      <c r="C179" t="s">
        <v>193</v>
      </c>
      <c r="D179" t="s">
        <v>74</v>
      </c>
      <c r="E179" t="s">
        <v>77</v>
      </c>
      <c r="F179" t="s">
        <v>100</v>
      </c>
      <c r="G179" t="s">
        <v>109</v>
      </c>
      <c r="H179" t="s">
        <v>195</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100</v>
      </c>
      <c r="G180" t="s">
        <v>101</v>
      </c>
      <c r="H180" t="s">
        <v>102</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100</v>
      </c>
      <c r="G181" t="s">
        <v>111</v>
      </c>
      <c r="H181" t="s">
        <v>102</v>
      </c>
      <c r="I181">
        <v>5</v>
      </c>
      <c r="J181">
        <v>5</v>
      </c>
      <c r="K181">
        <v>5</v>
      </c>
      <c r="L181">
        <v>7</v>
      </c>
      <c r="M181">
        <v>5</v>
      </c>
      <c r="N181">
        <v>6</v>
      </c>
      <c r="O181">
        <v>5</v>
      </c>
      <c r="P181">
        <v>7</v>
      </c>
      <c r="Q181">
        <v>7</v>
      </c>
    </row>
    <row r="182" spans="1:17" x14ac:dyDescent="0.45">
      <c r="A182" s="19">
        <v>46026.7</v>
      </c>
      <c r="B182" t="s">
        <v>72</v>
      </c>
      <c r="C182" t="s">
        <v>73</v>
      </c>
      <c r="D182" t="s">
        <v>74</v>
      </c>
      <c r="E182" t="s">
        <v>75</v>
      </c>
      <c r="F182" t="s">
        <v>100</v>
      </c>
      <c r="G182" t="s">
        <v>111</v>
      </c>
      <c r="H182" t="s">
        <v>105</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100</v>
      </c>
      <c r="G183" t="s">
        <v>101</v>
      </c>
      <c r="H183" t="s">
        <v>110</v>
      </c>
      <c r="I183">
        <v>8</v>
      </c>
      <c r="J183">
        <v>8</v>
      </c>
      <c r="K183">
        <v>5</v>
      </c>
      <c r="L183">
        <v>8</v>
      </c>
      <c r="M183">
        <v>6</v>
      </c>
      <c r="N183">
        <v>8</v>
      </c>
      <c r="O183">
        <v>6</v>
      </c>
      <c r="P183">
        <v>7</v>
      </c>
      <c r="Q183">
        <v>7</v>
      </c>
    </row>
    <row r="184" spans="1:17" x14ac:dyDescent="0.45">
      <c r="A184" s="19">
        <v>46026.701388888891</v>
      </c>
      <c r="B184" t="s">
        <v>78</v>
      </c>
      <c r="C184" t="s">
        <v>193</v>
      </c>
      <c r="D184" t="s">
        <v>74</v>
      </c>
      <c r="E184" t="s">
        <v>75</v>
      </c>
      <c r="F184" t="s">
        <v>100</v>
      </c>
      <c r="G184" t="s">
        <v>108</v>
      </c>
      <c r="H184" t="s">
        <v>106</v>
      </c>
      <c r="I184">
        <v>2</v>
      </c>
      <c r="J184">
        <v>5</v>
      </c>
      <c r="K184">
        <v>3</v>
      </c>
      <c r="L184">
        <v>5</v>
      </c>
      <c r="M184">
        <v>3</v>
      </c>
      <c r="N184">
        <v>2</v>
      </c>
      <c r="O184">
        <v>1</v>
      </c>
      <c r="P184">
        <v>5</v>
      </c>
      <c r="Q184">
        <v>5</v>
      </c>
    </row>
    <row r="185" spans="1:17" x14ac:dyDescent="0.45">
      <c r="A185" s="19">
        <v>46026.70208333333</v>
      </c>
      <c r="B185" t="s">
        <v>78</v>
      </c>
      <c r="C185" t="s">
        <v>189</v>
      </c>
      <c r="D185" t="s">
        <v>74</v>
      </c>
      <c r="E185" t="s">
        <v>77</v>
      </c>
      <c r="F185" t="s">
        <v>100</v>
      </c>
      <c r="G185" t="s">
        <v>104</v>
      </c>
      <c r="H185" t="s">
        <v>110</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103</v>
      </c>
      <c r="G186" t="s">
        <v>109</v>
      </c>
      <c r="H186" t="s">
        <v>106</v>
      </c>
      <c r="I186">
        <v>7</v>
      </c>
      <c r="J186">
        <v>7</v>
      </c>
      <c r="K186">
        <v>6</v>
      </c>
      <c r="L186">
        <v>8</v>
      </c>
      <c r="M186">
        <v>5</v>
      </c>
      <c r="N186">
        <v>5</v>
      </c>
      <c r="O186">
        <v>5</v>
      </c>
      <c r="P186">
        <v>6</v>
      </c>
      <c r="Q186">
        <v>5</v>
      </c>
    </row>
    <row r="187" spans="1:17" x14ac:dyDescent="0.45">
      <c r="A187" s="19">
        <v>46026.70416666667</v>
      </c>
      <c r="B187" t="s">
        <v>72</v>
      </c>
      <c r="C187" t="s">
        <v>193</v>
      </c>
      <c r="D187" t="s">
        <v>74</v>
      </c>
      <c r="E187" t="s">
        <v>77</v>
      </c>
      <c r="F187" t="s">
        <v>197</v>
      </c>
      <c r="G187" t="s">
        <v>104</v>
      </c>
      <c r="H187" t="s">
        <v>110</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100</v>
      </c>
      <c r="G188" t="s">
        <v>109</v>
      </c>
      <c r="H188" t="s">
        <v>105</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100</v>
      </c>
      <c r="G189" t="s">
        <v>101</v>
      </c>
      <c r="H189" t="s">
        <v>102</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100</v>
      </c>
      <c r="G190" t="s">
        <v>111</v>
      </c>
      <c r="H190" t="s">
        <v>105</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100</v>
      </c>
      <c r="G191" t="s">
        <v>101</v>
      </c>
      <c r="H191" t="s">
        <v>110</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100</v>
      </c>
      <c r="G192" t="s">
        <v>111</v>
      </c>
      <c r="H192" t="s">
        <v>106</v>
      </c>
      <c r="I192">
        <v>7</v>
      </c>
      <c r="J192">
        <v>7</v>
      </c>
      <c r="K192">
        <v>6</v>
      </c>
      <c r="L192">
        <v>8</v>
      </c>
      <c r="M192">
        <v>7</v>
      </c>
      <c r="N192">
        <v>8</v>
      </c>
      <c r="O192">
        <v>7</v>
      </c>
      <c r="P192">
        <v>7</v>
      </c>
      <c r="Q192">
        <v>7</v>
      </c>
    </row>
    <row r="193" spans="1:17" x14ac:dyDescent="0.45">
      <c r="A193" s="19">
        <v>46029.685416666667</v>
      </c>
      <c r="B193" t="s">
        <v>72</v>
      </c>
      <c r="C193" t="s">
        <v>189</v>
      </c>
      <c r="D193" t="s">
        <v>74</v>
      </c>
      <c r="E193" t="s">
        <v>77</v>
      </c>
      <c r="F193" t="s">
        <v>100</v>
      </c>
      <c r="G193" t="s">
        <v>196</v>
      </c>
      <c r="H193" t="s">
        <v>110</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100</v>
      </c>
      <c r="G194" t="s">
        <v>101</v>
      </c>
      <c r="H194" t="s">
        <v>105</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100</v>
      </c>
      <c r="G195" t="s">
        <v>196</v>
      </c>
      <c r="H195" t="s">
        <v>102</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100</v>
      </c>
      <c r="G196" t="s">
        <v>104</v>
      </c>
      <c r="H196" t="s">
        <v>102</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100</v>
      </c>
      <c r="G197" t="s">
        <v>104</v>
      </c>
      <c r="H197" t="s">
        <v>105</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100</v>
      </c>
      <c r="G198" t="s">
        <v>104</v>
      </c>
      <c r="H198" t="s">
        <v>106</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100</v>
      </c>
      <c r="G199" t="s">
        <v>104</v>
      </c>
      <c r="H199" t="s">
        <v>105</v>
      </c>
      <c r="I199">
        <v>5</v>
      </c>
      <c r="J199">
        <v>5</v>
      </c>
      <c r="K199">
        <v>5</v>
      </c>
      <c r="L199">
        <v>5</v>
      </c>
      <c r="M199">
        <v>5</v>
      </c>
      <c r="N199">
        <v>5</v>
      </c>
      <c r="O199">
        <v>5</v>
      </c>
      <c r="P199">
        <v>4</v>
      </c>
      <c r="Q199">
        <v>5</v>
      </c>
    </row>
    <row r="200" spans="1:17" x14ac:dyDescent="0.45">
      <c r="A200" s="19">
        <v>46031.374305555553</v>
      </c>
      <c r="B200" t="s">
        <v>72</v>
      </c>
      <c r="C200" t="s">
        <v>193</v>
      </c>
      <c r="D200" t="s">
        <v>74</v>
      </c>
      <c r="E200" t="s">
        <v>75</v>
      </c>
      <c r="F200" t="s">
        <v>197</v>
      </c>
      <c r="G200" t="s">
        <v>194</v>
      </c>
      <c r="H200" t="s">
        <v>102</v>
      </c>
      <c r="I200">
        <v>9</v>
      </c>
      <c r="J200">
        <v>8</v>
      </c>
      <c r="K200">
        <v>9</v>
      </c>
      <c r="L200">
        <v>9</v>
      </c>
      <c r="M200">
        <v>8</v>
      </c>
      <c r="N200">
        <v>9</v>
      </c>
      <c r="O200">
        <v>10</v>
      </c>
      <c r="P200">
        <v>9</v>
      </c>
      <c r="Q200">
        <v>10</v>
      </c>
    </row>
    <row r="201" spans="1:17" x14ac:dyDescent="0.45">
      <c r="A201" s="19">
        <v>46031.390277777777</v>
      </c>
      <c r="B201" t="s">
        <v>78</v>
      </c>
      <c r="C201" t="s">
        <v>191</v>
      </c>
      <c r="D201" t="s">
        <v>74</v>
      </c>
      <c r="E201" t="s">
        <v>77</v>
      </c>
      <c r="F201" t="s">
        <v>100</v>
      </c>
      <c r="G201" t="s">
        <v>107</v>
      </c>
      <c r="H201" t="s">
        <v>106</v>
      </c>
      <c r="I201">
        <v>4</v>
      </c>
      <c r="J201">
        <v>4</v>
      </c>
      <c r="K201">
        <v>3</v>
      </c>
      <c r="L201">
        <v>5</v>
      </c>
      <c r="M201">
        <v>4</v>
      </c>
      <c r="N201">
        <v>5</v>
      </c>
      <c r="O201">
        <v>1</v>
      </c>
      <c r="P201">
        <v>5</v>
      </c>
      <c r="Q201">
        <v>5</v>
      </c>
    </row>
    <row r="202" spans="1:17" x14ac:dyDescent="0.45">
      <c r="A202" s="19">
        <v>46031.390972222223</v>
      </c>
      <c r="B202" t="s">
        <v>72</v>
      </c>
      <c r="C202" t="s">
        <v>193</v>
      </c>
      <c r="D202" t="s">
        <v>74</v>
      </c>
      <c r="E202" t="s">
        <v>75</v>
      </c>
      <c r="F202" t="s">
        <v>100</v>
      </c>
      <c r="G202" t="s">
        <v>111</v>
      </c>
      <c r="H202" t="s">
        <v>102</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100</v>
      </c>
      <c r="G203" t="s">
        <v>107</v>
      </c>
      <c r="H203" t="s">
        <v>195</v>
      </c>
      <c r="I203">
        <v>6</v>
      </c>
      <c r="J203">
        <v>8</v>
      </c>
      <c r="K203">
        <v>8</v>
      </c>
      <c r="L203">
        <v>9</v>
      </c>
      <c r="M203">
        <v>7</v>
      </c>
      <c r="N203">
        <v>7</v>
      </c>
      <c r="O203">
        <v>7</v>
      </c>
      <c r="P203">
        <v>8</v>
      </c>
      <c r="Q203">
        <v>8</v>
      </c>
    </row>
    <row r="204" spans="1:17" x14ac:dyDescent="0.45">
      <c r="A204" s="19">
        <v>46031.39166666667</v>
      </c>
      <c r="B204" t="s">
        <v>72</v>
      </c>
      <c r="C204" t="s">
        <v>191</v>
      </c>
      <c r="D204" t="s">
        <v>74</v>
      </c>
      <c r="E204" t="s">
        <v>75</v>
      </c>
      <c r="F204" t="s">
        <v>100</v>
      </c>
      <c r="G204" t="s">
        <v>108</v>
      </c>
      <c r="H204" t="s">
        <v>106</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100</v>
      </c>
      <c r="G205" t="s">
        <v>109</v>
      </c>
      <c r="H205" t="s">
        <v>102</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100</v>
      </c>
      <c r="G206" t="s">
        <v>101</v>
      </c>
      <c r="H206" t="s">
        <v>110</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100</v>
      </c>
      <c r="G207" t="s">
        <v>111</v>
      </c>
      <c r="H207" t="s">
        <v>102</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100</v>
      </c>
      <c r="G208" t="s">
        <v>111</v>
      </c>
      <c r="H208" t="s">
        <v>105</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100</v>
      </c>
      <c r="G209" t="s">
        <v>109</v>
      </c>
      <c r="H209" t="s">
        <v>102</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100</v>
      </c>
      <c r="G210" t="s">
        <v>109</v>
      </c>
      <c r="H210" t="s">
        <v>110</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100</v>
      </c>
      <c r="G211" t="s">
        <v>101</v>
      </c>
      <c r="H211" t="s">
        <v>110</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100</v>
      </c>
      <c r="G212" t="s">
        <v>111</v>
      </c>
      <c r="H212" t="s">
        <v>102</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100</v>
      </c>
      <c r="G213" t="s">
        <v>111</v>
      </c>
      <c r="H213" t="s">
        <v>110</v>
      </c>
      <c r="I213">
        <v>5</v>
      </c>
      <c r="J213">
        <v>5</v>
      </c>
      <c r="K213">
        <v>1</v>
      </c>
      <c r="L213">
        <v>5</v>
      </c>
      <c r="M213">
        <v>5</v>
      </c>
      <c r="N213">
        <v>5</v>
      </c>
      <c r="O213">
        <v>4</v>
      </c>
      <c r="P213">
        <v>5</v>
      </c>
      <c r="Q213">
        <v>5</v>
      </c>
    </row>
    <row r="214" spans="1:17" x14ac:dyDescent="0.45">
      <c r="A214" s="19">
        <v>46031.4</v>
      </c>
      <c r="B214" t="s">
        <v>72</v>
      </c>
      <c r="C214" t="s">
        <v>73</v>
      </c>
      <c r="D214" t="s">
        <v>74</v>
      </c>
      <c r="E214" t="s">
        <v>77</v>
      </c>
      <c r="F214" t="s">
        <v>100</v>
      </c>
      <c r="G214" t="s">
        <v>111</v>
      </c>
      <c r="H214" t="s">
        <v>195</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100</v>
      </c>
      <c r="G215" t="s">
        <v>111</v>
      </c>
      <c r="H215" t="s">
        <v>195</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100</v>
      </c>
      <c r="G216" t="s">
        <v>196</v>
      </c>
      <c r="H216" t="s">
        <v>105</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100</v>
      </c>
      <c r="G217" t="s">
        <v>109</v>
      </c>
      <c r="H217" t="s">
        <v>102</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100</v>
      </c>
      <c r="G218" t="s">
        <v>109</v>
      </c>
      <c r="H218" t="s">
        <v>110</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100</v>
      </c>
      <c r="G219" t="s">
        <v>111</v>
      </c>
      <c r="H219" t="s">
        <v>106</v>
      </c>
      <c r="I219">
        <v>6</v>
      </c>
      <c r="J219">
        <v>7</v>
      </c>
      <c r="K219">
        <v>7</v>
      </c>
      <c r="L219">
        <v>7</v>
      </c>
      <c r="M219">
        <v>7</v>
      </c>
      <c r="N219">
        <v>7</v>
      </c>
      <c r="O219">
        <v>7</v>
      </c>
      <c r="P219">
        <v>7</v>
      </c>
      <c r="Q219">
        <v>7</v>
      </c>
    </row>
    <row r="220" spans="1:17" x14ac:dyDescent="0.45">
      <c r="A220" s="19">
        <v>46031.402777777781</v>
      </c>
      <c r="B220" t="s">
        <v>78</v>
      </c>
      <c r="C220" t="s">
        <v>193</v>
      </c>
      <c r="D220" t="s">
        <v>74</v>
      </c>
      <c r="E220" t="s">
        <v>75</v>
      </c>
      <c r="F220" t="s">
        <v>100</v>
      </c>
      <c r="G220" t="s">
        <v>108</v>
      </c>
      <c r="H220" t="s">
        <v>105</v>
      </c>
      <c r="I220">
        <v>7</v>
      </c>
      <c r="J220">
        <v>8</v>
      </c>
      <c r="K220">
        <v>8</v>
      </c>
      <c r="L220">
        <v>8</v>
      </c>
      <c r="M220">
        <v>8</v>
      </c>
      <c r="N220">
        <v>5</v>
      </c>
      <c r="O220">
        <v>5</v>
      </c>
      <c r="P220">
        <v>7</v>
      </c>
      <c r="Q220">
        <v>6</v>
      </c>
    </row>
    <row r="221" spans="1:17" x14ac:dyDescent="0.45">
      <c r="A221" s="19">
        <v>46031.402777777781</v>
      </c>
      <c r="B221" t="s">
        <v>72</v>
      </c>
      <c r="C221" t="s">
        <v>191</v>
      </c>
      <c r="D221" t="s">
        <v>74</v>
      </c>
      <c r="E221" t="s">
        <v>75</v>
      </c>
      <c r="F221" t="s">
        <v>100</v>
      </c>
      <c r="G221" t="s">
        <v>108</v>
      </c>
      <c r="H221" t="s">
        <v>102</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100</v>
      </c>
      <c r="G222" t="s">
        <v>111</v>
      </c>
      <c r="H222" t="s">
        <v>102</v>
      </c>
      <c r="I222">
        <v>4</v>
      </c>
      <c r="J222">
        <v>4</v>
      </c>
      <c r="K222">
        <v>4</v>
      </c>
      <c r="L222">
        <v>6</v>
      </c>
      <c r="M222">
        <v>5</v>
      </c>
      <c r="N222">
        <v>6</v>
      </c>
      <c r="O222">
        <v>5</v>
      </c>
      <c r="P222">
        <v>6</v>
      </c>
      <c r="Q222">
        <v>5</v>
      </c>
    </row>
    <row r="223" spans="1:17" x14ac:dyDescent="0.45">
      <c r="A223" s="19">
        <v>46031.404861111114</v>
      </c>
      <c r="B223" t="s">
        <v>72</v>
      </c>
      <c r="C223" t="s">
        <v>191</v>
      </c>
      <c r="D223" t="s">
        <v>74</v>
      </c>
      <c r="E223" t="s">
        <v>77</v>
      </c>
      <c r="F223" t="s">
        <v>100</v>
      </c>
      <c r="G223" t="s">
        <v>111</v>
      </c>
      <c r="H223" t="s">
        <v>105</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100</v>
      </c>
      <c r="G224" t="s">
        <v>111</v>
      </c>
      <c r="H224" t="s">
        <v>105</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100</v>
      </c>
      <c r="G225" t="s">
        <v>111</v>
      </c>
      <c r="H225" t="s">
        <v>110</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100</v>
      </c>
      <c r="G226" t="s">
        <v>109</v>
      </c>
      <c r="H226" t="s">
        <v>102</v>
      </c>
      <c r="I226">
        <v>6</v>
      </c>
      <c r="J226">
        <v>6</v>
      </c>
      <c r="K226">
        <v>7</v>
      </c>
      <c r="L226">
        <v>7</v>
      </c>
      <c r="M226">
        <v>5</v>
      </c>
      <c r="N226">
        <v>6</v>
      </c>
      <c r="O226">
        <v>6</v>
      </c>
      <c r="P226">
        <v>6</v>
      </c>
      <c r="Q226">
        <v>7</v>
      </c>
    </row>
    <row r="227" spans="1:17" x14ac:dyDescent="0.45">
      <c r="A227" s="19">
        <v>46031.406944444447</v>
      </c>
      <c r="B227" t="s">
        <v>72</v>
      </c>
      <c r="C227" t="s">
        <v>193</v>
      </c>
      <c r="D227" t="s">
        <v>74</v>
      </c>
      <c r="E227" t="s">
        <v>75</v>
      </c>
      <c r="F227" t="s">
        <v>100</v>
      </c>
      <c r="G227" t="s">
        <v>107</v>
      </c>
      <c r="H227" t="s">
        <v>105</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100</v>
      </c>
      <c r="G228" t="s">
        <v>101</v>
      </c>
      <c r="H228" t="s">
        <v>110</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100</v>
      </c>
      <c r="G229" t="s">
        <v>196</v>
      </c>
      <c r="H229" t="s">
        <v>105</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100</v>
      </c>
      <c r="G230" t="s">
        <v>111</v>
      </c>
      <c r="H230" t="s">
        <v>105</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100</v>
      </c>
      <c r="G231" t="s">
        <v>107</v>
      </c>
      <c r="H231" t="s">
        <v>195</v>
      </c>
      <c r="I231">
        <v>4</v>
      </c>
      <c r="J231">
        <v>5</v>
      </c>
      <c r="K231">
        <v>1</v>
      </c>
      <c r="L231">
        <v>6</v>
      </c>
      <c r="M231">
        <v>4</v>
      </c>
      <c r="N231">
        <v>4</v>
      </c>
      <c r="O231">
        <v>5</v>
      </c>
      <c r="P231">
        <v>5</v>
      </c>
      <c r="Q231">
        <v>5</v>
      </c>
    </row>
    <row r="232" spans="1:17" x14ac:dyDescent="0.45">
      <c r="A232" s="19">
        <v>46031.40902777778</v>
      </c>
      <c r="B232" t="s">
        <v>78</v>
      </c>
      <c r="C232" t="s">
        <v>193</v>
      </c>
      <c r="D232" t="s">
        <v>74</v>
      </c>
      <c r="E232" t="s">
        <v>75</v>
      </c>
      <c r="F232" t="s">
        <v>100</v>
      </c>
      <c r="G232" t="s">
        <v>108</v>
      </c>
      <c r="H232" t="s">
        <v>195</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100</v>
      </c>
      <c r="G233" t="s">
        <v>111</v>
      </c>
      <c r="H233" t="s">
        <v>105</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100</v>
      </c>
      <c r="G234" t="s">
        <v>104</v>
      </c>
      <c r="H234" t="s">
        <v>102</v>
      </c>
      <c r="I234">
        <v>8</v>
      </c>
      <c r="J234">
        <v>8</v>
      </c>
      <c r="K234">
        <v>8</v>
      </c>
      <c r="L234">
        <v>8</v>
      </c>
      <c r="M234">
        <v>9</v>
      </c>
      <c r="N234">
        <v>8</v>
      </c>
      <c r="O234">
        <v>8</v>
      </c>
      <c r="P234">
        <v>8</v>
      </c>
      <c r="Q234">
        <v>10</v>
      </c>
    </row>
    <row r="235" spans="1:17" x14ac:dyDescent="0.45">
      <c r="A235" s="19">
        <v>46031.409722222219</v>
      </c>
      <c r="B235" t="s">
        <v>72</v>
      </c>
      <c r="C235" t="s">
        <v>191</v>
      </c>
      <c r="D235" t="s">
        <v>74</v>
      </c>
      <c r="E235" t="s">
        <v>75</v>
      </c>
      <c r="F235" t="s">
        <v>100</v>
      </c>
      <c r="G235" t="s">
        <v>107</v>
      </c>
      <c r="H235" t="s">
        <v>106</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100</v>
      </c>
      <c r="G236" t="s">
        <v>109</v>
      </c>
      <c r="H236" t="s">
        <v>110</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100</v>
      </c>
      <c r="G237" t="s">
        <v>111</v>
      </c>
      <c r="H237" t="s">
        <v>106</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103</v>
      </c>
      <c r="G238" t="s">
        <v>104</v>
      </c>
      <c r="H238" t="s">
        <v>106</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100</v>
      </c>
      <c r="G239" t="s">
        <v>101</v>
      </c>
      <c r="H239" t="s">
        <v>102</v>
      </c>
      <c r="I239">
        <v>8</v>
      </c>
      <c r="J239">
        <v>10</v>
      </c>
      <c r="K239">
        <v>8</v>
      </c>
      <c r="L239">
        <v>10</v>
      </c>
      <c r="M239">
        <v>9</v>
      </c>
      <c r="N239">
        <v>8</v>
      </c>
      <c r="O239">
        <v>7</v>
      </c>
      <c r="P239">
        <v>9</v>
      </c>
      <c r="Q239">
        <v>9</v>
      </c>
    </row>
    <row r="240" spans="1:17" x14ac:dyDescent="0.45">
      <c r="A240" s="19">
        <v>46031.440972222219</v>
      </c>
      <c r="B240" t="s">
        <v>78</v>
      </c>
      <c r="C240" t="s">
        <v>193</v>
      </c>
      <c r="D240" t="s">
        <v>74</v>
      </c>
      <c r="E240" t="s">
        <v>75</v>
      </c>
      <c r="F240" t="s">
        <v>100</v>
      </c>
      <c r="G240" t="s">
        <v>107</v>
      </c>
      <c r="H240" t="s">
        <v>195</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100</v>
      </c>
      <c r="G241" t="s">
        <v>111</v>
      </c>
      <c r="H241" t="s">
        <v>106</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100</v>
      </c>
      <c r="G242" t="s">
        <v>111</v>
      </c>
      <c r="H242" t="s">
        <v>102</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100</v>
      </c>
      <c r="G243" t="s">
        <v>111</v>
      </c>
      <c r="H243" t="s">
        <v>105</v>
      </c>
      <c r="I243">
        <v>6</v>
      </c>
      <c r="J243">
        <v>5</v>
      </c>
      <c r="K243">
        <v>5</v>
      </c>
      <c r="L243">
        <v>7</v>
      </c>
      <c r="M243">
        <v>7</v>
      </c>
      <c r="N243">
        <v>7</v>
      </c>
      <c r="O243">
        <v>7</v>
      </c>
      <c r="P243">
        <v>8</v>
      </c>
      <c r="Q243">
        <v>8</v>
      </c>
    </row>
    <row r="244" spans="1:17" x14ac:dyDescent="0.45">
      <c r="A244" s="19">
        <v>46031.442361111112</v>
      </c>
      <c r="B244" t="s">
        <v>78</v>
      </c>
      <c r="C244" t="s">
        <v>191</v>
      </c>
      <c r="D244" t="s">
        <v>74</v>
      </c>
      <c r="E244" t="s">
        <v>77</v>
      </c>
      <c r="F244" t="s">
        <v>100</v>
      </c>
      <c r="G244" t="s">
        <v>107</v>
      </c>
      <c r="H244" t="s">
        <v>105</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100</v>
      </c>
      <c r="G245" t="s">
        <v>111</v>
      </c>
      <c r="H245" t="s">
        <v>106</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100</v>
      </c>
      <c r="G246" t="s">
        <v>108</v>
      </c>
      <c r="H246" t="s">
        <v>110</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100</v>
      </c>
      <c r="G247" t="s">
        <v>101</v>
      </c>
      <c r="H247" t="s">
        <v>110</v>
      </c>
      <c r="I247">
        <v>6</v>
      </c>
      <c r="J247">
        <v>7</v>
      </c>
      <c r="K247">
        <v>7</v>
      </c>
      <c r="L247">
        <v>7</v>
      </c>
      <c r="M247">
        <v>7</v>
      </c>
      <c r="N247">
        <v>7</v>
      </c>
      <c r="O247">
        <v>7</v>
      </c>
      <c r="P247">
        <v>7</v>
      </c>
      <c r="Q247">
        <v>7</v>
      </c>
    </row>
    <row r="248" spans="1:17" x14ac:dyDescent="0.45">
      <c r="A248" s="19">
        <v>46031.444444444445</v>
      </c>
      <c r="B248" t="s">
        <v>72</v>
      </c>
      <c r="C248" t="s">
        <v>191</v>
      </c>
      <c r="D248" t="s">
        <v>74</v>
      </c>
      <c r="E248" t="s">
        <v>75</v>
      </c>
      <c r="F248" t="s">
        <v>100</v>
      </c>
      <c r="G248" t="s">
        <v>111</v>
      </c>
      <c r="H248" t="s">
        <v>195</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100</v>
      </c>
      <c r="G249" t="s">
        <v>109</v>
      </c>
      <c r="H249" t="s">
        <v>102</v>
      </c>
      <c r="I249">
        <v>7</v>
      </c>
      <c r="J249">
        <v>7</v>
      </c>
      <c r="K249">
        <v>7</v>
      </c>
      <c r="L249">
        <v>7</v>
      </c>
      <c r="M249">
        <v>7</v>
      </c>
      <c r="N249">
        <v>7</v>
      </c>
      <c r="O249">
        <v>7</v>
      </c>
      <c r="P249">
        <v>7</v>
      </c>
      <c r="Q249">
        <v>7</v>
      </c>
    </row>
    <row r="250" spans="1:17" x14ac:dyDescent="0.45">
      <c r="A250" s="19">
        <v>46031.464583333334</v>
      </c>
      <c r="B250" t="s">
        <v>78</v>
      </c>
      <c r="C250" t="s">
        <v>193</v>
      </c>
      <c r="D250" t="s">
        <v>74</v>
      </c>
      <c r="E250" t="s">
        <v>75</v>
      </c>
      <c r="F250" t="s">
        <v>100</v>
      </c>
      <c r="G250" t="s">
        <v>107</v>
      </c>
      <c r="H250" t="s">
        <v>106</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100</v>
      </c>
      <c r="G251" t="s">
        <v>111</v>
      </c>
      <c r="H251" t="s">
        <v>106</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100</v>
      </c>
      <c r="G252" t="s">
        <v>109</v>
      </c>
      <c r="H252" t="s">
        <v>195</v>
      </c>
      <c r="I252">
        <v>8</v>
      </c>
      <c r="J252">
        <v>8</v>
      </c>
      <c r="K252">
        <v>8</v>
      </c>
      <c r="L252">
        <v>9</v>
      </c>
      <c r="M252">
        <v>8</v>
      </c>
      <c r="N252">
        <v>10</v>
      </c>
      <c r="O252">
        <v>7</v>
      </c>
      <c r="P252">
        <v>7</v>
      </c>
      <c r="Q252">
        <v>10</v>
      </c>
    </row>
    <row r="253" spans="1:17" x14ac:dyDescent="0.45">
      <c r="A253" s="19">
        <v>46031.46597222222</v>
      </c>
      <c r="B253" t="s">
        <v>72</v>
      </c>
      <c r="C253" t="s">
        <v>191</v>
      </c>
      <c r="D253" t="s">
        <v>74</v>
      </c>
      <c r="E253" t="s">
        <v>77</v>
      </c>
      <c r="F253" t="s">
        <v>100</v>
      </c>
      <c r="G253" t="s">
        <v>111</v>
      </c>
      <c r="H253" t="s">
        <v>106</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100</v>
      </c>
      <c r="G254" t="s">
        <v>107</v>
      </c>
      <c r="H254" t="s">
        <v>195</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100</v>
      </c>
      <c r="G255" t="s">
        <v>107</v>
      </c>
      <c r="H255" t="s">
        <v>102</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100</v>
      </c>
      <c r="G256" t="s">
        <v>111</v>
      </c>
      <c r="H256" t="s">
        <v>102</v>
      </c>
      <c r="I256">
        <v>6</v>
      </c>
      <c r="J256">
        <v>6</v>
      </c>
      <c r="K256">
        <v>1</v>
      </c>
      <c r="L256">
        <v>7</v>
      </c>
      <c r="M256">
        <v>5</v>
      </c>
      <c r="N256">
        <v>6</v>
      </c>
      <c r="O256">
        <v>6</v>
      </c>
      <c r="P256">
        <v>6</v>
      </c>
      <c r="Q256">
        <v>6</v>
      </c>
    </row>
    <row r="257" spans="1:17" x14ac:dyDescent="0.45">
      <c r="A257" s="19">
        <v>46031.468055555553</v>
      </c>
      <c r="B257" t="s">
        <v>72</v>
      </c>
      <c r="C257" t="s">
        <v>191</v>
      </c>
      <c r="D257" t="s">
        <v>74</v>
      </c>
      <c r="E257" t="s">
        <v>77</v>
      </c>
      <c r="F257" t="s">
        <v>100</v>
      </c>
      <c r="G257" t="s">
        <v>108</v>
      </c>
      <c r="H257" t="s">
        <v>195</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100</v>
      </c>
      <c r="G258" t="s">
        <v>109</v>
      </c>
      <c r="H258" t="s">
        <v>102</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100</v>
      </c>
      <c r="G259" t="s">
        <v>111</v>
      </c>
      <c r="H259" t="s">
        <v>105</v>
      </c>
      <c r="I259">
        <v>6</v>
      </c>
      <c r="J259">
        <v>7</v>
      </c>
      <c r="K259">
        <v>2</v>
      </c>
      <c r="L259">
        <v>7</v>
      </c>
      <c r="M259">
        <v>5</v>
      </c>
      <c r="N259">
        <v>5</v>
      </c>
      <c r="O259">
        <v>5</v>
      </c>
      <c r="P259">
        <v>6</v>
      </c>
      <c r="Q259">
        <v>5</v>
      </c>
    </row>
    <row r="260" spans="1:17" x14ac:dyDescent="0.45">
      <c r="A260" s="19">
        <v>46031.469444444447</v>
      </c>
      <c r="B260" t="s">
        <v>78</v>
      </c>
      <c r="C260" t="s">
        <v>191</v>
      </c>
      <c r="D260" t="s">
        <v>74</v>
      </c>
      <c r="E260" t="s">
        <v>75</v>
      </c>
      <c r="F260" t="s">
        <v>100</v>
      </c>
      <c r="G260" t="s">
        <v>108</v>
      </c>
      <c r="H260" t="s">
        <v>195</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100</v>
      </c>
      <c r="G261" t="s">
        <v>109</v>
      </c>
      <c r="H261" t="s">
        <v>105</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100</v>
      </c>
      <c r="G262" t="s">
        <v>109</v>
      </c>
      <c r="H262" t="s">
        <v>102</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100</v>
      </c>
      <c r="G263" t="s">
        <v>111</v>
      </c>
      <c r="H263" t="s">
        <v>195</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100</v>
      </c>
      <c r="G264" t="s">
        <v>107</v>
      </c>
      <c r="H264" t="s">
        <v>106</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100</v>
      </c>
      <c r="G265" t="s">
        <v>108</v>
      </c>
      <c r="H265" t="s">
        <v>106</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100</v>
      </c>
      <c r="G266" t="s">
        <v>101</v>
      </c>
      <c r="H266" t="s">
        <v>110</v>
      </c>
      <c r="I266">
        <v>6</v>
      </c>
      <c r="J266">
        <v>5</v>
      </c>
      <c r="K266">
        <v>5</v>
      </c>
      <c r="L266">
        <v>7</v>
      </c>
      <c r="M266">
        <v>6</v>
      </c>
      <c r="N266">
        <v>7</v>
      </c>
      <c r="O266">
        <v>5</v>
      </c>
      <c r="P266">
        <v>6</v>
      </c>
      <c r="Q266">
        <v>6</v>
      </c>
    </row>
    <row r="267" spans="1:17" x14ac:dyDescent="0.45">
      <c r="A267" s="19">
        <v>46031.473611111112</v>
      </c>
      <c r="B267" t="s">
        <v>72</v>
      </c>
      <c r="C267" t="s">
        <v>191</v>
      </c>
      <c r="D267" t="s">
        <v>74</v>
      </c>
      <c r="E267" t="s">
        <v>77</v>
      </c>
      <c r="F267" t="s">
        <v>100</v>
      </c>
      <c r="G267" t="s">
        <v>111</v>
      </c>
      <c r="H267" t="s">
        <v>106</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100</v>
      </c>
      <c r="G268" t="s">
        <v>111</v>
      </c>
      <c r="H268" t="s">
        <v>105</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100</v>
      </c>
      <c r="G269" t="s">
        <v>101</v>
      </c>
      <c r="H269" t="s">
        <v>105</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100</v>
      </c>
      <c r="G270" t="s">
        <v>107</v>
      </c>
      <c r="H270" t="s">
        <v>195</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103</v>
      </c>
      <c r="G271" t="s">
        <v>111</v>
      </c>
      <c r="H271" t="s">
        <v>110</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100</v>
      </c>
      <c r="G272" t="s">
        <v>111</v>
      </c>
      <c r="H272" t="s">
        <v>105</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100</v>
      </c>
      <c r="G273" t="s">
        <v>109</v>
      </c>
      <c r="H273" t="s">
        <v>102</v>
      </c>
      <c r="I273">
        <v>7</v>
      </c>
      <c r="J273">
        <v>8</v>
      </c>
      <c r="K273">
        <v>2</v>
      </c>
      <c r="L273">
        <v>6</v>
      </c>
      <c r="M273">
        <v>6</v>
      </c>
      <c r="N273">
        <v>6</v>
      </c>
      <c r="O273">
        <v>5</v>
      </c>
      <c r="P273">
        <v>5</v>
      </c>
      <c r="Q273">
        <v>6</v>
      </c>
    </row>
    <row r="274" spans="1:17" x14ac:dyDescent="0.45">
      <c r="A274" s="19">
        <v>46031.60833333333</v>
      </c>
      <c r="B274" t="s">
        <v>72</v>
      </c>
      <c r="C274" t="s">
        <v>191</v>
      </c>
      <c r="D274" t="s">
        <v>74</v>
      </c>
      <c r="E274" t="s">
        <v>75</v>
      </c>
      <c r="F274" t="s">
        <v>100</v>
      </c>
      <c r="G274" t="s">
        <v>107</v>
      </c>
      <c r="H274" t="s">
        <v>195</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100</v>
      </c>
      <c r="G275" t="s">
        <v>111</v>
      </c>
      <c r="H275" t="s">
        <v>105</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100</v>
      </c>
      <c r="G276" t="s">
        <v>111</v>
      </c>
      <c r="H276" t="s">
        <v>105</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100</v>
      </c>
      <c r="G277" t="s">
        <v>109</v>
      </c>
      <c r="H277" t="s">
        <v>102</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100</v>
      </c>
      <c r="G278" t="s">
        <v>107</v>
      </c>
      <c r="H278" t="s">
        <v>195</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100</v>
      </c>
      <c r="G279" t="s">
        <v>111</v>
      </c>
      <c r="H279" t="s">
        <v>106</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103</v>
      </c>
      <c r="G280" t="s">
        <v>107</v>
      </c>
      <c r="H280" t="s">
        <v>110</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100</v>
      </c>
      <c r="G281" t="s">
        <v>107</v>
      </c>
      <c r="H281" t="s">
        <v>105</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100</v>
      </c>
      <c r="G282" t="s">
        <v>107</v>
      </c>
      <c r="H282" t="s">
        <v>106</v>
      </c>
      <c r="I282">
        <v>6</v>
      </c>
      <c r="J282">
        <v>7</v>
      </c>
      <c r="K282">
        <v>4</v>
      </c>
      <c r="L282">
        <v>8</v>
      </c>
      <c r="M282">
        <v>6</v>
      </c>
      <c r="N282">
        <v>6</v>
      </c>
      <c r="O282">
        <v>5</v>
      </c>
      <c r="P282">
        <v>7</v>
      </c>
      <c r="Q282">
        <v>6</v>
      </c>
    </row>
    <row r="283" spans="1:17" x14ac:dyDescent="0.45">
      <c r="A283" s="19">
        <v>46031.636111111111</v>
      </c>
      <c r="B283" t="s">
        <v>72</v>
      </c>
      <c r="C283" t="s">
        <v>193</v>
      </c>
      <c r="D283" t="s">
        <v>74</v>
      </c>
      <c r="E283" t="s">
        <v>75</v>
      </c>
      <c r="F283" t="s">
        <v>100</v>
      </c>
      <c r="G283" t="s">
        <v>108</v>
      </c>
      <c r="H283" t="s">
        <v>195</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100</v>
      </c>
      <c r="G284" t="s">
        <v>111</v>
      </c>
      <c r="H284" t="s">
        <v>105</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100</v>
      </c>
      <c r="G285" t="s">
        <v>111</v>
      </c>
      <c r="H285" t="s">
        <v>105</v>
      </c>
      <c r="I285">
        <v>7</v>
      </c>
      <c r="J285">
        <v>7</v>
      </c>
      <c r="K285">
        <v>5</v>
      </c>
      <c r="L285">
        <v>7</v>
      </c>
      <c r="M285">
        <v>5</v>
      </c>
      <c r="N285">
        <v>6</v>
      </c>
      <c r="O285">
        <v>5</v>
      </c>
      <c r="P285">
        <v>7</v>
      </c>
      <c r="Q285">
        <v>6</v>
      </c>
    </row>
    <row r="286" spans="1:17" x14ac:dyDescent="0.45">
      <c r="A286" s="19">
        <v>46031.640277777777</v>
      </c>
      <c r="B286" t="s">
        <v>78</v>
      </c>
      <c r="C286" t="s">
        <v>191</v>
      </c>
      <c r="D286" t="s">
        <v>74</v>
      </c>
      <c r="E286" t="s">
        <v>77</v>
      </c>
      <c r="F286" t="s">
        <v>100</v>
      </c>
      <c r="G286" t="s">
        <v>107</v>
      </c>
      <c r="H286" t="s">
        <v>106</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100</v>
      </c>
      <c r="G287" t="s">
        <v>109</v>
      </c>
      <c r="H287" t="s">
        <v>110</v>
      </c>
      <c r="I287">
        <v>4</v>
      </c>
      <c r="J287">
        <v>4</v>
      </c>
      <c r="K287">
        <v>2</v>
      </c>
      <c r="L287">
        <v>8</v>
      </c>
      <c r="M287">
        <v>5</v>
      </c>
      <c r="N287">
        <v>5</v>
      </c>
      <c r="O287">
        <v>4</v>
      </c>
      <c r="P287">
        <v>6</v>
      </c>
      <c r="Q287">
        <v>5</v>
      </c>
    </row>
    <row r="288" spans="1:17" x14ac:dyDescent="0.45">
      <c r="A288" s="19">
        <v>46031.64166666667</v>
      </c>
      <c r="B288" t="s">
        <v>72</v>
      </c>
      <c r="C288" t="s">
        <v>191</v>
      </c>
      <c r="D288" t="s">
        <v>74</v>
      </c>
      <c r="E288" t="s">
        <v>77</v>
      </c>
      <c r="F288" t="s">
        <v>100</v>
      </c>
      <c r="G288" t="s">
        <v>111</v>
      </c>
      <c r="H288" t="s">
        <v>195</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100</v>
      </c>
      <c r="G289" t="s">
        <v>101</v>
      </c>
      <c r="H289" t="s">
        <v>110</v>
      </c>
      <c r="I289">
        <v>8</v>
      </c>
      <c r="J289">
        <v>8</v>
      </c>
      <c r="K289">
        <v>5</v>
      </c>
      <c r="L289">
        <v>9</v>
      </c>
      <c r="M289">
        <v>10</v>
      </c>
      <c r="N289">
        <v>10</v>
      </c>
      <c r="O289">
        <v>9</v>
      </c>
      <c r="P289">
        <v>9</v>
      </c>
      <c r="Q289">
        <v>10</v>
      </c>
    </row>
    <row r="290" spans="1:17" x14ac:dyDescent="0.45">
      <c r="A290" s="19">
        <v>46031.642361111109</v>
      </c>
      <c r="B290" t="s">
        <v>72</v>
      </c>
      <c r="C290" t="s">
        <v>73</v>
      </c>
      <c r="D290" t="s">
        <v>74</v>
      </c>
      <c r="E290" t="s">
        <v>190</v>
      </c>
      <c r="F290" t="s">
        <v>100</v>
      </c>
      <c r="G290" t="s">
        <v>101</v>
      </c>
      <c r="H290" t="s">
        <v>102</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100</v>
      </c>
      <c r="G291" t="s">
        <v>109</v>
      </c>
      <c r="H291" t="s">
        <v>105</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100</v>
      </c>
      <c r="G292" t="s">
        <v>111</v>
      </c>
      <c r="H292" t="s">
        <v>105</v>
      </c>
      <c r="I292">
        <v>9</v>
      </c>
      <c r="J292">
        <v>9</v>
      </c>
      <c r="K292">
        <v>3</v>
      </c>
      <c r="L292">
        <v>10</v>
      </c>
      <c r="M292">
        <v>8</v>
      </c>
      <c r="N292">
        <v>8</v>
      </c>
      <c r="O292">
        <v>6</v>
      </c>
      <c r="P292">
        <v>8</v>
      </c>
      <c r="Q292">
        <v>8</v>
      </c>
    </row>
    <row r="293" spans="1:17" x14ac:dyDescent="0.45">
      <c r="A293" s="19">
        <v>46031.643750000003</v>
      </c>
      <c r="B293" t="s">
        <v>72</v>
      </c>
      <c r="C293" t="s">
        <v>193</v>
      </c>
      <c r="D293" t="s">
        <v>74</v>
      </c>
      <c r="E293" t="s">
        <v>75</v>
      </c>
      <c r="F293" t="s">
        <v>197</v>
      </c>
      <c r="G293" t="s">
        <v>111</v>
      </c>
      <c r="H293" t="s">
        <v>105</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100</v>
      </c>
      <c r="G294" t="s">
        <v>109</v>
      </c>
      <c r="H294" t="s">
        <v>102</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100</v>
      </c>
      <c r="G295" t="s">
        <v>111</v>
      </c>
      <c r="H295" t="s">
        <v>106</v>
      </c>
      <c r="I295">
        <v>6</v>
      </c>
      <c r="J295">
        <v>6</v>
      </c>
      <c r="K295">
        <v>3</v>
      </c>
      <c r="L295">
        <v>7</v>
      </c>
      <c r="M295">
        <v>5</v>
      </c>
      <c r="N295">
        <v>6</v>
      </c>
      <c r="O295">
        <v>5</v>
      </c>
      <c r="P295">
        <v>5</v>
      </c>
      <c r="Q295">
        <v>6</v>
      </c>
    </row>
    <row r="296" spans="1:17" x14ac:dyDescent="0.45">
      <c r="A296" s="19">
        <v>46031.647222222222</v>
      </c>
      <c r="B296" t="s">
        <v>78</v>
      </c>
      <c r="C296" t="s">
        <v>189</v>
      </c>
      <c r="D296" t="s">
        <v>74</v>
      </c>
      <c r="E296" t="s">
        <v>77</v>
      </c>
      <c r="F296" t="s">
        <v>100</v>
      </c>
      <c r="G296" t="s">
        <v>101</v>
      </c>
      <c r="H296" t="s">
        <v>110</v>
      </c>
      <c r="I296">
        <v>8</v>
      </c>
      <c r="J296">
        <v>9</v>
      </c>
      <c r="K296">
        <v>9</v>
      </c>
      <c r="L296">
        <v>10</v>
      </c>
      <c r="M296">
        <v>8</v>
      </c>
      <c r="N296">
        <v>8</v>
      </c>
      <c r="O296">
        <v>9</v>
      </c>
      <c r="P296">
        <v>10</v>
      </c>
      <c r="Q296">
        <v>10</v>
      </c>
    </row>
    <row r="297" spans="1:17" x14ac:dyDescent="0.45">
      <c r="A297" s="19">
        <v>46031.684027777781</v>
      </c>
      <c r="B297" t="s">
        <v>78</v>
      </c>
      <c r="C297" t="s">
        <v>193</v>
      </c>
      <c r="D297" t="s">
        <v>74</v>
      </c>
      <c r="E297" t="s">
        <v>77</v>
      </c>
      <c r="F297" t="s">
        <v>100</v>
      </c>
      <c r="G297" t="s">
        <v>194</v>
      </c>
      <c r="H297" t="s">
        <v>110</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100</v>
      </c>
      <c r="G298" t="s">
        <v>111</v>
      </c>
      <c r="H298" t="s">
        <v>105</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197</v>
      </c>
      <c r="G299" t="s">
        <v>194</v>
      </c>
      <c r="H299" t="s">
        <v>110</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100</v>
      </c>
      <c r="G300" t="s">
        <v>109</v>
      </c>
      <c r="H300" t="s">
        <v>110</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100</v>
      </c>
      <c r="G301" t="s">
        <v>101</v>
      </c>
      <c r="H301" t="s">
        <v>102</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100</v>
      </c>
      <c r="G302" t="s">
        <v>194</v>
      </c>
      <c r="H302" t="s">
        <v>110</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100</v>
      </c>
      <c r="G303" t="s">
        <v>101</v>
      </c>
      <c r="H303" t="s">
        <v>110</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100</v>
      </c>
      <c r="G304" t="s">
        <v>101</v>
      </c>
      <c r="H304" t="s">
        <v>105</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100</v>
      </c>
      <c r="G305" t="s">
        <v>194</v>
      </c>
      <c r="H305" t="s">
        <v>110</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100</v>
      </c>
      <c r="G306" t="s">
        <v>109</v>
      </c>
      <c r="H306" t="s">
        <v>110</v>
      </c>
      <c r="I306">
        <v>7</v>
      </c>
      <c r="J306">
        <v>9</v>
      </c>
      <c r="K306">
        <v>8</v>
      </c>
      <c r="L306">
        <v>6</v>
      </c>
      <c r="M306">
        <v>5</v>
      </c>
      <c r="N306">
        <v>3</v>
      </c>
      <c r="O306">
        <v>9</v>
      </c>
      <c r="P306">
        <v>3</v>
      </c>
      <c r="Q306">
        <v>4</v>
      </c>
    </row>
    <row r="307" spans="1:17" x14ac:dyDescent="0.45">
      <c r="A307" s="19">
        <v>46031.8</v>
      </c>
      <c r="B307" t="s">
        <v>72</v>
      </c>
      <c r="C307" t="s">
        <v>79</v>
      </c>
      <c r="D307" t="s">
        <v>74</v>
      </c>
      <c r="E307" t="s">
        <v>77</v>
      </c>
      <c r="F307" t="s">
        <v>100</v>
      </c>
      <c r="G307" t="s">
        <v>111</v>
      </c>
      <c r="H307" t="s">
        <v>106</v>
      </c>
      <c r="I307">
        <v>3</v>
      </c>
      <c r="J307">
        <v>8</v>
      </c>
      <c r="K307">
        <v>8</v>
      </c>
      <c r="L307">
        <v>4</v>
      </c>
      <c r="M307">
        <v>4</v>
      </c>
      <c r="N307">
        <v>3</v>
      </c>
      <c r="O307">
        <v>7</v>
      </c>
      <c r="P307">
        <v>5</v>
      </c>
      <c r="Q307">
        <v>5</v>
      </c>
    </row>
    <row r="308" spans="1:17" x14ac:dyDescent="0.45">
      <c r="A308" s="19">
        <v>46031.804861111108</v>
      </c>
      <c r="B308" t="s">
        <v>72</v>
      </c>
      <c r="C308" t="s">
        <v>193</v>
      </c>
      <c r="D308" t="s">
        <v>74</v>
      </c>
      <c r="E308" t="s">
        <v>75</v>
      </c>
      <c r="F308" t="s">
        <v>197</v>
      </c>
      <c r="G308" t="s">
        <v>104</v>
      </c>
      <c r="H308" t="s">
        <v>105</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100</v>
      </c>
      <c r="G309" t="s">
        <v>108</v>
      </c>
      <c r="H309" t="s">
        <v>105</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100</v>
      </c>
      <c r="G310" t="s">
        <v>111</v>
      </c>
      <c r="H310" t="s">
        <v>102</v>
      </c>
      <c r="I310">
        <v>10</v>
      </c>
      <c r="J310">
        <v>10</v>
      </c>
      <c r="K310">
        <v>10</v>
      </c>
      <c r="L310">
        <v>10</v>
      </c>
      <c r="M310">
        <v>10</v>
      </c>
      <c r="N310">
        <v>9</v>
      </c>
      <c r="O310">
        <v>9</v>
      </c>
      <c r="P310">
        <v>10</v>
      </c>
      <c r="Q310">
        <v>10</v>
      </c>
    </row>
    <row r="311" spans="1:17" x14ac:dyDescent="0.45">
      <c r="A311" s="19">
        <v>46032.577777777777</v>
      </c>
      <c r="B311" t="s">
        <v>72</v>
      </c>
      <c r="C311" t="s">
        <v>189</v>
      </c>
      <c r="D311" t="s">
        <v>74</v>
      </c>
      <c r="E311" t="s">
        <v>77</v>
      </c>
      <c r="F311" t="s">
        <v>100</v>
      </c>
      <c r="G311" t="s">
        <v>196</v>
      </c>
      <c r="H311" t="s">
        <v>110</v>
      </c>
      <c r="I311">
        <v>7</v>
      </c>
      <c r="J311">
        <v>7</v>
      </c>
      <c r="K311">
        <v>5</v>
      </c>
      <c r="L311">
        <v>8</v>
      </c>
      <c r="M311">
        <v>8</v>
      </c>
      <c r="N311">
        <v>9</v>
      </c>
      <c r="O311">
        <v>9</v>
      </c>
      <c r="P311">
        <v>9</v>
      </c>
      <c r="Q311">
        <v>10</v>
      </c>
    </row>
    <row r="312" spans="1:17" x14ac:dyDescent="0.45">
      <c r="A312" s="19">
        <v>46032.577777777777</v>
      </c>
      <c r="B312" t="s">
        <v>72</v>
      </c>
      <c r="C312" t="s">
        <v>189</v>
      </c>
      <c r="D312" t="s">
        <v>74</v>
      </c>
      <c r="E312" t="s">
        <v>77</v>
      </c>
      <c r="F312" t="s">
        <v>100</v>
      </c>
      <c r="G312" t="s">
        <v>104</v>
      </c>
      <c r="H312" t="s">
        <v>110</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100</v>
      </c>
      <c r="G313" t="s">
        <v>196</v>
      </c>
      <c r="H313" t="s">
        <v>110</v>
      </c>
      <c r="I313">
        <v>8</v>
      </c>
      <c r="J313">
        <v>9</v>
      </c>
      <c r="K313">
        <v>10</v>
      </c>
      <c r="L313">
        <v>10</v>
      </c>
      <c r="M313">
        <v>8</v>
      </c>
      <c r="N313">
        <v>9</v>
      </c>
      <c r="O313">
        <v>8</v>
      </c>
      <c r="P313">
        <v>8</v>
      </c>
      <c r="Q313">
        <v>10</v>
      </c>
    </row>
    <row r="314" spans="1:17" x14ac:dyDescent="0.45">
      <c r="A314" s="19">
        <v>46033.399305555555</v>
      </c>
      <c r="B314" t="s">
        <v>78</v>
      </c>
      <c r="C314" t="s">
        <v>189</v>
      </c>
      <c r="D314" t="s">
        <v>74</v>
      </c>
      <c r="E314" t="s">
        <v>77</v>
      </c>
      <c r="F314" t="s">
        <v>100</v>
      </c>
      <c r="G314" t="s">
        <v>104</v>
      </c>
      <c r="H314" t="s">
        <v>110</v>
      </c>
      <c r="I314">
        <v>6</v>
      </c>
      <c r="J314">
        <v>6</v>
      </c>
      <c r="K314">
        <v>7</v>
      </c>
      <c r="L314">
        <v>7</v>
      </c>
      <c r="M314">
        <v>7</v>
      </c>
      <c r="N314">
        <v>8</v>
      </c>
      <c r="O314">
        <v>5</v>
      </c>
      <c r="P314">
        <v>5</v>
      </c>
      <c r="Q314">
        <v>8</v>
      </c>
    </row>
    <row r="315" spans="1:17" x14ac:dyDescent="0.45">
      <c r="A315" s="19">
        <v>46033.431250000001</v>
      </c>
      <c r="B315" t="s">
        <v>72</v>
      </c>
      <c r="C315" t="s">
        <v>189</v>
      </c>
      <c r="D315" t="s">
        <v>74</v>
      </c>
      <c r="E315" t="s">
        <v>77</v>
      </c>
      <c r="F315" t="s">
        <v>100</v>
      </c>
      <c r="G315" t="s">
        <v>104</v>
      </c>
      <c r="H315" t="s">
        <v>110</v>
      </c>
      <c r="I315">
        <v>7</v>
      </c>
      <c r="J315">
        <v>8</v>
      </c>
      <c r="K315">
        <v>8</v>
      </c>
      <c r="L315">
        <v>8</v>
      </c>
      <c r="M315">
        <v>5</v>
      </c>
      <c r="N315">
        <v>8</v>
      </c>
      <c r="O315">
        <v>6</v>
      </c>
      <c r="P315">
        <v>6</v>
      </c>
      <c r="Q315">
        <v>8</v>
      </c>
    </row>
    <row r="316" spans="1:17" x14ac:dyDescent="0.45">
      <c r="A316" s="19">
        <v>46033.888194444444</v>
      </c>
      <c r="B316" t="s">
        <v>78</v>
      </c>
      <c r="C316" t="s">
        <v>189</v>
      </c>
      <c r="D316" t="s">
        <v>74</v>
      </c>
      <c r="E316" t="s">
        <v>77</v>
      </c>
      <c r="F316" t="s">
        <v>100</v>
      </c>
      <c r="G316" t="s">
        <v>196</v>
      </c>
      <c r="H316" t="s">
        <v>110</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100</v>
      </c>
      <c r="G317" t="s">
        <v>101</v>
      </c>
      <c r="H317" t="s">
        <v>110</v>
      </c>
      <c r="I317">
        <v>6</v>
      </c>
      <c r="J317">
        <v>8</v>
      </c>
      <c r="K317">
        <v>5</v>
      </c>
      <c r="L317">
        <v>6</v>
      </c>
      <c r="M317">
        <v>6</v>
      </c>
      <c r="N317">
        <v>7</v>
      </c>
      <c r="O317">
        <v>6</v>
      </c>
      <c r="P317">
        <v>7</v>
      </c>
      <c r="Q317">
        <v>7</v>
      </c>
    </row>
    <row r="318" spans="1:17" x14ac:dyDescent="0.45">
      <c r="A318" s="19">
        <v>46034.478472222225</v>
      </c>
      <c r="B318" t="s">
        <v>72</v>
      </c>
      <c r="C318" t="s">
        <v>189</v>
      </c>
      <c r="D318" t="s">
        <v>74</v>
      </c>
      <c r="E318" t="s">
        <v>77</v>
      </c>
      <c r="F318" t="s">
        <v>100</v>
      </c>
      <c r="G318" t="s">
        <v>104</v>
      </c>
      <c r="H318" t="s">
        <v>110</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100</v>
      </c>
      <c r="G319" t="s">
        <v>196</v>
      </c>
      <c r="H319" t="s">
        <v>110</v>
      </c>
      <c r="I319">
        <v>4</v>
      </c>
      <c r="J319">
        <v>4</v>
      </c>
      <c r="K319">
        <v>6</v>
      </c>
      <c r="L319">
        <v>7</v>
      </c>
      <c r="M319">
        <v>5</v>
      </c>
      <c r="N319">
        <v>8</v>
      </c>
      <c r="O319">
        <v>5</v>
      </c>
      <c r="P319">
        <v>5</v>
      </c>
      <c r="Q319">
        <v>8</v>
      </c>
    </row>
    <row r="320" spans="1:17" x14ac:dyDescent="0.45">
      <c r="A320" s="19">
        <v>46034.479861111111</v>
      </c>
      <c r="B320" t="s">
        <v>72</v>
      </c>
      <c r="C320" t="s">
        <v>189</v>
      </c>
      <c r="D320" t="s">
        <v>74</v>
      </c>
      <c r="E320" t="s">
        <v>77</v>
      </c>
      <c r="F320" t="s">
        <v>100</v>
      </c>
      <c r="G320" t="s">
        <v>104</v>
      </c>
      <c r="H320" t="s">
        <v>110</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100</v>
      </c>
      <c r="G321" t="s">
        <v>101</v>
      </c>
      <c r="H321" t="s">
        <v>110</v>
      </c>
      <c r="I321">
        <v>5</v>
      </c>
      <c r="J321">
        <v>7</v>
      </c>
      <c r="K321">
        <v>7</v>
      </c>
      <c r="L321">
        <v>9</v>
      </c>
      <c r="M321">
        <v>5</v>
      </c>
      <c r="N321">
        <v>6</v>
      </c>
      <c r="O321">
        <v>5</v>
      </c>
      <c r="P321">
        <v>7</v>
      </c>
      <c r="Q321">
        <v>7</v>
      </c>
    </row>
    <row r="322" spans="1:17" x14ac:dyDescent="0.45">
      <c r="A322" s="19">
        <v>46034.481249999997</v>
      </c>
      <c r="B322" t="s">
        <v>72</v>
      </c>
      <c r="C322" t="s">
        <v>189</v>
      </c>
      <c r="D322" t="s">
        <v>74</v>
      </c>
      <c r="E322" t="s">
        <v>77</v>
      </c>
      <c r="F322" t="s">
        <v>100</v>
      </c>
      <c r="G322" t="s">
        <v>104</v>
      </c>
      <c r="H322" t="s">
        <v>110</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100</v>
      </c>
      <c r="G323" t="s">
        <v>101</v>
      </c>
      <c r="H323" t="s">
        <v>110</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100</v>
      </c>
      <c r="G324" t="s">
        <v>101</v>
      </c>
      <c r="H324" t="s">
        <v>110</v>
      </c>
      <c r="I324">
        <v>7</v>
      </c>
      <c r="J324">
        <v>7</v>
      </c>
      <c r="K324">
        <v>8</v>
      </c>
      <c r="L324">
        <v>8</v>
      </c>
      <c r="M324">
        <v>6</v>
      </c>
      <c r="N324">
        <v>7</v>
      </c>
      <c r="O324">
        <v>6</v>
      </c>
      <c r="P324">
        <v>7</v>
      </c>
      <c r="Q324">
        <v>7</v>
      </c>
    </row>
    <row r="325" spans="1:17" x14ac:dyDescent="0.45">
      <c r="A325" s="19">
        <v>46034.484722222223</v>
      </c>
      <c r="B325" t="s">
        <v>72</v>
      </c>
      <c r="C325" t="s">
        <v>189</v>
      </c>
      <c r="D325" t="s">
        <v>74</v>
      </c>
      <c r="E325" t="s">
        <v>77</v>
      </c>
      <c r="F325" t="s">
        <v>100</v>
      </c>
      <c r="G325" t="s">
        <v>194</v>
      </c>
      <c r="H325" t="s">
        <v>110</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100</v>
      </c>
      <c r="G326" t="s">
        <v>109</v>
      </c>
      <c r="H326" t="s">
        <v>102</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100</v>
      </c>
      <c r="G327" t="s">
        <v>111</v>
      </c>
      <c r="H327" t="s">
        <v>105</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100</v>
      </c>
      <c r="G328" t="s">
        <v>196</v>
      </c>
      <c r="H328" t="s">
        <v>110</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100</v>
      </c>
      <c r="G329" t="s">
        <v>107</v>
      </c>
      <c r="H329" t="s">
        <v>106</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100</v>
      </c>
      <c r="G330" t="s">
        <v>104</v>
      </c>
      <c r="H330" t="s">
        <v>110</v>
      </c>
      <c r="I330">
        <v>7</v>
      </c>
      <c r="J330">
        <v>7</v>
      </c>
      <c r="K330">
        <v>9</v>
      </c>
      <c r="L330">
        <v>9</v>
      </c>
      <c r="M330">
        <v>9</v>
      </c>
      <c r="N330">
        <v>9</v>
      </c>
      <c r="O330">
        <v>5</v>
      </c>
      <c r="P330">
        <v>6</v>
      </c>
      <c r="Q330">
        <v>9</v>
      </c>
    </row>
    <row r="331" spans="1:17" x14ac:dyDescent="0.45">
      <c r="A331" s="19">
        <v>46034.490972222222</v>
      </c>
      <c r="B331" t="s">
        <v>78</v>
      </c>
      <c r="C331" t="s">
        <v>189</v>
      </c>
      <c r="D331" t="s">
        <v>74</v>
      </c>
      <c r="E331" t="s">
        <v>77</v>
      </c>
      <c r="F331" t="s">
        <v>100</v>
      </c>
      <c r="G331" t="s">
        <v>104</v>
      </c>
      <c r="H331" t="s">
        <v>110</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100</v>
      </c>
      <c r="G332" t="s">
        <v>101</v>
      </c>
      <c r="H332" t="s">
        <v>102</v>
      </c>
      <c r="I332">
        <v>4</v>
      </c>
      <c r="J332">
        <v>4</v>
      </c>
      <c r="K332">
        <v>5</v>
      </c>
      <c r="L332">
        <v>6</v>
      </c>
      <c r="M332">
        <v>4</v>
      </c>
      <c r="N332">
        <v>5</v>
      </c>
      <c r="O332">
        <v>3</v>
      </c>
      <c r="P332">
        <v>4</v>
      </c>
      <c r="Q332">
        <v>5</v>
      </c>
    </row>
    <row r="333" spans="1:17" x14ac:dyDescent="0.45">
      <c r="A333" s="19">
        <v>46034.508333333331</v>
      </c>
      <c r="B333" t="s">
        <v>72</v>
      </c>
      <c r="C333" t="s">
        <v>189</v>
      </c>
      <c r="D333" t="s">
        <v>74</v>
      </c>
      <c r="E333" t="s">
        <v>77</v>
      </c>
      <c r="F333" t="s">
        <v>100</v>
      </c>
      <c r="G333" t="s">
        <v>196</v>
      </c>
      <c r="H333" t="s">
        <v>110</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100</v>
      </c>
      <c r="G334" t="s">
        <v>107</v>
      </c>
      <c r="H334" t="s">
        <v>102</v>
      </c>
      <c r="I334">
        <v>6</v>
      </c>
      <c r="J334">
        <v>6</v>
      </c>
      <c r="K334">
        <v>8</v>
      </c>
      <c r="L334">
        <v>8</v>
      </c>
      <c r="M334">
        <v>6</v>
      </c>
      <c r="N334">
        <v>7</v>
      </c>
      <c r="O334">
        <v>6</v>
      </c>
      <c r="P334">
        <v>7</v>
      </c>
      <c r="Q334">
        <v>7</v>
      </c>
    </row>
    <row r="335" spans="1:17" x14ac:dyDescent="0.45">
      <c r="A335" s="19">
        <v>46034.509722222225</v>
      </c>
      <c r="B335" t="s">
        <v>72</v>
      </c>
      <c r="C335" t="s">
        <v>191</v>
      </c>
      <c r="D335" t="s">
        <v>74</v>
      </c>
      <c r="E335" t="s">
        <v>75</v>
      </c>
      <c r="F335" t="s">
        <v>103</v>
      </c>
      <c r="G335" t="s">
        <v>108</v>
      </c>
      <c r="H335" t="s">
        <v>106</v>
      </c>
      <c r="I335">
        <v>2</v>
      </c>
      <c r="J335">
        <v>2</v>
      </c>
      <c r="K335">
        <v>3</v>
      </c>
      <c r="L335">
        <v>5</v>
      </c>
      <c r="M335">
        <v>1</v>
      </c>
      <c r="N335">
        <v>1</v>
      </c>
      <c r="O335">
        <v>1</v>
      </c>
      <c r="P335">
        <v>3</v>
      </c>
      <c r="Q335">
        <v>1</v>
      </c>
    </row>
    <row r="336" spans="1:17" x14ac:dyDescent="0.45">
      <c r="A336" s="19">
        <v>46034.513888888891</v>
      </c>
      <c r="B336" t="s">
        <v>78</v>
      </c>
      <c r="C336" t="s">
        <v>189</v>
      </c>
      <c r="D336" t="s">
        <v>74</v>
      </c>
      <c r="E336" t="s">
        <v>77</v>
      </c>
      <c r="F336" t="s">
        <v>100</v>
      </c>
      <c r="G336" t="s">
        <v>104</v>
      </c>
      <c r="H336" t="s">
        <v>110</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100</v>
      </c>
      <c r="G337" t="s">
        <v>196</v>
      </c>
      <c r="H337" t="s">
        <v>110</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100</v>
      </c>
      <c r="G338" t="s">
        <v>101</v>
      </c>
      <c r="H338" t="s">
        <v>110</v>
      </c>
      <c r="I338">
        <v>7</v>
      </c>
      <c r="J338">
        <v>8</v>
      </c>
      <c r="K338">
        <v>7</v>
      </c>
      <c r="L338">
        <v>7</v>
      </c>
      <c r="M338">
        <v>6</v>
      </c>
      <c r="N338">
        <v>8</v>
      </c>
      <c r="O338">
        <v>6</v>
      </c>
      <c r="P338">
        <v>8</v>
      </c>
      <c r="Q338">
        <v>8</v>
      </c>
    </row>
    <row r="339" spans="1:17" x14ac:dyDescent="0.45">
      <c r="A339" s="19">
        <v>46034.515972222223</v>
      </c>
      <c r="B339" t="s">
        <v>78</v>
      </c>
      <c r="C339" t="s">
        <v>189</v>
      </c>
      <c r="D339" t="s">
        <v>74</v>
      </c>
      <c r="E339" t="s">
        <v>77</v>
      </c>
      <c r="F339" t="s">
        <v>100</v>
      </c>
      <c r="G339" t="s">
        <v>104</v>
      </c>
      <c r="H339" t="s">
        <v>110</v>
      </c>
      <c r="I339">
        <v>8</v>
      </c>
      <c r="J339">
        <v>8</v>
      </c>
      <c r="K339">
        <v>9</v>
      </c>
      <c r="L339">
        <v>9</v>
      </c>
      <c r="M339">
        <v>8</v>
      </c>
      <c r="N339">
        <v>9</v>
      </c>
      <c r="O339">
        <v>10</v>
      </c>
      <c r="P339">
        <v>9</v>
      </c>
      <c r="Q339">
        <v>10</v>
      </c>
    </row>
    <row r="340" spans="1:17" x14ac:dyDescent="0.45">
      <c r="A340" s="19">
        <v>46034.515972222223</v>
      </c>
      <c r="B340" t="s">
        <v>72</v>
      </c>
      <c r="C340" t="s">
        <v>189</v>
      </c>
      <c r="D340" t="s">
        <v>74</v>
      </c>
      <c r="E340" t="s">
        <v>77</v>
      </c>
      <c r="F340" t="s">
        <v>100</v>
      </c>
      <c r="G340" t="s">
        <v>104</v>
      </c>
      <c r="H340" t="s">
        <v>110</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100</v>
      </c>
      <c r="G341" t="s">
        <v>104</v>
      </c>
      <c r="H341" t="s">
        <v>110</v>
      </c>
      <c r="I341">
        <v>7</v>
      </c>
      <c r="J341">
        <v>8</v>
      </c>
      <c r="K341">
        <v>8</v>
      </c>
      <c r="L341">
        <v>8</v>
      </c>
      <c r="M341">
        <v>5</v>
      </c>
      <c r="N341">
        <v>8</v>
      </c>
      <c r="O341">
        <v>5</v>
      </c>
      <c r="P341">
        <v>8</v>
      </c>
      <c r="Q341">
        <v>8</v>
      </c>
    </row>
    <row r="342" spans="1:17" x14ac:dyDescent="0.45">
      <c r="A342" s="19">
        <v>46034.592361111114</v>
      </c>
      <c r="B342" t="s">
        <v>72</v>
      </c>
      <c r="C342" t="s">
        <v>189</v>
      </c>
      <c r="D342" t="s">
        <v>74</v>
      </c>
      <c r="E342" t="s">
        <v>77</v>
      </c>
      <c r="F342" t="s">
        <v>100</v>
      </c>
      <c r="G342" t="s">
        <v>194</v>
      </c>
      <c r="H342" t="s">
        <v>110</v>
      </c>
      <c r="I342">
        <v>8</v>
      </c>
      <c r="J342">
        <v>8</v>
      </c>
      <c r="K342">
        <v>8</v>
      </c>
      <c r="L342">
        <v>9</v>
      </c>
      <c r="M342">
        <v>8</v>
      </c>
      <c r="N342">
        <v>8</v>
      </c>
      <c r="O342">
        <v>7</v>
      </c>
      <c r="P342">
        <v>7</v>
      </c>
      <c r="Q342">
        <v>8</v>
      </c>
    </row>
    <row r="343" spans="1:17" x14ac:dyDescent="0.45">
      <c r="A343" s="19">
        <v>46034.593055555553</v>
      </c>
      <c r="B343" t="s">
        <v>78</v>
      </c>
      <c r="C343" t="s">
        <v>189</v>
      </c>
      <c r="D343" t="s">
        <v>74</v>
      </c>
      <c r="E343" t="s">
        <v>77</v>
      </c>
      <c r="F343" t="s">
        <v>100</v>
      </c>
      <c r="G343" t="s">
        <v>194</v>
      </c>
      <c r="H343" t="s">
        <v>110</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100</v>
      </c>
      <c r="G344" t="s">
        <v>104</v>
      </c>
      <c r="H344" t="s">
        <v>110</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100</v>
      </c>
      <c r="G345" t="s">
        <v>111</v>
      </c>
      <c r="H345" t="s">
        <v>105</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100</v>
      </c>
      <c r="G346" t="s">
        <v>104</v>
      </c>
      <c r="H346" t="s">
        <v>110</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100</v>
      </c>
      <c r="G347" t="s">
        <v>101</v>
      </c>
      <c r="H347" t="s">
        <v>102</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100</v>
      </c>
      <c r="G348" t="s">
        <v>196</v>
      </c>
      <c r="H348" t="s">
        <v>110</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100</v>
      </c>
      <c r="G349" t="s">
        <v>196</v>
      </c>
      <c r="H349" t="s">
        <v>110</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100</v>
      </c>
      <c r="G350" t="s">
        <v>196</v>
      </c>
      <c r="H350" t="s">
        <v>110</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100</v>
      </c>
      <c r="G351" t="s">
        <v>101</v>
      </c>
      <c r="H351" t="s">
        <v>110</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100</v>
      </c>
      <c r="G352" t="s">
        <v>109</v>
      </c>
      <c r="H352" t="s">
        <v>105</v>
      </c>
      <c r="I352">
        <v>8</v>
      </c>
      <c r="J352">
        <v>8</v>
      </c>
      <c r="K352">
        <v>6</v>
      </c>
      <c r="L352">
        <v>7</v>
      </c>
      <c r="M352">
        <v>6</v>
      </c>
      <c r="N352">
        <v>7</v>
      </c>
      <c r="O352">
        <v>5</v>
      </c>
      <c r="P352">
        <v>7</v>
      </c>
      <c r="Q352">
        <v>7</v>
      </c>
    </row>
    <row r="353" spans="1:17" x14ac:dyDescent="0.45">
      <c r="A353" s="19">
        <v>46034.7</v>
      </c>
      <c r="B353" t="s">
        <v>72</v>
      </c>
      <c r="C353" t="s">
        <v>73</v>
      </c>
      <c r="D353" t="s">
        <v>74</v>
      </c>
      <c r="E353" t="s">
        <v>77</v>
      </c>
      <c r="F353" t="s">
        <v>100</v>
      </c>
      <c r="G353" t="s">
        <v>101</v>
      </c>
      <c r="H353" t="s">
        <v>102</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100</v>
      </c>
      <c r="G354" t="s">
        <v>107</v>
      </c>
      <c r="H354" t="s">
        <v>195</v>
      </c>
      <c r="I354">
        <v>7</v>
      </c>
      <c r="J354">
        <v>7</v>
      </c>
      <c r="K354">
        <v>8</v>
      </c>
      <c r="L354">
        <v>8</v>
      </c>
      <c r="M354">
        <v>6</v>
      </c>
      <c r="N354">
        <v>7</v>
      </c>
      <c r="O354">
        <v>5</v>
      </c>
      <c r="P354">
        <v>7</v>
      </c>
      <c r="Q354">
        <v>7</v>
      </c>
    </row>
    <row r="355" spans="1:17" x14ac:dyDescent="0.45">
      <c r="A355" s="19">
        <v>46034.701388888891</v>
      </c>
      <c r="B355" t="s">
        <v>72</v>
      </c>
      <c r="C355" t="s">
        <v>189</v>
      </c>
      <c r="D355" t="s">
        <v>74</v>
      </c>
      <c r="E355" t="s">
        <v>77</v>
      </c>
      <c r="F355" t="s">
        <v>100</v>
      </c>
      <c r="G355" t="s">
        <v>104</v>
      </c>
      <c r="H355" t="s">
        <v>110</v>
      </c>
      <c r="I355">
        <v>9</v>
      </c>
      <c r="J355">
        <v>9</v>
      </c>
      <c r="K355">
        <v>10</v>
      </c>
      <c r="L355">
        <v>10</v>
      </c>
      <c r="M355">
        <v>9</v>
      </c>
      <c r="N355">
        <v>10</v>
      </c>
      <c r="O355">
        <v>8</v>
      </c>
      <c r="P355">
        <v>8</v>
      </c>
      <c r="Q355">
        <v>9</v>
      </c>
    </row>
    <row r="356" spans="1:17" x14ac:dyDescent="0.45">
      <c r="A356" s="19">
        <v>46034.720138888886</v>
      </c>
      <c r="B356" t="s">
        <v>78</v>
      </c>
      <c r="C356" t="s">
        <v>189</v>
      </c>
      <c r="D356" t="s">
        <v>74</v>
      </c>
      <c r="E356" t="s">
        <v>77</v>
      </c>
      <c r="F356" t="s">
        <v>100</v>
      </c>
      <c r="G356" t="s">
        <v>104</v>
      </c>
      <c r="H356" t="s">
        <v>110</v>
      </c>
      <c r="I356">
        <v>7</v>
      </c>
      <c r="J356">
        <v>8</v>
      </c>
      <c r="K356">
        <v>8</v>
      </c>
      <c r="L356">
        <v>9</v>
      </c>
      <c r="M356">
        <v>8</v>
      </c>
      <c r="N356">
        <v>10</v>
      </c>
      <c r="O356">
        <v>8</v>
      </c>
      <c r="P356">
        <v>8</v>
      </c>
      <c r="Q356">
        <v>9</v>
      </c>
    </row>
    <row r="357" spans="1:17" x14ac:dyDescent="0.45">
      <c r="A357" s="19">
        <v>46034.753472222219</v>
      </c>
      <c r="B357" t="s">
        <v>78</v>
      </c>
      <c r="C357" t="s">
        <v>189</v>
      </c>
      <c r="D357" t="s">
        <v>74</v>
      </c>
      <c r="E357" t="s">
        <v>77</v>
      </c>
      <c r="F357" t="s">
        <v>100</v>
      </c>
      <c r="G357" t="s">
        <v>104</v>
      </c>
      <c r="H357" t="s">
        <v>110</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100</v>
      </c>
      <c r="G358" t="s">
        <v>101</v>
      </c>
      <c r="H358" t="s">
        <v>110</v>
      </c>
      <c r="I358">
        <v>9</v>
      </c>
      <c r="J358">
        <v>9</v>
      </c>
      <c r="K358">
        <v>8</v>
      </c>
      <c r="L358">
        <v>9</v>
      </c>
      <c r="M358">
        <v>8</v>
      </c>
      <c r="N358">
        <v>8</v>
      </c>
      <c r="O358">
        <v>7</v>
      </c>
      <c r="P358">
        <v>7</v>
      </c>
      <c r="Q358">
        <v>8</v>
      </c>
    </row>
    <row r="359" spans="1:17" x14ac:dyDescent="0.45">
      <c r="A359" s="19">
        <v>46034.770138888889</v>
      </c>
      <c r="B359" t="s">
        <v>72</v>
      </c>
      <c r="C359" t="s">
        <v>189</v>
      </c>
      <c r="D359" t="s">
        <v>74</v>
      </c>
      <c r="E359" t="s">
        <v>77</v>
      </c>
      <c r="F359" t="s">
        <v>100</v>
      </c>
      <c r="G359" t="s">
        <v>104</v>
      </c>
      <c r="H359" t="s">
        <v>110</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100</v>
      </c>
      <c r="G360" t="s">
        <v>196</v>
      </c>
      <c r="H360" t="s">
        <v>102</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100</v>
      </c>
      <c r="G361" t="s">
        <v>196</v>
      </c>
      <c r="H361" t="s">
        <v>110</v>
      </c>
      <c r="I361">
        <v>9</v>
      </c>
      <c r="J361">
        <v>8</v>
      </c>
      <c r="K361">
        <v>8</v>
      </c>
      <c r="L361">
        <v>8</v>
      </c>
      <c r="M361">
        <v>7</v>
      </c>
      <c r="N361">
        <v>7</v>
      </c>
      <c r="O361">
        <v>6</v>
      </c>
      <c r="P361">
        <v>7</v>
      </c>
      <c r="Q361">
        <v>8</v>
      </c>
    </row>
    <row r="362" spans="1:17" x14ac:dyDescent="0.45">
      <c r="A362" s="19">
        <v>46034.894444444442</v>
      </c>
      <c r="B362" t="s">
        <v>72</v>
      </c>
      <c r="C362" t="s">
        <v>189</v>
      </c>
      <c r="D362" t="s">
        <v>74</v>
      </c>
      <c r="E362" t="s">
        <v>77</v>
      </c>
      <c r="F362" t="s">
        <v>100</v>
      </c>
      <c r="G362" t="s">
        <v>194</v>
      </c>
      <c r="H362" t="s">
        <v>110</v>
      </c>
      <c r="I362">
        <v>7</v>
      </c>
      <c r="J362">
        <v>7</v>
      </c>
      <c r="K362">
        <v>8</v>
      </c>
      <c r="L362">
        <v>9</v>
      </c>
      <c r="M362">
        <v>7</v>
      </c>
      <c r="N362">
        <v>10</v>
      </c>
      <c r="O362">
        <v>8</v>
      </c>
      <c r="P362">
        <v>8</v>
      </c>
      <c r="Q362">
        <v>10</v>
      </c>
    </row>
    <row r="363" spans="1:17" x14ac:dyDescent="0.45">
      <c r="A363" s="19">
        <v>46034.895138888889</v>
      </c>
      <c r="B363" t="s">
        <v>72</v>
      </c>
      <c r="C363" t="s">
        <v>189</v>
      </c>
      <c r="D363" t="s">
        <v>74</v>
      </c>
      <c r="E363" t="s">
        <v>77</v>
      </c>
      <c r="F363" t="s">
        <v>100</v>
      </c>
      <c r="G363" t="s">
        <v>104</v>
      </c>
      <c r="H363" t="s">
        <v>110</v>
      </c>
      <c r="I363">
        <v>3</v>
      </c>
      <c r="J363">
        <v>3</v>
      </c>
      <c r="K363">
        <v>5</v>
      </c>
      <c r="L363">
        <v>6</v>
      </c>
      <c r="M363">
        <v>5</v>
      </c>
      <c r="N363">
        <v>6</v>
      </c>
      <c r="O363">
        <v>4</v>
      </c>
      <c r="P363">
        <v>6</v>
      </c>
      <c r="Q363">
        <v>6</v>
      </c>
    </row>
    <row r="364" spans="1:17" x14ac:dyDescent="0.45">
      <c r="A364" s="19">
        <v>46034.9</v>
      </c>
      <c r="B364" t="s">
        <v>78</v>
      </c>
      <c r="C364" t="s">
        <v>81</v>
      </c>
      <c r="D364" t="s">
        <v>74</v>
      </c>
      <c r="E364" t="s">
        <v>77</v>
      </c>
      <c r="F364" t="s">
        <v>100</v>
      </c>
      <c r="G364" t="s">
        <v>101</v>
      </c>
      <c r="H364" t="s">
        <v>102</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100</v>
      </c>
      <c r="G365" t="s">
        <v>196</v>
      </c>
      <c r="H365" t="s">
        <v>102</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100</v>
      </c>
      <c r="G366" t="s">
        <v>109</v>
      </c>
      <c r="H366" t="s">
        <v>110</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100</v>
      </c>
      <c r="G367" t="s">
        <v>111</v>
      </c>
      <c r="H367" t="s">
        <v>102</v>
      </c>
      <c r="I367">
        <v>7</v>
      </c>
      <c r="J367">
        <v>8</v>
      </c>
      <c r="K367">
        <v>8</v>
      </c>
      <c r="L367">
        <v>8</v>
      </c>
      <c r="M367">
        <v>5</v>
      </c>
      <c r="N367">
        <v>6</v>
      </c>
      <c r="O367">
        <v>5</v>
      </c>
      <c r="P367">
        <v>6</v>
      </c>
      <c r="Q367">
        <v>6</v>
      </c>
    </row>
    <row r="368" spans="1:17" x14ac:dyDescent="0.45">
      <c r="A368" s="19">
        <v>46034.904861111114</v>
      </c>
      <c r="B368" t="s">
        <v>72</v>
      </c>
      <c r="C368" t="s">
        <v>189</v>
      </c>
      <c r="D368" t="s">
        <v>74</v>
      </c>
      <c r="E368" t="s">
        <v>77</v>
      </c>
      <c r="F368" t="s">
        <v>100</v>
      </c>
      <c r="G368" t="s">
        <v>104</v>
      </c>
      <c r="H368" t="s">
        <v>110</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100</v>
      </c>
      <c r="G369" t="s">
        <v>101</v>
      </c>
      <c r="H369" t="s">
        <v>105</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100</v>
      </c>
      <c r="G370" t="s">
        <v>104</v>
      </c>
      <c r="H370" t="s">
        <v>110</v>
      </c>
      <c r="I370">
        <v>6</v>
      </c>
      <c r="J370">
        <v>6</v>
      </c>
      <c r="K370">
        <v>8</v>
      </c>
      <c r="L370">
        <v>9</v>
      </c>
      <c r="M370">
        <v>8</v>
      </c>
      <c r="N370">
        <v>8</v>
      </c>
      <c r="O370">
        <v>5</v>
      </c>
      <c r="P370">
        <v>7</v>
      </c>
      <c r="Q370">
        <v>8</v>
      </c>
    </row>
    <row r="371" spans="1:17" x14ac:dyDescent="0.45">
      <c r="A371" s="19">
        <v>46034.908333333333</v>
      </c>
      <c r="B371" t="s">
        <v>78</v>
      </c>
      <c r="C371" t="s">
        <v>189</v>
      </c>
      <c r="D371" t="s">
        <v>74</v>
      </c>
      <c r="E371" t="s">
        <v>77</v>
      </c>
      <c r="F371" t="s">
        <v>100</v>
      </c>
      <c r="G371" t="s">
        <v>196</v>
      </c>
      <c r="H371" t="s">
        <v>110</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100</v>
      </c>
      <c r="G372" t="s">
        <v>111</v>
      </c>
      <c r="H372" t="s">
        <v>106</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100</v>
      </c>
      <c r="G373" t="s">
        <v>109</v>
      </c>
      <c r="H373" t="s">
        <v>105</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100</v>
      </c>
      <c r="G374" t="s">
        <v>107</v>
      </c>
      <c r="H374" t="s">
        <v>105</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100</v>
      </c>
      <c r="G375" t="s">
        <v>109</v>
      </c>
      <c r="H375" t="s">
        <v>102</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100</v>
      </c>
      <c r="G376" t="s">
        <v>111</v>
      </c>
      <c r="H376" t="s">
        <v>102</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100</v>
      </c>
      <c r="G377" t="s">
        <v>196</v>
      </c>
      <c r="H377" t="s">
        <v>110</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100</v>
      </c>
      <c r="G378" t="s">
        <v>104</v>
      </c>
      <c r="H378" t="s">
        <v>110</v>
      </c>
      <c r="I378">
        <v>7</v>
      </c>
      <c r="J378">
        <v>8</v>
      </c>
      <c r="K378">
        <v>7</v>
      </c>
      <c r="L378">
        <v>7</v>
      </c>
      <c r="M378">
        <v>8</v>
      </c>
      <c r="N378">
        <v>9</v>
      </c>
      <c r="O378">
        <v>7</v>
      </c>
      <c r="P378">
        <v>7</v>
      </c>
      <c r="Q378">
        <v>8</v>
      </c>
    </row>
    <row r="379" spans="1:17" x14ac:dyDescent="0.45">
      <c r="A379" s="19">
        <v>46035.34375</v>
      </c>
      <c r="B379" t="s">
        <v>72</v>
      </c>
      <c r="C379" t="s">
        <v>189</v>
      </c>
      <c r="D379" t="s">
        <v>74</v>
      </c>
      <c r="E379" t="s">
        <v>77</v>
      </c>
      <c r="F379" t="s">
        <v>100</v>
      </c>
      <c r="G379" t="s">
        <v>196</v>
      </c>
      <c r="H379" t="s">
        <v>110</v>
      </c>
      <c r="I379">
        <v>6</v>
      </c>
      <c r="J379">
        <v>7</v>
      </c>
      <c r="K379">
        <v>5</v>
      </c>
      <c r="L379">
        <v>8</v>
      </c>
      <c r="M379">
        <v>7</v>
      </c>
      <c r="N379">
        <v>7</v>
      </c>
      <c r="O379">
        <v>7</v>
      </c>
      <c r="P379">
        <v>7</v>
      </c>
      <c r="Q379">
        <v>8</v>
      </c>
    </row>
    <row r="380" spans="1:17" x14ac:dyDescent="0.45">
      <c r="A380" s="19">
        <v>46035.345138888886</v>
      </c>
      <c r="B380" t="s">
        <v>72</v>
      </c>
      <c r="C380" t="s">
        <v>189</v>
      </c>
      <c r="D380" t="s">
        <v>74</v>
      </c>
      <c r="E380" t="s">
        <v>77</v>
      </c>
      <c r="F380" t="s">
        <v>100</v>
      </c>
      <c r="G380" t="s">
        <v>104</v>
      </c>
      <c r="H380" t="s">
        <v>110</v>
      </c>
      <c r="I380">
        <v>8</v>
      </c>
      <c r="J380">
        <v>8</v>
      </c>
      <c r="K380">
        <v>9</v>
      </c>
      <c r="L380">
        <v>9</v>
      </c>
      <c r="M380">
        <v>7</v>
      </c>
      <c r="N380">
        <v>9</v>
      </c>
      <c r="O380">
        <v>7</v>
      </c>
      <c r="P380">
        <v>7</v>
      </c>
      <c r="Q380">
        <v>9</v>
      </c>
    </row>
    <row r="381" spans="1:17" x14ac:dyDescent="0.45">
      <c r="A381" s="19">
        <v>46035.354861111111</v>
      </c>
      <c r="B381" t="s">
        <v>78</v>
      </c>
      <c r="C381" t="s">
        <v>189</v>
      </c>
      <c r="D381" t="s">
        <v>74</v>
      </c>
      <c r="E381" t="s">
        <v>77</v>
      </c>
      <c r="F381" t="s">
        <v>100</v>
      </c>
      <c r="G381" t="s">
        <v>196</v>
      </c>
      <c r="H381" t="s">
        <v>110</v>
      </c>
      <c r="I381">
        <v>8</v>
      </c>
      <c r="J381">
        <v>8</v>
      </c>
      <c r="K381">
        <v>5</v>
      </c>
      <c r="L381">
        <v>8</v>
      </c>
      <c r="M381">
        <v>6</v>
      </c>
      <c r="N381">
        <v>9</v>
      </c>
      <c r="O381">
        <v>5</v>
      </c>
      <c r="P381">
        <v>7</v>
      </c>
      <c r="Q381">
        <v>8</v>
      </c>
    </row>
    <row r="382" spans="1:17" x14ac:dyDescent="0.45">
      <c r="A382" s="19">
        <v>46035.370138888888</v>
      </c>
      <c r="B382" t="s">
        <v>78</v>
      </c>
      <c r="C382" t="s">
        <v>189</v>
      </c>
      <c r="D382" t="s">
        <v>74</v>
      </c>
      <c r="E382" t="s">
        <v>190</v>
      </c>
      <c r="F382" t="s">
        <v>100</v>
      </c>
      <c r="G382" t="s">
        <v>104</v>
      </c>
      <c r="H382" t="s">
        <v>110</v>
      </c>
      <c r="I382">
        <v>9</v>
      </c>
      <c r="J382">
        <v>9</v>
      </c>
      <c r="K382">
        <v>8</v>
      </c>
      <c r="L382">
        <v>9</v>
      </c>
      <c r="M382">
        <v>8</v>
      </c>
      <c r="N382">
        <v>10</v>
      </c>
      <c r="O382">
        <v>8</v>
      </c>
      <c r="P382">
        <v>8</v>
      </c>
      <c r="Q382">
        <v>10</v>
      </c>
    </row>
    <row r="383" spans="1:17" x14ac:dyDescent="0.45">
      <c r="A383" s="19">
        <v>46035.370833333334</v>
      </c>
      <c r="B383" t="s">
        <v>72</v>
      </c>
      <c r="C383" t="s">
        <v>189</v>
      </c>
      <c r="D383" t="s">
        <v>74</v>
      </c>
      <c r="E383" t="s">
        <v>77</v>
      </c>
      <c r="F383" t="s">
        <v>100</v>
      </c>
      <c r="G383" t="s">
        <v>196</v>
      </c>
      <c r="H383" t="s">
        <v>102</v>
      </c>
      <c r="I383">
        <v>5</v>
      </c>
      <c r="J383">
        <v>5</v>
      </c>
      <c r="K383">
        <v>4</v>
      </c>
      <c r="L383">
        <v>8</v>
      </c>
      <c r="M383">
        <v>4</v>
      </c>
      <c r="N383">
        <v>8</v>
      </c>
      <c r="O383">
        <v>4</v>
      </c>
      <c r="P383">
        <v>5</v>
      </c>
      <c r="Q383">
        <v>7</v>
      </c>
    </row>
    <row r="384" spans="1:17" x14ac:dyDescent="0.45">
      <c r="A384" s="19">
        <v>46035.371527777781</v>
      </c>
      <c r="B384" t="s">
        <v>78</v>
      </c>
      <c r="C384" t="s">
        <v>191</v>
      </c>
      <c r="D384" t="s">
        <v>74</v>
      </c>
      <c r="E384" t="s">
        <v>75</v>
      </c>
      <c r="F384" t="s">
        <v>100</v>
      </c>
      <c r="G384" t="s">
        <v>107</v>
      </c>
      <c r="H384" t="s">
        <v>105</v>
      </c>
      <c r="I384">
        <v>1</v>
      </c>
      <c r="J384">
        <v>1</v>
      </c>
      <c r="K384">
        <v>4</v>
      </c>
      <c r="L384">
        <v>5</v>
      </c>
      <c r="M384">
        <v>5</v>
      </c>
      <c r="N384">
        <v>4</v>
      </c>
      <c r="O384">
        <v>4</v>
      </c>
      <c r="P384">
        <v>5</v>
      </c>
      <c r="Q384">
        <v>3</v>
      </c>
    </row>
    <row r="385" spans="1:17" x14ac:dyDescent="0.45">
      <c r="A385" s="19">
        <v>46035.388888888891</v>
      </c>
      <c r="B385" t="s">
        <v>78</v>
      </c>
      <c r="C385" t="s">
        <v>189</v>
      </c>
      <c r="D385" t="s">
        <v>74</v>
      </c>
      <c r="E385" t="s">
        <v>77</v>
      </c>
      <c r="F385" t="s">
        <v>100</v>
      </c>
      <c r="G385" t="s">
        <v>194</v>
      </c>
      <c r="H385" t="s">
        <v>110</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100</v>
      </c>
      <c r="G386" t="s">
        <v>109</v>
      </c>
      <c r="H386" t="s">
        <v>105</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100</v>
      </c>
      <c r="G387" t="s">
        <v>101</v>
      </c>
      <c r="H387" t="s">
        <v>110</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100</v>
      </c>
      <c r="G388" t="s">
        <v>111</v>
      </c>
      <c r="H388" t="s">
        <v>105</v>
      </c>
      <c r="I388">
        <v>5</v>
      </c>
      <c r="J388">
        <v>5</v>
      </c>
      <c r="K388">
        <v>5</v>
      </c>
      <c r="L388">
        <v>5</v>
      </c>
      <c r="M388">
        <v>5</v>
      </c>
      <c r="N388">
        <v>5</v>
      </c>
      <c r="O388">
        <v>5</v>
      </c>
      <c r="P388">
        <v>5</v>
      </c>
      <c r="Q388">
        <v>5</v>
      </c>
    </row>
    <row r="389" spans="1:17" x14ac:dyDescent="0.45">
      <c r="A389" s="19">
        <v>46035.459722222222</v>
      </c>
      <c r="B389" t="s">
        <v>78</v>
      </c>
      <c r="C389" t="s">
        <v>189</v>
      </c>
      <c r="D389" t="s">
        <v>74</v>
      </c>
      <c r="E389" t="s">
        <v>77</v>
      </c>
      <c r="F389" t="s">
        <v>100</v>
      </c>
      <c r="G389" t="s">
        <v>104</v>
      </c>
      <c r="H389" t="s">
        <v>110</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100</v>
      </c>
      <c r="G390" t="s">
        <v>196</v>
      </c>
      <c r="H390" t="s">
        <v>110</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100</v>
      </c>
      <c r="G391" t="s">
        <v>109</v>
      </c>
      <c r="H391" t="s">
        <v>106</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100</v>
      </c>
      <c r="G392" t="s">
        <v>104</v>
      </c>
      <c r="H392" t="s">
        <v>110</v>
      </c>
      <c r="I392">
        <v>4</v>
      </c>
      <c r="J392">
        <v>5</v>
      </c>
      <c r="K392">
        <v>7</v>
      </c>
      <c r="L392">
        <v>7</v>
      </c>
      <c r="M392">
        <v>5</v>
      </c>
      <c r="N392">
        <v>7</v>
      </c>
      <c r="O392">
        <v>5</v>
      </c>
      <c r="P392">
        <v>5</v>
      </c>
      <c r="Q392">
        <v>7</v>
      </c>
    </row>
    <row r="393" spans="1:17" x14ac:dyDescent="0.45">
      <c r="A393" s="19">
        <v>46035.467361111114</v>
      </c>
      <c r="B393" t="s">
        <v>72</v>
      </c>
      <c r="C393" t="s">
        <v>193</v>
      </c>
      <c r="D393" t="s">
        <v>74</v>
      </c>
      <c r="E393" t="s">
        <v>75</v>
      </c>
      <c r="F393" t="s">
        <v>100</v>
      </c>
      <c r="G393" t="s">
        <v>108</v>
      </c>
      <c r="H393" t="s">
        <v>195</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100</v>
      </c>
      <c r="G394" t="s">
        <v>101</v>
      </c>
      <c r="H394" t="s">
        <v>105</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100</v>
      </c>
      <c r="G395" t="s">
        <v>194</v>
      </c>
      <c r="H395" t="s">
        <v>102</v>
      </c>
      <c r="I395">
        <v>9</v>
      </c>
      <c r="J395">
        <v>9</v>
      </c>
      <c r="K395">
        <v>9</v>
      </c>
      <c r="L395">
        <v>7</v>
      </c>
      <c r="M395">
        <v>8</v>
      </c>
      <c r="N395">
        <v>6</v>
      </c>
      <c r="O395">
        <v>8</v>
      </c>
      <c r="P395">
        <v>10</v>
      </c>
      <c r="Q395">
        <v>10</v>
      </c>
    </row>
    <row r="396" spans="1:17" x14ac:dyDescent="0.45">
      <c r="A396" s="19">
        <v>46035.526388888888</v>
      </c>
      <c r="B396" t="s">
        <v>78</v>
      </c>
      <c r="C396" t="s">
        <v>191</v>
      </c>
      <c r="D396" t="s">
        <v>74</v>
      </c>
      <c r="E396" t="s">
        <v>77</v>
      </c>
      <c r="F396" t="s">
        <v>100</v>
      </c>
      <c r="G396" t="s">
        <v>109</v>
      </c>
      <c r="H396" t="s">
        <v>102</v>
      </c>
      <c r="I396">
        <v>7</v>
      </c>
      <c r="J396">
        <v>7</v>
      </c>
      <c r="K396">
        <v>5</v>
      </c>
      <c r="L396">
        <v>7</v>
      </c>
      <c r="M396">
        <v>5</v>
      </c>
      <c r="N396">
        <v>6</v>
      </c>
      <c r="O396">
        <v>5</v>
      </c>
      <c r="P396">
        <v>6</v>
      </c>
      <c r="Q396">
        <v>6</v>
      </c>
    </row>
    <row r="397" spans="1:17" x14ac:dyDescent="0.45">
      <c r="A397" s="19">
        <v>46035.527083333334</v>
      </c>
      <c r="B397" t="s">
        <v>72</v>
      </c>
      <c r="C397" t="s">
        <v>73</v>
      </c>
      <c r="D397" t="s">
        <v>74</v>
      </c>
      <c r="E397" t="s">
        <v>190</v>
      </c>
      <c r="F397" t="s">
        <v>100</v>
      </c>
      <c r="G397" t="s">
        <v>101</v>
      </c>
      <c r="H397" t="s">
        <v>102</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100</v>
      </c>
      <c r="G398" t="s">
        <v>101</v>
      </c>
      <c r="H398" t="s">
        <v>110</v>
      </c>
      <c r="I398">
        <v>8</v>
      </c>
      <c r="J398">
        <v>8</v>
      </c>
      <c r="K398">
        <v>7</v>
      </c>
      <c r="L398">
        <v>7</v>
      </c>
      <c r="M398">
        <v>7</v>
      </c>
      <c r="N398">
        <v>8</v>
      </c>
      <c r="O398">
        <v>7</v>
      </c>
      <c r="P398">
        <v>8</v>
      </c>
      <c r="Q398">
        <v>8</v>
      </c>
    </row>
    <row r="399" spans="1:17" x14ac:dyDescent="0.45">
      <c r="A399" s="19">
        <v>46035.527777777781</v>
      </c>
      <c r="B399" t="s">
        <v>72</v>
      </c>
      <c r="C399" t="s">
        <v>189</v>
      </c>
      <c r="D399" t="s">
        <v>74</v>
      </c>
      <c r="E399" t="s">
        <v>77</v>
      </c>
      <c r="F399" t="s">
        <v>100</v>
      </c>
      <c r="G399" t="s">
        <v>194</v>
      </c>
      <c r="H399" t="s">
        <v>110</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100</v>
      </c>
      <c r="G400" t="s">
        <v>101</v>
      </c>
      <c r="H400" t="s">
        <v>110</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100</v>
      </c>
      <c r="G401" t="s">
        <v>109</v>
      </c>
      <c r="H401" t="s">
        <v>106</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100</v>
      </c>
      <c r="G402" t="s">
        <v>104</v>
      </c>
      <c r="H402" t="s">
        <v>110</v>
      </c>
      <c r="I402">
        <v>4</v>
      </c>
      <c r="J402">
        <v>4</v>
      </c>
      <c r="K402">
        <v>3</v>
      </c>
      <c r="L402">
        <v>5</v>
      </c>
      <c r="M402">
        <v>5</v>
      </c>
      <c r="N402">
        <v>2</v>
      </c>
      <c r="O402">
        <v>2</v>
      </c>
      <c r="P402">
        <v>5</v>
      </c>
      <c r="Q402">
        <v>2</v>
      </c>
    </row>
    <row r="403" spans="1:17" x14ac:dyDescent="0.45">
      <c r="A403" s="19">
        <v>46035.532638888886</v>
      </c>
      <c r="B403" t="s">
        <v>78</v>
      </c>
      <c r="C403" t="s">
        <v>193</v>
      </c>
      <c r="D403" t="s">
        <v>74</v>
      </c>
      <c r="E403" t="s">
        <v>75</v>
      </c>
      <c r="F403" t="s">
        <v>100</v>
      </c>
      <c r="G403" t="s">
        <v>108</v>
      </c>
      <c r="H403" t="s">
        <v>195</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100</v>
      </c>
      <c r="G404" t="s">
        <v>101</v>
      </c>
      <c r="H404" t="s">
        <v>110</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I1" workbookViewId="0">
      <selection activeCell="BE2" sqref="BE2:BE404"/>
    </sheetView>
  </sheetViews>
  <sheetFormatPr defaultRowHeight="14.25" x14ac:dyDescent="0.45"/>
  <cols>
    <col min="7" max="8"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127</v>
      </c>
      <c r="S1" s="21" t="s">
        <v>126</v>
      </c>
      <c r="T1" s="21" t="s">
        <v>128</v>
      </c>
      <c r="U1" s="18" t="s">
        <v>129</v>
      </c>
      <c r="V1" s="22" t="s">
        <v>48</v>
      </c>
      <c r="W1" s="22" t="s">
        <v>130</v>
      </c>
      <c r="X1" s="22" t="s">
        <v>131</v>
      </c>
      <c r="Y1" s="22" t="s">
        <v>132</v>
      </c>
      <c r="Z1" s="20" t="s">
        <v>133</v>
      </c>
      <c r="AA1" s="21" t="s">
        <v>51</v>
      </c>
      <c r="AB1" s="21" t="s">
        <v>134</v>
      </c>
      <c r="AC1" s="21" t="s">
        <v>135</v>
      </c>
      <c r="AD1" s="21" t="s">
        <v>136</v>
      </c>
      <c r="AE1" s="18" t="s">
        <v>137</v>
      </c>
      <c r="AF1" s="22" t="s">
        <v>54</v>
      </c>
      <c r="AG1" s="22" t="s">
        <v>138</v>
      </c>
      <c r="AH1" s="22" t="s">
        <v>139</v>
      </c>
      <c r="AI1" s="22" t="s">
        <v>140</v>
      </c>
      <c r="AJ1" s="22" t="s">
        <v>141</v>
      </c>
      <c r="AK1" s="21" t="s">
        <v>57</v>
      </c>
      <c r="AL1" s="21" t="s">
        <v>142</v>
      </c>
      <c r="AM1" s="21" t="s">
        <v>143</v>
      </c>
      <c r="AN1" s="21" t="s">
        <v>144</v>
      </c>
      <c r="AO1" s="21" t="s">
        <v>145</v>
      </c>
      <c r="AP1" s="22" t="s">
        <v>60</v>
      </c>
      <c r="AQ1" s="22" t="s">
        <v>146</v>
      </c>
      <c r="AR1" s="22" t="s">
        <v>147</v>
      </c>
      <c r="AS1" s="22" t="s">
        <v>148</v>
      </c>
      <c r="AT1" s="22" t="s">
        <v>149</v>
      </c>
      <c r="AU1" s="21" t="s">
        <v>63</v>
      </c>
      <c r="AV1" s="21" t="s">
        <v>150</v>
      </c>
      <c r="AW1" s="21" t="s">
        <v>151</v>
      </c>
      <c r="AX1" s="21" t="s">
        <v>152</v>
      </c>
      <c r="AY1" s="21" t="s">
        <v>153</v>
      </c>
      <c r="AZ1" s="22" t="s">
        <v>66</v>
      </c>
      <c r="BA1" s="22" t="s">
        <v>154</v>
      </c>
      <c r="BB1" s="22" t="s">
        <v>155</v>
      </c>
      <c r="BC1" s="22" t="s">
        <v>156</v>
      </c>
      <c r="BD1" s="22" t="s">
        <v>157</v>
      </c>
      <c r="BE1" s="21" t="s">
        <v>69</v>
      </c>
      <c r="BF1" s="21" t="s">
        <v>158</v>
      </c>
      <c r="BG1" s="21" t="s">
        <v>159</v>
      </c>
      <c r="BH1" s="21" t="s">
        <v>160</v>
      </c>
      <c r="BI1" s="21" t="s">
        <v>161</v>
      </c>
    </row>
    <row r="2" spans="1:61" x14ac:dyDescent="0.45">
      <c r="A2" s="30">
        <f>step3_validation[[#This Row],[Persona_ID]]</f>
        <v>1</v>
      </c>
      <c r="B2" s="31">
        <f>step3_validation[[#This Row],[Used_Seed]]</f>
        <v>1991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16.029544063938452</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8</v>
      </c>
      <c r="R2" t="str">
        <f>IF(AND(Q2&gt;=1,Q2&lt;5),"Oppose",IF(AND(Q2&gt;=5,Q2&lt;8),"Neutral",IF(AND(Q2&gt;=8,Q2&lt;=10),"Support","")))</f>
        <v>Support</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2</v>
      </c>
      <c r="V2">
        <f>step3_validation[[#This Row],[AI_ENF2]]</f>
        <v>9</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1</v>
      </c>
      <c r="AA2">
        <f>step3_validation[[#This Row],[AI_FAC1]]</f>
        <v>7</v>
      </c>
      <c r="AB2" t="str">
        <f>IF(AND(AA2&gt;=1,AA2&lt;5),"Oppose",IF(AND(AA2&gt;=5,AA2&lt;8),"Neutral",IF(AND(AA2&gt;=8,AA2&lt;=10),"Support","")))</f>
        <v>Neutral</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2</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4</v>
      </c>
      <c r="AK2">
        <f>step3_validation[[#This Row],[AI_TRU1]]</f>
        <v>8</v>
      </c>
      <c r="AL2" t="str">
        <f>IF(AND(AK2&gt;=1,AK2&lt;5),"Oppose",IF(AND(AK2&gt;=5,AK2&lt;8),"Neutral",IF(AND(AK2&gt;=8,AK2&lt;=10),"Support","")))</f>
        <v>Support</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2</v>
      </c>
      <c r="AP2">
        <f>step3_validation[[#This Row],[AI_TRU2]]</f>
        <v>9</v>
      </c>
      <c r="AQ2" t="str">
        <f>IF(AND(AP2&gt;=1,AP2&lt;5),"Oppose",IF(AND(AP2&gt;=5,AP2&lt;8),"Neutral",IF(AND(AP2&gt;=8,AP2&lt;=10),"Support","")))</f>
        <v>Support</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1</v>
      </c>
      <c r="AU2">
        <f>step3_validation[[#This Row],[AI_TRU3]]</f>
        <v>8</v>
      </c>
      <c r="AV2" t="str">
        <f>IF(AND(AU2&gt;=1,AU2&lt;5),"Oppose",IF(AND(AU2&gt;=5,AU2&lt;8),"Neutral",IF(AND(AU2&gt;=8,AU2&lt;=10),"Support","")))</f>
        <v>Support</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2</v>
      </c>
      <c r="AZ2">
        <f>step3_validation[[#This Row],[AI_TRU4]]</f>
        <v>9</v>
      </c>
      <c r="BA2" t="str">
        <f>IF(AND(AZ2&gt;=1,AZ2&lt;5),"Oppose",IF(AND(AZ2&gt;=5,AZ2&lt;8),"Neutral",IF(AND(AZ2&gt;=8,AZ2&lt;=10),"Support","")))</f>
        <v>Support</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1</v>
      </c>
      <c r="BE2">
        <f>step3_validation[[#This Row],[AI_OUT1]]</f>
        <v>10</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0</v>
      </c>
    </row>
    <row r="3" spans="1:61" x14ac:dyDescent="0.45">
      <c r="A3" s="30">
        <f>step3_validation[[#This Row],[Persona_ID]]</f>
        <v>2</v>
      </c>
      <c r="B3" s="31">
        <f>step3_validation[[#This Row],[Used_Seed]]</f>
        <v>1992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12.77596048017443</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8</v>
      </c>
      <c r="R3" t="str">
        <f t="shared" ref="R3:R66" si="0">IF(AND(Q3&gt;=1,Q3&lt;5),"Oppose",IF(AND(Q3&gt;=5,Q3&lt;8),"Neutral",IF(AND(Q3&gt;=8,Q3&lt;=10),"Support","")))</f>
        <v>Support</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0</v>
      </c>
      <c r="V3">
        <f>step3_validation[[#This Row],[AI_ENF2]]</f>
        <v>7</v>
      </c>
      <c r="W3" t="str">
        <f t="shared" ref="W3:W66" si="3">IF(AND(V3&gt;=1,V3&lt;5),"Oppose",IF(AND(V3&gt;=5,V3&lt;8),"Neutral",IF(AND(V3&gt;=8,V3&lt;=10),"Support","")))</f>
        <v>Neutral</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1</v>
      </c>
      <c r="AA3">
        <f>step3_validation[[#This Row],[AI_FAC1]]</f>
        <v>9</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3</v>
      </c>
      <c r="AF3">
        <f>step3_validation[[#This Row],[AI_FAC2]]</f>
        <v>10</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8</v>
      </c>
      <c r="AL3" t="str">
        <f t="shared" ref="AL3:AL66" si="12">IF(AND(AK3&gt;=1,AK3&lt;5),"Oppose",IF(AND(AK3&gt;=5,AK3&lt;8),"Neutral",IF(AND(AK3&gt;=8,AK3&lt;=10),"Support","")))</f>
        <v>Support</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2</v>
      </c>
      <c r="AP3">
        <f>step3_validation[[#This Row],[AI_TRU2]]</f>
        <v>9</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0</v>
      </c>
      <c r="AU3">
        <f>step3_validation[[#This Row],[AI_TRU3]]</f>
        <v>8</v>
      </c>
      <c r="AV3" t="str">
        <f t="shared" ref="AV3:AV66" si="18">IF(AND(AU3&gt;=1,AU3&lt;5),"Oppose",IF(AND(AU3&gt;=5,AU3&lt;8),"Neutral",IF(AND(AU3&gt;=8,AU3&lt;=10),"Support","")))</f>
        <v>Support</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0</v>
      </c>
      <c r="AZ3">
        <f>step3_validation[[#This Row],[AI_TRU4]]</f>
        <v>9</v>
      </c>
      <c r="BA3" t="str">
        <f t="shared" ref="BA3:BA66" si="21">IF(AND(AZ3&gt;=1,AZ3&lt;5),"Oppose",IF(AND(AZ3&gt;=5,AZ3&lt;8),"Neutral",IF(AND(AZ3&gt;=8,AZ3&lt;=10),"Support","")))</f>
        <v>Support</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0</v>
      </c>
      <c r="BE3">
        <f>step3_validation[[#This Row],[AI_OUT1]]</f>
        <v>9</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1</v>
      </c>
    </row>
    <row r="4" spans="1:61" x14ac:dyDescent="0.45">
      <c r="A4" s="30">
        <f>step3_validation[[#This Row],[Persona_ID]]</f>
        <v>3</v>
      </c>
      <c r="B4" s="31">
        <f>step3_validation[[#This Row],[Used_Seed]]</f>
        <v>1993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61.547531975843718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6</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2">
        <f t="shared" si="2"/>
        <v>0</v>
      </c>
      <c r="V4">
        <f>step3_validation[[#This Row],[AI_ENF2]]</f>
        <v>8</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2">
        <f t="shared" si="5"/>
        <v>3</v>
      </c>
      <c r="AA4">
        <f>step3_validation[[#This Row],[AI_FAC1]]</f>
        <v>9</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5</v>
      </c>
      <c r="AF4">
        <f>step3_validation[[#This Row],[AI_FAC2]]</f>
        <v>9</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4</v>
      </c>
      <c r="AK4">
        <f>step3_validation[[#This Row],[AI_TRU1]]</f>
        <v>8</v>
      </c>
      <c r="AL4" t="str">
        <f t="shared" si="12"/>
        <v>Support</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4</v>
      </c>
      <c r="AP4">
        <f>step3_validation[[#This Row],[AI_TRU2]]</f>
        <v>9</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2">
        <f t="shared" si="17"/>
        <v>5</v>
      </c>
      <c r="AU4">
        <f>step3_validation[[#This Row],[AI_TRU3]]</f>
        <v>8</v>
      </c>
      <c r="AV4" t="str">
        <f t="shared" si="18"/>
        <v>Support</v>
      </c>
      <c r="AW4">
        <f>survey_responses[[#This Row],[Tôi tin tưởng số tiền thuế tôi đóng sẽ được Nhà nước sử dụng hiệu quả để cải thiện dịch vụ công (y tế, đường xá...). - HUMAN-TRU3]]</f>
        <v>4</v>
      </c>
      <c r="AX4" t="str">
        <f t="shared" si="19"/>
        <v>Oppose</v>
      </c>
      <c r="AY4" s="32">
        <f t="shared" si="20"/>
        <v>4</v>
      </c>
      <c r="AZ4">
        <f>step3_validation[[#This Row],[AI_TRU4]]</f>
        <v>9</v>
      </c>
      <c r="BA4" t="str">
        <f t="shared" si="21"/>
        <v>Support</v>
      </c>
      <c r="BB4">
        <f>survey_responses[[#This Row],[Tôi thấy Nhà nước đã giải thích rõ ràng, minh bạch về lý do và mục tiêu của việc sửa đổi thuế lần này. - HUMAN-TRU4]]</f>
        <v>10</v>
      </c>
      <c r="BC4" t="str">
        <f t="shared" si="22"/>
        <v>Support</v>
      </c>
      <c r="BD4" s="32">
        <f t="shared" si="23"/>
        <v>1</v>
      </c>
      <c r="BE4">
        <f>step3_validation[[#This Row],[AI_OUT1]]</f>
        <v>9</v>
      </c>
      <c r="BF4" t="str">
        <f t="shared" si="24"/>
        <v>Support</v>
      </c>
      <c r="BG4">
        <f>survey_responses[[#This Row],[Sau khi xem xét các quyền lợi và nghĩa vụ, bạn có ủng hộ và tuân thủ chính sách mới hiện nay? - HUMAN-OUT1]]</f>
        <v>4</v>
      </c>
      <c r="BH4" t="str">
        <f t="shared" si="25"/>
        <v>Oppose</v>
      </c>
      <c r="BI4" s="32">
        <f t="shared" si="26"/>
        <v>5</v>
      </c>
    </row>
    <row r="5" spans="1:61" x14ac:dyDescent="0.45">
      <c r="A5" s="30">
        <f>step3_validation[[#This Row],[Persona_ID]]</f>
        <v>4</v>
      </c>
      <c r="B5" s="31">
        <f>step3_validation[[#This Row],[Used_Seed]]</f>
        <v>1994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7</v>
      </c>
      <c r="AB5" t="str">
        <f t="shared" si="6"/>
        <v>Neutral</v>
      </c>
      <c r="AC5">
        <f>survey_responses[[#This Row],[Các thủ tục khai báo thuế VÀ/HOẶC quy trình làm việc với cơ quan thuế đơn giản, tiện lợi, nhanh chóng hơn so với trước đây. - HUMAN-FAC1]]</f>
        <v>8</v>
      </c>
      <c r="AD5" t="str">
        <f t="shared" si="7"/>
        <v>Support</v>
      </c>
      <c r="AE5" s="32">
        <f t="shared" si="8"/>
        <v>1</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8</v>
      </c>
      <c r="AL5" t="str">
        <f t="shared" si="12"/>
        <v>Support</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1</v>
      </c>
      <c r="AP5">
        <f>step3_validation[[#This Row],[AI_TRU2]]</f>
        <v>9</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2</v>
      </c>
      <c r="AU5">
        <f>step3_validation[[#This Row],[AI_TRU3]]</f>
        <v>8</v>
      </c>
      <c r="AV5" t="str">
        <f t="shared" si="18"/>
        <v>Support</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2</v>
      </c>
      <c r="AZ5">
        <f>step3_validation[[#This Row],[AI_TRU4]]</f>
        <v>9</v>
      </c>
      <c r="BA5" t="str">
        <f t="shared" si="21"/>
        <v>Support</v>
      </c>
      <c r="BB5">
        <f>survey_responses[[#This Row],[Tôi thấy Nhà nước đã giải thích rõ ràng, minh bạch về lý do và mục tiêu của việc sửa đổi thuế lần này. - HUMAN-TRU4]]</f>
        <v>7</v>
      </c>
      <c r="BC5" t="str">
        <f t="shared" si="22"/>
        <v>Neutral</v>
      </c>
      <c r="BD5" s="32">
        <f t="shared" si="23"/>
        <v>2</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1995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7</v>
      </c>
      <c r="R6" t="str">
        <f t="shared" si="0"/>
        <v>Neutral</v>
      </c>
      <c r="S6">
        <f>survey_responses[[#This Row],[Tôi tin rằng với các quy định quản lý thuế hiện nay, hành vi gian lận hoặc trốn thuế sẽ dễ dàng bị phát hiện và xử lý nghiêm. - HUMAN-ENF1]]</f>
        <v>9</v>
      </c>
      <c r="T6" t="str">
        <f t="shared" si="1"/>
        <v>Support</v>
      </c>
      <c r="U6" s="32">
        <f t="shared" si="2"/>
        <v>2</v>
      </c>
      <c r="V6">
        <f>step3_validation[[#This Row],[AI_ENF2]]</f>
        <v>6</v>
      </c>
      <c r="W6" t="str">
        <f t="shared" si="3"/>
        <v>Neutral</v>
      </c>
      <c r="X6">
        <f>survey_responses[[#This Row],[Tôi tin rằng Nhà nước, cơ quan thuế có đủ khả năng và công nghệ để phát hiện, xử lý nghiêm các hành vi trốn thuế. - HUMAN-ENF2]]</f>
        <v>9</v>
      </c>
      <c r="Y6" t="str">
        <f t="shared" si="4"/>
        <v>Support</v>
      </c>
      <c r="Z6" s="32">
        <f t="shared" si="5"/>
        <v>3</v>
      </c>
      <c r="AA6">
        <f>step3_validation[[#This Row],[AI_FAC1]]</f>
        <v>8</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2</v>
      </c>
      <c r="AF6">
        <f>step3_validation[[#This Row],[AI_FAC2]]</f>
        <v>9</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0</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0</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1</v>
      </c>
      <c r="AZ6">
        <f>step3_validation[[#This Row],[AI_TRU4]]</f>
        <v>7</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2</v>
      </c>
      <c r="BE6">
        <f>step3_validation[[#This Row],[AI_OUT1]]</f>
        <v>9</v>
      </c>
      <c r="BF6" t="str">
        <f t="shared" si="24"/>
        <v>Support</v>
      </c>
      <c r="BG6">
        <f>survey_responses[[#This Row],[Sau khi xem xét các quyền lợi và nghĩa vụ, bạn có ủng hộ và tuân thủ chính sách mới hiện nay? - HUMAN-OUT1]]</f>
        <v>9</v>
      </c>
      <c r="BH6" t="str">
        <f t="shared" si="25"/>
        <v>Support</v>
      </c>
      <c r="BI6" s="32">
        <f t="shared" si="26"/>
        <v>0</v>
      </c>
    </row>
    <row r="7" spans="1:61" x14ac:dyDescent="0.45">
      <c r="A7" s="30">
        <f>step3_validation[[#This Row],[Persona_ID]]</f>
        <v>6</v>
      </c>
      <c r="B7" s="31">
        <f>step3_validation[[#This Row],[Used_Seed]]</f>
        <v>1996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92.750176336270357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5</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3</v>
      </c>
      <c r="V7">
        <f>step3_validation[[#This Row],[AI_ENF2]]</f>
        <v>6</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2</v>
      </c>
      <c r="AA7">
        <f>step3_validation[[#This Row],[AI_FAC1]]</f>
        <v>7</v>
      </c>
      <c r="AB7" t="str">
        <f t="shared" si="6"/>
        <v>Neutral</v>
      </c>
      <c r="AC7">
        <f>survey_responses[[#This Row],[Các thủ tục khai báo thuế VÀ/HOẶC quy trình làm việc với cơ quan thuế đơn giản, tiện lợi, nhanh chóng hơn so với trước đây. - HUMAN-FAC1]]</f>
        <v>5</v>
      </c>
      <c r="AD7" t="str">
        <f t="shared" si="7"/>
        <v>Neutral</v>
      </c>
      <c r="AE7" s="32">
        <f t="shared" si="8"/>
        <v>2</v>
      </c>
      <c r="AF7">
        <f>step3_validation[[#This Row],[AI_FAC2]]</f>
        <v>8</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0</v>
      </c>
      <c r="AK7">
        <f>step3_validation[[#This Row],[AI_TRU1]]</f>
        <v>7</v>
      </c>
      <c r="AL7" t="str">
        <f t="shared" si="12"/>
        <v>Neutral</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1</v>
      </c>
      <c r="AP7">
        <f>step3_validation[[#This Row],[AI_TRU2]]</f>
        <v>9</v>
      </c>
      <c r="AQ7" t="str">
        <f t="shared" si="15"/>
        <v>Support</v>
      </c>
      <c r="AR7">
        <f>survey_responses[[#This Row],[Tôi thấy mức thuế tôi phải đóng theo phương án mới là công bằng (người thu nhập như tôi đóng mức này là hợp lý). - HUMAN-TRU2]]</f>
        <v>6</v>
      </c>
      <c r="AS7" t="str">
        <f t="shared" si="16"/>
        <v>Neutral</v>
      </c>
      <c r="AT7" s="32">
        <f t="shared" si="17"/>
        <v>3</v>
      </c>
      <c r="AU7">
        <f>step3_validation[[#This Row],[AI_TRU3]]</f>
        <v>8</v>
      </c>
      <c r="AV7" t="str">
        <f t="shared" si="18"/>
        <v>Support</v>
      </c>
      <c r="AW7">
        <f>survey_responses[[#This Row],[Tôi tin tưởng số tiền thuế tôi đóng sẽ được Nhà nước sử dụng hiệu quả để cải thiện dịch vụ công (y tế, đường xá...). - HUMAN-TRU3]]</f>
        <v>4</v>
      </c>
      <c r="AX7" t="str">
        <f t="shared" si="19"/>
        <v>Oppose</v>
      </c>
      <c r="AY7" s="32">
        <f t="shared" si="20"/>
        <v>4</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2</v>
      </c>
      <c r="BE7">
        <f>step3_validation[[#This Row],[AI_OUT1]]</f>
        <v>9</v>
      </c>
      <c r="BF7" t="str">
        <f t="shared" si="24"/>
        <v>Support</v>
      </c>
      <c r="BG7">
        <f>survey_responses[[#This Row],[Sau khi xem xét các quyền lợi và nghĩa vụ, bạn có ủng hộ và tuân thủ chính sách mới hiện nay? - HUMAN-OUT1]]</f>
        <v>6</v>
      </c>
      <c r="BH7" t="str">
        <f t="shared" si="25"/>
        <v>Neutral</v>
      </c>
      <c r="BI7" s="32">
        <f t="shared" si="26"/>
        <v>3</v>
      </c>
    </row>
    <row r="8" spans="1:61" x14ac:dyDescent="0.45">
      <c r="A8" s="30">
        <f>step3_validation[[#This Row],[Persona_ID]]</f>
        <v>7</v>
      </c>
      <c r="B8" s="31">
        <f>step3_validation[[#This Row],[Used_Seed]]</f>
        <v>1997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20.750694249558155</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8</v>
      </c>
      <c r="R8" t="str">
        <f t="shared" si="0"/>
        <v>Support</v>
      </c>
      <c r="S8">
        <f>survey_responses[[#This Row],[Tôi tin rằng với các quy định quản lý thuế hiện nay, hành vi gian lận hoặc trốn thuế sẽ dễ dàng bị phát hiện và xử lý nghiêm. - HUMAN-ENF1]]</f>
        <v>5</v>
      </c>
      <c r="T8" t="str">
        <f t="shared" si="1"/>
        <v>Neutral</v>
      </c>
      <c r="U8" s="32">
        <f t="shared" si="2"/>
        <v>3</v>
      </c>
      <c r="V8">
        <f>step3_validation[[#This Row],[AI_ENF2]]</f>
        <v>9</v>
      </c>
      <c r="W8" t="str">
        <f t="shared" si="3"/>
        <v>Support</v>
      </c>
      <c r="X8">
        <f>survey_responses[[#This Row],[Tôi tin rằng Nhà nước, cơ quan thuế có đủ khả năng và công nghệ để phát hiện, xử lý nghiêm các hành vi trốn thuế. - HUMAN-ENF2]]</f>
        <v>4</v>
      </c>
      <c r="Y8" t="str">
        <f t="shared" si="4"/>
        <v>Oppose</v>
      </c>
      <c r="Z8" s="32">
        <f t="shared" si="5"/>
        <v>5</v>
      </c>
      <c r="AA8">
        <f>step3_validation[[#This Row],[AI_FAC1]]</f>
        <v>7</v>
      </c>
      <c r="AB8" t="str">
        <f t="shared" si="6"/>
        <v>Neutral</v>
      </c>
      <c r="AC8">
        <f>survey_responses[[#This Row],[Các thủ tục khai báo thuế VÀ/HOẶC quy trình làm việc với cơ quan thuế đơn giản, tiện lợi, nhanh chóng hơn so với trước đây. - HUMAN-FAC1]]</f>
        <v>4</v>
      </c>
      <c r="AD8" t="str">
        <f t="shared" si="7"/>
        <v>Oppose</v>
      </c>
      <c r="AE8" s="32">
        <f t="shared" si="8"/>
        <v>3</v>
      </c>
      <c r="AF8">
        <f>step3_validation[[#This Row],[AI_FAC2]]</f>
        <v>9</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3</v>
      </c>
      <c r="AK8">
        <f>step3_validation[[#This Row],[AI_TRU1]]</f>
        <v>8</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2</v>
      </c>
      <c r="AP8">
        <f>step3_validation[[#This Row],[AI_TRU2]]</f>
        <v>9</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2</v>
      </c>
      <c r="AU8">
        <f>step3_validation[[#This Row],[AI_TRU3]]</f>
        <v>8</v>
      </c>
      <c r="AV8" t="str">
        <f t="shared" si="18"/>
        <v>Support</v>
      </c>
      <c r="AW8">
        <f>survey_responses[[#This Row],[Tôi tin tưởng số tiền thuế tôi đóng sẽ được Nhà nước sử dụng hiệu quả để cải thiện dịch vụ công (y tế, đường xá...). - HUMAN-TRU3]]</f>
        <v>2</v>
      </c>
      <c r="AX8" t="str">
        <f t="shared" si="19"/>
        <v>Oppose</v>
      </c>
      <c r="AY8" s="32">
        <f t="shared" si="20"/>
        <v>6</v>
      </c>
      <c r="AZ8">
        <f>step3_validation[[#This Row],[AI_TRU4]]</f>
        <v>8</v>
      </c>
      <c r="BA8" t="str">
        <f t="shared" si="21"/>
        <v>Support</v>
      </c>
      <c r="BB8">
        <f>survey_responses[[#This Row],[Tôi thấy Nhà nước đã giải thích rõ ràng, minh bạch về lý do và mục tiêu của việc sửa đổi thuế lần này. - HUMAN-TRU4]]</f>
        <v>4</v>
      </c>
      <c r="BC8" t="str">
        <f t="shared" si="22"/>
        <v>Oppose</v>
      </c>
      <c r="BD8" s="32">
        <f t="shared" si="23"/>
        <v>4</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2">
        <f t="shared" si="26"/>
        <v>5</v>
      </c>
    </row>
    <row r="9" spans="1:61" x14ac:dyDescent="0.45">
      <c r="A9" s="30">
        <f>step3_validation[[#This Row],[Persona_ID]]</f>
        <v>8</v>
      </c>
      <c r="B9" s="31">
        <f>step3_validation[[#This Row],[Used_Seed]]</f>
        <v>1998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6</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5</v>
      </c>
      <c r="AA9">
        <f>step3_validation[[#This Row],[AI_FAC1]]</f>
        <v>8</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6</v>
      </c>
      <c r="AF9">
        <f>step3_validation[[#This Row],[AI_FAC2]]</f>
        <v>9</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6</v>
      </c>
      <c r="AK9">
        <f>step3_validation[[#This Row],[AI_TRU1]]</f>
        <v>7</v>
      </c>
      <c r="AL9" t="str">
        <f t="shared" si="12"/>
        <v>Neutral</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1</v>
      </c>
      <c r="AP9">
        <f>step3_validation[[#This Row],[AI_TRU2]]</f>
        <v>9</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7</v>
      </c>
      <c r="AU9">
        <f>step3_validation[[#This Row],[AI_TRU3]]</f>
        <v>7</v>
      </c>
      <c r="AV9" t="str">
        <f t="shared" si="18"/>
        <v>Neutral</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0</v>
      </c>
      <c r="AZ9">
        <f>step3_validation[[#This Row],[AI_TRU4]]</f>
        <v>8</v>
      </c>
      <c r="BA9" t="str">
        <f t="shared" si="21"/>
        <v>Support</v>
      </c>
      <c r="BB9">
        <f>survey_responses[[#This Row],[Tôi thấy Nhà nước đã giải thích rõ ràng, minh bạch về lý do và mục tiêu của việc sửa đổi thuế lần này. - HUMAN-TRU4]]</f>
        <v>3</v>
      </c>
      <c r="BC9" t="str">
        <f t="shared" si="22"/>
        <v>Oppose</v>
      </c>
      <c r="BD9" s="32">
        <f t="shared" si="23"/>
        <v>5</v>
      </c>
      <c r="BE9">
        <f>step3_validation[[#This Row],[AI_OUT1]]</f>
        <v>7</v>
      </c>
      <c r="BF9" t="str">
        <f t="shared" si="24"/>
        <v>Neutral</v>
      </c>
      <c r="BG9">
        <f>survey_responses[[#This Row],[Sau khi xem xét các quyền lợi và nghĩa vụ, bạn có ủng hộ và tuân thủ chính sách mới hiện nay? - HUMAN-OUT1]]</f>
        <v>3</v>
      </c>
      <c r="BH9" t="str">
        <f t="shared" si="25"/>
        <v>Oppose</v>
      </c>
      <c r="BI9" s="32">
        <f t="shared" si="26"/>
        <v>4</v>
      </c>
    </row>
    <row r="10" spans="1:61" x14ac:dyDescent="0.45">
      <c r="A10" s="30">
        <f>step3_validation[[#This Row],[Persona_ID]]</f>
        <v>9</v>
      </c>
      <c r="B10" s="31">
        <f>step3_validation[[#This Row],[Used_Seed]]</f>
        <v>1999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14.909375702254509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4</v>
      </c>
      <c r="V10">
        <f>step3_validation[[#This Row],[AI_ENF2]]</f>
        <v>7</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3</v>
      </c>
      <c r="AA10">
        <f>step3_validation[[#This Row],[AI_FAC1]]</f>
        <v>9</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1</v>
      </c>
      <c r="AF10">
        <f>step3_validation[[#This Row],[AI_FAC2]]</f>
        <v>8</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1</v>
      </c>
      <c r="AK10">
        <f>step3_validation[[#This Row],[AI_TRU1]]</f>
        <v>9</v>
      </c>
      <c r="AL10" t="str">
        <f t="shared" si="12"/>
        <v>Support</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2</v>
      </c>
      <c r="AP10">
        <f>step3_validation[[#This Row],[AI_TRU2]]</f>
        <v>8</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3</v>
      </c>
      <c r="AU10">
        <f>step3_validation[[#This Row],[AI_TRU3]]</f>
        <v>9</v>
      </c>
      <c r="AV10" t="str">
        <f t="shared" si="18"/>
        <v>Support</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4</v>
      </c>
      <c r="AZ10">
        <f>step3_validation[[#This Row],[AI_TRU4]]</f>
        <v>8</v>
      </c>
      <c r="BA10" t="str">
        <f t="shared" si="21"/>
        <v>Support</v>
      </c>
      <c r="BB10">
        <f>survey_responses[[#This Row],[Tôi thấy Nhà nước đã giải thích rõ ràng, minh bạch về lý do và mục tiêu của việc sửa đổi thuế lần này. - HUMAN-TRU4]]</f>
        <v>9</v>
      </c>
      <c r="BC10" t="str">
        <f t="shared" si="22"/>
        <v>Support</v>
      </c>
      <c r="BD10" s="32">
        <f t="shared" si="23"/>
        <v>1</v>
      </c>
      <c r="BE10">
        <f>step3_validation[[#This Row],[AI_OUT1]]</f>
        <v>9</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1</v>
      </c>
    </row>
    <row r="11" spans="1:61" x14ac:dyDescent="0.45">
      <c r="A11" s="30">
        <f>step3_validation[[#This Row],[Persona_ID]]</f>
        <v>10</v>
      </c>
      <c r="B11" s="31">
        <f>step3_validation[[#This Row],[Used_Seed]]</f>
        <v>2000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20.300545275430544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6</v>
      </c>
      <c r="W11" t="str">
        <f t="shared" si="3"/>
        <v>Neutral</v>
      </c>
      <c r="X11">
        <f>survey_responses[[#This Row],[Tôi tin rằng Nhà nước, cơ quan thuế có đủ khả năng và công nghệ để phát hiện, xử lý nghiêm các hành vi trốn thuế. - HUMAN-ENF2]]</f>
        <v>10</v>
      </c>
      <c r="Y11" t="str">
        <f t="shared" si="4"/>
        <v>Support</v>
      </c>
      <c r="Z11" s="32">
        <f t="shared" si="5"/>
        <v>4</v>
      </c>
      <c r="AA11">
        <f>step3_validation[[#This Row],[AI_FAC1]]</f>
        <v>9</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8</v>
      </c>
      <c r="AF11">
        <f>step3_validation[[#This Row],[AI_FAC2]]</f>
        <v>8</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3</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8</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3</v>
      </c>
      <c r="AU11">
        <f>step3_validation[[#This Row],[AI_TRU3]]</f>
        <v>7</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2</v>
      </c>
      <c r="AZ11">
        <f>step3_validation[[#This Row],[AI_TRU4]]</f>
        <v>6</v>
      </c>
      <c r="BA11" t="str">
        <f t="shared" si="21"/>
        <v>Neutral</v>
      </c>
      <c r="BB11">
        <f>survey_responses[[#This Row],[Tôi thấy Nhà nước đã giải thích rõ ràng, minh bạch về lý do và mục tiêu của việc sửa đổi thuế lần này. - HUMAN-TRU4]]</f>
        <v>5</v>
      </c>
      <c r="BC11" t="str">
        <f t="shared" si="22"/>
        <v>Neutral</v>
      </c>
      <c r="BD11" s="32">
        <f t="shared" si="23"/>
        <v>1</v>
      </c>
      <c r="BE11">
        <f>step3_validation[[#This Row],[AI_OUT1]]</f>
        <v>8</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2</v>
      </c>
    </row>
    <row r="12" spans="1:61" x14ac:dyDescent="0.45">
      <c r="A12" s="30">
        <f>step3_validation[[#This Row],[Persona_ID]]</f>
        <v>11</v>
      </c>
      <c r="B12" s="31">
        <f>step3_validation[[#This Row],[Used_Seed]]</f>
        <v>2001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38.355047037430367</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4</v>
      </c>
      <c r="V12">
        <f>step3_validation[[#This Row],[AI_ENF2]]</f>
        <v>7</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4</v>
      </c>
      <c r="AA12">
        <f>step3_validation[[#This Row],[AI_FAC1]]</f>
        <v>9</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8</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7</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6</v>
      </c>
      <c r="AP12">
        <f>step3_validation[[#This Row],[AI_TRU2]]</f>
        <v>8</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3</v>
      </c>
      <c r="AU12">
        <f>step3_validation[[#This Row],[AI_TRU3]]</f>
        <v>7</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6</v>
      </c>
      <c r="AZ12">
        <f>step3_validation[[#This Row],[AI_TRU4]]</f>
        <v>6</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2</v>
      </c>
      <c r="BE12">
        <f>step3_validation[[#This Row],[AI_OUT1]]</f>
        <v>9</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3</v>
      </c>
    </row>
    <row r="13" spans="1:61" x14ac:dyDescent="0.45">
      <c r="A13" s="30">
        <f>step3_validation[[#This Row],[Persona_ID]]</f>
        <v>12</v>
      </c>
      <c r="B13" s="31">
        <f>step3_validation[[#This Row],[Used_Seed]]</f>
        <v>2002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7</v>
      </c>
      <c r="R13" t="str">
        <f t="shared" si="0"/>
        <v>Neutral</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2</v>
      </c>
      <c r="V13">
        <f>step3_validation[[#This Row],[AI_ENF2]]</f>
        <v>9</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1</v>
      </c>
      <c r="AA13">
        <f>step3_validation[[#This Row],[AI_FAC1]]</f>
        <v>8</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3</v>
      </c>
      <c r="AF13">
        <f>step3_validation[[#This Row],[AI_FAC2]]</f>
        <v>9</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4</v>
      </c>
      <c r="AK13">
        <f>step3_validation[[#This Row],[AI_TRU1]]</f>
        <v>8</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2</v>
      </c>
      <c r="AP13">
        <f>step3_validation[[#This Row],[AI_TRU2]]</f>
        <v>9</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4</v>
      </c>
      <c r="AU13">
        <f>step3_validation[[#This Row],[AI_TRU3]]</f>
        <v>8</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3</v>
      </c>
      <c r="AZ13">
        <f>step3_validation[[#This Row],[AI_TRU4]]</f>
        <v>9</v>
      </c>
      <c r="BA13" t="str">
        <f t="shared" si="21"/>
        <v>Support</v>
      </c>
      <c r="BB13">
        <f>survey_responses[[#This Row],[Tôi thấy Nhà nước đã giải thích rõ ràng, minh bạch về lý do và mục tiêu của việc sửa đổi thuế lần này. - HUMAN-TRU4]]</f>
        <v>5</v>
      </c>
      <c r="BC13" t="str">
        <f t="shared" si="22"/>
        <v>Neutral</v>
      </c>
      <c r="BD13" s="32">
        <f t="shared" si="23"/>
        <v>4</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4</v>
      </c>
    </row>
    <row r="14" spans="1:61" x14ac:dyDescent="0.45">
      <c r="A14" s="30">
        <f>step3_validation[[#This Row],[Persona_ID]]</f>
        <v>13</v>
      </c>
      <c r="B14" s="31">
        <f>step3_validation[[#This Row],[Used_Seed]]</f>
        <v>2003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9</v>
      </c>
      <c r="R14" t="str">
        <f t="shared" si="0"/>
        <v>Support</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8</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7</v>
      </c>
      <c r="AB14" t="str">
        <f t="shared" si="6"/>
        <v>Neutral</v>
      </c>
      <c r="AC14">
        <f>survey_responses[[#This Row],[Các thủ tục khai báo thuế VÀ/HOẶC quy trình làm việc với cơ quan thuế đơn giản, tiện lợi, nhanh chóng hơn so với trước đây. - HUMAN-FAC1]]</f>
        <v>7</v>
      </c>
      <c r="AD14" t="str">
        <f t="shared" si="7"/>
        <v>Neutral</v>
      </c>
      <c r="AE14" s="32">
        <f t="shared" si="8"/>
        <v>0</v>
      </c>
      <c r="AF14">
        <f>step3_validation[[#This Row],[AI_FAC2]]</f>
        <v>8</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1</v>
      </c>
      <c r="AK14">
        <f>step3_validation[[#This Row],[AI_TRU1]]</f>
        <v>9</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2</v>
      </c>
      <c r="AP14">
        <f>step3_validation[[#This Row],[AI_TRU2]]</f>
        <v>8</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2">
        <f t="shared" si="17"/>
        <v>0</v>
      </c>
      <c r="AU14">
        <f>step3_validation[[#This Row],[AI_TRU3]]</f>
        <v>9</v>
      </c>
      <c r="AV14" t="str">
        <f t="shared" si="18"/>
        <v>Support</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2</v>
      </c>
      <c r="AZ14">
        <f>step3_validation[[#This Row],[AI_TRU4]]</f>
        <v>8</v>
      </c>
      <c r="BA14" t="str">
        <f t="shared" si="21"/>
        <v>Support</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9</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2</v>
      </c>
    </row>
    <row r="15" spans="1:61" x14ac:dyDescent="0.45">
      <c r="A15" s="30">
        <f>step3_validation[[#This Row],[Persona_ID]]</f>
        <v>14</v>
      </c>
      <c r="B15" s="31">
        <f>step3_validation[[#This Row],[Used_Seed]]</f>
        <v>2004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20.560812066039318</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5</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5</v>
      </c>
      <c r="V15">
        <f>step3_validation[[#This Row],[AI_ENF2]]</f>
        <v>6</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2">
        <f t="shared" si="5"/>
        <v>4</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7</v>
      </c>
      <c r="AL15" t="str">
        <f t="shared" si="12"/>
        <v>Neutral</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9</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3</v>
      </c>
      <c r="AU15">
        <f>step3_validation[[#This Row],[AI_TRU3]]</f>
        <v>8</v>
      </c>
      <c r="AV15" t="str">
        <f t="shared" si="18"/>
        <v>Support</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2</v>
      </c>
      <c r="AZ15">
        <f>step3_validation[[#This Row],[AI_TRU4]]</f>
        <v>9</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2">
        <f t="shared" si="23"/>
        <v>4</v>
      </c>
      <c r="BE15">
        <f>step3_validation[[#This Row],[AI_OUT1]]</f>
        <v>8</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3</v>
      </c>
    </row>
    <row r="16" spans="1:61" x14ac:dyDescent="0.45">
      <c r="A16" s="30">
        <f>step3_validation[[#This Row],[Persona_ID]]</f>
        <v>15</v>
      </c>
      <c r="B16" s="31">
        <f>step3_validation[[#This Row],[Used_Seed]]</f>
        <v>2005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42.766205033209218</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0</v>
      </c>
      <c r="V16">
        <f>step3_validation[[#This Row],[AI_ENF2]]</f>
        <v>6</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3</v>
      </c>
      <c r="AA16">
        <f>step3_validation[[#This Row],[AI_FAC1]]</f>
        <v>8</v>
      </c>
      <c r="AB16" t="str">
        <f t="shared" si="6"/>
        <v>Support</v>
      </c>
      <c r="AC16">
        <f>survey_responses[[#This Row],[Các thủ tục khai báo thuế VÀ/HOẶC quy trình làm việc với cơ quan thuế đơn giản, tiện lợi, nhanh chóng hơn so với trước đây. - HUMAN-FAC1]]</f>
        <v>3</v>
      </c>
      <c r="AD16" t="str">
        <f t="shared" si="7"/>
        <v>Oppose</v>
      </c>
      <c r="AE16" s="32">
        <f t="shared" si="8"/>
        <v>5</v>
      </c>
      <c r="AF16">
        <f>step3_validation[[#This Row],[AI_FAC2]]</f>
        <v>9</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3</v>
      </c>
      <c r="AK16">
        <f>step3_validation[[#This Row],[AI_TRU1]]</f>
        <v>7</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6</v>
      </c>
      <c r="AP16">
        <f>step3_validation[[#This Row],[AI_TRU2]]</f>
        <v>8</v>
      </c>
      <c r="AQ16" t="str">
        <f t="shared" si="15"/>
        <v>Support</v>
      </c>
      <c r="AR16">
        <f>survey_responses[[#This Row],[Tôi thấy mức thuế tôi phải đóng theo phương án mới là công bằng (người thu nhập như tôi đóng mức này là hợp lý). - HUMAN-TRU2]]</f>
        <v>1</v>
      </c>
      <c r="AS16" t="str">
        <f t="shared" si="16"/>
        <v>Oppose</v>
      </c>
      <c r="AT16" s="32">
        <f t="shared" si="17"/>
        <v>7</v>
      </c>
      <c r="AU16">
        <f>step3_validation[[#This Row],[AI_TRU3]]</f>
        <v>6</v>
      </c>
      <c r="AV16" t="str">
        <f t="shared" si="18"/>
        <v>Neutral</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5</v>
      </c>
      <c r="AZ16">
        <f>step3_validation[[#This Row],[AI_TRU4]]</f>
        <v>5</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4</v>
      </c>
      <c r="BE16">
        <f>step3_validation[[#This Row],[AI_OUT1]]</f>
        <v>9</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8</v>
      </c>
    </row>
    <row r="17" spans="1:61" x14ac:dyDescent="0.45">
      <c r="A17" s="30">
        <f>step3_validation[[#This Row],[Persona_ID]]</f>
        <v>16</v>
      </c>
      <c r="B17" s="31">
        <f>step3_validation[[#This Row],[Used_Seed]]</f>
        <v>2006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97.031267340930881</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7</v>
      </c>
      <c r="R17" t="str">
        <f t="shared" si="0"/>
        <v>Neutral</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1</v>
      </c>
      <c r="V17">
        <f>step3_validation[[#This Row],[AI_ENF2]]</f>
        <v>6</v>
      </c>
      <c r="W17" t="str">
        <f t="shared" si="3"/>
        <v>Neutral</v>
      </c>
      <c r="X17">
        <f>survey_responses[[#This Row],[Tôi tin rằng Nhà nước, cơ quan thuế có đủ khả năng và công nghệ để phát hiện, xử lý nghiêm các hành vi trốn thuế. - HUMAN-ENF2]]</f>
        <v>8</v>
      </c>
      <c r="Y17" t="str">
        <f t="shared" si="4"/>
        <v>Support</v>
      </c>
      <c r="Z17" s="32">
        <f t="shared" si="5"/>
        <v>2</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7</v>
      </c>
      <c r="AL17" t="str">
        <f t="shared" si="12"/>
        <v>Neutral</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0</v>
      </c>
      <c r="AP17">
        <f>step3_validation[[#This Row],[AI_TRU2]]</f>
        <v>9</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2</v>
      </c>
      <c r="AU17">
        <f>step3_validation[[#This Row],[AI_TRU3]]</f>
        <v>7</v>
      </c>
      <c r="AV17" t="str">
        <f t="shared" si="18"/>
        <v>Neutral</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2</v>
      </c>
      <c r="AZ17">
        <f>step3_validation[[#This Row],[AI_TRU4]]</f>
        <v>6</v>
      </c>
      <c r="BA17" t="str">
        <f t="shared" si="21"/>
        <v>Neutral</v>
      </c>
      <c r="BB17">
        <f>survey_responses[[#This Row],[Tôi thấy Nhà nước đã giải thích rõ ràng, minh bạch về lý do và mục tiêu của việc sửa đổi thuế lần này. - HUMAN-TRU4]]</f>
        <v>8</v>
      </c>
      <c r="BC17" t="str">
        <f t="shared" si="22"/>
        <v>Support</v>
      </c>
      <c r="BD17" s="32">
        <f t="shared" si="23"/>
        <v>2</v>
      </c>
      <c r="BE17">
        <f>step3_validation[[#This Row],[AI_OUT1]]</f>
        <v>9</v>
      </c>
      <c r="BF17" t="str">
        <f t="shared" si="24"/>
        <v>Support</v>
      </c>
      <c r="BG17">
        <f>survey_responses[[#This Row],[Sau khi xem xét các quyền lợi và nghĩa vụ, bạn có ủng hộ và tuân thủ chính sách mới hiện nay? - HUMAN-OUT1]]</f>
        <v>7</v>
      </c>
      <c r="BH17" t="str">
        <f t="shared" si="25"/>
        <v>Neutral</v>
      </c>
      <c r="BI17" s="32">
        <f t="shared" si="26"/>
        <v>2</v>
      </c>
    </row>
    <row r="18" spans="1:61" x14ac:dyDescent="0.45">
      <c r="A18" s="30">
        <f>step3_validation[[#This Row],[Persona_ID]]</f>
        <v>17</v>
      </c>
      <c r="B18" s="31">
        <f>step3_validation[[#This Row],[Used_Seed]]</f>
        <v>2007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21.039487527118101</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9</v>
      </c>
      <c r="R18" t="str">
        <f t="shared" si="0"/>
        <v>Support</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3</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9</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4</v>
      </c>
      <c r="AF18">
        <f>step3_validation[[#This Row],[AI_FAC2]]</f>
        <v>8</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3</v>
      </c>
      <c r="AK18">
        <f>step3_validation[[#This Row],[AI_TRU1]]</f>
        <v>7</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1</v>
      </c>
      <c r="AP18">
        <f>step3_validation[[#This Row],[AI_TRU2]]</f>
        <v>9</v>
      </c>
      <c r="AQ18" t="str">
        <f t="shared" si="15"/>
        <v>Support</v>
      </c>
      <c r="AR18">
        <f>survey_responses[[#This Row],[Tôi thấy mức thuế tôi phải đóng theo phương án mới là công bằng (người thu nhập như tôi đóng mức này là hợp lý). - HUMAN-TRU2]]</f>
        <v>7</v>
      </c>
      <c r="AS18" t="str">
        <f t="shared" si="16"/>
        <v>Neutral</v>
      </c>
      <c r="AT18" s="32">
        <f t="shared" si="17"/>
        <v>2</v>
      </c>
      <c r="AU18">
        <f>step3_validation[[#This Row],[AI_TRU3]]</f>
        <v>7</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4</v>
      </c>
      <c r="AZ18">
        <f>step3_validation[[#This Row],[AI_TRU4]]</f>
        <v>8</v>
      </c>
      <c r="BA18" t="str">
        <f t="shared" si="21"/>
        <v>Support</v>
      </c>
      <c r="BB18">
        <f>survey_responses[[#This Row],[Tôi thấy Nhà nước đã giải thích rõ ràng, minh bạch về lý do và mục tiêu của việc sửa đổi thuế lần này. - HUMAN-TRU4]]</f>
        <v>4</v>
      </c>
      <c r="BC18" t="str">
        <f t="shared" si="22"/>
        <v>Oppose</v>
      </c>
      <c r="BD18" s="32">
        <f t="shared" si="23"/>
        <v>4</v>
      </c>
      <c r="BE18">
        <f>step3_validation[[#This Row],[AI_OUT1]]</f>
        <v>9</v>
      </c>
      <c r="BF18" t="str">
        <f t="shared" si="24"/>
        <v>Support</v>
      </c>
      <c r="BG18">
        <f>survey_responses[[#This Row],[Sau khi xem xét các quyền lợi và nghĩa vụ, bạn có ủng hộ và tuân thủ chính sách mới hiện nay? - HUMAN-OUT1]]</f>
        <v>5</v>
      </c>
      <c r="BH18" t="str">
        <f t="shared" si="25"/>
        <v>Neutral</v>
      </c>
      <c r="BI18" s="32">
        <f t="shared" si="26"/>
        <v>4</v>
      </c>
    </row>
    <row r="19" spans="1:61" x14ac:dyDescent="0.45">
      <c r="A19" s="30">
        <f>step3_validation[[#This Row],[Persona_ID]]</f>
        <v>18</v>
      </c>
      <c r="B19" s="31">
        <f>step3_validation[[#This Row],[Used_Seed]]</f>
        <v>2008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16.475787551693386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t="str">
        <f t="shared" si="0"/>
        <v>Support</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2</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9</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1</v>
      </c>
      <c r="AK19">
        <f>step3_validation[[#This Row],[AI_TRU1]]</f>
        <v>9</v>
      </c>
      <c r="AL19" t="str">
        <f t="shared" si="12"/>
        <v>Support</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9</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2</v>
      </c>
      <c r="AU19">
        <f>step3_validation[[#This Row],[AI_TRU3]]</f>
        <v>9</v>
      </c>
      <c r="AV19" t="str">
        <f t="shared" si="18"/>
        <v>Support</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2</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2009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133.36974784496124</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3</v>
      </c>
      <c r="V20">
        <f>step3_validation[[#This Row],[AI_ENF2]]</f>
        <v>8</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2</v>
      </c>
      <c r="AA20">
        <f>step3_validation[[#This Row],[AI_FAC1]]</f>
        <v>9</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4</v>
      </c>
      <c r="AF20">
        <f>step3_validation[[#This Row],[AI_FAC2]]</f>
        <v>9</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4</v>
      </c>
      <c r="AK20">
        <f>step3_validation[[#This Row],[AI_TRU1]]</f>
        <v>8</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3</v>
      </c>
      <c r="AP20">
        <f>step3_validation[[#This Row],[AI_TRU2]]</f>
        <v>9</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6</v>
      </c>
      <c r="AU20">
        <f>step3_validation[[#This Row],[AI_TRU3]]</f>
        <v>8</v>
      </c>
      <c r="AV20" t="str">
        <f t="shared" si="18"/>
        <v>Support</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6</v>
      </c>
      <c r="AZ20">
        <f>step3_validation[[#This Row],[AI_TRU4]]</f>
        <v>7</v>
      </c>
      <c r="BA20" t="str">
        <f t="shared" si="21"/>
        <v>Neutral</v>
      </c>
      <c r="BB20">
        <f>survey_responses[[#This Row],[Tôi thấy Nhà nước đã giải thích rõ ràng, minh bạch về lý do và mục tiêu của việc sửa đổi thuế lần này. - HUMAN-TRU4]]</f>
        <v>5</v>
      </c>
      <c r="BC20" t="str">
        <f t="shared" si="22"/>
        <v>Neutral</v>
      </c>
      <c r="BD20" s="32">
        <f t="shared" si="23"/>
        <v>2</v>
      </c>
      <c r="BE20">
        <f>step3_validation[[#This Row],[AI_OUT1]]</f>
        <v>9</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2010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53.113316152974953</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5</v>
      </c>
      <c r="R21" t="str">
        <f t="shared" si="0"/>
        <v>Neutral</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4</v>
      </c>
      <c r="V21">
        <f>step3_validation[[#This Row],[AI_ENF2]]</f>
        <v>6</v>
      </c>
      <c r="W21" t="str">
        <f t="shared" si="3"/>
        <v>Neutral</v>
      </c>
      <c r="X21">
        <f>survey_responses[[#This Row],[Tôi tin rằng Nhà nước, cơ quan thuế có đủ khả năng và công nghệ để phát hiện, xử lý nghiêm các hành vi trốn thuế. - HUMAN-ENF2]]</f>
        <v>9</v>
      </c>
      <c r="Y21" t="str">
        <f t="shared" si="4"/>
        <v>Support</v>
      </c>
      <c r="Z21" s="32">
        <f t="shared" si="5"/>
        <v>3</v>
      </c>
      <c r="AA21">
        <f>step3_validation[[#This Row],[AI_FAC1]]</f>
        <v>7</v>
      </c>
      <c r="AB21" t="str">
        <f t="shared" si="6"/>
        <v>Neutral</v>
      </c>
      <c r="AC21">
        <f>survey_responses[[#This Row],[Các thủ tục khai báo thuế VÀ/HOẶC quy trình làm việc với cơ quan thuế đơn giản, tiện lợi, nhanh chóng hơn so với trước đây. - HUMAN-FAC1]]</f>
        <v>7</v>
      </c>
      <c r="AD21" t="str">
        <f t="shared" si="7"/>
        <v>Neutral</v>
      </c>
      <c r="AE21" s="32">
        <f t="shared" si="8"/>
        <v>0</v>
      </c>
      <c r="AF21">
        <f>step3_validation[[#This Row],[AI_FAC2]]</f>
        <v>8</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1</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9</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1</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6</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1</v>
      </c>
      <c r="BE21">
        <f>step3_validation[[#This Row],[AI_OUT1]]</f>
        <v>8</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2</v>
      </c>
    </row>
    <row r="22" spans="1:61" x14ac:dyDescent="0.45">
      <c r="A22" s="30">
        <f>step3_validation[[#This Row],[Persona_ID]]</f>
        <v>21</v>
      </c>
      <c r="B22" s="31">
        <f>step3_validation[[#This Row],[Used_Seed]]</f>
        <v>2011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212.6300001360199</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3</v>
      </c>
      <c r="V22">
        <f>step3_validation[[#This Row],[AI_ENF2]]</f>
        <v>8</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2</v>
      </c>
      <c r="AA22">
        <f>step3_validation[[#This Row],[AI_FAC1]]</f>
        <v>9</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1</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8</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1</v>
      </c>
      <c r="AU22">
        <f>step3_validation[[#This Row],[AI_TRU3]]</f>
        <v>7</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5</v>
      </c>
      <c r="AZ22">
        <f>step3_validation[[#This Row],[AI_TRU4]]</f>
        <v>8</v>
      </c>
      <c r="BA22" t="str">
        <f t="shared" si="21"/>
        <v>Support</v>
      </c>
      <c r="BB22">
        <f>survey_responses[[#This Row],[Tôi thấy Nhà nước đã giải thích rõ ràng, minh bạch về lý do và mục tiêu của việc sửa đổi thuế lần này. - HUMAN-TRU4]]</f>
        <v>3</v>
      </c>
      <c r="BC22" t="str">
        <f t="shared" si="22"/>
        <v>Oppose</v>
      </c>
      <c r="BD22" s="32">
        <f t="shared" si="23"/>
        <v>5</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6</v>
      </c>
    </row>
    <row r="23" spans="1:61" x14ac:dyDescent="0.45">
      <c r="A23" s="30">
        <f>step3_validation[[#This Row],[Persona_ID]]</f>
        <v>22</v>
      </c>
      <c r="B23" s="31">
        <f>step3_validation[[#This Row],[Used_Seed]]</f>
        <v>2012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13.189093971466985</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8</v>
      </c>
      <c r="R23" t="str">
        <f t="shared" si="0"/>
        <v>Support</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0</v>
      </c>
      <c r="V23">
        <f>step3_validation[[#This Row],[AI_ENF2]]</f>
        <v>7</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2">
        <f t="shared" si="5"/>
        <v>1</v>
      </c>
      <c r="AA23">
        <f>step3_validation[[#This Row],[AI_FAC1]]</f>
        <v>9</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4</v>
      </c>
      <c r="AF23">
        <f>step3_validation[[#This Row],[AI_FAC2]]</f>
        <v>10</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2</v>
      </c>
      <c r="AK23">
        <f>step3_validation[[#This Row],[AI_TRU1]]</f>
        <v>9</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1</v>
      </c>
      <c r="AP23">
        <f>step3_validation[[#This Row],[AI_TRU2]]</f>
        <v>10</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2">
        <f t="shared" si="17"/>
        <v>2</v>
      </c>
      <c r="AU23">
        <f>step3_validation[[#This Row],[AI_TRU3]]</f>
        <v>9</v>
      </c>
      <c r="AV23" t="str">
        <f t="shared" si="18"/>
        <v>Support</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1</v>
      </c>
      <c r="AZ23">
        <f>step3_validation[[#This Row],[AI_TRU4]]</f>
        <v>8</v>
      </c>
      <c r="BA23" t="str">
        <f t="shared" si="21"/>
        <v>Support</v>
      </c>
      <c r="BB23">
        <f>survey_responses[[#This Row],[Tôi thấy Nhà nước đã giải thích rõ ràng, minh bạch về lý do và mục tiêu của việc sửa đổi thuế lần này. - HUMAN-TRU4]]</f>
        <v>8</v>
      </c>
      <c r="BC23" t="str">
        <f t="shared" si="22"/>
        <v>Support</v>
      </c>
      <c r="BD23" s="32">
        <f t="shared" si="23"/>
        <v>0</v>
      </c>
      <c r="BE23">
        <f>step3_validation[[#This Row],[AI_OUT1]]</f>
        <v>9</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1</v>
      </c>
    </row>
    <row r="24" spans="1:61" x14ac:dyDescent="0.45">
      <c r="A24" s="30">
        <f>step3_validation[[#This Row],[Persona_ID]]</f>
        <v>23</v>
      </c>
      <c r="B24" s="31">
        <f>step3_validation[[#This Row],[Used_Seed]]</f>
        <v>2013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78.405168822670689</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1</v>
      </c>
      <c r="V24">
        <f>step3_validation[[#This Row],[AI_ENF2]]</f>
        <v>7</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2</v>
      </c>
      <c r="AA24">
        <f>step3_validation[[#This Row],[AI_FAC1]]</f>
        <v>9</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4</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8</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3</v>
      </c>
      <c r="AU24">
        <f>step3_validation[[#This Row],[AI_TRU3]]</f>
        <v>6</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1</v>
      </c>
      <c r="AZ24">
        <f>step3_validation[[#This Row],[AI_TRU4]]</f>
        <v>7</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2</v>
      </c>
      <c r="BE24">
        <f>step3_validation[[#This Row],[AI_OUT1]]</f>
        <v>8</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3</v>
      </c>
    </row>
    <row r="25" spans="1:61" x14ac:dyDescent="0.45">
      <c r="A25" s="30">
        <f>step3_validation[[#This Row],[Persona_ID]]</f>
        <v>24</v>
      </c>
      <c r="B25" s="31">
        <f>step3_validation[[#This Row],[Used_Seed]]</f>
        <v>2014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30.348672224917316</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8</v>
      </c>
      <c r="R25" t="str">
        <f t="shared" si="0"/>
        <v>Support</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1</v>
      </c>
      <c r="V25">
        <f>step3_validation[[#This Row],[AI_ENF2]]</f>
        <v>7</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1</v>
      </c>
      <c r="AA25">
        <f>step3_validation[[#This Row],[AI_FAC1]]</f>
        <v>6</v>
      </c>
      <c r="AB25" t="str">
        <f t="shared" si="6"/>
        <v>Neutral</v>
      </c>
      <c r="AC25">
        <f>survey_responses[[#This Row],[Các thủ tục khai báo thuế VÀ/HOẶC quy trình làm việc với cơ quan thuế đơn giản, tiện lợi, nhanh chóng hơn so với trước đây. - HUMAN-FAC1]]</f>
        <v>6</v>
      </c>
      <c r="AD25" t="str">
        <f t="shared" si="7"/>
        <v>Neutral</v>
      </c>
      <c r="AE25" s="32">
        <f t="shared" si="8"/>
        <v>0</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9</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9</v>
      </c>
      <c r="AV25" t="str">
        <f t="shared" si="18"/>
        <v>Support</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3</v>
      </c>
      <c r="AZ25">
        <f>step3_validation[[#This Row],[AI_TRU4]]</f>
        <v>7</v>
      </c>
      <c r="BA25" t="str">
        <f t="shared" si="21"/>
        <v>Neutral</v>
      </c>
      <c r="BB25">
        <f>survey_responses[[#This Row],[Tôi thấy Nhà nước đã giải thích rõ ràng, minh bạch về lý do và mục tiêu của việc sửa đổi thuế lần này. - HUMAN-TRU4]]</f>
        <v>6</v>
      </c>
      <c r="BC25" t="str">
        <f t="shared" si="22"/>
        <v>Neutral</v>
      </c>
      <c r="BD25" s="32">
        <f t="shared" si="23"/>
        <v>1</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1</v>
      </c>
    </row>
    <row r="26" spans="1:61" x14ac:dyDescent="0.45">
      <c r="A26" s="30">
        <f>step3_validation[[#This Row],[Persona_ID]]</f>
        <v>25</v>
      </c>
      <c r="B26" s="31">
        <f>step3_validation[[#This Row],[Used_Seed]]</f>
        <v>2015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39.561083069743439</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8</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3</v>
      </c>
      <c r="AF26">
        <f>step3_validation[[#This Row],[AI_FAC2]]</f>
        <v>9</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9</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7</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4</v>
      </c>
      <c r="AZ26">
        <f>step3_validation[[#This Row],[AI_TRU4]]</f>
        <v>8</v>
      </c>
      <c r="BA26" t="str">
        <f t="shared" si="21"/>
        <v>Support</v>
      </c>
      <c r="BB26">
        <f>survey_responses[[#This Row],[Tôi thấy Nhà nước đã giải thích rõ ràng, minh bạch về lý do và mục tiêu của việc sửa đổi thuế lần này. - HUMAN-TRU4]]</f>
        <v>3</v>
      </c>
      <c r="BC26" t="str">
        <f t="shared" si="22"/>
        <v>Oppose</v>
      </c>
      <c r="BD26" s="32">
        <f t="shared" si="23"/>
        <v>5</v>
      </c>
      <c r="BE26">
        <f>step3_validation[[#This Row],[AI_OUT1]]</f>
        <v>9</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4</v>
      </c>
    </row>
    <row r="27" spans="1:61" x14ac:dyDescent="0.45">
      <c r="A27" s="30">
        <f>step3_validation[[#This Row],[Persona_ID]]</f>
        <v>26</v>
      </c>
      <c r="B27" s="31">
        <f>step3_validation[[#This Row],[Used_Seed]]</f>
        <v>2016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7</v>
      </c>
      <c r="R27" t="str">
        <f t="shared" si="0"/>
        <v>Neutral</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3</v>
      </c>
      <c r="V27">
        <f>step3_validation[[#This Row],[AI_ENF2]]</f>
        <v>6</v>
      </c>
      <c r="W27" t="str">
        <f t="shared" si="3"/>
        <v>Neutral</v>
      </c>
      <c r="X27">
        <f>survey_responses[[#This Row],[Tôi tin rằng Nhà nước, cơ quan thuế có đủ khả năng và công nghệ để phát hiện, xử lý nghiêm các hành vi trốn thuế. - HUMAN-ENF2]]</f>
        <v>10</v>
      </c>
      <c r="Y27" t="str">
        <f t="shared" si="4"/>
        <v>Support</v>
      </c>
      <c r="Z27" s="32">
        <f t="shared" si="5"/>
        <v>4</v>
      </c>
      <c r="AA27">
        <f>step3_validation[[#This Row],[AI_FAC1]]</f>
        <v>9</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1</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9</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3</v>
      </c>
      <c r="AP27">
        <f>step3_validation[[#This Row],[AI_TRU2]]</f>
        <v>8</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2">
        <f t="shared" si="17"/>
        <v>2</v>
      </c>
      <c r="AU27">
        <f>step3_validation[[#This Row],[AI_TRU3]]</f>
        <v>9</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8</v>
      </c>
      <c r="AZ27">
        <f>step3_validation[[#This Row],[AI_TRU4]]</f>
        <v>8</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2">
        <f t="shared" si="23"/>
        <v>4</v>
      </c>
      <c r="BE27">
        <f>step3_validation[[#This Row],[AI_OUT1]]</f>
        <v>9</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1</v>
      </c>
    </row>
    <row r="28" spans="1:61" x14ac:dyDescent="0.45">
      <c r="A28" s="30">
        <f>step3_validation[[#This Row],[Persona_ID]]</f>
        <v>27</v>
      </c>
      <c r="B28" s="31">
        <f>step3_validation[[#This Row],[Used_Seed]]</f>
        <v>2017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6</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5</v>
      </c>
      <c r="V28">
        <f>step3_validation[[#This Row],[AI_ENF2]]</f>
        <v>7</v>
      </c>
      <c r="W28" t="str">
        <f t="shared" si="3"/>
        <v>Neutral</v>
      </c>
      <c r="X28">
        <f>survey_responses[[#This Row],[Tôi tin rằng Nhà nước, cơ quan thuế có đủ khả năng và công nghệ để phát hiện, xử lý nghiêm các hành vi trốn thuế. - HUMAN-ENF2]]</f>
        <v>1</v>
      </c>
      <c r="Y28" t="str">
        <f t="shared" si="4"/>
        <v>Oppose</v>
      </c>
      <c r="Z28" s="32">
        <f t="shared" si="5"/>
        <v>6</v>
      </c>
      <c r="AA28">
        <f>step3_validation[[#This Row],[AI_FAC1]]</f>
        <v>8</v>
      </c>
      <c r="AB28" t="str">
        <f t="shared" si="6"/>
        <v>Support</v>
      </c>
      <c r="AC28">
        <f>survey_responses[[#This Row],[Các thủ tục khai báo thuế VÀ/HOẶC quy trình làm việc với cơ quan thuế đơn giản, tiện lợi, nhanh chóng hơn so với trước đây. - HUMAN-FAC1]]</f>
        <v>1</v>
      </c>
      <c r="AD28" t="str">
        <f t="shared" si="7"/>
        <v>Oppose</v>
      </c>
      <c r="AE28" s="32">
        <f t="shared" si="8"/>
        <v>7</v>
      </c>
      <c r="AF28">
        <f>step3_validation[[#This Row],[AI_FAC2]]</f>
        <v>9</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8</v>
      </c>
      <c r="AK28">
        <f>step3_validation[[#This Row],[AI_TRU1]]</f>
        <v>8</v>
      </c>
      <c r="AL28" t="str">
        <f t="shared" si="12"/>
        <v>Support</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7</v>
      </c>
      <c r="AP28">
        <f>step3_validation[[#This Row],[AI_TRU2]]</f>
        <v>9</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8</v>
      </c>
      <c r="AU28">
        <f>step3_validation[[#This Row],[AI_TRU3]]</f>
        <v>8</v>
      </c>
      <c r="AV28" t="str">
        <f t="shared" si="18"/>
        <v>Support</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7</v>
      </c>
      <c r="AZ28">
        <f>step3_validation[[#This Row],[AI_TRU4]]</f>
        <v>7</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6</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8</v>
      </c>
    </row>
    <row r="29" spans="1:61" x14ac:dyDescent="0.45">
      <c r="A29" s="30">
        <f>step3_validation[[#This Row],[Persona_ID]]</f>
        <v>28</v>
      </c>
      <c r="B29" s="31">
        <f>step3_validation[[#This Row],[Used_Seed]]</f>
        <v>2018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14.437016462564985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6</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5</v>
      </c>
      <c r="V29">
        <f>step3_validation[[#This Row],[AI_ENF2]]</f>
        <v>7</v>
      </c>
      <c r="W29" t="str">
        <f t="shared" si="3"/>
        <v>Neutral</v>
      </c>
      <c r="X29">
        <f>survey_responses[[#This Row],[Tôi tin rằng Nhà nước, cơ quan thuế có đủ khả năng và công nghệ để phát hiện, xử lý nghiêm các hành vi trốn thuế. - HUMAN-ENF2]]</f>
        <v>1</v>
      </c>
      <c r="Y29" t="str">
        <f t="shared" si="4"/>
        <v>Oppose</v>
      </c>
      <c r="Z29" s="32">
        <f t="shared" si="5"/>
        <v>6</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9</v>
      </c>
      <c r="AL29" t="str">
        <f t="shared" si="12"/>
        <v>Support</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8</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9</v>
      </c>
      <c r="AV29" t="str">
        <f t="shared" si="18"/>
        <v>Support</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8</v>
      </c>
      <c r="AZ29">
        <f>step3_validation[[#This Row],[AI_TRU4]]</f>
        <v>8</v>
      </c>
      <c r="BA29" t="str">
        <f t="shared" si="21"/>
        <v>Support</v>
      </c>
      <c r="BB29">
        <f>survey_responses[[#This Row],[Tôi thấy Nhà nước đã giải thích rõ ràng, minh bạch về lý do và mục tiêu của việc sửa đổi thuế lần này. - HUMAN-TRU4]]</f>
        <v>1</v>
      </c>
      <c r="BC29" t="str">
        <f t="shared" si="22"/>
        <v>Oppose</v>
      </c>
      <c r="BD29" s="32">
        <f t="shared" si="23"/>
        <v>7</v>
      </c>
      <c r="BE29">
        <f>step3_validation[[#This Row],[AI_OUT1]]</f>
        <v>9</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8</v>
      </c>
    </row>
    <row r="30" spans="1:61" x14ac:dyDescent="0.45">
      <c r="A30" s="30">
        <f>step3_validation[[#This Row],[Persona_ID]]</f>
        <v>29</v>
      </c>
      <c r="B30" s="31">
        <f>step3_validation[[#This Row],[Used_Seed]]</f>
        <v>2019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12.723498198559733</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4</v>
      </c>
      <c r="V30">
        <f>step3_validation[[#This Row],[AI_ENF2]]</f>
        <v>5</v>
      </c>
      <c r="W30" t="str">
        <f t="shared" si="3"/>
        <v>Neutral</v>
      </c>
      <c r="X30">
        <f>survey_responses[[#This Row],[Tôi tin rằng Nhà nước, cơ quan thuế có đủ khả năng và công nghệ để phát hiện, xử lý nghiêm các hành vi trốn thuế. - HUMAN-ENF2]]</f>
        <v>10</v>
      </c>
      <c r="Y30" t="str">
        <f t="shared" si="4"/>
        <v>Support</v>
      </c>
      <c r="Z30" s="32">
        <f t="shared" si="5"/>
        <v>5</v>
      </c>
      <c r="AA30">
        <f>step3_validation[[#This Row],[AI_FAC1]]</f>
        <v>9</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0</v>
      </c>
      <c r="AF30">
        <f>step3_validation[[#This Row],[AI_FAC2]]</f>
        <v>8</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2</v>
      </c>
      <c r="AK30">
        <f>step3_validation[[#This Row],[AI_TRU1]]</f>
        <v>7</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3</v>
      </c>
      <c r="AP30">
        <f>step3_validation[[#This Row],[AI_TRU2]]</f>
        <v>9</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0</v>
      </c>
      <c r="AU30">
        <f>step3_validation[[#This Row],[AI_TRU3]]</f>
        <v>8</v>
      </c>
      <c r="AV30" t="str">
        <f t="shared" si="18"/>
        <v>Support</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2</v>
      </c>
      <c r="AZ30">
        <f>step3_validation[[#This Row],[AI_TRU4]]</f>
        <v>7</v>
      </c>
      <c r="BA30" t="str">
        <f t="shared" si="21"/>
        <v>Neutral</v>
      </c>
      <c r="BB30">
        <f>survey_responses[[#This Row],[Tôi thấy Nhà nước đã giải thích rõ ràng, minh bạch về lý do và mục tiêu của việc sửa đổi thuế lần này. - HUMAN-TRU4]]</f>
        <v>10</v>
      </c>
      <c r="BC30" t="str">
        <f t="shared" si="22"/>
        <v>Support</v>
      </c>
      <c r="BD30" s="32">
        <f t="shared" si="23"/>
        <v>3</v>
      </c>
      <c r="BE30">
        <f>step3_validation[[#This Row],[AI_OUT1]]</f>
        <v>9</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1</v>
      </c>
    </row>
    <row r="31" spans="1:61" x14ac:dyDescent="0.45">
      <c r="A31" s="30">
        <f>step3_validation[[#This Row],[Persona_ID]]</f>
        <v>30</v>
      </c>
      <c r="B31" s="31">
        <f>step3_validation[[#This Row],[Used_Seed]]</f>
        <v>2020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14.341537716611434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6</v>
      </c>
      <c r="R31" t="str">
        <f t="shared" si="0"/>
        <v>Neutral</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4</v>
      </c>
      <c r="V31">
        <f>step3_validation[[#This Row],[AI_ENF2]]</f>
        <v>6</v>
      </c>
      <c r="W31" t="str">
        <f t="shared" si="3"/>
        <v>Neutral</v>
      </c>
      <c r="X31">
        <f>survey_responses[[#This Row],[Tôi tin rằng Nhà nước, cơ quan thuế có đủ khả năng và công nghệ để phát hiện, xử lý nghiêm các hành vi trốn thuế. - HUMAN-ENF2]]</f>
        <v>10</v>
      </c>
      <c r="Y31" t="str">
        <f t="shared" si="4"/>
        <v>Support</v>
      </c>
      <c r="Z31" s="32">
        <f t="shared" si="5"/>
        <v>4</v>
      </c>
      <c r="AA31">
        <f>step3_validation[[#This Row],[AI_FAC1]]</f>
        <v>8</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1</v>
      </c>
      <c r="AF31">
        <f>step3_validation[[#This Row],[AI_FAC2]]</f>
        <v>9</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1</v>
      </c>
      <c r="AK31">
        <f>step3_validation[[#This Row],[AI_TRU1]]</f>
        <v>8</v>
      </c>
      <c r="AL31" t="str">
        <f t="shared" si="12"/>
        <v>Support</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2</v>
      </c>
      <c r="AP31">
        <f>step3_validation[[#This Row],[AI_TRU2]]</f>
        <v>9</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1</v>
      </c>
      <c r="AU31">
        <f>step3_validation[[#This Row],[AI_TRU3]]</f>
        <v>8</v>
      </c>
      <c r="AV31" t="str">
        <f t="shared" si="18"/>
        <v>Support</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2</v>
      </c>
      <c r="AZ31">
        <f>step3_validation[[#This Row],[AI_TRU4]]</f>
        <v>8</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2">
        <f t="shared" si="23"/>
        <v>2</v>
      </c>
      <c r="BE31">
        <f>step3_validation[[#This Row],[AI_OUT1]]</f>
        <v>9</v>
      </c>
      <c r="BF31" t="str">
        <f t="shared" si="24"/>
        <v>Support</v>
      </c>
      <c r="BG31">
        <f>survey_responses[[#This Row],[Sau khi xem xét các quyền lợi và nghĩa vụ, bạn có ủng hộ và tuân thủ chính sách mới hiện nay? - HUMAN-OUT1]]</f>
        <v>10</v>
      </c>
      <c r="BH31" t="str">
        <f t="shared" si="25"/>
        <v>Support</v>
      </c>
      <c r="BI31" s="32">
        <f t="shared" si="26"/>
        <v>1</v>
      </c>
    </row>
    <row r="32" spans="1:61" x14ac:dyDescent="0.45">
      <c r="A32" s="30">
        <f>step3_validation[[#This Row],[Persona_ID]]</f>
        <v>31</v>
      </c>
      <c r="B32" s="31">
        <f>step3_validation[[#This Row],[Used_Seed]]</f>
        <v>2021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29.055582623477338</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3</v>
      </c>
      <c r="V32">
        <f>step3_validation[[#This Row],[AI_ENF2]]</f>
        <v>6</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8</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2</v>
      </c>
      <c r="AF32">
        <f>step3_validation[[#This Row],[AI_FAC2]]</f>
        <v>9</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9</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2">
        <f t="shared" si="17"/>
        <v>1</v>
      </c>
      <c r="AU32">
        <f>step3_validation[[#This Row],[AI_TRU3]]</f>
        <v>7</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4</v>
      </c>
      <c r="AZ32">
        <f>step3_validation[[#This Row],[AI_TRU4]]</f>
        <v>8</v>
      </c>
      <c r="BA32" t="str">
        <f t="shared" si="21"/>
        <v>Support</v>
      </c>
      <c r="BB32">
        <f>survey_responses[[#This Row],[Tôi thấy Nhà nước đã giải thích rõ ràng, minh bạch về lý do và mục tiêu của việc sửa đổi thuế lần này. - HUMAN-TRU4]]</f>
        <v>5</v>
      </c>
      <c r="BC32" t="str">
        <f t="shared" si="22"/>
        <v>Neutral</v>
      </c>
      <c r="BD32" s="32">
        <f t="shared" si="23"/>
        <v>3</v>
      </c>
      <c r="BE32">
        <f>step3_validation[[#This Row],[AI_OUT1]]</f>
        <v>9</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2022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24.979408507620796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1</v>
      </c>
      <c r="V33">
        <f>step3_validation[[#This Row],[AI_ENF2]]</f>
        <v>6</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1</v>
      </c>
      <c r="AA33">
        <f>step3_validation[[#This Row],[AI_FAC1]]</f>
        <v>8</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3</v>
      </c>
      <c r="AF33">
        <f>step3_validation[[#This Row],[AI_FAC2]]</f>
        <v>9</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4</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9</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4</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8</v>
      </c>
      <c r="BA33" t="str">
        <f t="shared" si="21"/>
        <v>Support</v>
      </c>
      <c r="BB33">
        <f>survey_responses[[#This Row],[Tôi thấy Nhà nước đã giải thích rõ ràng, minh bạch về lý do và mục tiêu của việc sửa đổi thuế lần này. - HUMAN-TRU4]]</f>
        <v>5</v>
      </c>
      <c r="BC33" t="str">
        <f t="shared" si="22"/>
        <v>Neutral</v>
      </c>
      <c r="BD33" s="32">
        <f t="shared" si="23"/>
        <v>3</v>
      </c>
      <c r="BE33">
        <f>step3_validation[[#This Row],[AI_OUT1]]</f>
        <v>9</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4</v>
      </c>
    </row>
    <row r="34" spans="1:61" x14ac:dyDescent="0.45">
      <c r="A34" s="30">
        <f>step3_validation[[#This Row],[Persona_ID]]</f>
        <v>33</v>
      </c>
      <c r="B34" s="31">
        <f>step3_validation[[#This Row],[Used_Seed]]</f>
        <v>2023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23.704435638102275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6</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2</v>
      </c>
      <c r="V34">
        <f>step3_validation[[#This Row],[AI_ENF2]]</f>
        <v>6</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2">
        <f t="shared" si="5"/>
        <v>3</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2</v>
      </c>
      <c r="AF34">
        <f>step3_validation[[#This Row],[AI_FAC2]]</f>
        <v>8</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0</v>
      </c>
      <c r="AK34">
        <f>step3_validation[[#This Row],[AI_TRU1]]</f>
        <v>7</v>
      </c>
      <c r="AL34" t="str">
        <f t="shared" si="12"/>
        <v>Neutral</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1</v>
      </c>
      <c r="AP34">
        <f>step3_validation[[#This Row],[AI_TRU2]]</f>
        <v>8</v>
      </c>
      <c r="AQ34" t="str">
        <f t="shared" si="15"/>
        <v>Support</v>
      </c>
      <c r="AR34">
        <f>survey_responses[[#This Row],[Tôi thấy mức thuế tôi phải đóng theo phương án mới là công bằng (người thu nhập như tôi đóng mức này là hợp lý). - HUMAN-TRU2]]</f>
        <v>8</v>
      </c>
      <c r="AS34" t="str">
        <f t="shared" si="16"/>
        <v>Support</v>
      </c>
      <c r="AT34" s="32">
        <f t="shared" si="17"/>
        <v>0</v>
      </c>
      <c r="AU34">
        <f>step3_validation[[#This Row],[AI_TRU3]]</f>
        <v>6</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3</v>
      </c>
      <c r="AZ34">
        <f>step3_validation[[#This Row],[AI_TRU4]]</f>
        <v>7</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1</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2024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15.379156689906409</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7</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3</v>
      </c>
      <c r="V35">
        <f>step3_validation[[#This Row],[AI_ENF2]]</f>
        <v>6</v>
      </c>
      <c r="W35" t="str">
        <f t="shared" si="3"/>
        <v>Neutral</v>
      </c>
      <c r="X35">
        <f>survey_responses[[#This Row],[Tôi tin rằng Nhà nước, cơ quan thuế có đủ khả năng và công nghệ để phát hiện, xử lý nghiêm các hành vi trốn thuế. - HUMAN-ENF2]]</f>
        <v>10</v>
      </c>
      <c r="Y35" t="str">
        <f t="shared" si="4"/>
        <v>Support</v>
      </c>
      <c r="Z35" s="32">
        <f t="shared" si="5"/>
        <v>4</v>
      </c>
      <c r="AA35">
        <f>step3_validation[[#This Row],[AI_FAC1]]</f>
        <v>5</v>
      </c>
      <c r="AB35" t="str">
        <f t="shared" si="6"/>
        <v>Neutral</v>
      </c>
      <c r="AC35">
        <f>survey_responses[[#This Row],[Các thủ tục khai báo thuế VÀ/HOẶC quy trình làm việc với cơ quan thuế đơn giản, tiện lợi, nhanh chóng hơn so với trước đây. - HUMAN-FAC1]]</f>
        <v>10</v>
      </c>
      <c r="AD35" t="str">
        <f t="shared" si="7"/>
        <v>Support</v>
      </c>
      <c r="AE35" s="32">
        <f t="shared" si="8"/>
        <v>5</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6</v>
      </c>
      <c r="AL35" t="str">
        <f t="shared" si="12"/>
        <v>Neutral</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4</v>
      </c>
      <c r="AP35">
        <f>step3_validation[[#This Row],[AI_TRU2]]</f>
        <v>9</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1</v>
      </c>
      <c r="AU35">
        <f>step3_validation[[#This Row],[AI_TRU3]]</f>
        <v>6</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4</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2">
        <f t="shared" si="23"/>
        <v>2</v>
      </c>
      <c r="BE35">
        <f>step3_validation[[#This Row],[AI_OUT1]]</f>
        <v>7</v>
      </c>
      <c r="BF35" t="str">
        <f t="shared" si="24"/>
        <v>Neutral</v>
      </c>
      <c r="BG35">
        <f>survey_responses[[#This Row],[Sau khi xem xét các quyền lợi và nghĩa vụ, bạn có ủng hộ và tuân thủ chính sách mới hiện nay? - HUMAN-OUT1]]</f>
        <v>10</v>
      </c>
      <c r="BH35" t="str">
        <f t="shared" si="25"/>
        <v>Support</v>
      </c>
      <c r="BI35" s="32">
        <f t="shared" si="26"/>
        <v>3</v>
      </c>
    </row>
    <row r="36" spans="1:61" x14ac:dyDescent="0.45">
      <c r="A36" s="30">
        <f>step3_validation[[#This Row],[Persona_ID]]</f>
        <v>35</v>
      </c>
      <c r="B36" s="31">
        <f>step3_validation[[#This Row],[Used_Seed]]</f>
        <v>2025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16.972289025838805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t="str">
        <f t="shared" si="0"/>
        <v>Support</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2</v>
      </c>
      <c r="V36">
        <f>step3_validation[[#This Row],[AI_ENF2]]</f>
        <v>7</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3</v>
      </c>
      <c r="AA36">
        <f>step3_validation[[#This Row],[AI_FAC1]]</f>
        <v>7</v>
      </c>
      <c r="AB36" t="str">
        <f t="shared" si="6"/>
        <v>Neutral</v>
      </c>
      <c r="AC36">
        <f>survey_responses[[#This Row],[Các thủ tục khai báo thuế VÀ/HOẶC quy trình làm việc với cơ quan thuế đơn giản, tiện lợi, nhanh chóng hơn so với trước đây. - HUMAN-FAC1]]</f>
        <v>10</v>
      </c>
      <c r="AD36" t="str">
        <f t="shared" si="7"/>
        <v>Support</v>
      </c>
      <c r="AE36" s="32">
        <f t="shared" si="8"/>
        <v>3</v>
      </c>
      <c r="AF36">
        <f>step3_validation[[#This Row],[AI_FAC2]]</f>
        <v>9</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1</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9</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1</v>
      </c>
      <c r="AU36">
        <f>step3_validation[[#This Row],[AI_TRU3]]</f>
        <v>8</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2</v>
      </c>
      <c r="AZ36">
        <f>step3_validation[[#This Row],[AI_TRU4]]</f>
        <v>7</v>
      </c>
      <c r="BA36" t="str">
        <f t="shared" si="21"/>
        <v>Neutral</v>
      </c>
      <c r="BB36">
        <f>survey_responses[[#This Row],[Tôi thấy Nhà nước đã giải thích rõ ràng, minh bạch về lý do và mục tiêu của việc sửa đổi thuế lần này. - HUMAN-TRU4]]</f>
        <v>10</v>
      </c>
      <c r="BC36" t="str">
        <f t="shared" si="22"/>
        <v>Support</v>
      </c>
      <c r="BD36" s="32">
        <f t="shared" si="23"/>
        <v>3</v>
      </c>
      <c r="BE36">
        <f>step3_validation[[#This Row],[AI_OUT1]]</f>
        <v>9</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1</v>
      </c>
    </row>
    <row r="37" spans="1:61" x14ac:dyDescent="0.45">
      <c r="A37" s="30">
        <f>step3_validation[[#This Row],[Persona_ID]]</f>
        <v>36</v>
      </c>
      <c r="B37" s="31">
        <f>step3_validation[[#This Row],[Used_Seed]]</f>
        <v>2026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12.894674068377181</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8</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1</v>
      </c>
      <c r="AA37">
        <f>step3_validation[[#This Row],[AI_FAC1]]</f>
        <v>9</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1</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9</v>
      </c>
      <c r="AL37" t="str">
        <f t="shared" si="12"/>
        <v>Support</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1</v>
      </c>
      <c r="AP37">
        <f>step3_validation[[#This Row],[AI_TRU2]]</f>
        <v>9</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0</v>
      </c>
      <c r="AU37">
        <f>step3_validation[[#This Row],[AI_TRU3]]</f>
        <v>8</v>
      </c>
      <c r="AV37" t="str">
        <f t="shared" si="18"/>
        <v>Support</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2</v>
      </c>
      <c r="AZ37">
        <f>step3_validation[[#This Row],[AI_TRU4]]</f>
        <v>7</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3</v>
      </c>
      <c r="BE37">
        <f>step3_validation[[#This Row],[AI_OUT1]]</f>
        <v>9</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1</v>
      </c>
    </row>
    <row r="38" spans="1:61" x14ac:dyDescent="0.45">
      <c r="A38" s="30">
        <f>step3_validation[[#This Row],[Persona_ID]]</f>
        <v>37</v>
      </c>
      <c r="B38" s="31">
        <f>step3_validation[[#This Row],[Used_Seed]]</f>
        <v>2027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12.040027302028836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9</v>
      </c>
      <c r="R38" t="str">
        <f t="shared" si="0"/>
        <v>Support</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1</v>
      </c>
      <c r="V38">
        <f>step3_validation[[#This Row],[AI_ENF2]]</f>
        <v>8</v>
      </c>
      <c r="W38" t="str">
        <f t="shared" si="3"/>
        <v>Support</v>
      </c>
      <c r="X38">
        <f>survey_responses[[#This Row],[Tôi tin rằng Nhà nước, cơ quan thuế có đủ khả năng và công nghệ để phát hiện, xử lý nghiêm các hành vi trốn thuế. - HUMAN-ENF2]]</f>
        <v>10</v>
      </c>
      <c r="Y38" t="str">
        <f t="shared" si="4"/>
        <v>Support</v>
      </c>
      <c r="Z38" s="32">
        <f t="shared" si="5"/>
        <v>2</v>
      </c>
      <c r="AA38">
        <f>step3_validation[[#This Row],[AI_FAC1]]</f>
        <v>9</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1</v>
      </c>
      <c r="AF38">
        <f>step3_validation[[#This Row],[AI_FAC2]]</f>
        <v>8</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2</v>
      </c>
      <c r="AK38">
        <f>step3_validation[[#This Row],[AI_TRU1]]</f>
        <v>9</v>
      </c>
      <c r="AL38" t="str">
        <f t="shared" si="12"/>
        <v>Support</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0</v>
      </c>
      <c r="AP38">
        <f>step3_validation[[#This Row],[AI_TRU2]]</f>
        <v>8</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1</v>
      </c>
      <c r="AU38">
        <f>step3_validation[[#This Row],[AI_TRU3]]</f>
        <v>9</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0</v>
      </c>
      <c r="AZ38">
        <f>step3_validation[[#This Row],[AI_TRU4]]</f>
        <v>8</v>
      </c>
      <c r="BA38" t="str">
        <f t="shared" si="21"/>
        <v>Support</v>
      </c>
      <c r="BB38">
        <f>survey_responses[[#This Row],[Tôi thấy Nhà nước đã giải thích rõ ràng, minh bạch về lý do và mục tiêu của việc sửa đổi thuế lần này. - HUMAN-TRU4]]</f>
        <v>9</v>
      </c>
      <c r="BC38" t="str">
        <f t="shared" si="22"/>
        <v>Support</v>
      </c>
      <c r="BD38" s="32">
        <f t="shared" si="23"/>
        <v>1</v>
      </c>
      <c r="BE38">
        <f>step3_validation[[#This Row],[AI_OUT1]]</f>
        <v>9</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1</v>
      </c>
    </row>
    <row r="39" spans="1:61" x14ac:dyDescent="0.45">
      <c r="A39" s="30">
        <f>step3_validation[[#This Row],[Persona_ID]]</f>
        <v>38</v>
      </c>
      <c r="B39" s="31">
        <f>step3_validation[[#This Row],[Used_Seed]]</f>
        <v>2028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37.801284728450995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8</v>
      </c>
      <c r="R39" t="str">
        <f t="shared" si="0"/>
        <v>Support</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0</v>
      </c>
      <c r="V39">
        <f>step3_validation[[#This Row],[AI_ENF2]]</f>
        <v>9</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1</v>
      </c>
      <c r="AA39">
        <f>step3_validation[[#This Row],[AI_FAC1]]</f>
        <v>8</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0</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0</v>
      </c>
      <c r="AP39">
        <f>step3_validation[[#This Row],[AI_TRU2]]</f>
        <v>9</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2">
        <f t="shared" si="17"/>
        <v>1</v>
      </c>
      <c r="AU39">
        <f>step3_validation[[#This Row],[AI_TRU3]]</f>
        <v>8</v>
      </c>
      <c r="AV39" t="str">
        <f t="shared" si="18"/>
        <v>Support</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0</v>
      </c>
      <c r="AZ39">
        <f>step3_validation[[#This Row],[AI_TRU4]]</f>
        <v>9</v>
      </c>
      <c r="BA39" t="str">
        <f t="shared" si="21"/>
        <v>Support</v>
      </c>
      <c r="BB39">
        <f>survey_responses[[#This Row],[Tôi thấy Nhà nước đã giải thích rõ ràng, minh bạch về lý do và mục tiêu của việc sửa đổi thuế lần này. - HUMAN-TRU4]]</f>
        <v>8</v>
      </c>
      <c r="BC39" t="str">
        <f t="shared" si="22"/>
        <v>Support</v>
      </c>
      <c r="BD39" s="32">
        <f t="shared" si="23"/>
        <v>1</v>
      </c>
      <c r="BE39">
        <f>step3_validation[[#This Row],[AI_OUT1]]</f>
        <v>8</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0</v>
      </c>
    </row>
    <row r="40" spans="1:61" x14ac:dyDescent="0.45">
      <c r="A40" s="30">
        <f>step3_validation[[#This Row],[Persona_ID]]</f>
        <v>39</v>
      </c>
      <c r="B40" s="31">
        <f>step3_validation[[#This Row],[Used_Seed]]</f>
        <v>2029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15.995588382567147</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3</v>
      </c>
      <c r="V40">
        <f>step3_validation[[#This Row],[AI_ENF2]]</f>
        <v>9</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2">
        <f t="shared" si="5"/>
        <v>1</v>
      </c>
      <c r="AA40">
        <f>step3_validation[[#This Row],[AI_FAC1]]</f>
        <v>8</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2</v>
      </c>
      <c r="AF40">
        <f>step3_validation[[#This Row],[AI_FAC2]]</f>
        <v>9</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1</v>
      </c>
      <c r="AK40">
        <f>step3_validation[[#This Row],[AI_TRU1]]</f>
        <v>8</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2</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1</v>
      </c>
      <c r="AU40">
        <f>step3_validation[[#This Row],[AI_TRU3]]</f>
        <v>8</v>
      </c>
      <c r="AV40" t="str">
        <f t="shared" si="18"/>
        <v>Support</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2</v>
      </c>
      <c r="AZ40">
        <f>step3_validation[[#This Row],[AI_TRU4]]</f>
        <v>9</v>
      </c>
      <c r="BA40" t="str">
        <f t="shared" si="21"/>
        <v>Support</v>
      </c>
      <c r="BB40">
        <f>survey_responses[[#This Row],[Tôi thấy Nhà nước đã giải thích rõ ràng, minh bạch về lý do và mục tiêu của việc sửa đổi thuế lần này. - HUMAN-TRU4]]</f>
        <v>10</v>
      </c>
      <c r="BC40" t="str">
        <f t="shared" si="22"/>
        <v>Support</v>
      </c>
      <c r="BD40" s="32">
        <f t="shared" si="23"/>
        <v>1</v>
      </c>
      <c r="BE40">
        <f>step3_validation[[#This Row],[AI_OUT1]]</f>
        <v>9</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1</v>
      </c>
    </row>
    <row r="41" spans="1:61" x14ac:dyDescent="0.45">
      <c r="A41" s="30">
        <f>step3_validation[[#This Row],[Persona_ID]]</f>
        <v>40</v>
      </c>
      <c r="B41" s="31">
        <f>step3_validation[[#This Row],[Used_Seed]]</f>
        <v>2030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160.65358296339355</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t="str">
        <f t="shared" si="0"/>
        <v>Neutral</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6</v>
      </c>
      <c r="W41" t="str">
        <f t="shared" si="3"/>
        <v>Neutral</v>
      </c>
      <c r="X41">
        <f>survey_responses[[#This Row],[Tôi tin rằng Nhà nước, cơ quan thuế có đủ khả năng và công nghệ để phát hiện, xử lý nghiêm các hành vi trốn thuế. - HUMAN-ENF2]]</f>
        <v>8</v>
      </c>
      <c r="Y41" t="str">
        <f t="shared" si="4"/>
        <v>Support</v>
      </c>
      <c r="Z41" s="32">
        <f t="shared" si="5"/>
        <v>2</v>
      </c>
      <c r="AA41">
        <f>step3_validation[[#This Row],[AI_FAC1]]</f>
        <v>9</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3</v>
      </c>
      <c r="AF41">
        <f>step3_validation[[#This Row],[AI_FAC2]]</f>
        <v>8</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0</v>
      </c>
      <c r="AK41">
        <f>step3_validation[[#This Row],[AI_TRU1]]</f>
        <v>9</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2</v>
      </c>
      <c r="AP41">
        <f>step3_validation[[#This Row],[AI_TRU2]]</f>
        <v>8</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2">
        <f t="shared" si="17"/>
        <v>0</v>
      </c>
      <c r="AU41">
        <f>step3_validation[[#This Row],[AI_TRU3]]</f>
        <v>9</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4</v>
      </c>
      <c r="AZ41">
        <f>step3_validation[[#This Row],[AI_TRU4]]</f>
        <v>7</v>
      </c>
      <c r="BA41" t="str">
        <f t="shared" si="21"/>
        <v>Neutral</v>
      </c>
      <c r="BB41">
        <f>survey_responses[[#This Row],[Tôi thấy Nhà nước đã giải thích rõ ràng, minh bạch về lý do và mục tiêu của việc sửa đổi thuế lần này. - HUMAN-TRU4]]</f>
        <v>6</v>
      </c>
      <c r="BC41" t="str">
        <f t="shared" si="22"/>
        <v>Neutral</v>
      </c>
      <c r="BD41" s="32">
        <f t="shared" si="23"/>
        <v>1</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2</v>
      </c>
    </row>
    <row r="42" spans="1:61" x14ac:dyDescent="0.45">
      <c r="A42" s="30">
        <f>step3_validation[[#This Row],[Persona_ID]]</f>
        <v>41</v>
      </c>
      <c r="B42" s="31">
        <f>step3_validation[[#This Row],[Used_Seed]]</f>
        <v>2031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81.953873229830037</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t="str">
        <f t="shared" si="0"/>
        <v>Support</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1</v>
      </c>
      <c r="V42">
        <f>step3_validation[[#This Row],[AI_ENF2]]</f>
        <v>7</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2">
        <f t="shared" si="5"/>
        <v>1</v>
      </c>
      <c r="AA42">
        <f>step3_validation[[#This Row],[AI_FAC1]]</f>
        <v>9</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2</v>
      </c>
      <c r="AF42">
        <f>step3_validation[[#This Row],[AI_FAC2]]</f>
        <v>8</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0</v>
      </c>
      <c r="AK42">
        <f>step3_validation[[#This Row],[AI_TRU1]]</f>
        <v>9</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2</v>
      </c>
      <c r="AP42">
        <f>step3_validation[[#This Row],[AI_TRU2]]</f>
        <v>8</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4</v>
      </c>
      <c r="AU42">
        <f>step3_validation[[#This Row],[AI_TRU3]]</f>
        <v>9</v>
      </c>
      <c r="AV42" t="str">
        <f t="shared" si="18"/>
        <v>Support</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7</v>
      </c>
      <c r="AZ42">
        <f>step3_validation[[#This Row],[AI_TRU4]]</f>
        <v>8</v>
      </c>
      <c r="BA42" t="str">
        <f t="shared" si="21"/>
        <v>Support</v>
      </c>
      <c r="BB42">
        <f>survey_responses[[#This Row],[Tôi thấy Nhà nước đã giải thích rõ ràng, minh bạch về lý do và mục tiêu của việc sửa đổi thuế lần này. - HUMAN-TRU4]]</f>
        <v>8</v>
      </c>
      <c r="BC42" t="str">
        <f t="shared" si="22"/>
        <v>Support</v>
      </c>
      <c r="BD42" s="32">
        <f t="shared" si="23"/>
        <v>0</v>
      </c>
      <c r="BE42">
        <f>step3_validation[[#This Row],[AI_OUT1]]</f>
        <v>10</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2</v>
      </c>
    </row>
    <row r="43" spans="1:61" x14ac:dyDescent="0.45">
      <c r="A43" s="30">
        <f>step3_validation[[#This Row],[Persona_ID]]</f>
        <v>42</v>
      </c>
      <c r="B43" s="31">
        <f>step3_validation[[#This Row],[Used_Seed]]</f>
        <v>2032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39.751023783513553</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6</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4</v>
      </c>
      <c r="AA43">
        <f>step3_validation[[#This Row],[AI_FAC1]]</f>
        <v>8</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1</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7</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0</v>
      </c>
      <c r="AP43">
        <f>step3_validation[[#This Row],[AI_TRU2]]</f>
        <v>8</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2">
        <f t="shared" si="17"/>
        <v>1</v>
      </c>
      <c r="AU43">
        <f>step3_validation[[#This Row],[AI_TRU3]]</f>
        <v>7</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2</v>
      </c>
      <c r="AZ43">
        <f>step3_validation[[#This Row],[AI_TRU4]]</f>
        <v>6</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2</v>
      </c>
      <c r="BE43">
        <f>step3_validation[[#This Row],[AI_OUT1]]</f>
        <v>9</v>
      </c>
      <c r="BF43" t="str">
        <f t="shared" si="24"/>
        <v>Support</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2033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114.70969684184294</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0</v>
      </c>
      <c r="V44">
        <f>step3_validation[[#This Row],[AI_ENF2]]</f>
        <v>6</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0</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0</v>
      </c>
      <c r="AF44">
        <f>step3_validation[[#This Row],[AI_FAC2]]</f>
        <v>7</v>
      </c>
      <c r="AG44" t="str">
        <f t="shared" si="9"/>
        <v>Neutral</v>
      </c>
      <c r="AH44">
        <f>survey_responses[[#This Row],[So với trước đây, tôi thấy cách tính thuế và các bậc thuế trong phương án mới đơn giản, dễ hiểu và dễ thực hiện hơn. - HUMAN-FAC2]]</f>
        <v>10</v>
      </c>
      <c r="AI44" t="str">
        <f t="shared" si="10"/>
        <v>Support</v>
      </c>
      <c r="AJ44" s="32">
        <f t="shared" si="11"/>
        <v>3</v>
      </c>
      <c r="AK44">
        <f>step3_validation[[#This Row],[AI_TRU1]]</f>
        <v>9</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0</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8</v>
      </c>
      <c r="AU44">
        <f>step3_validation[[#This Row],[AI_TRU3]]</f>
        <v>8</v>
      </c>
      <c r="AV44" t="str">
        <f t="shared" si="18"/>
        <v>Support</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7</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0</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2034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23.431130300202721</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7</v>
      </c>
      <c r="W45" t="str">
        <f t="shared" si="3"/>
        <v>Neutral</v>
      </c>
      <c r="X45">
        <f>survey_responses[[#This Row],[Tôi tin rằng Nhà nước, cơ quan thuế có đủ khả năng và công nghệ để phát hiện, xử lý nghiêm các hành vi trốn thuế. - HUMAN-ENF2]]</f>
        <v>8</v>
      </c>
      <c r="Y45" t="str">
        <f t="shared" si="4"/>
        <v>Support</v>
      </c>
      <c r="Z45" s="32">
        <f t="shared" si="5"/>
        <v>1</v>
      </c>
      <c r="AA45">
        <f>step3_validation[[#This Row],[AI_FAC1]]</f>
        <v>8</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2">
        <f t="shared" si="8"/>
        <v>0</v>
      </c>
      <c r="AF45">
        <f>step3_validation[[#This Row],[AI_FAC2]]</f>
        <v>9</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6</v>
      </c>
      <c r="AL45" t="str">
        <f t="shared" si="12"/>
        <v>Neutral</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2</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0</v>
      </c>
      <c r="AU45">
        <f>step3_validation[[#This Row],[AI_TRU3]]</f>
        <v>7</v>
      </c>
      <c r="AV45" t="str">
        <f t="shared" si="18"/>
        <v>Neutral</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2</v>
      </c>
      <c r="AZ45">
        <f>step3_validation[[#This Row],[AI_TRU4]]</f>
        <v>9</v>
      </c>
      <c r="BA45" t="str">
        <f t="shared" si="21"/>
        <v>Support</v>
      </c>
      <c r="BB45">
        <f>survey_responses[[#This Row],[Tôi thấy Nhà nước đã giải thích rõ ràng, minh bạch về lý do và mục tiêu của việc sửa đổi thuế lần này. - HUMAN-TRU4]]</f>
        <v>5</v>
      </c>
      <c r="BC45" t="str">
        <f t="shared" si="22"/>
        <v>Neutral</v>
      </c>
      <c r="BD45" s="32">
        <f t="shared" si="23"/>
        <v>4</v>
      </c>
      <c r="BE45">
        <f>step3_validation[[#This Row],[AI_OUT1]]</f>
        <v>8</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1</v>
      </c>
    </row>
    <row r="46" spans="1:61" x14ac:dyDescent="0.45">
      <c r="A46" s="30">
        <f>step3_validation[[#This Row],[Persona_ID]]</f>
        <v>45</v>
      </c>
      <c r="B46" s="31">
        <f>step3_validation[[#This Row],[Used_Seed]]</f>
        <v>2035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24.360797206504195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3</v>
      </c>
      <c r="V46">
        <f>step3_validation[[#This Row],[AI_ENF2]]</f>
        <v>8</v>
      </c>
      <c r="W46" t="str">
        <f t="shared" si="3"/>
        <v>Support</v>
      </c>
      <c r="X46">
        <f>survey_responses[[#This Row],[Tôi tin rằng Nhà nước, cơ quan thuế có đủ khả năng và công nghệ để phát hiện, xử lý nghiêm các hành vi trốn thuế. - HUMAN-ENF2]]</f>
        <v>10</v>
      </c>
      <c r="Y46" t="str">
        <f t="shared" si="4"/>
        <v>Support</v>
      </c>
      <c r="Z46" s="32">
        <f t="shared" si="5"/>
        <v>2</v>
      </c>
      <c r="AA46">
        <f>step3_validation[[#This Row],[AI_FAC1]]</f>
        <v>9</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1</v>
      </c>
      <c r="AF46">
        <f>step3_validation[[#This Row],[AI_FAC2]]</f>
        <v>10</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1</v>
      </c>
      <c r="AK46">
        <f>step3_validation[[#This Row],[AI_TRU1]]</f>
        <v>9</v>
      </c>
      <c r="AL46" t="str">
        <f t="shared" si="12"/>
        <v>Support</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1</v>
      </c>
      <c r="AP46">
        <f>step3_validation[[#This Row],[AI_TRU2]]</f>
        <v>9</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1</v>
      </c>
      <c r="AU46">
        <f>step3_validation[[#This Row],[AI_TRU3]]</f>
        <v>9</v>
      </c>
      <c r="AV46" t="str">
        <f t="shared" si="18"/>
        <v>Support</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1</v>
      </c>
      <c r="AZ46">
        <f>step3_validation[[#This Row],[AI_TRU4]]</f>
        <v>7</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3</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1</v>
      </c>
    </row>
    <row r="47" spans="1:61" x14ac:dyDescent="0.45">
      <c r="A47" s="30">
        <f>step3_validation[[#This Row],[Persona_ID]]</f>
        <v>46</v>
      </c>
      <c r="B47" s="31">
        <f>step3_validation[[#This Row],[Used_Seed]]</f>
        <v>2036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8</v>
      </c>
      <c r="R47" t="str">
        <f t="shared" si="0"/>
        <v>Support</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7</v>
      </c>
      <c r="V47">
        <f>step3_validation[[#This Row],[AI_ENF2]]</f>
        <v>7</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6</v>
      </c>
      <c r="AA47">
        <f>step3_validation[[#This Row],[AI_FAC1]]</f>
        <v>9</v>
      </c>
      <c r="AB47" t="str">
        <f t="shared" si="6"/>
        <v>Support</v>
      </c>
      <c r="AC47">
        <f>survey_responses[[#This Row],[Các thủ tục khai báo thuế VÀ/HOẶC quy trình làm việc với cơ quan thuế đơn giản, tiện lợi, nhanh chóng hơn so với trước đây. - HUMAN-FAC1]]</f>
        <v>2</v>
      </c>
      <c r="AD47" t="str">
        <f t="shared" si="7"/>
        <v>Oppose</v>
      </c>
      <c r="AE47" s="32">
        <f t="shared" si="8"/>
        <v>7</v>
      </c>
      <c r="AF47">
        <f>step3_validation[[#This Row],[AI_FAC2]]</f>
        <v>8</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7</v>
      </c>
      <c r="AK47">
        <f>step3_validation[[#This Row],[AI_TRU1]]</f>
        <v>9</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8</v>
      </c>
      <c r="AP47">
        <f>step3_validation[[#This Row],[AI_TRU2]]</f>
        <v>8</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7</v>
      </c>
      <c r="AU47">
        <f>step3_validation[[#This Row],[AI_TRU3]]</f>
        <v>7</v>
      </c>
      <c r="AV47" t="str">
        <f t="shared" si="18"/>
        <v>Neutral</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6</v>
      </c>
      <c r="AZ47">
        <f>step3_validation[[#This Row],[AI_TRU4]]</f>
        <v>8</v>
      </c>
      <c r="BA47" t="str">
        <f t="shared" si="21"/>
        <v>Support</v>
      </c>
      <c r="BB47">
        <f>survey_responses[[#This Row],[Tôi thấy Nhà nước đã giải thích rõ ràng, minh bạch về lý do và mục tiêu của việc sửa đổi thuế lần này. - HUMAN-TRU4]]</f>
        <v>1</v>
      </c>
      <c r="BC47" t="str">
        <f t="shared" si="22"/>
        <v>Oppose</v>
      </c>
      <c r="BD47" s="32">
        <f t="shared" si="23"/>
        <v>7</v>
      </c>
      <c r="BE47">
        <f>step3_validation[[#This Row],[AI_OUT1]]</f>
        <v>9</v>
      </c>
      <c r="BF47" t="str">
        <f t="shared" si="24"/>
        <v>Support</v>
      </c>
      <c r="BG47">
        <f>survey_responses[[#This Row],[Sau khi xem xét các quyền lợi và nghĩa vụ, bạn có ủng hộ và tuân thủ chính sách mới hiện nay? - HUMAN-OUT1]]</f>
        <v>1</v>
      </c>
      <c r="BH47" t="str">
        <f t="shared" si="25"/>
        <v>Oppose</v>
      </c>
      <c r="BI47" s="32">
        <f t="shared" si="26"/>
        <v>8</v>
      </c>
    </row>
    <row r="48" spans="1:61" x14ac:dyDescent="0.45">
      <c r="A48" s="30">
        <f>step3_validation[[#This Row],[Persona_ID]]</f>
        <v>47</v>
      </c>
      <c r="B48" s="31">
        <f>step3_validation[[#This Row],[Used_Seed]]</f>
        <v>2037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9</v>
      </c>
      <c r="R48" t="str">
        <f t="shared" si="0"/>
        <v>Support</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1</v>
      </c>
      <c r="V48">
        <f>step3_validation[[#This Row],[AI_ENF2]]</f>
        <v>8</v>
      </c>
      <c r="W48" t="str">
        <f t="shared" si="3"/>
        <v>Support</v>
      </c>
      <c r="X48">
        <f>survey_responses[[#This Row],[Tôi tin rằng Nhà nước, cơ quan thuế có đủ khả năng và công nghệ để phát hiện, xử lý nghiêm các hành vi trốn thuế. - HUMAN-ENF2]]</f>
        <v>8</v>
      </c>
      <c r="Y48" t="str">
        <f t="shared" si="4"/>
        <v>Support</v>
      </c>
      <c r="Z48" s="32">
        <f t="shared" si="5"/>
        <v>0</v>
      </c>
      <c r="AA48">
        <f>step3_validation[[#This Row],[AI_FAC1]]</f>
        <v>7</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2">
        <f t="shared" si="8"/>
        <v>1</v>
      </c>
      <c r="AF48">
        <f>step3_validation[[#This Row],[AI_FAC2]]</f>
        <v>8</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1</v>
      </c>
      <c r="AK48">
        <f>step3_validation[[#This Row],[AI_TRU1]]</f>
        <v>9</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3</v>
      </c>
      <c r="AP48">
        <f>step3_validation[[#This Row],[AI_TRU2]]</f>
        <v>8</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0</v>
      </c>
      <c r="AU48">
        <f>step3_validation[[#This Row],[AI_TRU3]]</f>
        <v>9</v>
      </c>
      <c r="AV48" t="str">
        <f t="shared" si="18"/>
        <v>Support</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1</v>
      </c>
      <c r="AZ48">
        <f>step3_validation[[#This Row],[AI_TRU4]]</f>
        <v>8</v>
      </c>
      <c r="BA48" t="str">
        <f t="shared" si="21"/>
        <v>Support</v>
      </c>
      <c r="BB48">
        <f>survey_responses[[#This Row],[Tôi thấy Nhà nước đã giải thích rõ ràng, minh bạch về lý do và mục tiêu của việc sửa đổi thuế lần này. - HUMAN-TRU4]]</f>
        <v>9</v>
      </c>
      <c r="BC48" t="str">
        <f t="shared" si="22"/>
        <v>Support</v>
      </c>
      <c r="BD48" s="32">
        <f t="shared" si="23"/>
        <v>1</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2038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41.881251106097203</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t="str">
        <f t="shared" si="0"/>
        <v>Support</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2</v>
      </c>
      <c r="V49">
        <f>step3_validation[[#This Row],[AI_ENF2]]</f>
        <v>7</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2">
        <f t="shared" si="5"/>
        <v>3</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8</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2</v>
      </c>
      <c r="AK49">
        <f>step3_validation[[#This Row],[AI_TRU1]]</f>
        <v>9</v>
      </c>
      <c r="AL49" t="str">
        <f t="shared" si="12"/>
        <v>Support</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1</v>
      </c>
      <c r="AP49">
        <f>step3_validation[[#This Row],[AI_TRU2]]</f>
        <v>8</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2</v>
      </c>
      <c r="AU49">
        <f>step3_validation[[#This Row],[AI_TRU3]]</f>
        <v>9</v>
      </c>
      <c r="AV49" t="str">
        <f t="shared" si="18"/>
        <v>Support</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1</v>
      </c>
      <c r="AZ49">
        <f>step3_validation[[#This Row],[AI_TRU4]]</f>
        <v>8</v>
      </c>
      <c r="BA49" t="str">
        <f t="shared" si="21"/>
        <v>Support</v>
      </c>
      <c r="BB49">
        <f>survey_responses[[#This Row],[Tôi thấy Nhà nước đã giải thích rõ ràng, minh bạch về lý do và mục tiêu của việc sửa đổi thuế lần này. - HUMAN-TRU4]]</f>
        <v>10</v>
      </c>
      <c r="BC49" t="str">
        <f t="shared" si="22"/>
        <v>Support</v>
      </c>
      <c r="BD49" s="32">
        <f t="shared" si="23"/>
        <v>2</v>
      </c>
      <c r="BE49">
        <f>step3_validation[[#This Row],[AI_OUT1]]</f>
        <v>9</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1</v>
      </c>
    </row>
    <row r="50" spans="1:61" x14ac:dyDescent="0.45">
      <c r="A50" s="30">
        <f>step3_validation[[#This Row],[Persona_ID]]</f>
        <v>49</v>
      </c>
      <c r="B50" s="31">
        <f>step3_validation[[#This Row],[Used_Seed]]</f>
        <v>2039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193.46685244011763</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8</v>
      </c>
      <c r="R50" t="str">
        <f t="shared" si="0"/>
        <v>Support</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0</v>
      </c>
      <c r="V50">
        <f>step3_validation[[#This Row],[AI_ENF2]]</f>
        <v>9</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1</v>
      </c>
      <c r="AA50">
        <f>step3_validation[[#This Row],[AI_FAC1]]</f>
        <v>7</v>
      </c>
      <c r="AB50" t="str">
        <f t="shared" si="6"/>
        <v>Neutral</v>
      </c>
      <c r="AC50">
        <f>survey_responses[[#This Row],[Các thủ tục khai báo thuế VÀ/HOẶC quy trình làm việc với cơ quan thuế đơn giản, tiện lợi, nhanh chóng hơn so với trước đây. - HUMAN-FAC1]]</f>
        <v>7</v>
      </c>
      <c r="AD50" t="str">
        <f t="shared" si="7"/>
        <v>Neutral</v>
      </c>
      <c r="AE50" s="32">
        <f t="shared" si="8"/>
        <v>0</v>
      </c>
      <c r="AF50">
        <f>step3_validation[[#This Row],[AI_FAC2]]</f>
        <v>9</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8</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0</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6</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1</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2040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20.751927455535611</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8</v>
      </c>
      <c r="W51" t="str">
        <f t="shared" si="3"/>
        <v>Support</v>
      </c>
      <c r="X51">
        <f>survey_responses[[#This Row],[Tôi tin rằng Nhà nước, cơ quan thuế có đủ khả năng và công nghệ để phát hiện, xử lý nghiêm các hành vi trốn thuế. - HUMAN-ENF2]]</f>
        <v>10</v>
      </c>
      <c r="Y51" t="str">
        <f t="shared" si="4"/>
        <v>Support</v>
      </c>
      <c r="Z51" s="32">
        <f t="shared" si="5"/>
        <v>2</v>
      </c>
      <c r="AA51">
        <f>step3_validation[[#This Row],[AI_FAC1]]</f>
        <v>9</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1</v>
      </c>
      <c r="AF51">
        <f>step3_validation[[#This Row],[AI_FAC2]]</f>
        <v>9</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8</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0</v>
      </c>
      <c r="AP51">
        <f>step3_validation[[#This Row],[AI_TRU2]]</f>
        <v>9</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1</v>
      </c>
      <c r="AU51">
        <f>step3_validation[[#This Row],[AI_TRU3]]</f>
        <v>8</v>
      </c>
      <c r="AV51" t="str">
        <f t="shared" si="18"/>
        <v>Support</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0</v>
      </c>
      <c r="AZ51">
        <f>step3_validation[[#This Row],[AI_TRU4]]</f>
        <v>9</v>
      </c>
      <c r="BA51" t="str">
        <f t="shared" si="21"/>
        <v>Support</v>
      </c>
      <c r="BB51">
        <f>survey_responses[[#This Row],[Tôi thấy Nhà nước đã giải thích rõ ràng, minh bạch về lý do và mục tiêu của việc sửa đổi thuế lần này. - HUMAN-TRU4]]</f>
        <v>8</v>
      </c>
      <c r="BC51" t="str">
        <f t="shared" si="22"/>
        <v>Support</v>
      </c>
      <c r="BD51" s="32">
        <f t="shared" si="23"/>
        <v>1</v>
      </c>
      <c r="BE51">
        <f>step3_validation[[#This Row],[AI_OUT1]]</f>
        <v>10</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2</v>
      </c>
    </row>
    <row r="52" spans="1:61" x14ac:dyDescent="0.45">
      <c r="A52" s="30">
        <f>step3_validation[[#This Row],[Persona_ID]]</f>
        <v>51</v>
      </c>
      <c r="B52" s="31">
        <f>step3_validation[[#This Row],[Used_Seed]]</f>
        <v>2041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14.899906689434305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5</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5</v>
      </c>
      <c r="V52">
        <f>step3_validation[[#This Row],[AI_ENF2]]</f>
        <v>6</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4</v>
      </c>
      <c r="AA52">
        <f>step3_validation[[#This Row],[AI_FAC1]]</f>
        <v>8</v>
      </c>
      <c r="AB52" t="str">
        <f t="shared" si="6"/>
        <v>Support</v>
      </c>
      <c r="AC52">
        <f>survey_responses[[#This Row],[Các thủ tục khai báo thuế VÀ/HOẶC quy trình làm việc với cơ quan thuế đơn giản, tiện lợi, nhanh chóng hơn so với trước đây. - HUMAN-FAC1]]</f>
        <v>10</v>
      </c>
      <c r="AD52" t="str">
        <f t="shared" si="7"/>
        <v>Support</v>
      </c>
      <c r="AE52" s="32">
        <f t="shared" si="8"/>
        <v>2</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1</v>
      </c>
      <c r="AK52">
        <f>step3_validation[[#This Row],[AI_TRU1]]</f>
        <v>7</v>
      </c>
      <c r="AL52" t="str">
        <f t="shared" si="12"/>
        <v>Neutral</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3</v>
      </c>
      <c r="AP52">
        <f>step3_validation[[#This Row],[AI_TRU2]]</f>
        <v>8</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2">
        <f t="shared" si="17"/>
        <v>2</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6</v>
      </c>
      <c r="BA52" t="str">
        <f t="shared" si="21"/>
        <v>Neutral</v>
      </c>
      <c r="BB52">
        <f>survey_responses[[#This Row],[Tôi thấy Nhà nước đã giải thích rõ ràng, minh bạch về lý do và mục tiêu của việc sửa đổi thuế lần này. - HUMAN-TRU4]]</f>
        <v>10</v>
      </c>
      <c r="BC52" t="str">
        <f t="shared" si="22"/>
        <v>Support</v>
      </c>
      <c r="BD52" s="32">
        <f t="shared" si="23"/>
        <v>4</v>
      </c>
      <c r="BE52">
        <f>step3_validation[[#This Row],[AI_OUT1]]</f>
        <v>9</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1</v>
      </c>
    </row>
    <row r="53" spans="1:61" x14ac:dyDescent="0.45">
      <c r="A53" s="30">
        <f>step3_validation[[#This Row],[Persona_ID]]</f>
        <v>52</v>
      </c>
      <c r="B53" s="31">
        <f>step3_validation[[#This Row],[Used_Seed]]</f>
        <v>2042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20.133872094292034</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8</v>
      </c>
      <c r="R53" t="str">
        <f t="shared" si="0"/>
        <v>Support</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2</v>
      </c>
      <c r="V53">
        <f>step3_validation[[#This Row],[AI_ENF2]]</f>
        <v>7</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2">
        <f t="shared" si="5"/>
        <v>3</v>
      </c>
      <c r="AA53">
        <f>step3_validation[[#This Row],[AI_FAC1]]</f>
        <v>9</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1</v>
      </c>
      <c r="AF53">
        <f>step3_validation[[#This Row],[AI_FAC2]]</f>
        <v>9</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1</v>
      </c>
      <c r="AK53">
        <f>step3_validation[[#This Row],[AI_TRU1]]</f>
        <v>6</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4</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7</v>
      </c>
      <c r="AV53" t="str">
        <f t="shared" si="18"/>
        <v>Neutral</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3</v>
      </c>
      <c r="AZ53">
        <f>step3_validation[[#This Row],[AI_TRU4]]</f>
        <v>6</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4</v>
      </c>
      <c r="BE53">
        <f>step3_validation[[#This Row],[AI_OUT1]]</f>
        <v>8</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0</v>
      </c>
    </row>
    <row r="54" spans="1:61" x14ac:dyDescent="0.45">
      <c r="A54" s="30">
        <f>step3_validation[[#This Row],[Persona_ID]]</f>
        <v>53</v>
      </c>
      <c r="B54" s="31">
        <f>step3_validation[[#This Row],[Used_Seed]]</f>
        <v>2043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16.192287050442665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4</v>
      </c>
      <c r="R54" t="str">
        <f t="shared" si="0"/>
        <v>Oppose</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6</v>
      </c>
      <c r="V54">
        <f>step3_validation[[#This Row],[AI_ENF2]]</f>
        <v>5</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5</v>
      </c>
      <c r="AA54">
        <f>step3_validation[[#This Row],[AI_FAC1]]</f>
        <v>6</v>
      </c>
      <c r="AB54" t="str">
        <f t="shared" si="6"/>
        <v>Neutral</v>
      </c>
      <c r="AC54">
        <f>survey_responses[[#This Row],[Các thủ tục khai báo thuế VÀ/HOẶC quy trình làm việc với cơ quan thuế đơn giản, tiện lợi, nhanh chóng hơn so với trước đây. - HUMAN-FAC1]]</f>
        <v>10</v>
      </c>
      <c r="AD54" t="str">
        <f t="shared" si="7"/>
        <v>Support</v>
      </c>
      <c r="AE54" s="32">
        <f t="shared" si="8"/>
        <v>4</v>
      </c>
      <c r="AF54">
        <f>step3_validation[[#This Row],[AI_FAC2]]</f>
        <v>7</v>
      </c>
      <c r="AG54" t="str">
        <f t="shared" si="9"/>
        <v>Neutral</v>
      </c>
      <c r="AH54">
        <f>survey_responses[[#This Row],[So với trước đây, tôi thấy cách tính thuế và các bậc thuế trong phương án mới đơn giản, dễ hiểu và dễ thực hiện hơn. - HUMAN-FAC2]]</f>
        <v>10</v>
      </c>
      <c r="AI54" t="str">
        <f t="shared" si="10"/>
        <v>Support</v>
      </c>
      <c r="AJ54" s="32">
        <f t="shared" si="11"/>
        <v>3</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2</v>
      </c>
      <c r="AP54">
        <f>step3_validation[[#This Row],[AI_TRU2]]</f>
        <v>9</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1</v>
      </c>
      <c r="AU54">
        <f>step3_validation[[#This Row],[AI_TRU3]]</f>
        <v>8</v>
      </c>
      <c r="AV54" t="str">
        <f t="shared" si="18"/>
        <v>Support</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2</v>
      </c>
      <c r="AZ54">
        <f>step3_validation[[#This Row],[AI_TRU4]]</f>
        <v>7</v>
      </c>
      <c r="BA54" t="str">
        <f t="shared" si="21"/>
        <v>Neutral</v>
      </c>
      <c r="BB54">
        <f>survey_responses[[#This Row],[Tôi thấy Nhà nước đã giải thích rõ ràng, minh bạch về lý do và mục tiêu của việc sửa đổi thuế lần này. - HUMAN-TRU4]]</f>
        <v>10</v>
      </c>
      <c r="BC54" t="str">
        <f t="shared" si="22"/>
        <v>Support</v>
      </c>
      <c r="BD54" s="32">
        <f t="shared" si="23"/>
        <v>3</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1</v>
      </c>
    </row>
    <row r="55" spans="1:61" x14ac:dyDescent="0.45">
      <c r="A55" s="30">
        <f>step3_validation[[#This Row],[Persona_ID]]</f>
        <v>54</v>
      </c>
      <c r="B55" s="31">
        <f>step3_validation[[#This Row],[Used_Seed]]</f>
        <v>2044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38.810046711896966</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2</v>
      </c>
      <c r="V55">
        <f>step3_validation[[#This Row],[AI_ENF2]]</f>
        <v>8</v>
      </c>
      <c r="W55" t="str">
        <f t="shared" si="3"/>
        <v>Support</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7</v>
      </c>
      <c r="AB55" t="str">
        <f t="shared" si="6"/>
        <v>Neutral</v>
      </c>
      <c r="AC55">
        <f>survey_responses[[#This Row],[Các thủ tục khai báo thuế VÀ/HOẶC quy trình làm việc với cơ quan thuế đơn giản, tiện lợi, nhanh chóng hơn so với trước đây. - HUMAN-FAC1]]</f>
        <v>7</v>
      </c>
      <c r="AD55" t="str">
        <f t="shared" si="7"/>
        <v>Neutral</v>
      </c>
      <c r="AE55" s="32">
        <f t="shared" si="8"/>
        <v>0</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0</v>
      </c>
      <c r="AP55">
        <f>step3_validation[[#This Row],[AI_TRU2]]</f>
        <v>9</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2">
        <f t="shared" si="17"/>
        <v>1</v>
      </c>
      <c r="AU55">
        <f>step3_validation[[#This Row],[AI_TRU3]]</f>
        <v>7</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0</v>
      </c>
      <c r="AZ55">
        <f>step3_validation[[#This Row],[AI_TRU4]]</f>
        <v>8</v>
      </c>
      <c r="BA55" t="str">
        <f t="shared" si="21"/>
        <v>Support</v>
      </c>
      <c r="BB55">
        <f>survey_responses[[#This Row],[Tôi thấy Nhà nước đã giải thích rõ ràng, minh bạch về lý do và mục tiêu của việc sửa đổi thuế lần này. - HUMAN-TRU4]]</f>
        <v>7</v>
      </c>
      <c r="BC55" t="str">
        <f t="shared" si="22"/>
        <v>Neutral</v>
      </c>
      <c r="BD55" s="32">
        <f t="shared" si="23"/>
        <v>1</v>
      </c>
      <c r="BE55">
        <f>step3_validation[[#This Row],[AI_OUT1]]</f>
        <v>9</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1</v>
      </c>
    </row>
    <row r="56" spans="1:61" x14ac:dyDescent="0.45">
      <c r="A56" s="30">
        <f>step3_validation[[#This Row],[Persona_ID]]</f>
        <v>55</v>
      </c>
      <c r="B56" s="31">
        <f>step3_validation[[#This Row],[Used_Seed]]</f>
        <v>2045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45.741177810676689</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3</v>
      </c>
      <c r="V56">
        <f>step3_validation[[#This Row],[AI_ENF2]]</f>
        <v>7</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2</v>
      </c>
      <c r="AA56">
        <f>step3_validation[[#This Row],[AI_FAC1]]</f>
        <v>8</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5</v>
      </c>
      <c r="AF56">
        <f>step3_validation[[#This Row],[AI_FAC2]]</f>
        <v>9</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5</v>
      </c>
      <c r="AK56">
        <f>step3_validation[[#This Row],[AI_TRU1]]</f>
        <v>6</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3</v>
      </c>
      <c r="AP56">
        <f>step3_validation[[#This Row],[AI_TRU2]]</f>
        <v>8</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5</v>
      </c>
      <c r="AU56">
        <f>step3_validation[[#This Row],[AI_TRU3]]</f>
        <v>7</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6</v>
      </c>
      <c r="AZ56">
        <f>step3_validation[[#This Row],[AI_TRU4]]</f>
        <v>6</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5</v>
      </c>
      <c r="BE56">
        <f>step3_validation[[#This Row],[AI_OUT1]]</f>
        <v>7</v>
      </c>
      <c r="BF56" t="str">
        <f t="shared" si="24"/>
        <v>Neutral</v>
      </c>
      <c r="BG56">
        <f>survey_responses[[#This Row],[Sau khi xem xét các quyền lợi và nghĩa vụ, bạn có ủng hộ và tuân thủ chính sách mới hiện nay? - HUMAN-OUT1]]</f>
        <v>3</v>
      </c>
      <c r="BH56" t="str">
        <f t="shared" si="25"/>
        <v>Oppose</v>
      </c>
      <c r="BI56" s="32">
        <f t="shared" si="26"/>
        <v>4</v>
      </c>
    </row>
    <row r="57" spans="1:61" x14ac:dyDescent="0.45">
      <c r="A57" s="30">
        <f>step3_validation[[#This Row],[Persona_ID]]</f>
        <v>56</v>
      </c>
      <c r="B57" s="31">
        <f>step3_validation[[#This Row],[Used_Seed]]</f>
        <v>2046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2">
        <f t="shared" si="5"/>
        <v>2</v>
      </c>
      <c r="AA57">
        <f>step3_validation[[#This Row],[AI_FAC1]]</f>
        <v>9</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0</v>
      </c>
      <c r="AF57">
        <f>step3_validation[[#This Row],[AI_FAC2]]</f>
        <v>9</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1</v>
      </c>
      <c r="AK57">
        <f>step3_validation[[#This Row],[AI_TRU1]]</f>
        <v>8</v>
      </c>
      <c r="AL57" t="str">
        <f t="shared" si="12"/>
        <v>Support</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1</v>
      </c>
      <c r="AP57">
        <f>step3_validation[[#This Row],[AI_TRU2]]</f>
        <v>9</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2">
        <f t="shared" si="17"/>
        <v>1</v>
      </c>
      <c r="AU57">
        <f>step3_validation[[#This Row],[AI_TRU3]]</f>
        <v>8</v>
      </c>
      <c r="AV57" t="str">
        <f t="shared" si="18"/>
        <v>Support</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1</v>
      </c>
      <c r="AZ57">
        <f>step3_validation[[#This Row],[AI_TRU4]]</f>
        <v>9</v>
      </c>
      <c r="BA57" t="str">
        <f t="shared" si="21"/>
        <v>Support</v>
      </c>
      <c r="BB57">
        <f>survey_responses[[#This Row],[Tôi thấy Nhà nước đã giải thích rõ ràng, minh bạch về lý do và mục tiêu của việc sửa đổi thuế lần này. - HUMAN-TRU4]]</f>
        <v>10</v>
      </c>
      <c r="BC57" t="str">
        <f t="shared" si="22"/>
        <v>Support</v>
      </c>
      <c r="BD57" s="32">
        <f t="shared" si="23"/>
        <v>1</v>
      </c>
      <c r="BE57">
        <f>step3_validation[[#This Row],[AI_OUT1]]</f>
        <v>8</v>
      </c>
      <c r="BF57" t="str">
        <f t="shared" si="24"/>
        <v>Support</v>
      </c>
      <c r="BG57">
        <f>survey_responses[[#This Row],[Sau khi xem xét các quyền lợi và nghĩa vụ, bạn có ủng hộ và tuân thủ chính sách mới hiện nay? - HUMAN-OUT1]]</f>
        <v>9</v>
      </c>
      <c r="BH57" t="str">
        <f t="shared" si="25"/>
        <v>Support</v>
      </c>
      <c r="BI57" s="32">
        <f t="shared" si="26"/>
        <v>1</v>
      </c>
    </row>
    <row r="58" spans="1:61" x14ac:dyDescent="0.45">
      <c r="A58" s="30">
        <f>step3_validation[[#This Row],[Persona_ID]]</f>
        <v>57</v>
      </c>
      <c r="B58" s="31">
        <f>step3_validation[[#This Row],[Used_Seed]]</f>
        <v>2047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14.434261083054142</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9</v>
      </c>
      <c r="R58" t="str">
        <f t="shared" si="0"/>
        <v>Support</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1</v>
      </c>
      <c r="V58">
        <f>step3_validation[[#This Row],[AI_ENF2]]</f>
        <v>8</v>
      </c>
      <c r="W58" t="str">
        <f t="shared" si="3"/>
        <v>Support</v>
      </c>
      <c r="X58">
        <f>survey_responses[[#This Row],[Tôi tin rằng Nhà nước, cơ quan thuế có đủ khả năng và công nghệ để phát hiện, xử lý nghiêm các hành vi trốn thuế. - HUMAN-ENF2]]</f>
        <v>10</v>
      </c>
      <c r="Y58" t="str">
        <f t="shared" si="4"/>
        <v>Support</v>
      </c>
      <c r="Z58" s="32">
        <f t="shared" si="5"/>
        <v>2</v>
      </c>
      <c r="AA58">
        <f>step3_validation[[#This Row],[AI_FAC1]]</f>
        <v>9</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8</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9</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2</v>
      </c>
      <c r="AP58">
        <f>step3_validation[[#This Row],[AI_TRU2]]</f>
        <v>9</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1</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1</v>
      </c>
      <c r="AZ58">
        <f>step3_validation[[#This Row],[AI_TRU4]]</f>
        <v>9</v>
      </c>
      <c r="BA58" t="str">
        <f t="shared" si="21"/>
        <v>Support</v>
      </c>
      <c r="BB58">
        <f>survey_responses[[#This Row],[Tôi thấy Nhà nước đã giải thích rõ ràng, minh bạch về lý do và mục tiêu của việc sửa đổi thuế lần này. - HUMAN-TRU4]]</f>
        <v>9</v>
      </c>
      <c r="BC58" t="str">
        <f t="shared" si="22"/>
        <v>Support</v>
      </c>
      <c r="BD58" s="32">
        <f t="shared" si="23"/>
        <v>0</v>
      </c>
      <c r="BE58">
        <f>step3_validation[[#This Row],[AI_OUT1]]</f>
        <v>9</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1</v>
      </c>
    </row>
    <row r="59" spans="1:61" x14ac:dyDescent="0.45">
      <c r="A59" s="30">
        <f>step3_validation[[#This Row],[Persona_ID]]</f>
        <v>58</v>
      </c>
      <c r="B59" s="31">
        <f>step3_validation[[#This Row],[Used_Seed]]</f>
        <v>2048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29.227489136000131</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5</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0</v>
      </c>
      <c r="V59">
        <f>step3_validation[[#This Row],[AI_ENF2]]</f>
        <v>6</v>
      </c>
      <c r="W59" t="str">
        <f t="shared" si="3"/>
        <v>Neutral</v>
      </c>
      <c r="X59">
        <f>survey_responses[[#This Row],[Tôi tin rằng Nhà nước, cơ quan thuế có đủ khả năng và công nghệ để phát hiện, xử lý nghiêm các hành vi trốn thuế. - HUMAN-ENF2]]</f>
        <v>5</v>
      </c>
      <c r="Y59" t="str">
        <f t="shared" si="4"/>
        <v>Neutral</v>
      </c>
      <c r="Z59" s="32">
        <f t="shared" si="5"/>
        <v>1</v>
      </c>
      <c r="AA59">
        <f>step3_validation[[#This Row],[AI_FAC1]]</f>
        <v>8</v>
      </c>
      <c r="AB59" t="str">
        <f t="shared" si="6"/>
        <v>Support</v>
      </c>
      <c r="AC59">
        <f>survey_responses[[#This Row],[Các thủ tục khai báo thuế VÀ/HOẶC quy trình làm việc với cơ quan thuế đơn giản, tiện lợi, nhanh chóng hơn so với trước đây. - HUMAN-FAC1]]</f>
        <v>4</v>
      </c>
      <c r="AD59" t="str">
        <f t="shared" si="7"/>
        <v>Oppose</v>
      </c>
      <c r="AE59" s="32">
        <f t="shared" si="8"/>
        <v>4</v>
      </c>
      <c r="AF59">
        <f>step3_validation[[#This Row],[AI_FAC2]]</f>
        <v>7</v>
      </c>
      <c r="AG59" t="str">
        <f t="shared" si="9"/>
        <v>Neutral</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6</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1</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8</v>
      </c>
      <c r="AV59" t="str">
        <f t="shared" si="18"/>
        <v>Support</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1</v>
      </c>
      <c r="AZ59">
        <f>step3_validation[[#This Row],[AI_TRU4]]</f>
        <v>9</v>
      </c>
      <c r="BA59" t="str">
        <f t="shared" si="21"/>
        <v>Support</v>
      </c>
      <c r="BB59">
        <f>survey_responses[[#This Row],[Tôi thấy Nhà nước đã giải thích rõ ràng, minh bạch về lý do và mục tiêu của việc sửa đổi thuế lần này. - HUMAN-TRU4]]</f>
        <v>7</v>
      </c>
      <c r="BC59" t="str">
        <f t="shared" si="22"/>
        <v>Neutral</v>
      </c>
      <c r="BD59" s="32">
        <f t="shared" si="23"/>
        <v>2</v>
      </c>
      <c r="BE59">
        <f>step3_validation[[#This Row],[AI_OUT1]]</f>
        <v>8</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1</v>
      </c>
    </row>
    <row r="60" spans="1:61" x14ac:dyDescent="0.45">
      <c r="A60" s="30">
        <f>step3_validation[[#This Row],[Persona_ID]]</f>
        <v>59</v>
      </c>
      <c r="B60" s="31">
        <f>step3_validation[[#This Row],[Used_Seed]]</f>
        <v>2049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6</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3</v>
      </c>
      <c r="V60">
        <f>step3_validation[[#This Row],[AI_ENF2]]</f>
        <v>6</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2">
        <f t="shared" si="5"/>
        <v>3</v>
      </c>
      <c r="AA60">
        <f>step3_validation[[#This Row],[AI_FAC1]]</f>
        <v>8</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1</v>
      </c>
      <c r="AF60">
        <f>step3_validation[[#This Row],[AI_FAC2]]</f>
        <v>7</v>
      </c>
      <c r="AG60" t="str">
        <f t="shared" si="9"/>
        <v>Neutral</v>
      </c>
      <c r="AH60">
        <f>survey_responses[[#This Row],[So với trước đây, tôi thấy cách tính thuế và các bậc thuế trong phương án mới đơn giản, dễ hiểu và dễ thực hiện hơn. - HUMAN-FAC2]]</f>
        <v>7</v>
      </c>
      <c r="AI60" t="str">
        <f t="shared" si="10"/>
        <v>Neutral</v>
      </c>
      <c r="AJ60" s="32">
        <f t="shared" si="11"/>
        <v>0</v>
      </c>
      <c r="AK60">
        <f>step3_validation[[#This Row],[AI_TRU1]]</f>
        <v>9</v>
      </c>
      <c r="AL60" t="str">
        <f t="shared" si="12"/>
        <v>Support</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2</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0</v>
      </c>
      <c r="AU60">
        <f>step3_validation[[#This Row],[AI_TRU3]]</f>
        <v>7</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1</v>
      </c>
      <c r="AZ60">
        <f>step3_validation[[#This Row],[AI_TRU4]]</f>
        <v>6</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0</v>
      </c>
      <c r="BE60">
        <f>step3_validation[[#This Row],[AI_OUT1]]</f>
        <v>8</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3</v>
      </c>
    </row>
    <row r="61" spans="1:61" x14ac:dyDescent="0.45">
      <c r="A61" s="30">
        <f>step3_validation[[#This Row],[Persona_ID]]</f>
        <v>60</v>
      </c>
      <c r="B61" s="31">
        <f>step3_validation[[#This Row],[Used_Seed]]</f>
        <v>2050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16.233290374231196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6</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1</v>
      </c>
      <c r="V61">
        <f>step3_validation[[#This Row],[AI_ENF2]]</f>
        <v>7</v>
      </c>
      <c r="W61" t="str">
        <f t="shared" si="3"/>
        <v>Neutral</v>
      </c>
      <c r="X61">
        <f>survey_responses[[#This Row],[Tôi tin rằng Nhà nước, cơ quan thuế có đủ khả năng và công nghệ để phát hiện, xử lý nghiêm các hành vi trốn thuế. - HUMAN-ENF2]]</f>
        <v>5</v>
      </c>
      <c r="Y61" t="str">
        <f t="shared" si="4"/>
        <v>Neutral</v>
      </c>
      <c r="Z61" s="32">
        <f t="shared" si="5"/>
        <v>2</v>
      </c>
      <c r="AA61">
        <f>step3_validation[[#This Row],[AI_FAC1]]</f>
        <v>8</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3</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7</v>
      </c>
      <c r="AL61" t="str">
        <f t="shared" si="12"/>
        <v>Neutral</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2</v>
      </c>
      <c r="AP61">
        <f>step3_validation[[#This Row],[AI_TRU2]]</f>
        <v>8</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0</v>
      </c>
      <c r="AU61">
        <f>step3_validation[[#This Row],[AI_TRU3]]</f>
        <v>7</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3</v>
      </c>
      <c r="AZ61">
        <f>step3_validation[[#This Row],[AI_TRU4]]</f>
        <v>6</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1</v>
      </c>
      <c r="BE61">
        <f>step3_validation[[#This Row],[AI_OUT1]]</f>
        <v>7</v>
      </c>
      <c r="BF61" t="str">
        <f t="shared" si="24"/>
        <v>Neutral</v>
      </c>
      <c r="BG61">
        <f>survey_responses[[#This Row],[Sau khi xem xét các quyền lợi và nghĩa vụ, bạn có ủng hộ và tuân thủ chính sách mới hiện nay? - HUMAN-OUT1]]</f>
        <v>5</v>
      </c>
      <c r="BH61" t="str">
        <f t="shared" si="25"/>
        <v>Neutral</v>
      </c>
      <c r="BI61" s="32">
        <f t="shared" si="26"/>
        <v>2</v>
      </c>
    </row>
    <row r="62" spans="1:61" x14ac:dyDescent="0.45">
      <c r="A62" s="30">
        <f>step3_validation[[#This Row],[Persona_ID]]</f>
        <v>61</v>
      </c>
      <c r="B62" s="31">
        <f>step3_validation[[#This Row],[Used_Seed]]</f>
        <v>2051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20.266279166118991</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1</v>
      </c>
      <c r="V62">
        <f>step3_validation[[#This Row],[AI_ENF2]]</f>
        <v>8</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1</v>
      </c>
      <c r="AA62">
        <f>step3_validation[[#This Row],[AI_FAC1]]</f>
        <v>9</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0</v>
      </c>
      <c r="AF62">
        <f>step3_validation[[#This Row],[AI_FAC2]]</f>
        <v>8</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9</v>
      </c>
      <c r="AL62" t="str">
        <f t="shared" si="12"/>
        <v>Support</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0</v>
      </c>
      <c r="AP62">
        <f>step3_validation[[#This Row],[AI_TRU2]]</f>
        <v>9</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1</v>
      </c>
      <c r="AU62">
        <f>step3_validation[[#This Row],[AI_TRU3]]</f>
        <v>9</v>
      </c>
      <c r="AV62" t="str">
        <f t="shared" si="18"/>
        <v>Support</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8</v>
      </c>
      <c r="BA62" t="str">
        <f t="shared" si="21"/>
        <v>Support</v>
      </c>
      <c r="BB62">
        <f>survey_responses[[#This Row],[Tôi thấy Nhà nước đã giải thích rõ ràng, minh bạch về lý do và mục tiêu của việc sửa đổi thuế lần này. - HUMAN-TRU4]]</f>
        <v>8</v>
      </c>
      <c r="BC62" t="str">
        <f t="shared" si="22"/>
        <v>Support</v>
      </c>
      <c r="BD62" s="32">
        <f t="shared" si="23"/>
        <v>0</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2052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26.00260731617913</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8</v>
      </c>
      <c r="R63" t="str">
        <f t="shared" si="0"/>
        <v>Support</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1</v>
      </c>
      <c r="V63">
        <f>step3_validation[[#This Row],[AI_ENF2]]</f>
        <v>7</v>
      </c>
      <c r="W63" t="str">
        <f t="shared" si="3"/>
        <v>Neutral</v>
      </c>
      <c r="X63">
        <f>survey_responses[[#This Row],[Tôi tin rằng Nhà nước, cơ quan thuế có đủ khả năng và công nghệ để phát hiện, xử lý nghiêm các hành vi trốn thuế. - HUMAN-ENF2]]</f>
        <v>9</v>
      </c>
      <c r="Y63" t="str">
        <f t="shared" si="4"/>
        <v>Support</v>
      </c>
      <c r="Z63" s="32">
        <f t="shared" si="5"/>
        <v>2</v>
      </c>
      <c r="AA63">
        <f>step3_validation[[#This Row],[AI_FAC1]]</f>
        <v>9</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2</v>
      </c>
      <c r="AF63">
        <f>step3_validation[[#This Row],[AI_FAC2]]</f>
        <v>8</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2</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4</v>
      </c>
      <c r="AU63">
        <f>step3_validation[[#This Row],[AI_TRU3]]</f>
        <v>7</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1</v>
      </c>
      <c r="AZ63">
        <f>step3_validation[[#This Row],[AI_TRU4]]</f>
        <v>8</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2">
        <f t="shared" si="23"/>
        <v>0</v>
      </c>
      <c r="BE63">
        <f>step3_validation[[#This Row],[AI_OUT1]]</f>
        <v>9</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4</v>
      </c>
    </row>
    <row r="64" spans="1:61" x14ac:dyDescent="0.45">
      <c r="A64" s="30">
        <f>step3_validation[[#This Row],[Persona_ID]]</f>
        <v>63</v>
      </c>
      <c r="B64" s="31">
        <f>step3_validation[[#This Row],[Used_Seed]]</f>
        <v>2053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21.061271422574787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2</v>
      </c>
      <c r="V64">
        <f>step3_validation[[#This Row],[AI_ENF2]]</f>
        <v>8</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1</v>
      </c>
      <c r="AA64">
        <f>step3_validation[[#This Row],[AI_FAC1]]</f>
        <v>6</v>
      </c>
      <c r="AB64" t="str">
        <f t="shared" si="6"/>
        <v>Neutral</v>
      </c>
      <c r="AC64">
        <f>survey_responses[[#This Row],[Các thủ tục khai báo thuế VÀ/HOẶC quy trình làm việc với cơ quan thuế đơn giản, tiện lợi, nhanh chóng hơn so với trước đây. - HUMAN-FAC1]]</f>
        <v>9</v>
      </c>
      <c r="AD64" t="str">
        <f t="shared" si="7"/>
        <v>Support</v>
      </c>
      <c r="AE64" s="32">
        <f t="shared" si="8"/>
        <v>3</v>
      </c>
      <c r="AF64">
        <f>step3_validation[[#This Row],[AI_FAC2]]</f>
        <v>9</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0</v>
      </c>
      <c r="AK64">
        <f>step3_validation[[#This Row],[AI_TRU1]]</f>
        <v>7</v>
      </c>
      <c r="AL64" t="str">
        <f t="shared" si="12"/>
        <v>Neutral</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8</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1</v>
      </c>
      <c r="AU64">
        <f>step3_validation[[#This Row],[AI_TRU3]]</f>
        <v>6</v>
      </c>
      <c r="AV64" t="str">
        <f t="shared" si="18"/>
        <v>Neutral</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3</v>
      </c>
      <c r="AZ64">
        <f>step3_validation[[#This Row],[AI_TRU4]]</f>
        <v>7</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1</v>
      </c>
      <c r="BE64">
        <f>step3_validation[[#This Row],[AI_OUT1]]</f>
        <v>9</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2</v>
      </c>
    </row>
    <row r="65" spans="1:61" x14ac:dyDescent="0.45">
      <c r="A65" s="30">
        <f>step3_validation[[#This Row],[Persona_ID]]</f>
        <v>64</v>
      </c>
      <c r="B65" s="31">
        <f>step3_validation[[#This Row],[Used_Seed]]</f>
        <v>2054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176.49749807574759</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t="str">
        <f t="shared" si="0"/>
        <v>Support</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0</v>
      </c>
      <c r="V65">
        <f>step3_validation[[#This Row],[AI_ENF2]]</f>
        <v>8</v>
      </c>
      <c r="W65" t="str">
        <f t="shared" si="3"/>
        <v>Support</v>
      </c>
      <c r="X65">
        <f>survey_responses[[#This Row],[Tôi tin rằng Nhà nước, cơ quan thuế có đủ khả năng và công nghệ để phát hiện, xử lý nghiêm các hành vi trốn thuế. - HUMAN-ENF2]]</f>
        <v>10</v>
      </c>
      <c r="Y65" t="str">
        <f t="shared" si="4"/>
        <v>Support</v>
      </c>
      <c r="Z65" s="32">
        <f t="shared" si="5"/>
        <v>2</v>
      </c>
      <c r="AA65">
        <f>step3_validation[[#This Row],[AI_FAC1]]</f>
        <v>7</v>
      </c>
      <c r="AB65" t="str">
        <f t="shared" si="6"/>
        <v>Neutral</v>
      </c>
      <c r="AC65">
        <f>survey_responses[[#This Row],[Các thủ tục khai báo thuế VÀ/HOẶC quy trình làm việc với cơ quan thuế đơn giản, tiện lợi, nhanh chóng hơn so với trước đây. - HUMAN-FAC1]]</f>
        <v>9</v>
      </c>
      <c r="AD65" t="str">
        <f t="shared" si="7"/>
        <v>Support</v>
      </c>
      <c r="AE65" s="32">
        <f t="shared" si="8"/>
        <v>2</v>
      </c>
      <c r="AF65">
        <f>step3_validation[[#This Row],[AI_FAC2]]</f>
        <v>8</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2</v>
      </c>
      <c r="AK65">
        <f>step3_validation[[#This Row],[AI_TRU1]]</f>
        <v>9</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1</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9</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1</v>
      </c>
      <c r="AZ65">
        <f>step3_validation[[#This Row],[AI_TRU4]]</f>
        <v>8</v>
      </c>
      <c r="BA65" t="str">
        <f t="shared" si="21"/>
        <v>Support</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9</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0</v>
      </c>
    </row>
    <row r="66" spans="1:61" x14ac:dyDescent="0.45">
      <c r="A66" s="30">
        <f>step3_validation[[#This Row],[Persona_ID]]</f>
        <v>65</v>
      </c>
      <c r="B66" s="31">
        <f>step3_validation[[#This Row],[Used_Seed]]</f>
        <v>2055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6</v>
      </c>
      <c r="W66" t="str">
        <f t="shared" si="3"/>
        <v>Neutral</v>
      </c>
      <c r="X66">
        <f>survey_responses[[#This Row],[Tôi tin rằng Nhà nước, cơ quan thuế có đủ khả năng và công nghệ để phát hiện, xử lý nghiêm các hành vi trốn thuế. - HUMAN-ENF2]]</f>
        <v>10</v>
      </c>
      <c r="Y66" t="str">
        <f t="shared" si="4"/>
        <v>Support</v>
      </c>
      <c r="Z66" s="32">
        <f t="shared" si="5"/>
        <v>4</v>
      </c>
      <c r="AA66">
        <f>step3_validation[[#This Row],[AI_FAC1]]</f>
        <v>9</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1</v>
      </c>
      <c r="AF66">
        <f>step3_validation[[#This Row],[AI_FAC2]]</f>
        <v>8</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2</v>
      </c>
      <c r="AK66">
        <f>step3_validation[[#This Row],[AI_TRU1]]</f>
        <v>9</v>
      </c>
      <c r="AL66" t="str">
        <f t="shared" si="12"/>
        <v>Support</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1</v>
      </c>
      <c r="AP66">
        <f>step3_validation[[#This Row],[AI_TRU2]]</f>
        <v>8</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2</v>
      </c>
      <c r="AU66">
        <f>step3_validation[[#This Row],[AI_TRU3]]</f>
        <v>7</v>
      </c>
      <c r="AV66" t="str">
        <f t="shared" si="18"/>
        <v>Neutral</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3</v>
      </c>
      <c r="AZ66">
        <f>step3_validation[[#This Row],[AI_TRU4]]</f>
        <v>8</v>
      </c>
      <c r="BA66" t="str">
        <f t="shared" si="21"/>
        <v>Support</v>
      </c>
      <c r="BB66">
        <f>survey_responses[[#This Row],[Tôi thấy Nhà nước đã giải thích rõ ràng, minh bạch về lý do và mục tiêu của việc sửa đổi thuế lần này. - HUMAN-TRU4]]</f>
        <v>10</v>
      </c>
      <c r="BC66" t="str">
        <f t="shared" si="22"/>
        <v>Support</v>
      </c>
      <c r="BD66" s="32">
        <f t="shared" si="23"/>
        <v>2</v>
      </c>
      <c r="BE66">
        <f>step3_validation[[#This Row],[AI_OUT1]]</f>
        <v>9</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1</v>
      </c>
    </row>
    <row r="67" spans="1:61" x14ac:dyDescent="0.45">
      <c r="A67" s="30">
        <f>step3_validation[[#This Row],[Persona_ID]]</f>
        <v>66</v>
      </c>
      <c r="B67" s="31">
        <f>step3_validation[[#This Row],[Used_Seed]]</f>
        <v>2056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16.226287990479388</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6</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1</v>
      </c>
      <c r="V67">
        <f>step3_validation[[#This Row],[AI_ENF2]]</f>
        <v>6</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1</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9</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4</v>
      </c>
      <c r="AK67">
        <f>step3_validation[[#This Row],[AI_TRU1]]</f>
        <v>7</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3</v>
      </c>
      <c r="AP67">
        <f>step3_validation[[#This Row],[AI_TRU2]]</f>
        <v>9</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6</v>
      </c>
      <c r="AU67">
        <f>step3_validation[[#This Row],[AI_TRU3]]</f>
        <v>7</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2</v>
      </c>
      <c r="AZ67">
        <f>step3_validation[[#This Row],[AI_TRU4]]</f>
        <v>8</v>
      </c>
      <c r="BA67" t="str">
        <f t="shared" ref="BA67:BA130" si="48">IF(AND(AZ67&gt;=1,AZ67&lt;5),"Oppose",IF(AND(AZ67&gt;=5,AZ67&lt;8),"Neutral",IF(AND(AZ67&gt;=8,AZ67&lt;=10),"Support","")))</f>
        <v>Support</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2</v>
      </c>
      <c r="BE67">
        <f>step3_validation[[#This Row],[AI_OUT1]]</f>
        <v>9</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3</v>
      </c>
    </row>
    <row r="68" spans="1:61" x14ac:dyDescent="0.45">
      <c r="A68" s="30">
        <f>step3_validation[[#This Row],[Persona_ID]]</f>
        <v>67</v>
      </c>
      <c r="B68" s="31">
        <f>step3_validation[[#This Row],[Used_Seed]]</f>
        <v>2057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99.597505023334961</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8</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3</v>
      </c>
      <c r="AA68">
        <f>step3_validation[[#This Row],[AI_FAC1]]</f>
        <v>6</v>
      </c>
      <c r="AB68" t="str">
        <f t="shared" si="33"/>
        <v>Neutral</v>
      </c>
      <c r="AC68">
        <f>survey_responses[[#This Row],[Các thủ tục khai báo thuế VÀ/HOẶC quy trình làm việc với cơ quan thuế đơn giản, tiện lợi, nhanh chóng hơn so với trước đây. - HUMAN-FAC1]]</f>
        <v>4</v>
      </c>
      <c r="AD68" t="str">
        <f t="shared" si="34"/>
        <v>Oppose</v>
      </c>
      <c r="AE68" s="32">
        <f t="shared" si="35"/>
        <v>2</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5</v>
      </c>
      <c r="AK68">
        <f>step3_validation[[#This Row],[AI_TRU1]]</f>
        <v>7</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5</v>
      </c>
      <c r="AP68">
        <f>step3_validation[[#This Row],[AI_TRU2]]</f>
        <v>9</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6</v>
      </c>
      <c r="AU68">
        <f>step3_validation[[#This Row],[AI_TRU3]]</f>
        <v>7</v>
      </c>
      <c r="AV68" t="str">
        <f t="shared" si="45"/>
        <v>Neutral</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5</v>
      </c>
      <c r="AZ68">
        <f>step3_validation[[#This Row],[AI_TRU4]]</f>
        <v>8</v>
      </c>
      <c r="BA68" t="str">
        <f t="shared" si="48"/>
        <v>Support</v>
      </c>
      <c r="BB68">
        <f>survey_responses[[#This Row],[Tôi thấy Nhà nước đã giải thích rõ ràng, minh bạch về lý do và mục tiêu của việc sửa đổi thuế lần này. - HUMAN-TRU4]]</f>
        <v>3</v>
      </c>
      <c r="BC68" t="str">
        <f t="shared" si="49"/>
        <v>Oppose</v>
      </c>
      <c r="BD68" s="32">
        <f t="shared" si="50"/>
        <v>5</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6</v>
      </c>
    </row>
    <row r="69" spans="1:61" x14ac:dyDescent="0.45">
      <c r="A69" s="30">
        <f>step3_validation[[#This Row],[Persona_ID]]</f>
        <v>68</v>
      </c>
      <c r="B69" s="31">
        <f>step3_validation[[#This Row],[Used_Seed]]</f>
        <v>2058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60.426836504796071</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6</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2</v>
      </c>
      <c r="V69">
        <f>step3_validation[[#This Row],[AI_ENF2]]</f>
        <v>7</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4</v>
      </c>
      <c r="AA69">
        <f>step3_validation[[#This Row],[AI_FAC1]]</f>
        <v>8</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7</v>
      </c>
      <c r="AF69">
        <f>step3_validation[[#This Row],[AI_FAC2]]</f>
        <v>9</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4</v>
      </c>
      <c r="AK69">
        <f>step3_validation[[#This Row],[AI_TRU1]]</f>
        <v>7</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3</v>
      </c>
      <c r="AP69">
        <f>step3_validation[[#This Row],[AI_TRU2]]</f>
        <v>9</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6</v>
      </c>
      <c r="AU69">
        <f>step3_validation[[#This Row],[AI_TRU3]]</f>
        <v>7</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6</v>
      </c>
      <c r="AZ69">
        <f>step3_validation[[#This Row],[AI_TRU4]]</f>
        <v>6</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3</v>
      </c>
      <c r="BE69">
        <f>step3_validation[[#This Row],[AI_OUT1]]</f>
        <v>9</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4</v>
      </c>
    </row>
    <row r="70" spans="1:61" x14ac:dyDescent="0.45">
      <c r="A70" s="30">
        <f>step3_validation[[#This Row],[Persona_ID]]</f>
        <v>69</v>
      </c>
      <c r="B70" s="31">
        <f>step3_validation[[#This Row],[Used_Seed]]</f>
        <v>2059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19.117716651787891</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0</v>
      </c>
      <c r="V70">
        <f>step3_validation[[#This Row],[AI_ENF2]]</f>
        <v>7</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0</v>
      </c>
      <c r="AA70">
        <f>step3_validation[[#This Row],[AI_FAC1]]</f>
        <v>8</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0</v>
      </c>
      <c r="AF70">
        <f>step3_validation[[#This Row],[AI_FAC2]]</f>
        <v>9</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0</v>
      </c>
      <c r="AK70">
        <f>step3_validation[[#This Row],[AI_TRU1]]</f>
        <v>8</v>
      </c>
      <c r="AL70" t="str">
        <f t="shared" si="39"/>
        <v>Support</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0</v>
      </c>
      <c r="AP70">
        <f>step3_validation[[#This Row],[AI_TRU2]]</f>
        <v>9</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1</v>
      </c>
      <c r="AU70">
        <f>step3_validation[[#This Row],[AI_TRU3]]</f>
        <v>8</v>
      </c>
      <c r="AV70" t="str">
        <f t="shared" si="45"/>
        <v>Support</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1</v>
      </c>
      <c r="AZ70">
        <f>step3_validation[[#This Row],[AI_TRU4]]</f>
        <v>9</v>
      </c>
      <c r="BA70" t="str">
        <f t="shared" si="48"/>
        <v>Support</v>
      </c>
      <c r="BB70">
        <f>survey_responses[[#This Row],[Tôi thấy Nhà nước đã giải thích rõ ràng, minh bạch về lý do và mục tiêu của việc sửa đổi thuế lần này. - HUMAN-TRU4]]</f>
        <v>9</v>
      </c>
      <c r="BC70" t="str">
        <f t="shared" si="49"/>
        <v>Support</v>
      </c>
      <c r="BD70" s="32">
        <f t="shared" si="50"/>
        <v>0</v>
      </c>
      <c r="BE70">
        <f>step3_validation[[#This Row],[AI_OUT1]]</f>
        <v>9</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0</v>
      </c>
    </row>
    <row r="71" spans="1:61" x14ac:dyDescent="0.45">
      <c r="A71" s="30">
        <f>step3_validation[[#This Row],[Persona_ID]]</f>
        <v>70</v>
      </c>
      <c r="B71" s="31">
        <f>step3_validation[[#This Row],[Used_Seed]]</f>
        <v>2060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247.17734811541334</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8</v>
      </c>
      <c r="R71" t="str">
        <f t="shared" si="27"/>
        <v>Support</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2</v>
      </c>
      <c r="V71">
        <f>step3_validation[[#This Row],[AI_ENF2]]</f>
        <v>9</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3</v>
      </c>
      <c r="AA71">
        <f>step3_validation[[#This Row],[AI_FAC1]]</f>
        <v>7</v>
      </c>
      <c r="AB71" t="str">
        <f t="shared" si="33"/>
        <v>Neutral</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2</v>
      </c>
      <c r="AF71">
        <f>step3_validation[[#This Row],[AI_FAC2]]</f>
        <v>9</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4</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8</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2">
        <f t="shared" si="44"/>
        <v>7</v>
      </c>
      <c r="AU71">
        <f>step3_validation[[#This Row],[AI_TRU3]]</f>
        <v>7</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2</v>
      </c>
      <c r="AZ71">
        <f>step3_validation[[#This Row],[AI_TRU4]]</f>
        <v>8</v>
      </c>
      <c r="BA71" t="str">
        <f t="shared" si="48"/>
        <v>Support</v>
      </c>
      <c r="BB71">
        <f>survey_responses[[#This Row],[Tôi thấy Nhà nước đã giải thích rõ ràng, minh bạch về lý do và mục tiêu của việc sửa đổi thuế lần này. - HUMAN-TRU4]]</f>
        <v>5</v>
      </c>
      <c r="BC71" t="str">
        <f t="shared" si="49"/>
        <v>Neutral</v>
      </c>
      <c r="BD71" s="32">
        <f t="shared" si="50"/>
        <v>3</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2061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24.225859396582763</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8</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5</v>
      </c>
      <c r="AA72">
        <f>step3_validation[[#This Row],[AI_FAC1]]</f>
        <v>9</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6</v>
      </c>
      <c r="AF72">
        <f>step3_validation[[#This Row],[AI_FAC2]]</f>
        <v>9</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4</v>
      </c>
      <c r="AK72">
        <f>step3_validation[[#This Row],[AI_TRU1]]</f>
        <v>8</v>
      </c>
      <c r="AL72" t="str">
        <f t="shared" si="39"/>
        <v>Support</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5</v>
      </c>
      <c r="AP72">
        <f>step3_validation[[#This Row],[AI_TRU2]]</f>
        <v>9</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6</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5</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9</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5</v>
      </c>
    </row>
    <row r="73" spans="1:61" x14ac:dyDescent="0.45">
      <c r="A73" s="30">
        <f>step3_validation[[#This Row],[Persona_ID]]</f>
        <v>72</v>
      </c>
      <c r="B73" s="31">
        <f>step3_validation[[#This Row],[Used_Seed]]</f>
        <v>2062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21.534208899275797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1</v>
      </c>
      <c r="V73">
        <f>step3_validation[[#This Row],[AI_ENF2]]</f>
        <v>6</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2</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7</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8</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2">
        <f t="shared" si="44"/>
        <v>5</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1</v>
      </c>
      <c r="AZ73">
        <f>step3_validation[[#This Row],[AI_TRU4]]</f>
        <v>6</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2</v>
      </c>
      <c r="BE73">
        <f>step3_validation[[#This Row],[AI_OUT1]]</f>
        <v>8</v>
      </c>
      <c r="BF73" t="str">
        <f t="shared" si="51"/>
        <v>Support</v>
      </c>
      <c r="BG73">
        <f>survey_responses[[#This Row],[Sau khi xem xét các quyền lợi và nghĩa vụ, bạn có ủng hộ và tuân thủ chính sách mới hiện nay? - HUMAN-OUT1]]</f>
        <v>8</v>
      </c>
      <c r="BH73" t="str">
        <f t="shared" si="52"/>
        <v>Support</v>
      </c>
      <c r="BI73" s="32">
        <f t="shared" si="53"/>
        <v>0</v>
      </c>
    </row>
    <row r="74" spans="1:61" x14ac:dyDescent="0.45">
      <c r="A74" s="30">
        <f>step3_validation[[#This Row],[Persona_ID]]</f>
        <v>73</v>
      </c>
      <c r="B74" s="31">
        <f>step3_validation[[#This Row],[Used_Seed]]</f>
        <v>2063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13.59025283310098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8</v>
      </c>
      <c r="W74" t="str">
        <f t="shared" si="30"/>
        <v>Support</v>
      </c>
      <c r="X74">
        <f>survey_responses[[#This Row],[Tôi tin rằng Nhà nước, cơ quan thuế có đủ khả năng và công nghệ để phát hiện, xử lý nghiêm các hành vi trốn thuế. - HUMAN-ENF2]]</f>
        <v>5</v>
      </c>
      <c r="Y74" t="str">
        <f t="shared" si="31"/>
        <v>Neutral</v>
      </c>
      <c r="Z74" s="32">
        <f t="shared" si="32"/>
        <v>3</v>
      </c>
      <c r="AA74">
        <f>step3_validation[[#This Row],[AI_FAC1]]</f>
        <v>6</v>
      </c>
      <c r="AB74" t="str">
        <f t="shared" si="33"/>
        <v>Neutral</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1</v>
      </c>
      <c r="AF74">
        <f>step3_validation[[#This Row],[AI_FAC2]]</f>
        <v>9</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4</v>
      </c>
      <c r="AK74">
        <f>step3_validation[[#This Row],[AI_TRU1]]</f>
        <v>7</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2</v>
      </c>
      <c r="AP74">
        <f>step3_validation[[#This Row],[AI_TRU2]]</f>
        <v>9</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1</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5</v>
      </c>
      <c r="BF74" t="str">
        <f t="shared" si="51"/>
        <v>Neutral</v>
      </c>
      <c r="BG74">
        <f>survey_responses[[#This Row],[Sau khi xem xét các quyền lợi và nghĩa vụ, bạn có ủng hộ và tuân thủ chính sách mới hiện nay? - HUMAN-OUT1]]</f>
        <v>10</v>
      </c>
      <c r="BH74" t="str">
        <f t="shared" si="52"/>
        <v>Support</v>
      </c>
      <c r="BI74" s="32">
        <f t="shared" si="53"/>
        <v>5</v>
      </c>
    </row>
    <row r="75" spans="1:61" x14ac:dyDescent="0.45">
      <c r="A75" s="30">
        <f>step3_validation[[#This Row],[Persona_ID]]</f>
        <v>74</v>
      </c>
      <c r="B75" s="31">
        <f>step3_validation[[#This Row],[Used_Seed]]</f>
        <v>2064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20.608193558112948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2</v>
      </c>
      <c r="V75">
        <f>step3_validation[[#This Row],[AI_ENF2]]</f>
        <v>6</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2">
        <f t="shared" si="32"/>
        <v>4</v>
      </c>
      <c r="AA75">
        <f>step3_validation[[#This Row],[AI_FAC1]]</f>
        <v>9</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2">
        <f t="shared" si="35"/>
        <v>7</v>
      </c>
      <c r="AF75">
        <f>step3_validation[[#This Row],[AI_FAC2]]</f>
        <v>8</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0</v>
      </c>
      <c r="AK75">
        <f>step3_validation[[#This Row],[AI_TRU1]]</f>
        <v>9</v>
      </c>
      <c r="AL75" t="str">
        <f t="shared" si="39"/>
        <v>Support</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4</v>
      </c>
      <c r="AP75">
        <f>step3_validation[[#This Row],[AI_TRU2]]</f>
        <v>8</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3</v>
      </c>
      <c r="AU75">
        <f>step3_validation[[#This Row],[AI_TRU3]]</f>
        <v>7</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6</v>
      </c>
      <c r="AZ75">
        <f>step3_validation[[#This Row],[AI_TRU4]]</f>
        <v>8</v>
      </c>
      <c r="BA75" t="str">
        <f t="shared" si="48"/>
        <v>Support</v>
      </c>
      <c r="BB75">
        <f>survey_responses[[#This Row],[Tôi thấy Nhà nước đã giải thích rõ ràng, minh bạch về lý do và mục tiêu của việc sửa đổi thuế lần này. - HUMAN-TRU4]]</f>
        <v>4</v>
      </c>
      <c r="BC75" t="str">
        <f t="shared" si="49"/>
        <v>Oppose</v>
      </c>
      <c r="BD75" s="32">
        <f t="shared" si="50"/>
        <v>4</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4</v>
      </c>
    </row>
    <row r="76" spans="1:61" x14ac:dyDescent="0.45">
      <c r="A76" s="30">
        <f>step3_validation[[#This Row],[Persona_ID]]</f>
        <v>75</v>
      </c>
      <c r="B76" s="31">
        <f>step3_validation[[#This Row],[Used_Seed]]</f>
        <v>2065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63.766022638741298</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t="str">
        <f t="shared" si="27"/>
        <v>Support</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0</v>
      </c>
      <c r="V76">
        <f>step3_validation[[#This Row],[AI_ENF2]]</f>
        <v>9</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2">
        <f t="shared" si="32"/>
        <v>0</v>
      </c>
      <c r="AA76">
        <f>step3_validation[[#This Row],[AI_FAC1]]</f>
        <v>10</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1</v>
      </c>
      <c r="AF76">
        <f>step3_validation[[#This Row],[AI_FAC2]]</f>
        <v>10</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1</v>
      </c>
      <c r="AK76">
        <f>step3_validation[[#This Row],[AI_TRU1]]</f>
        <v>9</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6</v>
      </c>
      <c r="AP76">
        <f>step3_validation[[#This Row],[AI_TRU2]]</f>
        <v>10</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7</v>
      </c>
      <c r="AU76">
        <f>step3_validation[[#This Row],[AI_TRU3]]</f>
        <v>9</v>
      </c>
      <c r="AV76" t="str">
        <f t="shared" si="45"/>
        <v>Support</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7</v>
      </c>
      <c r="AZ76">
        <f>step3_validation[[#This Row],[AI_TRU4]]</f>
        <v>9</v>
      </c>
      <c r="BA76" t="str">
        <f t="shared" si="48"/>
        <v>Support</v>
      </c>
      <c r="BB76">
        <f>survey_responses[[#This Row],[Tôi thấy Nhà nước đã giải thích rõ ràng, minh bạch về lý do và mục tiêu của việc sửa đổi thuế lần này. - HUMAN-TRU4]]</f>
        <v>2</v>
      </c>
      <c r="BC76" t="str">
        <f t="shared" si="49"/>
        <v>Oppose</v>
      </c>
      <c r="BD76" s="32">
        <f t="shared" si="50"/>
        <v>7</v>
      </c>
      <c r="BE76">
        <f>step3_validation[[#This Row],[AI_OUT1]]</f>
        <v>10</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4</v>
      </c>
    </row>
    <row r="77" spans="1:61" x14ac:dyDescent="0.45">
      <c r="A77" s="30">
        <f>step3_validation[[#This Row],[Persona_ID]]</f>
        <v>76</v>
      </c>
      <c r="B77" s="31">
        <f>step3_validation[[#This Row],[Used_Seed]]</f>
        <v>2066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12.049198880927142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6</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1</v>
      </c>
      <c r="V77">
        <f>step3_validation[[#This Row],[AI_ENF2]]</f>
        <v>7</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2</v>
      </c>
      <c r="AA77">
        <f>step3_validation[[#This Row],[AI_FAC1]]</f>
        <v>5</v>
      </c>
      <c r="AB77" t="str">
        <f t="shared" si="33"/>
        <v>Neutral</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0</v>
      </c>
      <c r="AF77">
        <f>step3_validation[[#This Row],[AI_FAC2]]</f>
        <v>6</v>
      </c>
      <c r="AG77" t="str">
        <f t="shared" si="36"/>
        <v>Neutral</v>
      </c>
      <c r="AH77">
        <f>survey_responses[[#This Row],[So với trước đây, tôi thấy cách tính thuế và các bậc thuế trong phương án mới đơn giản, dễ hiểu và dễ thực hiện hơn. - HUMAN-FAC2]]</f>
        <v>5</v>
      </c>
      <c r="AI77" t="str">
        <f t="shared" si="37"/>
        <v>Neutral</v>
      </c>
      <c r="AJ77" s="32">
        <f t="shared" si="38"/>
        <v>1</v>
      </c>
      <c r="AK77">
        <f>step3_validation[[#This Row],[AI_TRU1]]</f>
        <v>9</v>
      </c>
      <c r="AL77" t="str">
        <f t="shared" si="39"/>
        <v>Support</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4</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3</v>
      </c>
      <c r="AU77">
        <f>step3_validation[[#This Row],[AI_TRU3]]</f>
        <v>9</v>
      </c>
      <c r="AV77" t="str">
        <f t="shared" si="45"/>
        <v>Support</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4</v>
      </c>
      <c r="AZ77">
        <f>step3_validation[[#This Row],[AI_TRU4]]</f>
        <v>5</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0</v>
      </c>
      <c r="BE77">
        <f>step3_validation[[#This Row],[AI_OUT1]]</f>
        <v>7</v>
      </c>
      <c r="BF77" t="str">
        <f t="shared" si="51"/>
        <v>Neutral</v>
      </c>
      <c r="BG77">
        <f>survey_responses[[#This Row],[Sau khi xem xét các quyền lợi và nghĩa vụ, bạn có ủng hộ và tuân thủ chính sách mới hiện nay? - HUMAN-OUT1]]</f>
        <v>5</v>
      </c>
      <c r="BH77" t="str">
        <f t="shared" si="52"/>
        <v>Neutral</v>
      </c>
      <c r="BI77" s="32">
        <f t="shared" si="53"/>
        <v>2</v>
      </c>
    </row>
    <row r="78" spans="1:61" x14ac:dyDescent="0.45">
      <c r="A78" s="30">
        <f>step3_validation[[#This Row],[Persona_ID]]</f>
        <v>77</v>
      </c>
      <c r="B78" s="31">
        <f>step3_validation[[#This Row],[Used_Seed]]</f>
        <v>2067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16.163866161295601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2</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9</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9</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1</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2</v>
      </c>
      <c r="AP78">
        <f>step3_validation[[#This Row],[AI_TRU2]]</f>
        <v>9</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2">
        <f t="shared" si="44"/>
        <v>2</v>
      </c>
      <c r="AU78">
        <f>step3_validation[[#This Row],[AI_TRU3]]</f>
        <v>7</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2</v>
      </c>
      <c r="AZ78">
        <f>step3_validation[[#This Row],[AI_TRU4]]</f>
        <v>7</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3</v>
      </c>
      <c r="BE78">
        <f>step3_validation[[#This Row],[AI_OUT1]]</f>
        <v>8</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0</v>
      </c>
    </row>
    <row r="79" spans="1:61" x14ac:dyDescent="0.45">
      <c r="A79" s="30">
        <f>step3_validation[[#This Row],[Persona_ID]]</f>
        <v>78</v>
      </c>
      <c r="B79" s="31">
        <f>step3_validation[[#This Row],[Used_Seed]]</f>
        <v>2068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43.928510667121479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7</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1</v>
      </c>
      <c r="V79">
        <f>step3_validation[[#This Row],[AI_ENF2]]</f>
        <v>6</v>
      </c>
      <c r="W79" t="str">
        <f t="shared" si="30"/>
        <v>Neutral</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8</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1</v>
      </c>
      <c r="AF79">
        <f>step3_validation[[#This Row],[AI_FAC2]]</f>
        <v>9</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1</v>
      </c>
      <c r="AK79">
        <f>step3_validation[[#This Row],[AI_TRU1]]</f>
        <v>7</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8</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0</v>
      </c>
      <c r="AU79">
        <f>step3_validation[[#This Row],[AI_TRU3]]</f>
        <v>6</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0</v>
      </c>
      <c r="AZ79">
        <f>step3_validation[[#This Row],[AI_TRU4]]</f>
        <v>7</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1</v>
      </c>
      <c r="BE79">
        <f>step3_validation[[#This Row],[AI_OUT1]]</f>
        <v>8</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1</v>
      </c>
    </row>
    <row r="80" spans="1:61" x14ac:dyDescent="0.45">
      <c r="A80" s="30">
        <f>step3_validation[[#This Row],[Persona_ID]]</f>
        <v>79</v>
      </c>
      <c r="B80" s="31">
        <f>step3_validation[[#This Row],[Used_Seed]]</f>
        <v>2069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13.564374857538178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0</v>
      </c>
      <c r="V80">
        <f>step3_validation[[#This Row],[AI_ENF2]]</f>
        <v>7</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5</v>
      </c>
      <c r="AA80">
        <f>step3_validation[[#This Row],[AI_FAC1]]</f>
        <v>8</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5</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7</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8</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7</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2</v>
      </c>
      <c r="AZ80">
        <f>step3_validation[[#This Row],[AI_TRU4]]</f>
        <v>6</v>
      </c>
      <c r="BA80" t="str">
        <f t="shared" si="48"/>
        <v>Neutral</v>
      </c>
      <c r="BB80">
        <f>survey_responses[[#This Row],[Tôi thấy Nhà nước đã giải thích rõ ràng, minh bạch về lý do và mục tiêu của việc sửa đổi thuế lần này. - HUMAN-TRU4]]</f>
        <v>5</v>
      </c>
      <c r="BC80" t="str">
        <f t="shared" si="49"/>
        <v>Neutral</v>
      </c>
      <c r="BD80" s="32">
        <f t="shared" si="50"/>
        <v>1</v>
      </c>
      <c r="BE80">
        <f>step3_validation[[#This Row],[AI_OUT1]]</f>
        <v>8</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1</v>
      </c>
    </row>
    <row r="81" spans="1:61" x14ac:dyDescent="0.45">
      <c r="A81" s="30">
        <f>step3_validation[[#This Row],[Persona_ID]]</f>
        <v>80</v>
      </c>
      <c r="B81" s="31">
        <f>step3_validation[[#This Row],[Used_Seed]]</f>
        <v>2070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13.25907015471039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t="str">
        <f t="shared" si="27"/>
        <v>Neutral</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1</v>
      </c>
      <c r="V81">
        <f>step3_validation[[#This Row],[AI_ENF2]]</f>
        <v>8</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0</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9</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1</v>
      </c>
      <c r="AK81">
        <f>step3_validation[[#This Row],[AI_TRU1]]</f>
        <v>7</v>
      </c>
      <c r="AL81" t="str">
        <f t="shared" si="39"/>
        <v>Neutral</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0</v>
      </c>
      <c r="AU81">
        <f>step3_validation[[#This Row],[AI_TRU3]]</f>
        <v>7</v>
      </c>
      <c r="AV81" t="str">
        <f t="shared" si="45"/>
        <v>Neutral</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8</v>
      </c>
      <c r="BA81" t="str">
        <f t="shared" si="48"/>
        <v>Support</v>
      </c>
      <c r="BB81">
        <f>survey_responses[[#This Row],[Tôi thấy Nhà nước đã giải thích rõ ràng, minh bạch về lý do và mục tiêu của việc sửa đổi thuế lần này. - HUMAN-TRU4]]</f>
        <v>8</v>
      </c>
      <c r="BC81" t="str">
        <f t="shared" si="49"/>
        <v>Support</v>
      </c>
      <c r="BD81" s="32">
        <f t="shared" si="50"/>
        <v>0</v>
      </c>
      <c r="BE81">
        <f>step3_validation[[#This Row],[AI_OUT1]]</f>
        <v>9</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2071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6</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1</v>
      </c>
      <c r="V82">
        <f>step3_validation[[#This Row],[AI_ENF2]]</f>
        <v>7</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0</v>
      </c>
      <c r="AA82">
        <f>step3_validation[[#This Row],[AI_FAC1]]</f>
        <v>8</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3</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4</v>
      </c>
      <c r="AK82">
        <f>step3_validation[[#This Row],[AI_TRU1]]</f>
        <v>6</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0</v>
      </c>
      <c r="AP82">
        <f>step3_validation[[#This Row],[AI_TRU2]]</f>
        <v>8</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3</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8</v>
      </c>
      <c r="BA82" t="str">
        <f t="shared" si="48"/>
        <v>Support</v>
      </c>
      <c r="BB82">
        <f>survey_responses[[#This Row],[Tôi thấy Nhà nước đã giải thích rõ ràng, minh bạch về lý do và mục tiêu của việc sửa đổi thuế lần này. - HUMAN-TRU4]]</f>
        <v>6</v>
      </c>
      <c r="BC82" t="str">
        <f t="shared" si="49"/>
        <v>Neutral</v>
      </c>
      <c r="BD82" s="32">
        <f t="shared" si="50"/>
        <v>2</v>
      </c>
      <c r="BE82">
        <f>step3_validation[[#This Row],[AI_OUT1]]</f>
        <v>9</v>
      </c>
      <c r="BF82" t="str">
        <f t="shared" si="51"/>
        <v>Support</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2072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13.436490089019367</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5</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3</v>
      </c>
      <c r="V83">
        <f>step3_validation[[#This Row],[AI_ENF2]]</f>
        <v>4</v>
      </c>
      <c r="W83" t="str">
        <f t="shared" si="30"/>
        <v>Oppose</v>
      </c>
      <c r="X83">
        <f>survey_responses[[#This Row],[Tôi tin rằng Nhà nước, cơ quan thuế có đủ khả năng và công nghệ để phát hiện, xử lý nghiêm các hành vi trốn thuế. - HUMAN-ENF2]]</f>
        <v>9</v>
      </c>
      <c r="Y83" t="str">
        <f t="shared" si="31"/>
        <v>Support</v>
      </c>
      <c r="Z83" s="32">
        <f t="shared" si="32"/>
        <v>5</v>
      </c>
      <c r="AA83">
        <f>step3_validation[[#This Row],[AI_FAC1]]</f>
        <v>7</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2</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8</v>
      </c>
      <c r="AL83" t="str">
        <f t="shared" si="39"/>
        <v>Support</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3</v>
      </c>
      <c r="AP83">
        <f>step3_validation[[#This Row],[AI_TRU2]]</f>
        <v>9</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4</v>
      </c>
      <c r="AU83">
        <f>step3_validation[[#This Row],[AI_TRU3]]</f>
        <v>8</v>
      </c>
      <c r="AV83" t="str">
        <f t="shared" si="45"/>
        <v>Support</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7</v>
      </c>
      <c r="AZ83">
        <f>step3_validation[[#This Row],[AI_TRU4]]</f>
        <v>7</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2</v>
      </c>
      <c r="BE83">
        <f>step3_validation[[#This Row],[AI_OUT1]]</f>
        <v>8</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3</v>
      </c>
    </row>
    <row r="84" spans="1:61" x14ac:dyDescent="0.45">
      <c r="A84" s="30">
        <f>step3_validation[[#This Row],[Persona_ID]]</f>
        <v>83</v>
      </c>
      <c r="B84" s="31">
        <f>step3_validation[[#This Row],[Used_Seed]]</f>
        <v>2073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16.910354443510919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8</v>
      </c>
      <c r="R84" t="str">
        <f t="shared" si="27"/>
        <v>Support</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2</v>
      </c>
      <c r="V84">
        <f>step3_validation[[#This Row],[AI_ENF2]]</f>
        <v>7</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1</v>
      </c>
      <c r="AA84">
        <f>step3_validation[[#This Row],[AI_FAC1]]</f>
        <v>9</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1</v>
      </c>
      <c r="AF84">
        <f>step3_validation[[#This Row],[AI_FAC2]]</f>
        <v>8</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1</v>
      </c>
      <c r="AK84">
        <f>step3_validation[[#This Row],[AI_TRU1]]</f>
        <v>9</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2</v>
      </c>
      <c r="AP84">
        <f>step3_validation[[#This Row],[AI_TRU2]]</f>
        <v>8</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2</v>
      </c>
      <c r="AU84">
        <f>step3_validation[[#This Row],[AI_TRU3]]</f>
        <v>9</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2</v>
      </c>
      <c r="AZ84">
        <f>step3_validation[[#This Row],[AI_TRU4]]</f>
        <v>8</v>
      </c>
      <c r="BA84" t="str">
        <f t="shared" si="48"/>
        <v>Support</v>
      </c>
      <c r="BB84">
        <f>survey_responses[[#This Row],[Tôi thấy Nhà nước đã giải thích rõ ràng, minh bạch về lý do và mục tiêu của việc sửa đổi thuế lần này. - HUMAN-TRU4]]</f>
        <v>6</v>
      </c>
      <c r="BC84" t="str">
        <f t="shared" si="49"/>
        <v>Neutral</v>
      </c>
      <c r="BD84" s="32">
        <f t="shared" si="50"/>
        <v>2</v>
      </c>
      <c r="BE84">
        <f>step3_validation[[#This Row],[AI_OUT1]]</f>
        <v>9</v>
      </c>
      <c r="BF84" t="str">
        <f t="shared" si="51"/>
        <v>Support</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2074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12.849936354493103</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9</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3</v>
      </c>
      <c r="V85">
        <f>step3_validation[[#This Row],[AI_ENF2]]</f>
        <v>8</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9</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4</v>
      </c>
      <c r="AF85">
        <f>step3_validation[[#This Row],[AI_FAC2]]</f>
        <v>8</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3</v>
      </c>
      <c r="AK85">
        <f>step3_validation[[#This Row],[AI_TRU1]]</f>
        <v>9</v>
      </c>
      <c r="AL85" t="str">
        <f t="shared" si="39"/>
        <v>Support</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4</v>
      </c>
      <c r="AP85">
        <f>step3_validation[[#This Row],[AI_TRU2]]</f>
        <v>8</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3</v>
      </c>
      <c r="AU85">
        <f>step3_validation[[#This Row],[AI_TRU3]]</f>
        <v>9</v>
      </c>
      <c r="AV85" t="str">
        <f t="shared" si="45"/>
        <v>Support</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4</v>
      </c>
      <c r="AZ85">
        <f>step3_validation[[#This Row],[AI_TRU4]]</f>
        <v>8</v>
      </c>
      <c r="BA85" t="str">
        <f t="shared" si="48"/>
        <v>Support</v>
      </c>
      <c r="BB85">
        <f>survey_responses[[#This Row],[Tôi thấy Nhà nước đã giải thích rõ ràng, minh bạch về lý do và mục tiêu của việc sửa đổi thuế lần này. - HUMAN-TRU4]]</f>
        <v>5</v>
      </c>
      <c r="BC85" t="str">
        <f t="shared" si="49"/>
        <v>Neutral</v>
      </c>
      <c r="BD85" s="32">
        <f t="shared" si="50"/>
        <v>3</v>
      </c>
      <c r="BE85">
        <f>step3_validation[[#This Row],[AI_OUT1]]</f>
        <v>9</v>
      </c>
      <c r="BF85" t="str">
        <f t="shared" si="51"/>
        <v>Support</v>
      </c>
      <c r="BG85">
        <f>survey_responses[[#This Row],[Sau khi xem xét các quyền lợi và nghĩa vụ, bạn có ủng hộ và tuân thủ chính sách mới hiện nay? - HUMAN-OUT1]]</f>
        <v>5</v>
      </c>
      <c r="BH85" t="str">
        <f t="shared" si="52"/>
        <v>Neutral</v>
      </c>
      <c r="BI85" s="32">
        <f t="shared" si="53"/>
        <v>4</v>
      </c>
    </row>
    <row r="86" spans="1:61" x14ac:dyDescent="0.45">
      <c r="A86" s="30">
        <f>step3_validation[[#This Row],[Persona_ID]]</f>
        <v>85</v>
      </c>
      <c r="B86" s="31">
        <f>step3_validation[[#This Row],[Used_Seed]]</f>
        <v>2075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15.171834045282333</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6</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3</v>
      </c>
      <c r="V86">
        <f>step3_validation[[#This Row],[AI_ENF2]]</f>
        <v>7</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2</v>
      </c>
      <c r="AA86">
        <f>step3_validation[[#This Row],[AI_FAC1]]</f>
        <v>9</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1</v>
      </c>
      <c r="AF86">
        <f>step3_validation[[#This Row],[AI_FAC2]]</f>
        <v>8</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1</v>
      </c>
      <c r="AK86">
        <f>step3_validation[[#This Row],[AI_TRU1]]</f>
        <v>9</v>
      </c>
      <c r="AL86" t="str">
        <f t="shared" si="39"/>
        <v>Support</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0</v>
      </c>
      <c r="AP86">
        <f>step3_validation[[#This Row],[AI_TRU2]]</f>
        <v>8</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1</v>
      </c>
      <c r="AU86">
        <f>step3_validation[[#This Row],[AI_TRU3]]</f>
        <v>9</v>
      </c>
      <c r="AV86" t="str">
        <f t="shared" si="45"/>
        <v>Support</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2</v>
      </c>
      <c r="AZ86">
        <f>step3_validation[[#This Row],[AI_TRU4]]</f>
        <v>7</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1</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0</v>
      </c>
    </row>
    <row r="87" spans="1:61" x14ac:dyDescent="0.45">
      <c r="A87" s="30">
        <f>step3_validation[[#This Row],[Persona_ID]]</f>
        <v>86</v>
      </c>
      <c r="B87" s="31">
        <f>step3_validation[[#This Row],[Used_Seed]]</f>
        <v>2076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12.678193407051058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1</v>
      </c>
      <c r="V87">
        <f>step3_validation[[#This Row],[AI_ENF2]]</f>
        <v>5</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0</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1</v>
      </c>
      <c r="AF87">
        <f>step3_validation[[#This Row],[AI_FAC2]]</f>
        <v>8</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4</v>
      </c>
      <c r="AK87">
        <f>step3_validation[[#This Row],[AI_TRU1]]</f>
        <v>9</v>
      </c>
      <c r="AL87" t="str">
        <f t="shared" si="39"/>
        <v>Support</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5</v>
      </c>
      <c r="AP87">
        <f>step3_validation[[#This Row],[AI_TRU2]]</f>
        <v>8</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3</v>
      </c>
      <c r="AU87">
        <f>step3_validation[[#This Row],[AI_TRU3]]</f>
        <v>9</v>
      </c>
      <c r="AV87" t="str">
        <f t="shared" si="45"/>
        <v>Support</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4</v>
      </c>
      <c r="AZ87">
        <f>step3_validation[[#This Row],[AI_TRU4]]</f>
        <v>8</v>
      </c>
      <c r="BA87" t="str">
        <f t="shared" si="48"/>
        <v>Support</v>
      </c>
      <c r="BB87">
        <f>survey_responses[[#This Row],[Tôi thấy Nhà nước đã giải thích rõ ràng, minh bạch về lý do và mục tiêu của việc sửa đổi thuế lần này. - HUMAN-TRU4]]</f>
        <v>8</v>
      </c>
      <c r="BC87" t="str">
        <f t="shared" si="49"/>
        <v>Support</v>
      </c>
      <c r="BD87" s="32">
        <f t="shared" si="50"/>
        <v>0</v>
      </c>
      <c r="BE87">
        <f>step3_validation[[#This Row],[AI_OUT1]]</f>
        <v>9</v>
      </c>
      <c r="BF87" t="str">
        <f t="shared" si="51"/>
        <v>Support</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2077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16.885397967793473</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8</v>
      </c>
      <c r="R88" t="str">
        <f t="shared" si="27"/>
        <v>Support</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2</v>
      </c>
      <c r="V88">
        <f>step3_validation[[#This Row],[AI_ENF2]]</f>
        <v>9</v>
      </c>
      <c r="W88" t="str">
        <f t="shared" si="30"/>
        <v>Support</v>
      </c>
      <c r="X88">
        <f>survey_responses[[#This Row],[Tôi tin rằng Nhà nước, cơ quan thuế có đủ khả năng và công nghệ để phát hiện, xử lý nghiêm các hành vi trốn thuế. - HUMAN-ENF2]]</f>
        <v>9</v>
      </c>
      <c r="Y88" t="str">
        <f t="shared" si="31"/>
        <v>Support</v>
      </c>
      <c r="Z88" s="32">
        <f t="shared" si="32"/>
        <v>0</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9</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0</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2</v>
      </c>
      <c r="AZ88">
        <f>step3_validation[[#This Row],[AI_TRU4]]</f>
        <v>9</v>
      </c>
      <c r="BA88" t="str">
        <f t="shared" si="48"/>
        <v>Support</v>
      </c>
      <c r="BB88">
        <f>survey_responses[[#This Row],[Tôi thấy Nhà nước đã giải thích rõ ràng, minh bạch về lý do và mục tiêu của việc sửa đổi thuế lần này. - HUMAN-TRU4]]</f>
        <v>9</v>
      </c>
      <c r="BC88" t="str">
        <f t="shared" si="49"/>
        <v>Support</v>
      </c>
      <c r="BD88" s="32">
        <f t="shared" si="50"/>
        <v>0</v>
      </c>
      <c r="BE88">
        <f>step3_validation[[#This Row],[AI_OUT1]]</f>
        <v>8</v>
      </c>
      <c r="BF88" t="str">
        <f t="shared" si="51"/>
        <v>Support</v>
      </c>
      <c r="BG88">
        <f>survey_responses[[#This Row],[Sau khi xem xét các quyền lợi và nghĩa vụ, bạn có ủng hộ và tuân thủ chính sách mới hiện nay? - HUMAN-OUT1]]</f>
        <v>10</v>
      </c>
      <c r="BH88" t="str">
        <f t="shared" si="52"/>
        <v>Support</v>
      </c>
      <c r="BI88" s="32">
        <f t="shared" si="53"/>
        <v>2</v>
      </c>
    </row>
    <row r="89" spans="1:61" x14ac:dyDescent="0.45">
      <c r="A89" s="30">
        <f>step3_validation[[#This Row],[Persona_ID]]</f>
        <v>88</v>
      </c>
      <c r="B89" s="31">
        <f>step3_validation[[#This Row],[Used_Seed]]</f>
        <v>2078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9</v>
      </c>
      <c r="R89" t="str">
        <f t="shared" si="27"/>
        <v>Support</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1</v>
      </c>
      <c r="V89">
        <f>step3_validation[[#This Row],[AI_ENF2]]</f>
        <v>8</v>
      </c>
      <c r="W89" t="str">
        <f t="shared" si="30"/>
        <v>Support</v>
      </c>
      <c r="X89">
        <f>survey_responses[[#This Row],[Tôi tin rằng Nhà nước, cơ quan thuế có đủ khả năng và công nghệ để phát hiện, xử lý nghiêm các hành vi trốn thuế. - HUMAN-ENF2]]</f>
        <v>10</v>
      </c>
      <c r="Y89" t="str">
        <f t="shared" si="31"/>
        <v>Support</v>
      </c>
      <c r="Z89" s="32">
        <f t="shared" si="32"/>
        <v>2</v>
      </c>
      <c r="AA89">
        <f>step3_validation[[#This Row],[AI_FAC1]]</f>
        <v>9</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1</v>
      </c>
      <c r="AF89">
        <f>step3_validation[[#This Row],[AI_FAC2]]</f>
        <v>8</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2</v>
      </c>
      <c r="AK89">
        <f>step3_validation[[#This Row],[AI_TRU1]]</f>
        <v>9</v>
      </c>
      <c r="AL89" t="str">
        <f t="shared" si="39"/>
        <v>Support</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1</v>
      </c>
      <c r="AP89">
        <f>step3_validation[[#This Row],[AI_TRU2]]</f>
        <v>8</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2</v>
      </c>
      <c r="AU89">
        <f>step3_validation[[#This Row],[AI_TRU3]]</f>
        <v>7</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3</v>
      </c>
      <c r="AZ89">
        <f>step3_validation[[#This Row],[AI_TRU4]]</f>
        <v>8</v>
      </c>
      <c r="BA89" t="str">
        <f t="shared" si="48"/>
        <v>Support</v>
      </c>
      <c r="BB89">
        <f>survey_responses[[#This Row],[Tôi thấy Nhà nước đã giải thích rõ ràng, minh bạch về lý do và mục tiêu của việc sửa đổi thuế lần này. - HUMAN-TRU4]]</f>
        <v>10</v>
      </c>
      <c r="BC89" t="str">
        <f t="shared" si="49"/>
        <v>Support</v>
      </c>
      <c r="BD89" s="32">
        <f t="shared" si="50"/>
        <v>2</v>
      </c>
      <c r="BE89">
        <f>step3_validation[[#This Row],[AI_OUT1]]</f>
        <v>9</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1</v>
      </c>
    </row>
    <row r="90" spans="1:61" x14ac:dyDescent="0.45">
      <c r="A90" s="30">
        <f>step3_validation[[#This Row],[Persona_ID]]</f>
        <v>89</v>
      </c>
      <c r="B90" s="31">
        <f>step3_validation[[#This Row],[Used_Seed]]</f>
        <v>2079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6</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4</v>
      </c>
      <c r="V90">
        <f>step3_validation[[#This Row],[AI_ENF2]]</f>
        <v>8</v>
      </c>
      <c r="W90" t="str">
        <f t="shared" si="30"/>
        <v>Support</v>
      </c>
      <c r="X90">
        <f>survey_responses[[#This Row],[Tôi tin rằng Nhà nước, cơ quan thuế có đủ khả năng và công nghệ để phát hiện, xử lý nghiêm các hành vi trốn thuế. - HUMAN-ENF2]]</f>
        <v>9</v>
      </c>
      <c r="Y90" t="str">
        <f t="shared" si="31"/>
        <v>Support</v>
      </c>
      <c r="Z90" s="32">
        <f t="shared" si="32"/>
        <v>1</v>
      </c>
      <c r="AA90">
        <f>step3_validation[[#This Row],[AI_FAC1]]</f>
        <v>9</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0</v>
      </c>
      <c r="AF90">
        <f>step3_validation[[#This Row],[AI_FAC2]]</f>
        <v>8</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1</v>
      </c>
      <c r="AK90">
        <f>step3_validation[[#This Row],[AI_TRU1]]</f>
        <v>7</v>
      </c>
      <c r="AL90" t="str">
        <f t="shared" si="39"/>
        <v>Neutral</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3</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2">
        <f t="shared" si="44"/>
        <v>0</v>
      </c>
      <c r="AU90">
        <f>step3_validation[[#This Row],[AI_TRU3]]</f>
        <v>7</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2</v>
      </c>
      <c r="AZ90">
        <f>step3_validation[[#This Row],[AI_TRU4]]</f>
        <v>8</v>
      </c>
      <c r="BA90" t="str">
        <f t="shared" si="48"/>
        <v>Support</v>
      </c>
      <c r="BB90">
        <f>survey_responses[[#This Row],[Tôi thấy Nhà nước đã giải thích rõ ràng, minh bạch về lý do và mục tiêu của việc sửa đổi thuế lần này. - HUMAN-TRU4]]</f>
        <v>8</v>
      </c>
      <c r="BC90" t="str">
        <f t="shared" si="49"/>
        <v>Support</v>
      </c>
      <c r="BD90" s="32">
        <f t="shared" si="50"/>
        <v>0</v>
      </c>
      <c r="BE90">
        <f>step3_validation[[#This Row],[AI_OUT1]]</f>
        <v>9</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0</v>
      </c>
    </row>
    <row r="91" spans="1:61" x14ac:dyDescent="0.45">
      <c r="A91" s="30">
        <f>step3_validation[[#This Row],[Persona_ID]]</f>
        <v>90</v>
      </c>
      <c r="B91" s="31">
        <f>step3_validation[[#This Row],[Used_Seed]]</f>
        <v>2080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6</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0</v>
      </c>
      <c r="V91">
        <f>step3_validation[[#This Row],[AI_ENF2]]</f>
        <v>7</v>
      </c>
      <c r="W91" t="str">
        <f t="shared" si="30"/>
        <v>Neutral</v>
      </c>
      <c r="X91">
        <f>survey_responses[[#This Row],[Tôi tin rằng Nhà nước, cơ quan thuế có đủ khả năng và công nghệ để phát hiện, xử lý nghiêm các hành vi trốn thuế. - HUMAN-ENF2]]</f>
        <v>10</v>
      </c>
      <c r="Y91" t="str">
        <f t="shared" si="31"/>
        <v>Support</v>
      </c>
      <c r="Z91" s="32">
        <f t="shared" si="32"/>
        <v>3</v>
      </c>
      <c r="AA91">
        <f>step3_validation[[#This Row],[AI_FAC1]]</f>
        <v>8</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0</v>
      </c>
      <c r="AF91">
        <f>step3_validation[[#This Row],[AI_FAC2]]</f>
        <v>9</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0</v>
      </c>
      <c r="AK91">
        <f>step3_validation[[#This Row],[AI_TRU1]]</f>
        <v>7</v>
      </c>
      <c r="AL91" t="str">
        <f t="shared" si="39"/>
        <v>Neutral</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2</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2">
        <f t="shared" si="44"/>
        <v>0</v>
      </c>
      <c r="AU91">
        <f>step3_validation[[#This Row],[AI_TRU3]]</f>
        <v>8</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0</v>
      </c>
      <c r="AZ91">
        <f>step3_validation[[#This Row],[AI_TRU4]]</f>
        <v>9</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2">
        <f t="shared" si="50"/>
        <v>1</v>
      </c>
      <c r="BE91">
        <f>step3_validation[[#This Row],[AI_OUT1]]</f>
        <v>9</v>
      </c>
      <c r="BF91" t="str">
        <f t="shared" si="51"/>
        <v>Support</v>
      </c>
      <c r="BG91">
        <f>survey_responses[[#This Row],[Sau khi xem xét các quyền lợi và nghĩa vụ, bạn có ủng hộ và tuân thủ chính sách mới hiện nay? - HUMAN-OUT1]]</f>
        <v>9</v>
      </c>
      <c r="BH91" t="str">
        <f t="shared" si="52"/>
        <v>Support</v>
      </c>
      <c r="BI91" s="32">
        <f t="shared" si="53"/>
        <v>0</v>
      </c>
    </row>
    <row r="92" spans="1:61" x14ac:dyDescent="0.45">
      <c r="A92" s="30">
        <f>step3_validation[[#This Row],[Persona_ID]]</f>
        <v>91</v>
      </c>
      <c r="B92" s="31">
        <f>step3_validation[[#This Row],[Used_Seed]]</f>
        <v>2081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8</v>
      </c>
      <c r="R92" t="str">
        <f t="shared" si="27"/>
        <v>Support</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2</v>
      </c>
      <c r="V92">
        <f>step3_validation[[#This Row],[AI_ENF2]]</f>
        <v>7</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2</v>
      </c>
      <c r="AA92">
        <f>step3_validation[[#This Row],[AI_FAC1]]</f>
        <v>9</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0</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9</v>
      </c>
      <c r="AL92" t="str">
        <f t="shared" si="39"/>
        <v>Support</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1</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1</v>
      </c>
      <c r="AU92">
        <f>step3_validation[[#This Row],[AI_TRU3]]</f>
        <v>9</v>
      </c>
      <c r="AV92" t="str">
        <f t="shared" si="45"/>
        <v>Support</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8</v>
      </c>
      <c r="BA92" t="str">
        <f t="shared" si="48"/>
        <v>Support</v>
      </c>
      <c r="BB92">
        <f>survey_responses[[#This Row],[Tôi thấy Nhà nước đã giải thích rõ ràng, minh bạch về lý do và mục tiêu của việc sửa đổi thuế lần này. - HUMAN-TRU4]]</f>
        <v>8</v>
      </c>
      <c r="BC92" t="str">
        <f t="shared" si="49"/>
        <v>Support</v>
      </c>
      <c r="BD92" s="32">
        <f t="shared" si="50"/>
        <v>0</v>
      </c>
      <c r="BE92">
        <f>step3_validation[[#This Row],[AI_OUT1]]</f>
        <v>9</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1</v>
      </c>
    </row>
    <row r="93" spans="1:61" x14ac:dyDescent="0.45">
      <c r="A93" s="30">
        <f>step3_validation[[#This Row],[Persona_ID]]</f>
        <v>92</v>
      </c>
      <c r="B93" s="31">
        <f>step3_validation[[#This Row],[Used_Seed]]</f>
        <v>2082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9</v>
      </c>
      <c r="R93" t="str">
        <f t="shared" si="27"/>
        <v>Support</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1</v>
      </c>
      <c r="V93">
        <f>step3_validation[[#This Row],[AI_ENF2]]</f>
        <v>8</v>
      </c>
      <c r="W93" t="str">
        <f t="shared" si="30"/>
        <v>Support</v>
      </c>
      <c r="X93">
        <f>survey_responses[[#This Row],[Tôi tin rằng Nhà nước, cơ quan thuế có đủ khả năng và công nghệ để phát hiện, xử lý nghiêm các hành vi trốn thuế. - HUMAN-ENF2]]</f>
        <v>10</v>
      </c>
      <c r="Y93" t="str">
        <f t="shared" si="31"/>
        <v>Support</v>
      </c>
      <c r="Z93" s="32">
        <f t="shared" si="32"/>
        <v>2</v>
      </c>
      <c r="AA93">
        <f>step3_validation[[#This Row],[AI_FAC1]]</f>
        <v>7</v>
      </c>
      <c r="AB93" t="str">
        <f t="shared" si="33"/>
        <v>Neutral</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3</v>
      </c>
      <c r="AF93">
        <f>step3_validation[[#This Row],[AI_FAC2]]</f>
        <v>9</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1</v>
      </c>
      <c r="AK93">
        <f>step3_validation[[#This Row],[AI_TRU1]]</f>
        <v>8</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2</v>
      </c>
      <c r="AP93">
        <f>step3_validation[[#This Row],[AI_TRU2]]</f>
        <v>9</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8</v>
      </c>
      <c r="AU93">
        <f>step3_validation[[#This Row],[AI_TRU3]]</f>
        <v>8</v>
      </c>
      <c r="AV93" t="str">
        <f t="shared" si="45"/>
        <v>Support</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2</v>
      </c>
      <c r="AZ93">
        <f>step3_validation[[#This Row],[AI_TRU4]]</f>
        <v>9</v>
      </c>
      <c r="BA93" t="str">
        <f t="shared" si="48"/>
        <v>Support</v>
      </c>
      <c r="BB93">
        <f>survey_responses[[#This Row],[Tôi thấy Nhà nước đã giải thích rõ ràng, minh bạch về lý do và mục tiêu của việc sửa đổi thuế lần này. - HUMAN-TRU4]]</f>
        <v>10</v>
      </c>
      <c r="BC93" t="str">
        <f t="shared" si="49"/>
        <v>Support</v>
      </c>
      <c r="BD93" s="32">
        <f t="shared" si="50"/>
        <v>1</v>
      </c>
      <c r="BE93">
        <f>step3_validation[[#This Row],[AI_OUT1]]</f>
        <v>10</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0</v>
      </c>
    </row>
    <row r="94" spans="1:61" x14ac:dyDescent="0.45">
      <c r="A94" s="30">
        <f>step3_validation[[#This Row],[Persona_ID]]</f>
        <v>93</v>
      </c>
      <c r="B94" s="31">
        <f>step3_validation[[#This Row],[Used_Seed]]</f>
        <v>2083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46.571428374809159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1</v>
      </c>
      <c r="V94">
        <f>step3_validation[[#This Row],[AI_ENF2]]</f>
        <v>7</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1</v>
      </c>
      <c r="AA94">
        <f>step3_validation[[#This Row],[AI_FAC1]]</f>
        <v>6</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2</v>
      </c>
      <c r="AF94">
        <f>step3_validation[[#This Row],[AI_FAC2]]</f>
        <v>9</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0</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9</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2">
        <f t="shared" si="44"/>
        <v>4</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0</v>
      </c>
      <c r="AZ94">
        <f>step3_validation[[#This Row],[AI_TRU4]]</f>
        <v>6</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2</v>
      </c>
      <c r="BE94">
        <f>step3_validation[[#This Row],[AI_OUT1]]</f>
        <v>9</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1</v>
      </c>
    </row>
    <row r="95" spans="1:61" x14ac:dyDescent="0.45">
      <c r="A95" s="30">
        <f>step3_validation[[#This Row],[Persona_ID]]</f>
        <v>94</v>
      </c>
      <c r="B95" s="31">
        <f>step3_validation[[#This Row],[Used_Seed]]</f>
        <v>2084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2</v>
      </c>
      <c r="V95">
        <f>step3_validation[[#This Row],[AI_ENF2]]</f>
        <v>8</v>
      </c>
      <c r="W95" t="str">
        <f t="shared" si="30"/>
        <v>Support</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4</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1</v>
      </c>
      <c r="AK95">
        <f>step3_validation[[#This Row],[AI_TRU1]]</f>
        <v>9</v>
      </c>
      <c r="AL95" t="str">
        <f t="shared" si="39"/>
        <v>Support</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4</v>
      </c>
      <c r="AP95">
        <f>step3_validation[[#This Row],[AI_TRU2]]</f>
        <v>8</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2">
        <f t="shared" si="44"/>
        <v>0</v>
      </c>
      <c r="AU95">
        <f>step3_validation[[#This Row],[AI_TRU3]]</f>
        <v>9</v>
      </c>
      <c r="AV95" t="str">
        <f t="shared" si="45"/>
        <v>Support</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4</v>
      </c>
      <c r="AZ95">
        <f>step3_validation[[#This Row],[AI_TRU4]]</f>
        <v>8</v>
      </c>
      <c r="BA95" t="str">
        <f t="shared" si="48"/>
        <v>Support</v>
      </c>
      <c r="BB95">
        <f>survey_responses[[#This Row],[Tôi thấy Nhà nước đã giải thích rõ ràng, minh bạch về lý do và mục tiêu của việc sửa đổi thuế lần này. - HUMAN-TRU4]]</f>
        <v>5</v>
      </c>
      <c r="BC95" t="str">
        <f t="shared" si="49"/>
        <v>Neutral</v>
      </c>
      <c r="BD95" s="32">
        <f t="shared" si="50"/>
        <v>3</v>
      </c>
      <c r="BE95">
        <f>step3_validation[[#This Row],[AI_OUT1]]</f>
        <v>9</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2</v>
      </c>
    </row>
    <row r="96" spans="1:61" x14ac:dyDescent="0.45">
      <c r="A96" s="30">
        <f>step3_validation[[#This Row],[Persona_ID]]</f>
        <v>95</v>
      </c>
      <c r="B96" s="31">
        <f>step3_validation[[#This Row],[Used_Seed]]</f>
        <v>2085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41.081099114666415</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9</v>
      </c>
      <c r="R96" t="str">
        <f t="shared" si="27"/>
        <v>Support</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5</v>
      </c>
      <c r="V96">
        <f>step3_validation[[#This Row],[AI_ENF2]]</f>
        <v>8</v>
      </c>
      <c r="W96" t="str">
        <f t="shared" si="30"/>
        <v>Support</v>
      </c>
      <c r="X96">
        <f>survey_responses[[#This Row],[Tôi tin rằng Nhà nước, cơ quan thuế có đủ khả năng và công nghệ để phát hiện, xử lý nghiêm các hành vi trốn thuế. - HUMAN-ENF2]]</f>
        <v>6</v>
      </c>
      <c r="Y96" t="str">
        <f t="shared" si="31"/>
        <v>Neutral</v>
      </c>
      <c r="Z96" s="32">
        <f t="shared" si="32"/>
        <v>2</v>
      </c>
      <c r="AA96">
        <f>step3_validation[[#This Row],[AI_FAC1]]</f>
        <v>9</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4</v>
      </c>
      <c r="AF96">
        <f>step3_validation[[#This Row],[AI_FAC2]]</f>
        <v>8</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3</v>
      </c>
      <c r="AK96">
        <f>step3_validation[[#This Row],[AI_TRU1]]</f>
        <v>9</v>
      </c>
      <c r="AL96" t="str">
        <f t="shared" si="39"/>
        <v>Support</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5</v>
      </c>
      <c r="AP96">
        <f>step3_validation[[#This Row],[AI_TRU2]]</f>
        <v>8</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2">
        <f t="shared" si="44"/>
        <v>4</v>
      </c>
      <c r="AU96">
        <f>step3_validation[[#This Row],[AI_TRU3]]</f>
        <v>9</v>
      </c>
      <c r="AV96" t="str">
        <f t="shared" si="45"/>
        <v>Support</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6</v>
      </c>
      <c r="AZ96">
        <f>step3_validation[[#This Row],[AI_TRU4]]</f>
        <v>8</v>
      </c>
      <c r="BA96" t="str">
        <f t="shared" si="48"/>
        <v>Support</v>
      </c>
      <c r="BB96">
        <f>survey_responses[[#This Row],[Tôi thấy Nhà nước đã giải thích rõ ràng, minh bạch về lý do và mục tiêu của việc sửa đổi thuế lần này. - HUMAN-TRU4]]</f>
        <v>4</v>
      </c>
      <c r="BC96" t="str">
        <f t="shared" si="49"/>
        <v>Oppose</v>
      </c>
      <c r="BD96" s="32">
        <f t="shared" si="50"/>
        <v>4</v>
      </c>
      <c r="BE96">
        <f>step3_validation[[#This Row],[AI_OUT1]]</f>
        <v>9</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6</v>
      </c>
    </row>
    <row r="97" spans="1:61" x14ac:dyDescent="0.45">
      <c r="A97" s="30">
        <f>step3_validation[[#This Row],[Persona_ID]]</f>
        <v>96</v>
      </c>
      <c r="B97" s="31">
        <f>step3_validation[[#This Row],[Used_Seed]]</f>
        <v>2086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9</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4</v>
      </c>
      <c r="AF97">
        <f>step3_validation[[#This Row],[AI_FAC2]]</f>
        <v>10</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3</v>
      </c>
      <c r="AK97">
        <f>step3_validation[[#This Row],[AI_TRU1]]</f>
        <v>9</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2</v>
      </c>
      <c r="AP97">
        <f>step3_validation[[#This Row],[AI_TRU2]]</f>
        <v>9</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4</v>
      </c>
      <c r="AU97">
        <f>step3_validation[[#This Row],[AI_TRU3]]</f>
        <v>8</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3</v>
      </c>
      <c r="AZ97">
        <f>step3_validation[[#This Row],[AI_TRU4]]</f>
        <v>9</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2">
        <f t="shared" si="50"/>
        <v>2</v>
      </c>
      <c r="BE97">
        <f>step3_validation[[#This Row],[AI_OUT1]]</f>
        <v>8</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1</v>
      </c>
    </row>
    <row r="98" spans="1:61" x14ac:dyDescent="0.45">
      <c r="A98" s="30">
        <f>step3_validation[[#This Row],[Persona_ID]]</f>
        <v>97</v>
      </c>
      <c r="B98" s="31">
        <f>step3_validation[[#This Row],[Used_Seed]]</f>
        <v>2087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163.82657445953265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6</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0</v>
      </c>
      <c r="V98">
        <f>step3_validation[[#This Row],[AI_ENF2]]</f>
        <v>7</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1</v>
      </c>
      <c r="AA98">
        <f>step3_validation[[#This Row],[AI_FAC1]]</f>
        <v>8</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3</v>
      </c>
      <c r="AF98">
        <f>step3_validation[[#This Row],[AI_FAC2]]</f>
        <v>9</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4</v>
      </c>
      <c r="AK98">
        <f>step3_validation[[#This Row],[AI_TRU1]]</f>
        <v>7</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2</v>
      </c>
      <c r="AP98">
        <f>step3_validation[[#This Row],[AI_TRU2]]</f>
        <v>9</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2">
        <f t="shared" si="44"/>
        <v>4</v>
      </c>
      <c r="AU98">
        <f>step3_validation[[#This Row],[AI_TRU3]]</f>
        <v>7</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2</v>
      </c>
      <c r="AZ98">
        <f>step3_validation[[#This Row],[AI_TRU4]]</f>
        <v>8</v>
      </c>
      <c r="BA98" t="str">
        <f t="shared" si="48"/>
        <v>Support</v>
      </c>
      <c r="BB98">
        <f>survey_responses[[#This Row],[Tôi thấy Nhà nước đã giải thích rõ ràng, minh bạch về lý do và mục tiêu của việc sửa đổi thuế lần này. - HUMAN-TRU4]]</f>
        <v>5</v>
      </c>
      <c r="BC98" t="str">
        <f t="shared" si="49"/>
        <v>Neutral</v>
      </c>
      <c r="BD98" s="32">
        <f t="shared" si="50"/>
        <v>3</v>
      </c>
      <c r="BE98">
        <f>step3_validation[[#This Row],[AI_OUT1]]</f>
        <v>9</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4</v>
      </c>
    </row>
    <row r="99" spans="1:61" x14ac:dyDescent="0.45">
      <c r="A99" s="30">
        <f>step3_validation[[#This Row],[Persona_ID]]</f>
        <v>98</v>
      </c>
      <c r="B99" s="31">
        <f>step3_validation[[#This Row],[Used_Seed]]</f>
        <v>2088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19.176103235392247</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8</v>
      </c>
      <c r="R99" t="str">
        <f t="shared" si="27"/>
        <v>Support</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0</v>
      </c>
      <c r="V99">
        <f>step3_validation[[#This Row],[AI_ENF2]]</f>
        <v>7</v>
      </c>
      <c r="W99" t="str">
        <f t="shared" si="30"/>
        <v>Neutral</v>
      </c>
      <c r="X99">
        <f>survey_responses[[#This Row],[Tôi tin rằng Nhà nước, cơ quan thuế có đủ khả năng và công nghệ để phát hiện, xử lý nghiêm các hành vi trốn thuế. - HUMAN-ENF2]]</f>
        <v>8</v>
      </c>
      <c r="Y99" t="str">
        <f t="shared" si="31"/>
        <v>Support</v>
      </c>
      <c r="Z99" s="32">
        <f t="shared" si="32"/>
        <v>1</v>
      </c>
      <c r="AA99">
        <f>step3_validation[[#This Row],[AI_FAC1]]</f>
        <v>9</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4</v>
      </c>
      <c r="AF99">
        <f>step3_validation[[#This Row],[AI_FAC2]]</f>
        <v>10</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2</v>
      </c>
      <c r="AK99">
        <f>step3_validation[[#This Row],[AI_TRU1]]</f>
        <v>8</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2</v>
      </c>
      <c r="AP99">
        <f>step3_validation[[#This Row],[AI_TRU2]]</f>
        <v>9</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0</v>
      </c>
      <c r="AU99">
        <f>step3_validation[[#This Row],[AI_TRU3]]</f>
        <v>8</v>
      </c>
      <c r="AV99" t="str">
        <f t="shared" si="45"/>
        <v>Support</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3</v>
      </c>
      <c r="AZ99">
        <f>step3_validation[[#This Row],[AI_TRU4]]</f>
        <v>7</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0</v>
      </c>
      <c r="BE99">
        <f>step3_validation[[#This Row],[AI_OUT1]]</f>
        <v>9</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2089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23.814557790619137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8</v>
      </c>
      <c r="W100" t="str">
        <f t="shared" si="30"/>
        <v>Support</v>
      </c>
      <c r="X100">
        <f>survey_responses[[#This Row],[Tôi tin rằng Nhà nước, cơ quan thuế có đủ khả năng và công nghệ để phát hiện, xử lý nghiêm các hành vi trốn thuế. - HUMAN-ENF2]]</f>
        <v>6</v>
      </c>
      <c r="Y100" t="str">
        <f t="shared" si="31"/>
        <v>Neutral</v>
      </c>
      <c r="Z100" s="32">
        <f t="shared" si="32"/>
        <v>2</v>
      </c>
      <c r="AA100">
        <f>step3_validation[[#This Row],[AI_FAC1]]</f>
        <v>6</v>
      </c>
      <c r="AB100" t="str">
        <f t="shared" si="33"/>
        <v>Neutral</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3</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3</v>
      </c>
      <c r="AK100">
        <f>step3_validation[[#This Row],[AI_TRU1]]</f>
        <v>8</v>
      </c>
      <c r="AL100" t="str">
        <f t="shared" si="39"/>
        <v>Support</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3</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3</v>
      </c>
      <c r="AU100">
        <f>step3_validation[[#This Row],[AI_TRU3]]</f>
        <v>8</v>
      </c>
      <c r="AV100" t="str">
        <f t="shared" si="45"/>
        <v>Support</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3</v>
      </c>
      <c r="AZ100">
        <f>step3_validation[[#This Row],[AI_TRU4]]</f>
        <v>7</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1</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3</v>
      </c>
    </row>
    <row r="101" spans="1:61" x14ac:dyDescent="0.45">
      <c r="A101" s="30">
        <f>step3_validation[[#This Row],[Persona_ID]]</f>
        <v>100</v>
      </c>
      <c r="B101" s="31">
        <f>step3_validation[[#This Row],[Used_Seed]]</f>
        <v>2090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14.496198766757509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1</v>
      </c>
      <c r="V101">
        <f>step3_validation[[#This Row],[AI_ENF2]]</f>
        <v>6</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2">
        <f t="shared" si="32"/>
        <v>2</v>
      </c>
      <c r="AA101">
        <f>step3_validation[[#This Row],[AI_FAC1]]</f>
        <v>9</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8</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2</v>
      </c>
      <c r="AK101">
        <f>step3_validation[[#This Row],[AI_TRU1]]</f>
        <v>9</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1</v>
      </c>
      <c r="AP101">
        <f>step3_validation[[#This Row],[AI_TRU2]]</f>
        <v>8</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2">
        <f t="shared" si="44"/>
        <v>2</v>
      </c>
      <c r="AU101">
        <f>step3_validation[[#This Row],[AI_TRU3]]</f>
        <v>9</v>
      </c>
      <c r="AV101" t="str">
        <f t="shared" si="45"/>
        <v>Support</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1</v>
      </c>
      <c r="AZ101">
        <f>step3_validation[[#This Row],[AI_TRU4]]</f>
        <v>8</v>
      </c>
      <c r="BA101" t="str">
        <f t="shared" si="48"/>
        <v>Support</v>
      </c>
      <c r="BB101">
        <f>survey_responses[[#This Row],[Tôi thấy Nhà nước đã giải thích rõ ràng, minh bạch về lý do và mục tiêu của việc sửa đổi thuế lần này. - HUMAN-TRU4]]</f>
        <v>10</v>
      </c>
      <c r="BC101" t="str">
        <f t="shared" si="49"/>
        <v>Support</v>
      </c>
      <c r="BD101" s="32">
        <f t="shared" si="50"/>
        <v>2</v>
      </c>
      <c r="BE101">
        <f>step3_validation[[#This Row],[AI_OUT1]]</f>
        <v>9</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1</v>
      </c>
    </row>
    <row r="102" spans="1:61" x14ac:dyDescent="0.45">
      <c r="A102" s="30">
        <f>step3_validation[[#This Row],[Persona_ID]]</f>
        <v>101</v>
      </c>
      <c r="B102" s="31">
        <f>step3_validation[[#This Row],[Used_Seed]]</f>
        <v>2091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75.396638625455793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5</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3</v>
      </c>
      <c r="V102">
        <f>step3_validation[[#This Row],[AI_ENF2]]</f>
        <v>4</v>
      </c>
      <c r="W102" t="str">
        <f t="shared" si="30"/>
        <v>Oppose</v>
      </c>
      <c r="X102">
        <f>survey_responses[[#This Row],[Tôi tin rằng Nhà nước, cơ quan thuế có đủ khả năng và công nghệ để phát hiện, xử lý nghiêm các hành vi trốn thuế. - HUMAN-ENF2]]</f>
        <v>8</v>
      </c>
      <c r="Y102" t="str">
        <f t="shared" si="31"/>
        <v>Support</v>
      </c>
      <c r="Z102" s="32">
        <f t="shared" si="32"/>
        <v>4</v>
      </c>
      <c r="AA102">
        <f>step3_validation[[#This Row],[AI_FAC1]]</f>
        <v>7</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0</v>
      </c>
      <c r="AF102">
        <f>step3_validation[[#This Row],[AI_FAC2]]</f>
        <v>9</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1</v>
      </c>
      <c r="AK102">
        <f>step3_validation[[#This Row],[AI_TRU1]]</f>
        <v>6</v>
      </c>
      <c r="AL102" t="str">
        <f t="shared" si="39"/>
        <v>Neutral</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2</v>
      </c>
      <c r="AP102">
        <f>step3_validation[[#This Row],[AI_TRU2]]</f>
        <v>9</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2">
        <f t="shared" si="44"/>
        <v>2</v>
      </c>
      <c r="AU102">
        <f>step3_validation[[#This Row],[AI_TRU3]]</f>
        <v>7</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0</v>
      </c>
      <c r="AZ102">
        <f>step3_validation[[#This Row],[AI_TRU4]]</f>
        <v>8</v>
      </c>
      <c r="BA102" t="str">
        <f t="shared" si="48"/>
        <v>Support</v>
      </c>
      <c r="BB102">
        <f>survey_responses[[#This Row],[Tôi thấy Nhà nước đã giải thích rõ ràng, minh bạch về lý do và mục tiêu của việc sửa đổi thuế lần này. - HUMAN-TRU4]]</f>
        <v>7</v>
      </c>
      <c r="BC102" t="str">
        <f t="shared" si="49"/>
        <v>Neutral</v>
      </c>
      <c r="BD102" s="32">
        <f t="shared" si="50"/>
        <v>1</v>
      </c>
      <c r="BE102">
        <f>step3_validation[[#This Row],[AI_OUT1]]</f>
        <v>9</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1</v>
      </c>
    </row>
    <row r="103" spans="1:61" x14ac:dyDescent="0.45">
      <c r="A103" s="30">
        <f>step3_validation[[#This Row],[Persona_ID]]</f>
        <v>102</v>
      </c>
      <c r="B103" s="31">
        <f>step3_validation[[#This Row],[Used_Seed]]</f>
        <v>2092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15.68299098328216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8</v>
      </c>
      <c r="W103" t="str">
        <f t="shared" si="30"/>
        <v>Support</v>
      </c>
      <c r="X103">
        <f>survey_responses[[#This Row],[Tôi tin rằng Nhà nước, cơ quan thuế có đủ khả năng và công nghệ để phát hiện, xử lý nghiêm các hành vi trốn thuế. - HUMAN-ENF2]]</f>
        <v>5</v>
      </c>
      <c r="Y103" t="str">
        <f t="shared" si="31"/>
        <v>Neutral</v>
      </c>
      <c r="Z103" s="32">
        <f t="shared" si="32"/>
        <v>3</v>
      </c>
      <c r="AA103">
        <f>step3_validation[[#This Row],[AI_FAC1]]</f>
        <v>9</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4</v>
      </c>
      <c r="AF103">
        <f>step3_validation[[#This Row],[AI_FAC2]]</f>
        <v>10</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5</v>
      </c>
      <c r="AK103">
        <f>step3_validation[[#This Row],[AI_TRU1]]</f>
        <v>9</v>
      </c>
      <c r="AL103" t="str">
        <f t="shared" si="39"/>
        <v>Support</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4</v>
      </c>
      <c r="AP103">
        <f>step3_validation[[#This Row],[AI_TRU2]]</f>
        <v>9</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4</v>
      </c>
      <c r="AU103">
        <f>step3_validation[[#This Row],[AI_TRU3]]</f>
        <v>8</v>
      </c>
      <c r="AV103" t="str">
        <f t="shared" si="45"/>
        <v>Support</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3</v>
      </c>
      <c r="AZ103">
        <f>step3_validation[[#This Row],[AI_TRU4]]</f>
        <v>9</v>
      </c>
      <c r="BA103" t="str">
        <f t="shared" si="48"/>
        <v>Support</v>
      </c>
      <c r="BB103">
        <f>survey_responses[[#This Row],[Tôi thấy Nhà nước đã giải thích rõ ràng, minh bạch về lý do và mục tiêu của việc sửa đổi thuế lần này. - HUMAN-TRU4]]</f>
        <v>5</v>
      </c>
      <c r="BC103" t="str">
        <f t="shared" si="49"/>
        <v>Neutral</v>
      </c>
      <c r="BD103" s="32">
        <f t="shared" si="50"/>
        <v>4</v>
      </c>
      <c r="BE103">
        <f>step3_validation[[#This Row],[AI_OUT1]]</f>
        <v>10</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5</v>
      </c>
    </row>
    <row r="104" spans="1:61" x14ac:dyDescent="0.45">
      <c r="A104" s="30">
        <f>step3_validation[[#This Row],[Persona_ID]]</f>
        <v>103</v>
      </c>
      <c r="B104" s="31">
        <f>step3_validation[[#This Row],[Used_Seed]]</f>
        <v>2093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46.528268987524349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6</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2</v>
      </c>
      <c r="AA104">
        <f>step3_validation[[#This Row],[AI_FAC1]]</f>
        <v>8</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3</v>
      </c>
      <c r="AF104">
        <f>step3_validation[[#This Row],[AI_FAC2]]</f>
        <v>9</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2</v>
      </c>
      <c r="AP104">
        <f>step3_validation[[#This Row],[AI_TRU2]]</f>
        <v>9</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4</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8</v>
      </c>
      <c r="BA104" t="str">
        <f t="shared" si="48"/>
        <v>Support</v>
      </c>
      <c r="BB104">
        <f>survey_responses[[#This Row],[Tôi thấy Nhà nước đã giải thích rõ ràng, minh bạch về lý do và mục tiêu của việc sửa đổi thuế lần này. - HUMAN-TRU4]]</f>
        <v>6</v>
      </c>
      <c r="BC104" t="str">
        <f t="shared" si="49"/>
        <v>Neutral</v>
      </c>
      <c r="BD104" s="32">
        <f t="shared" si="50"/>
        <v>2</v>
      </c>
      <c r="BE104">
        <f>step3_validation[[#This Row],[AI_OUT1]]</f>
        <v>9</v>
      </c>
      <c r="BF104" t="str">
        <f t="shared" si="51"/>
        <v>Support</v>
      </c>
      <c r="BG104">
        <f>survey_responses[[#This Row],[Sau khi xem xét các quyền lợi và nghĩa vụ, bạn có ủng hộ và tuân thủ chính sách mới hiện nay? - HUMAN-OUT1]]</f>
        <v>5</v>
      </c>
      <c r="BH104" t="str">
        <f t="shared" si="52"/>
        <v>Neutral</v>
      </c>
      <c r="BI104" s="32">
        <f t="shared" si="53"/>
        <v>4</v>
      </c>
    </row>
    <row r="105" spans="1:61" x14ac:dyDescent="0.45">
      <c r="A105" s="30">
        <f>step3_validation[[#This Row],[Persona_ID]]</f>
        <v>104</v>
      </c>
      <c r="B105" s="31">
        <f>step3_validation[[#This Row],[Used_Seed]]</f>
        <v>2094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18.177356308135195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0</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0</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6</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0</v>
      </c>
      <c r="AP105">
        <f>step3_validation[[#This Row],[AI_TRU2]]</f>
        <v>9</v>
      </c>
      <c r="AQ105" t="str">
        <f t="shared" si="42"/>
        <v>Support</v>
      </c>
      <c r="AR105">
        <f>survey_responses[[#This Row],[Tôi thấy mức thuế tôi phải đóng theo phương án mới là công bằng (người thu nhập như tôi đóng mức này là hợp lý). - HUMAN-TRU2]]</f>
        <v>7</v>
      </c>
      <c r="AS105" t="str">
        <f t="shared" si="43"/>
        <v>Neutral</v>
      </c>
      <c r="AT105" s="32">
        <f t="shared" si="44"/>
        <v>2</v>
      </c>
      <c r="AU105">
        <f>step3_validation[[#This Row],[AI_TRU3]]</f>
        <v>8</v>
      </c>
      <c r="AV105" t="str">
        <f t="shared" si="45"/>
        <v>Support</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2</v>
      </c>
      <c r="AZ105">
        <f>step3_validation[[#This Row],[AI_TRU4]]</f>
        <v>7</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8</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2095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16.488618968984962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2</v>
      </c>
      <c r="V106">
        <f>step3_validation[[#This Row],[AI_ENF2]]</f>
        <v>6</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4</v>
      </c>
      <c r="AA106">
        <f>step3_validation[[#This Row],[AI_FAC1]]</f>
        <v>8</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0</v>
      </c>
      <c r="AF106">
        <f>step3_validation[[#This Row],[AI_FAC2]]</f>
        <v>9</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8</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1</v>
      </c>
      <c r="AP106">
        <f>step3_validation[[#This Row],[AI_TRU2]]</f>
        <v>9</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2">
        <f t="shared" si="44"/>
        <v>0</v>
      </c>
      <c r="AU106">
        <f>step3_validation[[#This Row],[AI_TRU3]]</f>
        <v>8</v>
      </c>
      <c r="AV106" t="str">
        <f t="shared" si="45"/>
        <v>Support</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0</v>
      </c>
      <c r="AZ106">
        <f>step3_validation[[#This Row],[AI_TRU4]]</f>
        <v>7</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9</v>
      </c>
      <c r="BF106" t="str">
        <f t="shared" si="51"/>
        <v>Support</v>
      </c>
      <c r="BG106">
        <f>survey_responses[[#This Row],[Sau khi xem xét các quyền lợi và nghĩa vụ, bạn có ủng hộ và tuân thủ chính sách mới hiện nay? - HUMAN-OUT1]]</f>
        <v>9</v>
      </c>
      <c r="BH106" t="str">
        <f t="shared" si="52"/>
        <v>Support</v>
      </c>
      <c r="BI106" s="32">
        <f t="shared" si="53"/>
        <v>0</v>
      </c>
    </row>
    <row r="107" spans="1:61" x14ac:dyDescent="0.45">
      <c r="A107" s="30">
        <f>step3_validation[[#This Row],[Persona_ID]]</f>
        <v>106</v>
      </c>
      <c r="B107" s="31">
        <f>step3_validation[[#This Row],[Used_Seed]]</f>
        <v>2096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8</v>
      </c>
      <c r="R107" t="str">
        <f t="shared" si="27"/>
        <v>Support</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2</v>
      </c>
      <c r="V107">
        <f>step3_validation[[#This Row],[AI_ENF2]]</f>
        <v>7</v>
      </c>
      <c r="W107" t="str">
        <f t="shared" si="30"/>
        <v>Neutral</v>
      </c>
      <c r="X107">
        <f>survey_responses[[#This Row],[Tôi tin rằng Nhà nước, cơ quan thuế có đủ khả năng và công nghệ để phát hiện, xử lý nghiêm các hành vi trốn thuế. - HUMAN-ENF2]]</f>
        <v>5</v>
      </c>
      <c r="Y107" t="str">
        <f t="shared" si="31"/>
        <v>Neutral</v>
      </c>
      <c r="Z107" s="32">
        <f t="shared" si="32"/>
        <v>2</v>
      </c>
      <c r="AA107">
        <f>step3_validation[[#This Row],[AI_FAC1]]</f>
        <v>9</v>
      </c>
      <c r="AB107" t="str">
        <f t="shared" si="33"/>
        <v>Support</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9</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8</v>
      </c>
      <c r="AL107" t="str">
        <f t="shared" si="39"/>
        <v>Support</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2</v>
      </c>
      <c r="AP107">
        <f>step3_validation[[#This Row],[AI_TRU2]]</f>
        <v>9</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1</v>
      </c>
      <c r="AU107">
        <f>step3_validation[[#This Row],[AI_TRU3]]</f>
        <v>8</v>
      </c>
      <c r="AV107" t="str">
        <f t="shared" si="45"/>
        <v>Support</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2</v>
      </c>
      <c r="AZ107">
        <f>step3_validation[[#This Row],[AI_TRU4]]</f>
        <v>7</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3</v>
      </c>
      <c r="BE107">
        <f>step3_validation[[#This Row],[AI_OUT1]]</f>
        <v>9</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1</v>
      </c>
    </row>
    <row r="108" spans="1:61" x14ac:dyDescent="0.45">
      <c r="A108" s="30">
        <f>step3_validation[[#This Row],[Persona_ID]]</f>
        <v>107</v>
      </c>
      <c r="B108" s="31">
        <f>step3_validation[[#This Row],[Used_Seed]]</f>
        <v>2097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23.823548121673934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1</v>
      </c>
      <c r="V108">
        <f>step3_validation[[#This Row],[AI_ENF2]]</f>
        <v>7</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0</v>
      </c>
      <c r="AA108">
        <f>step3_validation[[#This Row],[AI_FAC1]]</f>
        <v>8</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1</v>
      </c>
      <c r="AF108">
        <f>step3_validation[[#This Row],[AI_FAC2]]</f>
        <v>9</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2</v>
      </c>
      <c r="AK108">
        <f>step3_validation[[#This Row],[AI_TRU1]]</f>
        <v>8</v>
      </c>
      <c r="AL108" t="str">
        <f t="shared" si="39"/>
        <v>Support</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1</v>
      </c>
      <c r="AP108">
        <f>step3_validation[[#This Row],[AI_TRU2]]</f>
        <v>9</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2</v>
      </c>
      <c r="AU108">
        <f>step3_validation[[#This Row],[AI_TRU3]]</f>
        <v>8</v>
      </c>
      <c r="AV108" t="str">
        <f t="shared" si="45"/>
        <v>Support</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1</v>
      </c>
      <c r="AZ108">
        <f>step3_validation[[#This Row],[AI_TRU4]]</f>
        <v>7</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0</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2098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14.186306823579844</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2</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3</v>
      </c>
      <c r="AA109">
        <f>step3_validation[[#This Row],[AI_FAC1]]</f>
        <v>8</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3</v>
      </c>
      <c r="AF109">
        <f>step3_validation[[#This Row],[AI_FAC2]]</f>
        <v>9</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4</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4</v>
      </c>
      <c r="AP109">
        <f>step3_validation[[#This Row],[AI_TRU2]]</f>
        <v>9</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4</v>
      </c>
      <c r="AU109">
        <f>step3_validation[[#This Row],[AI_TRU3]]</f>
        <v>8</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0</v>
      </c>
      <c r="AZ109">
        <f>step3_validation[[#This Row],[AI_TRU4]]</f>
        <v>6</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1</v>
      </c>
      <c r="BE109">
        <f>step3_validation[[#This Row],[AI_OUT1]]</f>
        <v>8</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2</v>
      </c>
    </row>
    <row r="110" spans="1:61" x14ac:dyDescent="0.45">
      <c r="A110" s="30">
        <f>step3_validation[[#This Row],[Persona_ID]]</f>
        <v>109</v>
      </c>
      <c r="B110" s="31">
        <f>step3_validation[[#This Row],[Used_Seed]]</f>
        <v>2099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14.887271696794896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9</v>
      </c>
      <c r="R110" t="str">
        <f t="shared" si="27"/>
        <v>Support</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1</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9</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1</v>
      </c>
      <c r="AP110">
        <f>step3_validation[[#This Row],[AI_TRU2]]</f>
        <v>8</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2</v>
      </c>
      <c r="AU110">
        <f>step3_validation[[#This Row],[AI_TRU3]]</f>
        <v>9</v>
      </c>
      <c r="AV110" t="str">
        <f t="shared" si="45"/>
        <v>Support</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1</v>
      </c>
      <c r="AZ110">
        <f>step3_validation[[#This Row],[AI_TRU4]]</f>
        <v>8</v>
      </c>
      <c r="BA110" t="str">
        <f t="shared" si="48"/>
        <v>Support</v>
      </c>
      <c r="BB110">
        <f>survey_responses[[#This Row],[Tôi thấy Nhà nước đã giải thích rõ ràng, minh bạch về lý do và mục tiêu của việc sửa đổi thuế lần này. - HUMAN-TRU4]]</f>
        <v>10</v>
      </c>
      <c r="BC110" t="str">
        <f t="shared" si="49"/>
        <v>Support</v>
      </c>
      <c r="BD110" s="32">
        <f t="shared" si="50"/>
        <v>2</v>
      </c>
      <c r="BE110">
        <f>step3_validation[[#This Row],[AI_OUT1]]</f>
        <v>9</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1</v>
      </c>
    </row>
    <row r="111" spans="1:61" x14ac:dyDescent="0.45">
      <c r="A111" s="30">
        <f>step3_validation[[#This Row],[Persona_ID]]</f>
        <v>110</v>
      </c>
      <c r="B111" s="31">
        <f>step3_validation[[#This Row],[Used_Seed]]</f>
        <v>2100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54.279779262352179</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6</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1</v>
      </c>
      <c r="V111">
        <f>step3_validation[[#This Row],[AI_ENF2]]</f>
        <v>7</v>
      </c>
      <c r="W111" t="str">
        <f t="shared" si="30"/>
        <v>Neutral</v>
      </c>
      <c r="X111">
        <f>survey_responses[[#This Row],[Tôi tin rằng Nhà nước, cơ quan thuế có đủ khả năng và công nghệ để phát hiện, xử lý nghiêm các hành vi trốn thuế. - HUMAN-ENF2]]</f>
        <v>6</v>
      </c>
      <c r="Y111" t="str">
        <f t="shared" si="31"/>
        <v>Neutral</v>
      </c>
      <c r="Z111" s="32">
        <f t="shared" si="32"/>
        <v>1</v>
      </c>
      <c r="AA111">
        <f>step3_validation[[#This Row],[AI_FAC1]]</f>
        <v>8</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0</v>
      </c>
      <c r="AF111">
        <f>step3_validation[[#This Row],[AI_FAC2]]</f>
        <v>9</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8</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1</v>
      </c>
      <c r="AP111">
        <f>step3_validation[[#This Row],[AI_TRU2]]</f>
        <v>9</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3</v>
      </c>
      <c r="AU111">
        <f>step3_validation[[#This Row],[AI_TRU3]]</f>
        <v>8</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3</v>
      </c>
      <c r="AZ111">
        <f>step3_validation[[#This Row],[AI_TRU4]]</f>
        <v>7</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2</v>
      </c>
      <c r="BE111">
        <f>step3_validation[[#This Row],[AI_OUT1]]</f>
        <v>9</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2101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23.865364861513175</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0</v>
      </c>
      <c r="V112">
        <f>step3_validation[[#This Row],[AI_ENF2]]</f>
        <v>7</v>
      </c>
      <c r="W112" t="str">
        <f t="shared" si="30"/>
        <v>Neutral</v>
      </c>
      <c r="X112">
        <f>survey_responses[[#This Row],[Tôi tin rằng Nhà nước, cơ quan thuế có đủ khả năng và công nghệ để phát hiện, xử lý nghiêm các hành vi trốn thuế. - HUMAN-ENF2]]</f>
        <v>8</v>
      </c>
      <c r="Y112" t="str">
        <f t="shared" si="31"/>
        <v>Support</v>
      </c>
      <c r="Z112" s="32">
        <f t="shared" si="32"/>
        <v>1</v>
      </c>
      <c r="AA112">
        <f>step3_validation[[#This Row],[AI_FAC1]]</f>
        <v>9</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3</v>
      </c>
      <c r="AF112">
        <f>step3_validation[[#This Row],[AI_FAC2]]</f>
        <v>9</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2</v>
      </c>
      <c r="AK112">
        <f>step3_validation[[#This Row],[AI_TRU1]]</f>
        <v>8</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2</v>
      </c>
      <c r="AP112">
        <f>step3_validation[[#This Row],[AI_TRU2]]</f>
        <v>9</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2</v>
      </c>
      <c r="AU112">
        <f>step3_validation[[#This Row],[AI_TRU3]]</f>
        <v>8</v>
      </c>
      <c r="AV112" t="str">
        <f t="shared" si="45"/>
        <v>Support</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3</v>
      </c>
      <c r="AZ112">
        <f>step3_validation[[#This Row],[AI_TRU4]]</f>
        <v>7</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2</v>
      </c>
      <c r="BE112">
        <f>step3_validation[[#This Row],[AI_OUT1]]</f>
        <v>8</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3</v>
      </c>
    </row>
    <row r="113" spans="1:61" x14ac:dyDescent="0.45">
      <c r="A113" s="30">
        <f>step3_validation[[#This Row],[Persona_ID]]</f>
        <v>112</v>
      </c>
      <c r="B113" s="31">
        <f>step3_validation[[#This Row],[Used_Seed]]</f>
        <v>2102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18.581680431978473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t="str">
        <f t="shared" si="27"/>
        <v>Neutral</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0</v>
      </c>
      <c r="V113">
        <f>step3_validation[[#This Row],[AI_ENF2]]</f>
        <v>6</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2</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1</v>
      </c>
      <c r="AF113">
        <f>step3_validation[[#This Row],[AI_FAC2]]</f>
        <v>8</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0</v>
      </c>
      <c r="AK113">
        <f>step3_validation[[#This Row],[AI_TRU1]]</f>
        <v>9</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8</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2">
        <f t="shared" si="44"/>
        <v>0</v>
      </c>
      <c r="AU113">
        <f>step3_validation[[#This Row],[AI_TRU3]]</f>
        <v>9</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1</v>
      </c>
      <c r="AZ113">
        <f>step3_validation[[#This Row],[AI_TRU4]]</f>
        <v>8</v>
      </c>
      <c r="BA113" t="str">
        <f t="shared" si="48"/>
        <v>Support</v>
      </c>
      <c r="BB113">
        <f>survey_responses[[#This Row],[Tôi thấy Nhà nước đã giải thích rõ ràng, minh bạch về lý do và mục tiêu của việc sửa đổi thuế lần này. - HUMAN-TRU4]]</f>
        <v>8</v>
      </c>
      <c r="BC113" t="str">
        <f t="shared" si="49"/>
        <v>Support</v>
      </c>
      <c r="BD113" s="32">
        <f t="shared" si="50"/>
        <v>0</v>
      </c>
      <c r="BE113">
        <f>step3_validation[[#This Row],[AI_OUT1]]</f>
        <v>9</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1</v>
      </c>
    </row>
    <row r="114" spans="1:61" x14ac:dyDescent="0.45">
      <c r="A114" s="30">
        <f>step3_validation[[#This Row],[Persona_ID]]</f>
        <v>113</v>
      </c>
      <c r="B114" s="31">
        <f>step3_validation[[#This Row],[Used_Seed]]</f>
        <v>2103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6</v>
      </c>
      <c r="V114">
        <f>step3_validation[[#This Row],[AI_ENF2]]</f>
        <v>6</v>
      </c>
      <c r="W114" t="str">
        <f t="shared" si="30"/>
        <v>Neutral</v>
      </c>
      <c r="X114">
        <f>survey_responses[[#This Row],[Tôi tin rằng Nhà nước, cơ quan thuế có đủ khả năng và công nghệ để phát hiện, xử lý nghiêm các hành vi trốn thuế. - HUMAN-ENF2]]</f>
        <v>1</v>
      </c>
      <c r="Y114" t="str">
        <f t="shared" si="31"/>
        <v>Oppose</v>
      </c>
      <c r="Z114" s="32">
        <f t="shared" si="32"/>
        <v>5</v>
      </c>
      <c r="AA114">
        <f>step3_validation[[#This Row],[AI_FAC1]]</f>
        <v>8</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7</v>
      </c>
      <c r="AF114">
        <f>step3_validation[[#This Row],[AI_FAC2]]</f>
        <v>9</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8</v>
      </c>
      <c r="AK114">
        <f>step3_validation[[#This Row],[AI_TRU1]]</f>
        <v>8</v>
      </c>
      <c r="AL114" t="str">
        <f t="shared" si="39"/>
        <v>Support</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7</v>
      </c>
      <c r="AP114">
        <f>step3_validation[[#This Row],[AI_TRU2]]</f>
        <v>7</v>
      </c>
      <c r="AQ114" t="str">
        <f t="shared" si="42"/>
        <v>Neutral</v>
      </c>
      <c r="AR114">
        <f>survey_responses[[#This Row],[Tôi thấy mức thuế tôi phải đóng theo phương án mới là công bằng (người thu nhập như tôi đóng mức này là hợp lý). - HUMAN-TRU2]]</f>
        <v>1</v>
      </c>
      <c r="AS114" t="str">
        <f t="shared" si="43"/>
        <v>Oppose</v>
      </c>
      <c r="AT114" s="32">
        <f t="shared" si="44"/>
        <v>6</v>
      </c>
      <c r="AU114">
        <f>step3_validation[[#This Row],[AI_TRU3]]</f>
        <v>8</v>
      </c>
      <c r="AV114" t="str">
        <f t="shared" si="45"/>
        <v>Support</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7</v>
      </c>
      <c r="AZ114">
        <f>step3_validation[[#This Row],[AI_TRU4]]</f>
        <v>9</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2">
        <f t="shared" si="50"/>
        <v>8</v>
      </c>
      <c r="BE114">
        <f>step3_validation[[#This Row],[AI_OUT1]]</f>
        <v>8</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7</v>
      </c>
    </row>
    <row r="115" spans="1:61" x14ac:dyDescent="0.45">
      <c r="A115" s="30">
        <f>step3_validation[[#This Row],[Persona_ID]]</f>
        <v>114</v>
      </c>
      <c r="B115" s="31">
        <f>step3_validation[[#This Row],[Used_Seed]]</f>
        <v>2104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20.635026001096445</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t="str">
        <f t="shared" si="27"/>
        <v>Support</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2</v>
      </c>
      <c r="V115">
        <f>step3_validation[[#This Row],[AI_ENF2]]</f>
        <v>7</v>
      </c>
      <c r="W115" t="str">
        <f t="shared" si="30"/>
        <v>Neutral</v>
      </c>
      <c r="X115">
        <f>survey_responses[[#This Row],[Tôi tin rằng Nhà nước, cơ quan thuế có đủ khả năng và công nghệ để phát hiện, xử lý nghiêm các hành vi trốn thuế. - HUMAN-ENF2]]</f>
        <v>10</v>
      </c>
      <c r="Y115" t="str">
        <f t="shared" si="31"/>
        <v>Support</v>
      </c>
      <c r="Z115" s="32">
        <f t="shared" si="32"/>
        <v>3</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9</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1</v>
      </c>
      <c r="AK115">
        <f>step3_validation[[#This Row],[AI_TRU1]]</f>
        <v>8</v>
      </c>
      <c r="AL115" t="str">
        <f t="shared" si="39"/>
        <v>Support</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2</v>
      </c>
      <c r="AP115">
        <f>step3_validation[[#This Row],[AI_TRU2]]</f>
        <v>9</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1</v>
      </c>
      <c r="AU115">
        <f>step3_validation[[#This Row],[AI_TRU3]]</f>
        <v>8</v>
      </c>
      <c r="AV115" t="str">
        <f t="shared" si="45"/>
        <v>Support</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2</v>
      </c>
      <c r="AZ115">
        <f>step3_validation[[#This Row],[AI_TRU4]]</f>
        <v>7</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3</v>
      </c>
      <c r="BE115">
        <f>step3_validation[[#This Row],[AI_OUT1]]</f>
        <v>9</v>
      </c>
      <c r="BF115" t="str">
        <f t="shared" si="51"/>
        <v>Support</v>
      </c>
      <c r="BG115">
        <f>survey_responses[[#This Row],[Sau khi xem xét các quyền lợi và nghĩa vụ, bạn có ủng hộ và tuân thủ chính sách mới hiện nay? - HUMAN-OUT1]]</f>
        <v>10</v>
      </c>
      <c r="BH115" t="str">
        <f t="shared" si="52"/>
        <v>Support</v>
      </c>
      <c r="BI115" s="32">
        <f t="shared" si="53"/>
        <v>1</v>
      </c>
    </row>
    <row r="116" spans="1:61" x14ac:dyDescent="0.45">
      <c r="A116" s="30">
        <f>step3_validation[[#This Row],[Persona_ID]]</f>
        <v>115</v>
      </c>
      <c r="B116" s="31">
        <f>step3_validation[[#This Row],[Used_Seed]]</f>
        <v>2105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16.660673825493227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3</v>
      </c>
      <c r="R116" t="str">
        <f t="shared" si="27"/>
        <v>Oppose</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2</v>
      </c>
      <c r="V116">
        <f>step3_validation[[#This Row],[AI_ENF2]]</f>
        <v>3</v>
      </c>
      <c r="W116" t="str">
        <f t="shared" si="30"/>
        <v>Oppose</v>
      </c>
      <c r="X116">
        <f>survey_responses[[#This Row],[Tôi tin rằng Nhà nước, cơ quan thuế có đủ khả năng và công nghệ để phát hiện, xử lý nghiêm các hành vi trốn thuế. - HUMAN-ENF2]]</f>
        <v>1</v>
      </c>
      <c r="Y116" t="str">
        <f t="shared" si="31"/>
        <v>Oppose</v>
      </c>
      <c r="Z116" s="32">
        <f t="shared" si="32"/>
        <v>2</v>
      </c>
      <c r="AA116">
        <f>step3_validation[[#This Row],[AI_FAC1]]</f>
        <v>8</v>
      </c>
      <c r="AB116" t="str">
        <f t="shared" si="33"/>
        <v>Support</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7</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7</v>
      </c>
      <c r="AL116" t="str">
        <f t="shared" si="39"/>
        <v>Neutral</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6</v>
      </c>
      <c r="AP116">
        <f>step3_validation[[#This Row],[AI_TRU2]]</f>
        <v>8</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7</v>
      </c>
      <c r="AU116">
        <f>step3_validation[[#This Row],[AI_TRU3]]</f>
        <v>7</v>
      </c>
      <c r="AV116" t="str">
        <f t="shared" si="45"/>
        <v>Neutral</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6</v>
      </c>
      <c r="AZ116">
        <f>step3_validation[[#This Row],[AI_TRU4]]</f>
        <v>8</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7</v>
      </c>
      <c r="BE116">
        <f>step3_validation[[#This Row],[AI_OUT1]]</f>
        <v>9</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8</v>
      </c>
    </row>
    <row r="117" spans="1:61" x14ac:dyDescent="0.45">
      <c r="A117" s="30">
        <f>step3_validation[[#This Row],[Persona_ID]]</f>
        <v>116</v>
      </c>
      <c r="B117" s="31">
        <f>step3_validation[[#This Row],[Used_Seed]]</f>
        <v>2106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14.311612335351752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3</v>
      </c>
      <c r="V117">
        <f>step3_validation[[#This Row],[AI_ENF2]]</f>
        <v>7</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2</v>
      </c>
      <c r="AA117">
        <f>step3_validation[[#This Row],[AI_FAC1]]</f>
        <v>8</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1</v>
      </c>
      <c r="AF117">
        <f>step3_validation[[#This Row],[AI_FAC2]]</f>
        <v>9</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0</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2</v>
      </c>
      <c r="AP117">
        <f>step3_validation[[#This Row],[AI_TRU2]]</f>
        <v>9</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0</v>
      </c>
      <c r="AU117">
        <f>step3_validation[[#This Row],[AI_TRU3]]</f>
        <v>8</v>
      </c>
      <c r="AV117" t="str">
        <f t="shared" si="45"/>
        <v>Support</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1</v>
      </c>
      <c r="AZ117">
        <f>step3_validation[[#This Row],[AI_TRU4]]</f>
        <v>9</v>
      </c>
      <c r="BA117" t="str">
        <f t="shared" si="48"/>
        <v>Support</v>
      </c>
      <c r="BB117">
        <f>survey_responses[[#This Row],[Tôi thấy Nhà nước đã giải thích rõ ràng, minh bạch về lý do và mục tiêu của việc sửa đổi thuế lần này. - HUMAN-TRU4]]</f>
        <v>8</v>
      </c>
      <c r="BC117" t="str">
        <f t="shared" si="49"/>
        <v>Support</v>
      </c>
      <c r="BD117" s="32">
        <f t="shared" si="50"/>
        <v>1</v>
      </c>
      <c r="BE117">
        <f>step3_validation[[#This Row],[AI_OUT1]]</f>
        <v>10</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1</v>
      </c>
    </row>
    <row r="118" spans="1:61" x14ac:dyDescent="0.45">
      <c r="A118" s="30">
        <f>step3_validation[[#This Row],[Persona_ID]]</f>
        <v>117</v>
      </c>
      <c r="B118" s="31">
        <f>step3_validation[[#This Row],[Used_Seed]]</f>
        <v>2107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55.422761197604416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8</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0</v>
      </c>
      <c r="V118">
        <f>step3_validation[[#This Row],[AI_ENF2]]</f>
        <v>9</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0</v>
      </c>
      <c r="AA118">
        <f>step3_validation[[#This Row],[AI_FAC1]]</f>
        <v>8</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0</v>
      </c>
      <c r="AF118">
        <f>step3_validation[[#This Row],[AI_FAC2]]</f>
        <v>9</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3</v>
      </c>
      <c r="AK118">
        <f>step3_validation[[#This Row],[AI_TRU1]]</f>
        <v>7</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1</v>
      </c>
      <c r="AP118">
        <f>step3_validation[[#This Row],[AI_TRU2]]</f>
        <v>9</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1</v>
      </c>
      <c r="AU118">
        <f>step3_validation[[#This Row],[AI_TRU3]]</f>
        <v>8</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0</v>
      </c>
      <c r="AZ118">
        <f>step3_validation[[#This Row],[AI_TRU4]]</f>
        <v>7</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1</v>
      </c>
      <c r="BE118">
        <f>step3_validation[[#This Row],[AI_OUT1]]</f>
        <v>8</v>
      </c>
      <c r="BF118" t="str">
        <f t="shared" si="51"/>
        <v>Support</v>
      </c>
      <c r="BG118">
        <f>survey_responses[[#This Row],[Sau khi xem xét các quyền lợi và nghĩa vụ, bạn có ủng hộ và tuân thủ chính sách mới hiện nay? - HUMAN-OUT1]]</f>
        <v>6</v>
      </c>
      <c r="BH118" t="str">
        <f t="shared" si="52"/>
        <v>Neutral</v>
      </c>
      <c r="BI118" s="32">
        <f t="shared" si="53"/>
        <v>2</v>
      </c>
    </row>
    <row r="119" spans="1:61" x14ac:dyDescent="0.45">
      <c r="A119" s="30">
        <f>step3_validation[[#This Row],[Persona_ID]]</f>
        <v>118</v>
      </c>
      <c r="B119" s="31">
        <f>step3_validation[[#This Row],[Used_Seed]]</f>
        <v>2108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38.873279714361246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6</v>
      </c>
      <c r="AB119" t="str">
        <f t="shared" si="33"/>
        <v>Neutral</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5</v>
      </c>
      <c r="AF119">
        <f>step3_validation[[#This Row],[AI_FAC2]]</f>
        <v>9</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4</v>
      </c>
      <c r="AK119">
        <f>step3_validation[[#This Row],[AI_TRU1]]</f>
        <v>8</v>
      </c>
      <c r="AL119" t="str">
        <f t="shared" si="39"/>
        <v>Support</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7</v>
      </c>
      <c r="AP119">
        <f>step3_validation[[#This Row],[AI_TRU2]]</f>
        <v>9</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6</v>
      </c>
      <c r="AU119">
        <f>step3_validation[[#This Row],[AI_TRU3]]</f>
        <v>8</v>
      </c>
      <c r="AV119" t="str">
        <f t="shared" si="45"/>
        <v>Support</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7</v>
      </c>
      <c r="AZ119">
        <f>step3_validation[[#This Row],[AI_TRU4]]</f>
        <v>7</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6</v>
      </c>
      <c r="BE119">
        <f>step3_validation[[#This Row],[AI_OUT1]]</f>
        <v>9</v>
      </c>
      <c r="BF119" t="str">
        <f t="shared" si="51"/>
        <v>Support</v>
      </c>
      <c r="BG119">
        <f>survey_responses[[#This Row],[Sau khi xem xét các quyền lợi và nghĩa vụ, bạn có ủng hộ và tuân thủ chính sách mới hiện nay? - HUMAN-OUT1]]</f>
        <v>5</v>
      </c>
      <c r="BH119" t="str">
        <f t="shared" si="52"/>
        <v>Neutral</v>
      </c>
      <c r="BI119" s="32">
        <f t="shared" si="53"/>
        <v>4</v>
      </c>
    </row>
    <row r="120" spans="1:61" x14ac:dyDescent="0.45">
      <c r="A120" s="30">
        <f>step3_validation[[#This Row],[Persona_ID]]</f>
        <v>119</v>
      </c>
      <c r="B120" s="31">
        <f>step3_validation[[#This Row],[Used_Seed]]</f>
        <v>2109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52.814063505627445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6</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2</v>
      </c>
      <c r="V120">
        <f>step3_validation[[#This Row],[AI_ENF2]]</f>
        <v>8</v>
      </c>
      <c r="W120" t="str">
        <f t="shared" si="30"/>
        <v>Support</v>
      </c>
      <c r="X120">
        <f>survey_responses[[#This Row],[Tôi tin rằng Nhà nước, cơ quan thuế có đủ khả năng và công nghệ để phát hiện, xử lý nghiêm các hành vi trốn thuế. - HUMAN-ENF2]]</f>
        <v>8</v>
      </c>
      <c r="Y120" t="str">
        <f t="shared" si="31"/>
        <v>Support</v>
      </c>
      <c r="Z120" s="32">
        <f t="shared" si="32"/>
        <v>0</v>
      </c>
      <c r="AA120">
        <f>step3_validation[[#This Row],[AI_FAC1]]</f>
        <v>9</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3</v>
      </c>
      <c r="AF120">
        <f>step3_validation[[#This Row],[AI_FAC2]]</f>
        <v>8</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1</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9</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2</v>
      </c>
      <c r="AU120">
        <f>step3_validation[[#This Row],[AI_TRU3]]</f>
        <v>8</v>
      </c>
      <c r="AV120" t="str">
        <f t="shared" si="45"/>
        <v>Support</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6</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1</v>
      </c>
      <c r="BE120">
        <f>step3_validation[[#This Row],[AI_OUT1]]</f>
        <v>9</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2</v>
      </c>
    </row>
    <row r="121" spans="1:61" x14ac:dyDescent="0.45">
      <c r="A121" s="30">
        <f>step3_validation[[#This Row],[Persona_ID]]</f>
        <v>120</v>
      </c>
      <c r="B121" s="31">
        <f>step3_validation[[#This Row],[Used_Seed]]</f>
        <v>2110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26.65643394692502</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0</v>
      </c>
      <c r="AA121">
        <f>step3_validation[[#This Row],[AI_FAC1]]</f>
        <v>9</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3</v>
      </c>
      <c r="AF121">
        <f>step3_validation[[#This Row],[AI_FAC2]]</f>
        <v>8</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2</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8</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6</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0</v>
      </c>
      <c r="AZ121">
        <f>step3_validation[[#This Row],[AI_TRU4]]</f>
        <v>9</v>
      </c>
      <c r="BA121" t="str">
        <f t="shared" si="48"/>
        <v>Support</v>
      </c>
      <c r="BB121">
        <f>survey_responses[[#This Row],[Tôi thấy Nhà nước đã giải thích rõ ràng, minh bạch về lý do và mục tiêu của việc sửa đổi thuế lần này. - HUMAN-TRU4]]</f>
        <v>6</v>
      </c>
      <c r="BC121" t="str">
        <f t="shared" si="49"/>
        <v>Neutral</v>
      </c>
      <c r="BD121" s="32">
        <f t="shared" si="50"/>
        <v>3</v>
      </c>
      <c r="BE121">
        <f>step3_validation[[#This Row],[AI_OUT1]]</f>
        <v>7</v>
      </c>
      <c r="BF121" t="str">
        <f t="shared" si="51"/>
        <v>Neutral</v>
      </c>
      <c r="BG121">
        <f>survey_responses[[#This Row],[Sau khi xem xét các quyền lợi và nghĩa vụ, bạn có ủng hộ và tuân thủ chính sách mới hiện nay? - HUMAN-OUT1]]</f>
        <v>6</v>
      </c>
      <c r="BH121" t="str">
        <f t="shared" si="52"/>
        <v>Neutral</v>
      </c>
      <c r="BI121" s="32">
        <f t="shared" si="53"/>
        <v>1</v>
      </c>
    </row>
    <row r="122" spans="1:61" x14ac:dyDescent="0.45">
      <c r="A122" s="30">
        <f>step3_validation[[#This Row],[Persona_ID]]</f>
        <v>121</v>
      </c>
      <c r="B122" s="31">
        <f>step3_validation[[#This Row],[Used_Seed]]</f>
        <v>2111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201.27275496241441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5</v>
      </c>
      <c r="AA122">
        <f>step3_validation[[#This Row],[AI_FAC1]]</f>
        <v>8</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7</v>
      </c>
      <c r="AF122">
        <f>step3_validation[[#This Row],[AI_FAC2]]</f>
        <v>9</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4</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9</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8</v>
      </c>
      <c r="AU122">
        <f>step3_validation[[#This Row],[AI_TRU3]]</f>
        <v>8</v>
      </c>
      <c r="AV122" t="str">
        <f t="shared" si="45"/>
        <v>Support</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7</v>
      </c>
      <c r="AZ122">
        <f>step3_validation[[#This Row],[AI_TRU4]]</f>
        <v>7</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6</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2">
        <f t="shared" si="53"/>
        <v>4</v>
      </c>
    </row>
    <row r="123" spans="1:61" x14ac:dyDescent="0.45">
      <c r="A123" s="30">
        <f>step3_validation[[#This Row],[Persona_ID]]</f>
        <v>122</v>
      </c>
      <c r="B123" s="31">
        <f>step3_validation[[#This Row],[Used_Seed]]</f>
        <v>2112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114.48265751466442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t="str">
        <f t="shared" si="27"/>
        <v>Support</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5</v>
      </c>
      <c r="V123">
        <f>step3_validation[[#This Row],[AI_ENF2]]</f>
        <v>8</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2">
        <f t="shared" si="32"/>
        <v>4</v>
      </c>
      <c r="AA123">
        <f>step3_validation[[#This Row],[AI_FAC1]]</f>
        <v>9</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7</v>
      </c>
      <c r="AF123">
        <f>step3_validation[[#This Row],[AI_FAC2]]</f>
        <v>8</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3</v>
      </c>
      <c r="AK123">
        <f>step3_validation[[#This Row],[AI_TRU1]]</f>
        <v>9</v>
      </c>
      <c r="AL123" t="str">
        <f t="shared" si="39"/>
        <v>Support</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8</v>
      </c>
      <c r="AP123">
        <f>step3_validation[[#This Row],[AI_TRU2]]</f>
        <v>8</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7</v>
      </c>
      <c r="AU123">
        <f>step3_validation[[#This Row],[AI_TRU3]]</f>
        <v>9</v>
      </c>
      <c r="AV123" t="str">
        <f t="shared" si="45"/>
        <v>Support</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8</v>
      </c>
      <c r="AZ123">
        <f>step3_validation[[#This Row],[AI_TRU4]]</f>
        <v>8</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2">
        <f t="shared" si="50"/>
        <v>4</v>
      </c>
      <c r="BE123">
        <f>step3_validation[[#This Row],[AI_OUT1]]</f>
        <v>9</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5</v>
      </c>
    </row>
    <row r="124" spans="1:61" x14ac:dyDescent="0.45">
      <c r="A124" s="30">
        <f>step3_validation[[#This Row],[Persona_ID]]</f>
        <v>123</v>
      </c>
      <c r="B124" s="31">
        <f>step3_validation[[#This Row],[Used_Seed]]</f>
        <v>2113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7</v>
      </c>
      <c r="W124" t="str">
        <f t="shared" si="30"/>
        <v>Neutral</v>
      </c>
      <c r="X124">
        <f>survey_responses[[#This Row],[Tôi tin rằng Nhà nước, cơ quan thuế có đủ khả năng và công nghệ để phát hiện, xử lý nghiêm các hành vi trốn thuế. - HUMAN-ENF2]]</f>
        <v>7</v>
      </c>
      <c r="Y124" t="str">
        <f t="shared" si="31"/>
        <v>Neutral</v>
      </c>
      <c r="Z124" s="32">
        <f t="shared" si="32"/>
        <v>0</v>
      </c>
      <c r="AA124">
        <f>step3_validation[[#This Row],[AI_FAC1]]</f>
        <v>9</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2</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2</v>
      </c>
      <c r="AK124">
        <f>step3_validation[[#This Row],[AI_TRU1]]</f>
        <v>8</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1</v>
      </c>
      <c r="AP124">
        <f>step3_validation[[#This Row],[AI_TRU2]]</f>
        <v>9</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2</v>
      </c>
      <c r="AU124">
        <f>step3_validation[[#This Row],[AI_TRU3]]</f>
        <v>8</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1</v>
      </c>
      <c r="AZ124">
        <f>step3_validation[[#This Row],[AI_TRU4]]</f>
        <v>9</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2">
        <f t="shared" si="50"/>
        <v>2</v>
      </c>
      <c r="BE124">
        <f>step3_validation[[#This Row],[AI_OUT1]]</f>
        <v>10</v>
      </c>
      <c r="BF124" t="str">
        <f t="shared" si="51"/>
        <v>Support</v>
      </c>
      <c r="BG124">
        <f>survey_responses[[#This Row],[Sau khi xem xét các quyền lợi và nghĩa vụ, bạn có ủng hộ và tuân thủ chính sách mới hiện nay? - HUMAN-OUT1]]</f>
        <v>8</v>
      </c>
      <c r="BH124" t="str">
        <f t="shared" si="52"/>
        <v>Support</v>
      </c>
      <c r="BI124" s="32">
        <f t="shared" si="53"/>
        <v>2</v>
      </c>
    </row>
    <row r="125" spans="1:61" x14ac:dyDescent="0.45">
      <c r="A125" s="30">
        <f>step3_validation[[#This Row],[Persona_ID]]</f>
        <v>124</v>
      </c>
      <c r="B125" s="31">
        <f>step3_validation[[#This Row],[Used_Seed]]</f>
        <v>2114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43.908955926566975</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8</v>
      </c>
      <c r="W125" t="str">
        <f t="shared" si="30"/>
        <v>Support</v>
      </c>
      <c r="X125">
        <f>survey_responses[[#This Row],[Tôi tin rằng Nhà nước, cơ quan thuế có đủ khả năng và công nghệ để phát hiện, xử lý nghiêm các hành vi trốn thuế. - HUMAN-ENF2]]</f>
        <v>9</v>
      </c>
      <c r="Y125" t="str">
        <f t="shared" si="31"/>
        <v>Support</v>
      </c>
      <c r="Z125" s="32">
        <f t="shared" si="32"/>
        <v>1</v>
      </c>
      <c r="AA125">
        <f>step3_validation[[#This Row],[AI_FAC1]]</f>
        <v>9</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1</v>
      </c>
      <c r="AF125">
        <f>step3_validation[[#This Row],[AI_FAC2]]</f>
        <v>8</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2</v>
      </c>
      <c r="AK125">
        <f>step3_validation[[#This Row],[AI_TRU1]]</f>
        <v>7</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3</v>
      </c>
      <c r="AP125">
        <f>step3_validation[[#This Row],[AI_TRU2]]</f>
        <v>9</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1</v>
      </c>
      <c r="AU125">
        <f>step3_validation[[#This Row],[AI_TRU3]]</f>
        <v>7</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2</v>
      </c>
      <c r="AZ125">
        <f>step3_validation[[#This Row],[AI_TRU4]]</f>
        <v>8</v>
      </c>
      <c r="BA125" t="str">
        <f t="shared" si="48"/>
        <v>Support</v>
      </c>
      <c r="BB125">
        <f>survey_responses[[#This Row],[Tôi thấy Nhà nước đã giải thích rõ ràng, minh bạch về lý do và mục tiêu của việc sửa đổi thuế lần này. - HUMAN-TRU4]]</f>
        <v>9</v>
      </c>
      <c r="BC125" t="str">
        <f t="shared" si="49"/>
        <v>Support</v>
      </c>
      <c r="BD125" s="32">
        <f t="shared" si="50"/>
        <v>1</v>
      </c>
      <c r="BE125">
        <f>step3_validation[[#This Row],[AI_OUT1]]</f>
        <v>9</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0</v>
      </c>
    </row>
    <row r="126" spans="1:61" x14ac:dyDescent="0.45">
      <c r="A126" s="30">
        <f>step3_validation[[#This Row],[Persona_ID]]</f>
        <v>125</v>
      </c>
      <c r="B126" s="31">
        <f>step3_validation[[#This Row],[Used_Seed]]</f>
        <v>2115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14.281202914237561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7</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3</v>
      </c>
      <c r="V126">
        <f>step3_validation[[#This Row],[AI_ENF2]]</f>
        <v>8</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2">
        <f t="shared" si="32"/>
        <v>2</v>
      </c>
      <c r="AA126">
        <f>step3_validation[[#This Row],[AI_FAC1]]</f>
        <v>6</v>
      </c>
      <c r="AB126" t="str">
        <f t="shared" si="33"/>
        <v>Neutral</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4</v>
      </c>
      <c r="AF126">
        <f>step3_validation[[#This Row],[AI_FAC2]]</f>
        <v>9</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1</v>
      </c>
      <c r="AK126">
        <f>step3_validation[[#This Row],[AI_TRU1]]</f>
        <v>7</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3</v>
      </c>
      <c r="AP126">
        <f>step3_validation[[#This Row],[AI_TRU2]]</f>
        <v>8</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2">
        <f t="shared" si="44"/>
        <v>2</v>
      </c>
      <c r="AU126">
        <f>step3_validation[[#This Row],[AI_TRU3]]</f>
        <v>7</v>
      </c>
      <c r="AV126" t="str">
        <f t="shared" si="45"/>
        <v>Neutral</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3</v>
      </c>
      <c r="AZ126">
        <f>step3_validation[[#This Row],[AI_TRU4]]</f>
        <v>6</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4</v>
      </c>
      <c r="BE126">
        <f>step3_validation[[#This Row],[AI_OUT1]]</f>
        <v>8</v>
      </c>
      <c r="BF126" t="str">
        <f t="shared" si="51"/>
        <v>Support</v>
      </c>
      <c r="BG126">
        <f>survey_responses[[#This Row],[Sau khi xem xét các quyền lợi và nghĩa vụ, bạn có ủng hộ và tuân thủ chính sách mới hiện nay? - HUMAN-OUT1]]</f>
        <v>10</v>
      </c>
      <c r="BH126" t="str">
        <f t="shared" si="52"/>
        <v>Support</v>
      </c>
      <c r="BI126" s="32">
        <f t="shared" si="53"/>
        <v>2</v>
      </c>
    </row>
    <row r="127" spans="1:61" x14ac:dyDescent="0.45">
      <c r="A127" s="30">
        <f>step3_validation[[#This Row],[Persona_ID]]</f>
        <v>126</v>
      </c>
      <c r="B127" s="31">
        <f>step3_validation[[#This Row],[Used_Seed]]</f>
        <v>2116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29.500889130141879</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1</v>
      </c>
      <c r="V127">
        <f>step3_validation[[#This Row],[AI_ENF2]]</f>
        <v>8</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0</v>
      </c>
      <c r="AA127">
        <f>step3_validation[[#This Row],[AI_FAC1]]</f>
        <v>6</v>
      </c>
      <c r="AB127" t="str">
        <f t="shared" si="33"/>
        <v>Neutral</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1</v>
      </c>
      <c r="AF127">
        <f>step3_validation[[#This Row],[AI_FAC2]]</f>
        <v>5</v>
      </c>
      <c r="AG127" t="str">
        <f t="shared" si="36"/>
        <v>Neutral</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3</v>
      </c>
      <c r="AK127">
        <f>step3_validation[[#This Row],[AI_TRU1]]</f>
        <v>7</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6</v>
      </c>
      <c r="AQ127" t="str">
        <f t="shared" si="42"/>
        <v>Neutral</v>
      </c>
      <c r="AR127">
        <f>survey_responses[[#This Row],[Tôi thấy mức thuế tôi phải đóng theo phương án mới là công bằng (người thu nhập như tôi đóng mức này là hợp lý). - HUMAN-TRU2]]</f>
        <v>8</v>
      </c>
      <c r="AS127" t="str">
        <f t="shared" si="43"/>
        <v>Support</v>
      </c>
      <c r="AT127" s="32">
        <f t="shared" si="44"/>
        <v>2</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6</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8</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0</v>
      </c>
    </row>
    <row r="128" spans="1:61" x14ac:dyDescent="0.45">
      <c r="A128" s="30">
        <f>step3_validation[[#This Row],[Persona_ID]]</f>
        <v>127</v>
      </c>
      <c r="B128" s="31">
        <f>step3_validation[[#This Row],[Used_Seed]]</f>
        <v>2117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152.15850504787139</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6</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5</v>
      </c>
      <c r="AA128">
        <f>step3_validation[[#This Row],[AI_FAC1]]</f>
        <v>9</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8</v>
      </c>
      <c r="AF128">
        <f>step3_validation[[#This Row],[AI_FAC2]]</f>
        <v>8</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3</v>
      </c>
      <c r="AK128">
        <f>step3_validation[[#This Row],[AI_TRU1]]</f>
        <v>7</v>
      </c>
      <c r="AL128" t="str">
        <f t="shared" si="39"/>
        <v>Neutral</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6</v>
      </c>
      <c r="AP128">
        <f>step3_validation[[#This Row],[AI_TRU2]]</f>
        <v>8</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7</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6</v>
      </c>
      <c r="AZ128">
        <f>step3_validation[[#This Row],[AI_TRU4]]</f>
        <v>6</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1</v>
      </c>
      <c r="BE128">
        <f>step3_validation[[#This Row],[AI_OUT1]]</f>
        <v>8</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3</v>
      </c>
    </row>
    <row r="129" spans="1:61" x14ac:dyDescent="0.45">
      <c r="A129" s="30">
        <f>step3_validation[[#This Row],[Persona_ID]]</f>
        <v>128</v>
      </c>
      <c r="B129" s="31">
        <f>step3_validation[[#This Row],[Used_Seed]]</f>
        <v>2118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149.1450310838473</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1</v>
      </c>
      <c r="V129">
        <f>step3_validation[[#This Row],[AI_ENF2]]</f>
        <v>8</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2</v>
      </c>
      <c r="AA129">
        <f>step3_validation[[#This Row],[AI_FAC1]]</f>
        <v>9</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3</v>
      </c>
      <c r="AF129">
        <f>step3_validation[[#This Row],[AI_FAC2]]</f>
        <v>8</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0</v>
      </c>
      <c r="AK129">
        <f>step3_validation[[#This Row],[AI_TRU1]]</f>
        <v>9</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3</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6</v>
      </c>
      <c r="AU129">
        <f>step3_validation[[#This Row],[AI_TRU3]]</f>
        <v>9</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4</v>
      </c>
      <c r="AZ129">
        <f>step3_validation[[#This Row],[AI_TRU4]]</f>
        <v>7</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2</v>
      </c>
      <c r="BE129">
        <f>step3_validation[[#This Row],[AI_OUT1]]</f>
        <v>9</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5</v>
      </c>
    </row>
    <row r="130" spans="1:61" x14ac:dyDescent="0.45">
      <c r="A130" s="30">
        <f>step3_validation[[#This Row],[Persona_ID]]</f>
        <v>129</v>
      </c>
      <c r="B130" s="31">
        <f>step3_validation[[#This Row],[Used_Seed]]</f>
        <v>2119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118.84447262218022</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9</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3</v>
      </c>
      <c r="V130">
        <f>step3_validation[[#This Row],[AI_ENF2]]</f>
        <v>8</v>
      </c>
      <c r="W130" t="str">
        <f t="shared" si="30"/>
        <v>Support</v>
      </c>
      <c r="X130">
        <f>survey_responses[[#This Row],[Tôi tin rằng Nhà nước, cơ quan thuế có đủ khả năng và công nghệ để phát hiện, xử lý nghiêm các hành vi trốn thuế. - HUMAN-ENF2]]</f>
        <v>6</v>
      </c>
      <c r="Y130" t="str">
        <f t="shared" si="31"/>
        <v>Neutral</v>
      </c>
      <c r="Z130" s="32">
        <f t="shared" si="32"/>
        <v>2</v>
      </c>
      <c r="AA130">
        <f>step3_validation[[#This Row],[AI_FAC1]]</f>
        <v>9</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5</v>
      </c>
      <c r="AF130">
        <f>step3_validation[[#This Row],[AI_FAC2]]</f>
        <v>8</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3</v>
      </c>
      <c r="AK130">
        <f>step3_validation[[#This Row],[AI_TRU1]]</f>
        <v>9</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4</v>
      </c>
      <c r="AP130">
        <f>step3_validation[[#This Row],[AI_TRU2]]</f>
        <v>8</v>
      </c>
      <c r="AQ130" t="str">
        <f t="shared" si="42"/>
        <v>Support</v>
      </c>
      <c r="AR130">
        <f>survey_responses[[#This Row],[Tôi thấy mức thuế tôi phải đóng theo phương án mới là công bằng (người thu nhập như tôi đóng mức này là hợp lý). - HUMAN-TRU2]]</f>
        <v>1</v>
      </c>
      <c r="AS130" t="str">
        <f t="shared" si="43"/>
        <v>Oppose</v>
      </c>
      <c r="AT130" s="32">
        <f t="shared" si="44"/>
        <v>7</v>
      </c>
      <c r="AU130">
        <f>step3_validation[[#This Row],[AI_TRU3]]</f>
        <v>9</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4</v>
      </c>
      <c r="AZ130">
        <f>step3_validation[[#This Row],[AI_TRU4]]</f>
        <v>8</v>
      </c>
      <c r="BA130" t="str">
        <f t="shared" si="48"/>
        <v>Support</v>
      </c>
      <c r="BB130">
        <f>survey_responses[[#This Row],[Tôi thấy Nhà nước đã giải thích rõ ràng, minh bạch về lý do và mục tiêu của việc sửa đổi thuế lần này. - HUMAN-TRU4]]</f>
        <v>4</v>
      </c>
      <c r="BC130" t="str">
        <f t="shared" si="49"/>
        <v>Oppose</v>
      </c>
      <c r="BD130" s="32">
        <f t="shared" si="50"/>
        <v>4</v>
      </c>
      <c r="BE130">
        <f>step3_validation[[#This Row],[AI_OUT1]]</f>
        <v>9</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4</v>
      </c>
    </row>
    <row r="131" spans="1:61" x14ac:dyDescent="0.45">
      <c r="A131" s="30">
        <f>step3_validation[[#This Row],[Persona_ID]]</f>
        <v>130</v>
      </c>
      <c r="B131" s="31">
        <f>step3_validation[[#This Row],[Used_Seed]]</f>
        <v>2120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71.647553831807301</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7</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2</v>
      </c>
      <c r="V131">
        <f>step3_validation[[#This Row],[AI_ENF2]]</f>
        <v>6</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1</v>
      </c>
      <c r="AA131">
        <f>step3_validation[[#This Row],[AI_FAC1]]</f>
        <v>8</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7</v>
      </c>
      <c r="AF131">
        <f>step3_validation[[#This Row],[AI_FAC2]]</f>
        <v>9</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5</v>
      </c>
      <c r="AK131">
        <f>step3_validation[[#This Row],[AI_TRU1]]</f>
        <v>7</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5</v>
      </c>
      <c r="AP131">
        <f>step3_validation[[#This Row],[AI_TRU2]]</f>
        <v>8</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7</v>
      </c>
      <c r="AU131">
        <f>step3_validation[[#This Row],[AI_TRU3]]</f>
        <v>7</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6</v>
      </c>
      <c r="AZ131">
        <f>step3_validation[[#This Row],[AI_TRU4]]</f>
        <v>6</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5</v>
      </c>
      <c r="BE131">
        <f>step3_validation[[#This Row],[AI_OUT1]]</f>
        <v>9</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4</v>
      </c>
    </row>
    <row r="132" spans="1:61" x14ac:dyDescent="0.45">
      <c r="A132" s="30">
        <f>step3_validation[[#This Row],[Persona_ID]]</f>
        <v>131</v>
      </c>
      <c r="B132" s="31">
        <f>step3_validation[[#This Row],[Used_Seed]]</f>
        <v>2121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84.822633815383583</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8</v>
      </c>
      <c r="R132" t="str">
        <f t="shared" si="54"/>
        <v>Support</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0</v>
      </c>
      <c r="V132">
        <f>step3_validation[[#This Row],[AI_ENF2]]</f>
        <v>8</v>
      </c>
      <c r="W132" t="str">
        <f t="shared" si="57"/>
        <v>Support</v>
      </c>
      <c r="X132">
        <f>survey_responses[[#This Row],[Tôi tin rằng Nhà nước, cơ quan thuế có đủ khả năng và công nghệ để phát hiện, xử lý nghiêm các hành vi trốn thuế. - HUMAN-ENF2]]</f>
        <v>9</v>
      </c>
      <c r="Y132" t="str">
        <f t="shared" si="58"/>
        <v>Support</v>
      </c>
      <c r="Z132" s="32">
        <f t="shared" si="59"/>
        <v>1</v>
      </c>
      <c r="AA132">
        <f>step3_validation[[#This Row],[AI_FAC1]]</f>
        <v>9</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4</v>
      </c>
      <c r="AF132">
        <f>step3_validation[[#This Row],[AI_FAC2]]</f>
        <v>9</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4</v>
      </c>
      <c r="AK132">
        <f>step3_validation[[#This Row],[AI_TRU1]]</f>
        <v>8</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3</v>
      </c>
      <c r="AP132">
        <f>step3_validation[[#This Row],[AI_TRU2]]</f>
        <v>8</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4</v>
      </c>
      <c r="AU132">
        <f>step3_validation[[#This Row],[AI_TRU3]]</f>
        <v>8</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3</v>
      </c>
      <c r="AZ132">
        <f>step3_validation[[#This Row],[AI_TRU4]]</f>
        <v>8</v>
      </c>
      <c r="BA132" t="str">
        <f t="shared" si="75"/>
        <v>Support</v>
      </c>
      <c r="BB132">
        <f>survey_responses[[#This Row],[Tôi thấy Nhà nước đã giải thích rõ ràng, minh bạch về lý do và mục tiêu của việc sửa đổi thuế lần này. - HUMAN-TRU4]]</f>
        <v>5</v>
      </c>
      <c r="BC132" t="str">
        <f t="shared" si="76"/>
        <v>Neutral</v>
      </c>
      <c r="BD132" s="32">
        <f t="shared" si="77"/>
        <v>3</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4</v>
      </c>
    </row>
    <row r="133" spans="1:61" x14ac:dyDescent="0.45">
      <c r="A133" s="30">
        <f>step3_validation[[#This Row],[Persona_ID]]</f>
        <v>132</v>
      </c>
      <c r="B133" s="31">
        <f>step3_validation[[#This Row],[Used_Seed]]</f>
        <v>2122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15.286572647208111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8</v>
      </c>
      <c r="R133" t="str">
        <f t="shared" si="54"/>
        <v>Support</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1</v>
      </c>
      <c r="V133">
        <f>step3_validation[[#This Row],[AI_ENF2]]</f>
        <v>9</v>
      </c>
      <c r="W133" t="str">
        <f t="shared" si="57"/>
        <v>Support</v>
      </c>
      <c r="X133">
        <f>survey_responses[[#This Row],[Tôi tin rằng Nhà nước, cơ quan thuế có đủ khả năng và công nghệ để phát hiện, xử lý nghiêm các hành vi trốn thuế. - HUMAN-ENF2]]</f>
        <v>9</v>
      </c>
      <c r="Y133" t="str">
        <f t="shared" si="58"/>
        <v>Support</v>
      </c>
      <c r="Z133" s="32">
        <f t="shared" si="59"/>
        <v>0</v>
      </c>
      <c r="AA133">
        <f>step3_validation[[#This Row],[AI_FAC1]]</f>
        <v>10</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9</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0</v>
      </c>
      <c r="AK133">
        <f>step3_validation[[#This Row],[AI_TRU1]]</f>
        <v>8</v>
      </c>
      <c r="AL133" t="str">
        <f t="shared" si="66"/>
        <v>Support</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1</v>
      </c>
      <c r="AP133">
        <f>step3_validation[[#This Row],[AI_TRU2]]</f>
        <v>9</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1</v>
      </c>
      <c r="AU133">
        <f>step3_validation[[#This Row],[AI_TRU3]]</f>
        <v>8</v>
      </c>
      <c r="AV133" t="str">
        <f t="shared" si="72"/>
        <v>Support</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3</v>
      </c>
      <c r="AZ133">
        <f>step3_validation[[#This Row],[AI_TRU4]]</f>
        <v>9</v>
      </c>
      <c r="BA133" t="str">
        <f t="shared" si="75"/>
        <v>Support</v>
      </c>
      <c r="BB133">
        <f>survey_responses[[#This Row],[Tôi thấy Nhà nước đã giải thích rõ ràng, minh bạch về lý do và mục tiêu của việc sửa đổi thuế lần này. - HUMAN-TRU4]]</f>
        <v>5</v>
      </c>
      <c r="BC133" t="str">
        <f t="shared" si="76"/>
        <v>Neutral</v>
      </c>
      <c r="BD133" s="32">
        <f t="shared" si="77"/>
        <v>4</v>
      </c>
      <c r="BE133">
        <f>step3_validation[[#This Row],[AI_OUT1]]</f>
        <v>10</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1</v>
      </c>
    </row>
    <row r="134" spans="1:61" x14ac:dyDescent="0.45">
      <c r="A134" s="30">
        <f>step3_validation[[#This Row],[Persona_ID]]</f>
        <v>133</v>
      </c>
      <c r="B134" s="31">
        <f>step3_validation[[#This Row],[Used_Seed]]</f>
        <v>2123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35.477346230917526</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9</v>
      </c>
      <c r="R134" t="str">
        <f t="shared" si="54"/>
        <v>Support</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4</v>
      </c>
      <c r="V134">
        <f>step3_validation[[#This Row],[AI_ENF2]]</f>
        <v>8</v>
      </c>
      <c r="W134" t="str">
        <f t="shared" si="57"/>
        <v>Support</v>
      </c>
      <c r="X134">
        <f>survey_responses[[#This Row],[Tôi tin rằng Nhà nước, cơ quan thuế có đủ khả năng và công nghệ để phát hiện, xử lý nghiêm các hành vi trốn thuế. - HUMAN-ENF2]]</f>
        <v>5</v>
      </c>
      <c r="Y134" t="str">
        <f t="shared" si="58"/>
        <v>Neutral</v>
      </c>
      <c r="Z134" s="32">
        <f t="shared" si="59"/>
        <v>3</v>
      </c>
      <c r="AA134">
        <f>step3_validation[[#This Row],[AI_FAC1]]</f>
        <v>9</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4</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9</v>
      </c>
      <c r="AL134" t="str">
        <f t="shared" si="66"/>
        <v>Support</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4</v>
      </c>
      <c r="AP134">
        <f>step3_validation[[#This Row],[AI_TRU2]]</f>
        <v>8</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3</v>
      </c>
      <c r="AU134">
        <f>step3_validation[[#This Row],[AI_TRU3]]</f>
        <v>9</v>
      </c>
      <c r="AV134" t="str">
        <f t="shared" si="72"/>
        <v>Support</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4</v>
      </c>
      <c r="AZ134">
        <f>step3_validation[[#This Row],[AI_TRU4]]</f>
        <v>8</v>
      </c>
      <c r="BA134" t="str">
        <f t="shared" si="75"/>
        <v>Support</v>
      </c>
      <c r="BB134">
        <f>survey_responses[[#This Row],[Tôi thấy Nhà nước đã giải thích rõ ràng, minh bạch về lý do và mục tiêu của việc sửa đổi thuế lần này. - HUMAN-TRU4]]</f>
        <v>5</v>
      </c>
      <c r="BC134" t="str">
        <f t="shared" si="76"/>
        <v>Neutral</v>
      </c>
      <c r="BD134" s="32">
        <f t="shared" si="77"/>
        <v>3</v>
      </c>
      <c r="BE134">
        <f>step3_validation[[#This Row],[AI_OUT1]]</f>
        <v>9</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4</v>
      </c>
    </row>
    <row r="135" spans="1:61" x14ac:dyDescent="0.45">
      <c r="A135" s="30">
        <f>step3_validation[[#This Row],[Persona_ID]]</f>
        <v>134</v>
      </c>
      <c r="B135" s="31">
        <f>step3_validation[[#This Row],[Used_Seed]]</f>
        <v>2124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19.621506850513263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8</v>
      </c>
      <c r="R135" t="str">
        <f t="shared" si="54"/>
        <v>Support</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1</v>
      </c>
      <c r="V135">
        <f>step3_validation[[#This Row],[AI_ENF2]]</f>
        <v>8</v>
      </c>
      <c r="W135" t="str">
        <f t="shared" si="57"/>
        <v>Support</v>
      </c>
      <c r="X135">
        <f>survey_responses[[#This Row],[Tôi tin rằng Nhà nước, cơ quan thuế có đủ khả năng và công nghệ để phát hiện, xử lý nghiêm các hành vi trốn thuế. - HUMAN-ENF2]]</f>
        <v>9</v>
      </c>
      <c r="Y135" t="str">
        <f t="shared" si="58"/>
        <v>Support</v>
      </c>
      <c r="Z135" s="32">
        <f t="shared" si="59"/>
        <v>1</v>
      </c>
      <c r="AA135">
        <f>step3_validation[[#This Row],[AI_FAC1]]</f>
        <v>7</v>
      </c>
      <c r="AB135" t="str">
        <f t="shared" si="60"/>
        <v>Neutral</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2</v>
      </c>
      <c r="AF135">
        <f>step3_validation[[#This Row],[AI_FAC2]]</f>
        <v>9</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0</v>
      </c>
      <c r="AK135">
        <f>step3_validation[[#This Row],[AI_TRU1]]</f>
        <v>9</v>
      </c>
      <c r="AL135" t="str">
        <f t="shared" si="66"/>
        <v>Support</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1</v>
      </c>
      <c r="AP135">
        <f>step3_validation[[#This Row],[AI_TRU2]]</f>
        <v>9</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1</v>
      </c>
      <c r="AU135">
        <f>step3_validation[[#This Row],[AI_TRU3]]</f>
        <v>8</v>
      </c>
      <c r="AV135" t="str">
        <f t="shared" si="72"/>
        <v>Support</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3</v>
      </c>
      <c r="AZ135">
        <f>step3_validation[[#This Row],[AI_TRU4]]</f>
        <v>7</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2</v>
      </c>
      <c r="BE135">
        <f>step3_validation[[#This Row],[AI_OUT1]]</f>
        <v>9</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2</v>
      </c>
    </row>
    <row r="136" spans="1:61" x14ac:dyDescent="0.45">
      <c r="A136" s="30">
        <f>step3_validation[[#This Row],[Persona_ID]]</f>
        <v>135</v>
      </c>
      <c r="B136" s="31">
        <f>step3_validation[[#This Row],[Used_Seed]]</f>
        <v>2125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13.971867425319756</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2</v>
      </c>
      <c r="V136">
        <f>step3_validation[[#This Row],[AI_ENF2]]</f>
        <v>6</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2">
        <f t="shared" si="59"/>
        <v>1</v>
      </c>
      <c r="AA136">
        <f>step3_validation[[#This Row],[AI_FAC1]]</f>
        <v>8</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3</v>
      </c>
      <c r="AF136">
        <f>step3_validation[[#This Row],[AI_FAC2]]</f>
        <v>9</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3</v>
      </c>
      <c r="AK136">
        <f>step3_validation[[#This Row],[AI_TRU1]]</f>
        <v>8</v>
      </c>
      <c r="AL136" t="str">
        <f t="shared" si="66"/>
        <v>Support</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2</v>
      </c>
      <c r="AP136">
        <f>step3_validation[[#This Row],[AI_TRU2]]</f>
        <v>9</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3</v>
      </c>
      <c r="AU136">
        <f>step3_validation[[#This Row],[AI_TRU3]]</f>
        <v>8</v>
      </c>
      <c r="AV136" t="str">
        <f t="shared" si="72"/>
        <v>Support</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2</v>
      </c>
      <c r="AZ136">
        <f>step3_validation[[#This Row],[AI_TRU4]]</f>
        <v>9</v>
      </c>
      <c r="BA136" t="str">
        <f t="shared" si="75"/>
        <v>Support</v>
      </c>
      <c r="BB136">
        <f>survey_responses[[#This Row],[Tôi thấy Nhà nước đã giải thích rõ ràng, minh bạch về lý do và mục tiêu của việc sửa đổi thuế lần này. - HUMAN-TRU4]]</f>
        <v>6</v>
      </c>
      <c r="BC136" t="str">
        <f t="shared" si="76"/>
        <v>Neutral</v>
      </c>
      <c r="BD136" s="32">
        <f t="shared" si="77"/>
        <v>3</v>
      </c>
      <c r="BE136">
        <f>step3_validation[[#This Row],[AI_OUT1]]</f>
        <v>9</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3</v>
      </c>
    </row>
    <row r="137" spans="1:61" x14ac:dyDescent="0.45">
      <c r="A137" s="30">
        <f>step3_validation[[#This Row],[Persona_ID]]</f>
        <v>136</v>
      </c>
      <c r="B137" s="31">
        <f>step3_validation[[#This Row],[Used_Seed]]</f>
        <v>2126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7</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1</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1</v>
      </c>
      <c r="AA137">
        <f>step3_validation[[#This Row],[AI_FAC1]]</f>
        <v>9</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1</v>
      </c>
      <c r="AF137">
        <f>step3_validation[[#This Row],[AI_FAC2]]</f>
        <v>9</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8</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2</v>
      </c>
      <c r="AP137">
        <f>step3_validation[[#This Row],[AI_TRU2]]</f>
        <v>9</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1</v>
      </c>
      <c r="AU137">
        <f>step3_validation[[#This Row],[AI_TRU3]]</f>
        <v>8</v>
      </c>
      <c r="AV137" t="str">
        <f t="shared" si="72"/>
        <v>Support</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2</v>
      </c>
      <c r="AZ137">
        <f>step3_validation[[#This Row],[AI_TRU4]]</f>
        <v>7</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3</v>
      </c>
      <c r="BE137">
        <f>step3_validation[[#This Row],[AI_OUT1]]</f>
        <v>9</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1</v>
      </c>
    </row>
    <row r="138" spans="1:61" x14ac:dyDescent="0.45">
      <c r="A138" s="30">
        <f>step3_validation[[#This Row],[Persona_ID]]</f>
        <v>137</v>
      </c>
      <c r="B138" s="31">
        <f>step3_validation[[#This Row],[Used_Seed]]</f>
        <v>2127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247.94099676182358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9</v>
      </c>
      <c r="R138" t="str">
        <f t="shared" si="54"/>
        <v>Support</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9</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8</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0</v>
      </c>
      <c r="AK138">
        <f>step3_validation[[#This Row],[AI_TRU1]]</f>
        <v>9</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9</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1</v>
      </c>
      <c r="AU138">
        <f>step3_validation[[#This Row],[AI_TRU3]]</f>
        <v>9</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4</v>
      </c>
      <c r="AZ138">
        <f>step3_validation[[#This Row],[AI_TRU4]]</f>
        <v>8</v>
      </c>
      <c r="BA138" t="str">
        <f t="shared" si="75"/>
        <v>Support</v>
      </c>
      <c r="BB138">
        <f>survey_responses[[#This Row],[Tôi thấy Nhà nước đã giải thích rõ ràng, minh bạch về lý do và mục tiêu của việc sửa đổi thuế lần này. - HUMAN-TRU4]]</f>
        <v>7</v>
      </c>
      <c r="BC138" t="str">
        <f t="shared" si="76"/>
        <v>Neutral</v>
      </c>
      <c r="BD138" s="32">
        <f t="shared" si="77"/>
        <v>1</v>
      </c>
      <c r="BE138">
        <f>step3_validation[[#This Row],[AI_OUT1]]</f>
        <v>9</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1</v>
      </c>
    </row>
    <row r="139" spans="1:61" x14ac:dyDescent="0.45">
      <c r="A139" s="30">
        <f>step3_validation[[#This Row],[Persona_ID]]</f>
        <v>138</v>
      </c>
      <c r="B139" s="31">
        <f>step3_validation[[#This Row],[Used_Seed]]</f>
        <v>2128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15.774999141099268</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8</v>
      </c>
      <c r="W139" t="str">
        <f t="shared" si="57"/>
        <v>Support</v>
      </c>
      <c r="X139">
        <f>survey_responses[[#This Row],[Tôi tin rằng Nhà nước, cơ quan thuế có đủ khả năng và công nghệ để phát hiện, xử lý nghiêm các hành vi trốn thuế. - HUMAN-ENF2]]</f>
        <v>9</v>
      </c>
      <c r="Y139" t="str">
        <f t="shared" si="58"/>
        <v>Support</v>
      </c>
      <c r="Z139" s="32">
        <f t="shared" si="59"/>
        <v>1</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6</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0</v>
      </c>
      <c r="AP139">
        <f>step3_validation[[#This Row],[AI_TRU2]]</f>
        <v>8</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2</v>
      </c>
      <c r="AU139">
        <f>step3_validation[[#This Row],[AI_TRU3]]</f>
        <v>7</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5</v>
      </c>
      <c r="AZ139">
        <f>step3_validation[[#This Row],[AI_TRU4]]</f>
        <v>6</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1</v>
      </c>
      <c r="BE139">
        <f>step3_validation[[#This Row],[AI_OUT1]]</f>
        <v>9</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3</v>
      </c>
    </row>
    <row r="140" spans="1:61" x14ac:dyDescent="0.45">
      <c r="A140" s="30">
        <f>step3_validation[[#This Row],[Persona_ID]]</f>
        <v>139</v>
      </c>
      <c r="B140" s="31">
        <f>step3_validation[[#This Row],[Used_Seed]]</f>
        <v>2129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224.80140609221547</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8</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3</v>
      </c>
      <c r="V140">
        <f>step3_validation[[#This Row],[AI_ENF2]]</f>
        <v>7</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3</v>
      </c>
      <c r="AA140">
        <f>step3_validation[[#This Row],[AI_FAC1]]</f>
        <v>6</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1</v>
      </c>
      <c r="AF140">
        <f>step3_validation[[#This Row],[AI_FAC2]]</f>
        <v>9</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3</v>
      </c>
      <c r="AK140">
        <f>step3_validation[[#This Row],[AI_TRU1]]</f>
        <v>8</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5</v>
      </c>
      <c r="AP140">
        <f>step3_validation[[#This Row],[AI_TRU2]]</f>
        <v>9</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5</v>
      </c>
      <c r="AU140">
        <f>step3_validation[[#This Row],[AI_TRU3]]</f>
        <v>8</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4</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9</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4</v>
      </c>
    </row>
    <row r="141" spans="1:61" x14ac:dyDescent="0.45">
      <c r="A141" s="30">
        <f>step3_validation[[#This Row],[Persona_ID]]</f>
        <v>140</v>
      </c>
      <c r="B141" s="31">
        <f>step3_validation[[#This Row],[Used_Seed]]</f>
        <v>2130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30.440778914880052</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8</v>
      </c>
      <c r="R141" t="str">
        <f t="shared" si="54"/>
        <v>Support</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2</v>
      </c>
      <c r="V141">
        <f>step3_validation[[#This Row],[AI_ENF2]]</f>
        <v>8</v>
      </c>
      <c r="W141" t="str">
        <f t="shared" si="57"/>
        <v>Support</v>
      </c>
      <c r="X141">
        <f>survey_responses[[#This Row],[Tôi tin rằng Nhà nước, cơ quan thuế có đủ khả năng và công nghệ để phát hiện, xử lý nghiêm các hành vi trốn thuế. - HUMAN-ENF2]]</f>
        <v>9</v>
      </c>
      <c r="Y141" t="str">
        <f t="shared" si="58"/>
        <v>Support</v>
      </c>
      <c r="Z141" s="32">
        <f t="shared" si="59"/>
        <v>1</v>
      </c>
      <c r="AA141">
        <f>step3_validation[[#This Row],[AI_FAC1]]</f>
        <v>9</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0</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8</v>
      </c>
      <c r="AL141" t="str">
        <f t="shared" si="66"/>
        <v>Support</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0</v>
      </c>
      <c r="AP141">
        <f>step3_validation[[#This Row],[AI_TRU2]]</f>
        <v>9</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1</v>
      </c>
      <c r="AU141">
        <f>step3_validation[[#This Row],[AI_TRU3]]</f>
        <v>8</v>
      </c>
      <c r="AV141" t="str">
        <f t="shared" si="72"/>
        <v>Support</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0</v>
      </c>
      <c r="AZ141">
        <f>step3_validation[[#This Row],[AI_TRU4]]</f>
        <v>8</v>
      </c>
      <c r="BA141" t="str">
        <f t="shared" si="75"/>
        <v>Support</v>
      </c>
      <c r="BB141">
        <f>survey_responses[[#This Row],[Tôi thấy Nhà nước đã giải thích rõ ràng, minh bạch về lý do và mục tiêu của việc sửa đổi thuế lần này. - HUMAN-TRU4]]</f>
        <v>8</v>
      </c>
      <c r="BC141" t="str">
        <f t="shared" si="76"/>
        <v>Support</v>
      </c>
      <c r="BD141" s="32">
        <f t="shared" si="77"/>
        <v>0</v>
      </c>
      <c r="BE141">
        <f>step3_validation[[#This Row],[AI_OUT1]]</f>
        <v>9</v>
      </c>
      <c r="BF141" t="str">
        <f t="shared" si="78"/>
        <v>Support</v>
      </c>
      <c r="BG141">
        <f>survey_responses[[#This Row],[Sau khi xem xét các quyền lợi và nghĩa vụ, bạn có ủng hộ và tuân thủ chính sách mới hiện nay? - HUMAN-OUT1]]</f>
        <v>10</v>
      </c>
      <c r="BH141" t="str">
        <f t="shared" si="79"/>
        <v>Support</v>
      </c>
      <c r="BI141" s="32">
        <f t="shared" si="80"/>
        <v>1</v>
      </c>
    </row>
    <row r="142" spans="1:61" x14ac:dyDescent="0.45">
      <c r="A142" s="30">
        <f>step3_validation[[#This Row],[Persona_ID]]</f>
        <v>141</v>
      </c>
      <c r="B142" s="31">
        <f>step3_validation[[#This Row],[Used_Seed]]</f>
        <v>2131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23.367160816515419</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0</v>
      </c>
      <c r="V142">
        <f>step3_validation[[#This Row],[AI_ENF2]]</f>
        <v>7</v>
      </c>
      <c r="W142" t="str">
        <f t="shared" si="57"/>
        <v>Neutral</v>
      </c>
      <c r="X142">
        <f>survey_responses[[#This Row],[Tôi tin rằng Nhà nước, cơ quan thuế có đủ khả năng và công nghệ để phát hiện, xử lý nghiêm các hành vi trốn thuế. - HUMAN-ENF2]]</f>
        <v>7</v>
      </c>
      <c r="Y142" t="str">
        <f t="shared" si="58"/>
        <v>Neutral</v>
      </c>
      <c r="Z142" s="32">
        <f t="shared" si="59"/>
        <v>0</v>
      </c>
      <c r="AA142">
        <f>step3_validation[[#This Row],[AI_FAC1]]</f>
        <v>6</v>
      </c>
      <c r="AB142" t="str">
        <f t="shared" si="60"/>
        <v>Neutral</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0</v>
      </c>
      <c r="AF142">
        <f>step3_validation[[#This Row],[AI_FAC2]]</f>
        <v>9</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3</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8</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3</v>
      </c>
      <c r="AU142">
        <f>step3_validation[[#This Row],[AI_TRU3]]</f>
        <v>6</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3</v>
      </c>
      <c r="AZ142">
        <f>step3_validation[[#This Row],[AI_TRU4]]</f>
        <v>7</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4</v>
      </c>
      <c r="BE142">
        <f>step3_validation[[#This Row],[AI_OUT1]]</f>
        <v>8</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3</v>
      </c>
    </row>
    <row r="143" spans="1:61" x14ac:dyDescent="0.45">
      <c r="A143" s="30">
        <f>step3_validation[[#This Row],[Persona_ID]]</f>
        <v>142</v>
      </c>
      <c r="B143" s="31">
        <f>step3_validation[[#This Row],[Used_Seed]]</f>
        <v>2132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5</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0</v>
      </c>
      <c r="V143">
        <f>step3_validation[[#This Row],[AI_ENF2]]</f>
        <v>7</v>
      </c>
      <c r="W143" t="str">
        <f t="shared" si="57"/>
        <v>Neutral</v>
      </c>
      <c r="X143">
        <f>survey_responses[[#This Row],[Tôi tin rằng Nhà nước, cơ quan thuế có đủ khả năng và công nghệ để phát hiện, xử lý nghiêm các hành vi trốn thuế. - HUMAN-ENF2]]</f>
        <v>6</v>
      </c>
      <c r="Y143" t="str">
        <f t="shared" si="58"/>
        <v>Neutral</v>
      </c>
      <c r="Z143" s="32">
        <f t="shared" si="59"/>
        <v>1</v>
      </c>
      <c r="AA143">
        <f>step3_validation[[#This Row],[AI_FAC1]]</f>
        <v>8</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3</v>
      </c>
      <c r="AF143">
        <f>step3_validation[[#This Row],[AI_FAC2]]</f>
        <v>9</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2</v>
      </c>
      <c r="AK143">
        <f>step3_validation[[#This Row],[AI_TRU1]]</f>
        <v>6</v>
      </c>
      <c r="AL143" t="str">
        <f t="shared" si="66"/>
        <v>Neutral</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0</v>
      </c>
      <c r="AP143">
        <f>step3_validation[[#This Row],[AI_TRU2]]</f>
        <v>9</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3</v>
      </c>
      <c r="AU143">
        <f>step3_validation[[#This Row],[AI_TRU3]]</f>
        <v>6</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0</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6</v>
      </c>
      <c r="BF143" t="str">
        <f t="shared" si="78"/>
        <v>Neutral</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2133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139.02703250999451</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8</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7</v>
      </c>
      <c r="AA144">
        <f>step3_validation[[#This Row],[AI_FAC1]]</f>
        <v>9</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9</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1</v>
      </c>
      <c r="AK144">
        <f>step3_validation[[#This Row],[AI_TRU1]]</f>
        <v>8</v>
      </c>
      <c r="AL144" t="str">
        <f t="shared" si="66"/>
        <v>Support</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0</v>
      </c>
      <c r="AP144">
        <f>step3_validation[[#This Row],[AI_TRU2]]</f>
        <v>9</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1</v>
      </c>
      <c r="AU144">
        <f>step3_validation[[#This Row],[AI_TRU3]]</f>
        <v>8</v>
      </c>
      <c r="AV144" t="str">
        <f t="shared" si="72"/>
        <v>Support</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0</v>
      </c>
      <c r="AZ144">
        <f>step3_validation[[#This Row],[AI_TRU4]]</f>
        <v>9</v>
      </c>
      <c r="BA144" t="str">
        <f t="shared" si="75"/>
        <v>Support</v>
      </c>
      <c r="BB144">
        <f>survey_responses[[#This Row],[Tôi thấy Nhà nước đã giải thích rõ ràng, minh bạch về lý do và mục tiêu của việc sửa đổi thuế lần này. - HUMAN-TRU4]]</f>
        <v>8</v>
      </c>
      <c r="BC144" t="str">
        <f t="shared" si="76"/>
        <v>Support</v>
      </c>
      <c r="BD144" s="32">
        <f t="shared" si="77"/>
        <v>1</v>
      </c>
      <c r="BE144">
        <f>step3_validation[[#This Row],[AI_OUT1]]</f>
        <v>8</v>
      </c>
      <c r="BF144" t="str">
        <f t="shared" si="78"/>
        <v>Support</v>
      </c>
      <c r="BG144">
        <f>survey_responses[[#This Row],[Sau khi xem xét các quyền lợi và nghĩa vụ, bạn có ủng hộ và tuân thủ chính sách mới hiện nay? - HUMAN-OUT1]]</f>
        <v>8</v>
      </c>
      <c r="BH144" t="str">
        <f t="shared" si="79"/>
        <v>Support</v>
      </c>
      <c r="BI144" s="32">
        <f t="shared" si="80"/>
        <v>0</v>
      </c>
    </row>
    <row r="145" spans="1:61" x14ac:dyDescent="0.45">
      <c r="A145" s="30">
        <f>step3_validation[[#This Row],[Persona_ID]]</f>
        <v>144</v>
      </c>
      <c r="B145" s="31">
        <f>step3_validation[[#This Row],[Used_Seed]]</f>
        <v>2134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62.626696236284886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9</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0</v>
      </c>
      <c r="AF145">
        <f>step3_validation[[#This Row],[AI_FAC2]]</f>
        <v>9</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0</v>
      </c>
      <c r="AK145">
        <f>step3_validation[[#This Row],[AI_TRU1]]</f>
        <v>7</v>
      </c>
      <c r="AL145" t="str">
        <f t="shared" si="66"/>
        <v>Neutral</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3</v>
      </c>
      <c r="AP145">
        <f>step3_validation[[#This Row],[AI_TRU2]]</f>
        <v>9</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4</v>
      </c>
      <c r="AU145">
        <f>step3_validation[[#This Row],[AI_TRU3]]</f>
        <v>8</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1</v>
      </c>
      <c r="AZ145">
        <f>step3_validation[[#This Row],[AI_TRU4]]</f>
        <v>6</v>
      </c>
      <c r="BA145" t="str">
        <f t="shared" si="75"/>
        <v>Neutral</v>
      </c>
      <c r="BB145">
        <f>survey_responses[[#This Row],[Tôi thấy Nhà nước đã giải thích rõ ràng, minh bạch về lý do và mục tiêu của việc sửa đổi thuế lần này. - HUMAN-TRU4]]</f>
        <v>9</v>
      </c>
      <c r="BC145" t="str">
        <f t="shared" si="76"/>
        <v>Support</v>
      </c>
      <c r="BD145" s="32">
        <f t="shared" si="77"/>
        <v>3</v>
      </c>
      <c r="BE145">
        <f>step3_validation[[#This Row],[AI_OUT1]]</f>
        <v>8</v>
      </c>
      <c r="BF145" t="str">
        <f t="shared" si="78"/>
        <v>Support</v>
      </c>
      <c r="BG145">
        <f>survey_responses[[#This Row],[Sau khi xem xét các quyền lợi và nghĩa vụ, bạn có ủng hộ và tuân thủ chính sách mới hiện nay? - HUMAN-OUT1]]</f>
        <v>10</v>
      </c>
      <c r="BH145" t="str">
        <f t="shared" si="79"/>
        <v>Support</v>
      </c>
      <c r="BI145" s="32">
        <f t="shared" si="80"/>
        <v>2</v>
      </c>
    </row>
    <row r="146" spans="1:61" x14ac:dyDescent="0.45">
      <c r="A146" s="30">
        <f>step3_validation[[#This Row],[Persona_ID]]</f>
        <v>145</v>
      </c>
      <c r="B146" s="31">
        <f>step3_validation[[#This Row],[Used_Seed]]</f>
        <v>2135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57.646688879409737</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3</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9</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0</v>
      </c>
      <c r="AF146">
        <f>step3_validation[[#This Row],[AI_FAC2]]</f>
        <v>8</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2</v>
      </c>
      <c r="AK146">
        <f>step3_validation[[#This Row],[AI_TRU1]]</f>
        <v>7</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1</v>
      </c>
      <c r="AP146">
        <f>step3_validation[[#This Row],[AI_TRU2]]</f>
        <v>9</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2">
        <f t="shared" si="71"/>
        <v>6</v>
      </c>
      <c r="AU146">
        <f>step3_validation[[#This Row],[AI_TRU3]]</f>
        <v>8</v>
      </c>
      <c r="AV146" t="str">
        <f t="shared" si="72"/>
        <v>Support</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3</v>
      </c>
      <c r="AZ146">
        <f>step3_validation[[#This Row],[AI_TRU4]]</f>
        <v>7</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2</v>
      </c>
      <c r="BE146">
        <f>step3_validation[[#This Row],[AI_OUT1]]</f>
        <v>9</v>
      </c>
      <c r="BF146" t="str">
        <f t="shared" si="78"/>
        <v>Support</v>
      </c>
      <c r="BG146">
        <f>survey_responses[[#This Row],[Sau khi xem xét các quyền lợi và nghĩa vụ, bạn có ủng hộ và tuân thủ chính sách mới hiện nay? - HUMAN-OUT1]]</f>
        <v>1</v>
      </c>
      <c r="BH146" t="str">
        <f t="shared" si="79"/>
        <v>Oppose</v>
      </c>
      <c r="BI146" s="32">
        <f t="shared" si="80"/>
        <v>8</v>
      </c>
    </row>
    <row r="147" spans="1:61" x14ac:dyDescent="0.45">
      <c r="A147" s="30">
        <f>step3_validation[[#This Row],[Persona_ID]]</f>
        <v>146</v>
      </c>
      <c r="B147" s="31">
        <f>step3_validation[[#This Row],[Used_Seed]]</f>
        <v>2136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85.619123253570223</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1</v>
      </c>
      <c r="V147">
        <f>step3_validation[[#This Row],[AI_ENF2]]</f>
        <v>6</v>
      </c>
      <c r="W147" t="str">
        <f t="shared" si="57"/>
        <v>Neutral</v>
      </c>
      <c r="X147">
        <f>survey_responses[[#This Row],[Tôi tin rằng Nhà nước, cơ quan thuế có đủ khả năng và công nghệ để phát hiện, xử lý nghiêm các hành vi trốn thuế. - HUMAN-ENF2]]</f>
        <v>8</v>
      </c>
      <c r="Y147" t="str">
        <f t="shared" si="58"/>
        <v>Support</v>
      </c>
      <c r="Z147" s="32">
        <f t="shared" si="59"/>
        <v>2</v>
      </c>
      <c r="AA147">
        <f>step3_validation[[#This Row],[AI_FAC1]]</f>
        <v>9</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4</v>
      </c>
      <c r="AF147">
        <f>step3_validation[[#This Row],[AI_FAC2]]</f>
        <v>8</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3</v>
      </c>
      <c r="AK147">
        <f>step3_validation[[#This Row],[AI_TRU1]]</f>
        <v>7</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2</v>
      </c>
      <c r="AP147">
        <f>step3_validation[[#This Row],[AI_TRU2]]</f>
        <v>9</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6</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2</v>
      </c>
      <c r="AZ147">
        <f>step3_validation[[#This Row],[AI_TRU4]]</f>
        <v>8</v>
      </c>
      <c r="BA147" t="str">
        <f t="shared" si="75"/>
        <v>Support</v>
      </c>
      <c r="BB147">
        <f>survey_responses[[#This Row],[Tôi thấy Nhà nước đã giải thích rõ ràng, minh bạch về lý do và mục tiêu của việc sửa đổi thuế lần này. - HUMAN-TRU4]]</f>
        <v>5</v>
      </c>
      <c r="BC147" t="str">
        <f t="shared" si="76"/>
        <v>Neutral</v>
      </c>
      <c r="BD147" s="32">
        <f t="shared" si="77"/>
        <v>3</v>
      </c>
      <c r="BE147">
        <f>step3_validation[[#This Row],[AI_OUT1]]</f>
        <v>9</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4</v>
      </c>
    </row>
    <row r="148" spans="1:61" x14ac:dyDescent="0.45">
      <c r="A148" s="30">
        <f>step3_validation[[#This Row],[Persona_ID]]</f>
        <v>147</v>
      </c>
      <c r="B148" s="31">
        <f>step3_validation[[#This Row],[Used_Seed]]</f>
        <v>2137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157.45553892629545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t="str">
        <f t="shared" si="54"/>
        <v>Support</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1</v>
      </c>
      <c r="V148">
        <f>step3_validation[[#This Row],[AI_ENF2]]</f>
        <v>9</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2</v>
      </c>
      <c r="AA148">
        <f>step3_validation[[#This Row],[AI_FAC1]]</f>
        <v>9</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8</v>
      </c>
      <c r="AF148">
        <f>step3_validation[[#This Row],[AI_FAC2]]</f>
        <v>8</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2</v>
      </c>
      <c r="AK148">
        <f>step3_validation[[#This Row],[AI_TRU1]]</f>
        <v>9</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6</v>
      </c>
      <c r="AP148">
        <f>step3_validation[[#This Row],[AI_TRU2]]</f>
        <v>8</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3</v>
      </c>
      <c r="AU148">
        <f>step3_validation[[#This Row],[AI_TRU3]]</f>
        <v>9</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8</v>
      </c>
      <c r="AZ148">
        <f>step3_validation[[#This Row],[AI_TRU4]]</f>
        <v>8</v>
      </c>
      <c r="BA148" t="str">
        <f t="shared" si="75"/>
        <v>Support</v>
      </c>
      <c r="BB148">
        <f>survey_responses[[#This Row],[Tôi thấy Nhà nước đã giải thích rõ ràng, minh bạch về lý do và mục tiêu của việc sửa đổi thuế lần này. - HUMAN-TRU4]]</f>
        <v>4</v>
      </c>
      <c r="BC148" t="str">
        <f t="shared" si="76"/>
        <v>Oppose</v>
      </c>
      <c r="BD148" s="32">
        <f t="shared" si="77"/>
        <v>4</v>
      </c>
      <c r="BE148">
        <f>step3_validation[[#This Row],[AI_OUT1]]</f>
        <v>9</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4</v>
      </c>
    </row>
    <row r="149" spans="1:61" x14ac:dyDescent="0.45">
      <c r="A149" s="30">
        <f>step3_validation[[#This Row],[Persona_ID]]</f>
        <v>148</v>
      </c>
      <c r="B149" s="31">
        <f>step3_validation[[#This Row],[Used_Seed]]</f>
        <v>2138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19.480538476970402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6</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0</v>
      </c>
      <c r="AA149">
        <f>step3_validation[[#This Row],[AI_FAC1]]</f>
        <v>8</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3</v>
      </c>
      <c r="AF149">
        <f>step3_validation[[#This Row],[AI_FAC2]]</f>
        <v>9</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2</v>
      </c>
      <c r="AK149">
        <f>step3_validation[[#This Row],[AI_TRU1]]</f>
        <v>7</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2</v>
      </c>
      <c r="AP149">
        <f>step3_validation[[#This Row],[AI_TRU2]]</f>
        <v>9</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2</v>
      </c>
      <c r="AU149">
        <f>step3_validation[[#This Row],[AI_TRU3]]</f>
        <v>8</v>
      </c>
      <c r="AV149" t="str">
        <f t="shared" si="72"/>
        <v>Support</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3</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9</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2</v>
      </c>
    </row>
    <row r="150" spans="1:61" x14ac:dyDescent="0.45">
      <c r="A150" s="30">
        <f>step3_validation[[#This Row],[Persona_ID]]</f>
        <v>149</v>
      </c>
      <c r="B150" s="31">
        <f>step3_validation[[#This Row],[Used_Seed]]</f>
        <v>2139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224.2269893145295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8</v>
      </c>
      <c r="R150" t="str">
        <f t="shared" si="54"/>
        <v>Support</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2</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3</v>
      </c>
      <c r="AA150">
        <f>step3_validation[[#This Row],[AI_FAC1]]</f>
        <v>7</v>
      </c>
      <c r="AB150" t="str">
        <f t="shared" si="60"/>
        <v>Neutral</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0</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6</v>
      </c>
      <c r="AL150" t="str">
        <f t="shared" si="66"/>
        <v>Neutral</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2</v>
      </c>
      <c r="AP150">
        <f>step3_validation[[#This Row],[AI_TRU2]]</f>
        <v>8</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4</v>
      </c>
      <c r="AU150">
        <f>step3_validation[[#This Row],[AI_TRU3]]</f>
        <v>6</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5</v>
      </c>
      <c r="AZ150">
        <f>step3_validation[[#This Row],[AI_TRU4]]</f>
        <v>7</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4</v>
      </c>
      <c r="BE150">
        <f>step3_validation[[#This Row],[AI_OUT1]]</f>
        <v>8</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2</v>
      </c>
    </row>
    <row r="151" spans="1:61" x14ac:dyDescent="0.45">
      <c r="A151" s="30">
        <f>step3_validation[[#This Row],[Persona_ID]]</f>
        <v>150</v>
      </c>
      <c r="B151" s="31">
        <f>step3_validation[[#This Row],[Used_Seed]]</f>
        <v>2140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55.317930506592539</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t="str">
        <f t="shared" si="54"/>
        <v>Support</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1</v>
      </c>
      <c r="V151">
        <f>step3_validation[[#This Row],[AI_ENF2]]</f>
        <v>9</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1</v>
      </c>
      <c r="AA151">
        <f>step3_validation[[#This Row],[AI_FAC1]]</f>
        <v>7</v>
      </c>
      <c r="AB151" t="str">
        <f t="shared" si="60"/>
        <v>Neutral</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2</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7</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0</v>
      </c>
      <c r="AP151">
        <f>step3_validation[[#This Row],[AI_TRU2]]</f>
        <v>8</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1</v>
      </c>
      <c r="AU151">
        <f>step3_validation[[#This Row],[AI_TRU3]]</f>
        <v>7</v>
      </c>
      <c r="AV151" t="str">
        <f t="shared" si="72"/>
        <v>Neutral</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0</v>
      </c>
      <c r="AZ151">
        <f>step3_validation[[#This Row],[AI_TRU4]]</f>
        <v>8</v>
      </c>
      <c r="BA151" t="str">
        <f t="shared" si="75"/>
        <v>Support</v>
      </c>
      <c r="BB151">
        <f>survey_responses[[#This Row],[Tôi thấy Nhà nước đã giải thích rõ ràng, minh bạch về lý do và mục tiêu của việc sửa đổi thuế lần này. - HUMAN-TRU4]]</f>
        <v>7</v>
      </c>
      <c r="BC151" t="str">
        <f t="shared" si="76"/>
        <v>Neutral</v>
      </c>
      <c r="BD151" s="32">
        <f t="shared" si="77"/>
        <v>1</v>
      </c>
      <c r="BE151">
        <f>step3_validation[[#This Row],[AI_OUT1]]</f>
        <v>9</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1</v>
      </c>
    </row>
    <row r="152" spans="1:61" x14ac:dyDescent="0.45">
      <c r="A152" s="30">
        <f>step3_validation[[#This Row],[Persona_ID]]</f>
        <v>151</v>
      </c>
      <c r="B152" s="31">
        <f>step3_validation[[#This Row],[Used_Seed]]</f>
        <v>2141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74.179101185392796</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0</v>
      </c>
      <c r="V152">
        <f>step3_validation[[#This Row],[AI_ENF2]]</f>
        <v>9</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1</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8</v>
      </c>
      <c r="AL152" t="str">
        <f t="shared" si="66"/>
        <v>Support</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0</v>
      </c>
      <c r="AP152">
        <f>step3_validation[[#This Row],[AI_TRU2]]</f>
        <v>7</v>
      </c>
      <c r="AQ152" t="str">
        <f t="shared" si="69"/>
        <v>Neutral</v>
      </c>
      <c r="AR152">
        <f>survey_responses[[#This Row],[Tôi thấy mức thuế tôi phải đóng theo phương án mới là công bằng (người thu nhập như tôi đóng mức này là hợp lý). - HUMAN-TRU2]]</f>
        <v>8</v>
      </c>
      <c r="AS152" t="str">
        <f t="shared" si="70"/>
        <v>Support</v>
      </c>
      <c r="AT152" s="32">
        <f t="shared" si="71"/>
        <v>1</v>
      </c>
      <c r="AU152">
        <f>step3_validation[[#This Row],[AI_TRU3]]</f>
        <v>8</v>
      </c>
      <c r="AV152" t="str">
        <f t="shared" si="72"/>
        <v>Support</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0</v>
      </c>
      <c r="AZ152">
        <f>step3_validation[[#This Row],[AI_TRU4]]</f>
        <v>7</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9</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1</v>
      </c>
    </row>
    <row r="153" spans="1:61" x14ac:dyDescent="0.45">
      <c r="A153" s="30">
        <f>step3_validation[[#This Row],[Persona_ID]]</f>
        <v>152</v>
      </c>
      <c r="B153" s="31">
        <f>step3_validation[[#This Row],[Used_Seed]]</f>
        <v>2142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71.547132639694141</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3</v>
      </c>
      <c r="V153">
        <f>step3_validation[[#This Row],[AI_ENF2]]</f>
        <v>8</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2">
        <f t="shared" si="59"/>
        <v>2</v>
      </c>
      <c r="AA153">
        <f>step3_validation[[#This Row],[AI_FAC1]]</f>
        <v>9</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1</v>
      </c>
      <c r="AF153">
        <f>step3_validation[[#This Row],[AI_FAC2]]</f>
        <v>9</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1</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8</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2</v>
      </c>
      <c r="AU153">
        <f>step3_validation[[#This Row],[AI_TRU3]]</f>
        <v>7</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3</v>
      </c>
      <c r="AZ153">
        <f>step3_validation[[#This Row],[AI_TRU4]]</f>
        <v>6</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4</v>
      </c>
      <c r="BE153">
        <f>step3_validation[[#This Row],[AI_OUT1]]</f>
        <v>8</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2</v>
      </c>
    </row>
    <row r="154" spans="1:61" x14ac:dyDescent="0.45">
      <c r="A154" s="30">
        <f>step3_validation[[#This Row],[Persona_ID]]</f>
        <v>153</v>
      </c>
      <c r="B154" s="31">
        <f>step3_validation[[#This Row],[Used_Seed]]</f>
        <v>2143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9</v>
      </c>
      <c r="R154" t="str">
        <f t="shared" si="54"/>
        <v>Support</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2</v>
      </c>
      <c r="V154">
        <f>step3_validation[[#This Row],[AI_ENF2]]</f>
        <v>8</v>
      </c>
      <c r="W154" t="str">
        <f t="shared" si="57"/>
        <v>Support</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9</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4</v>
      </c>
      <c r="AF154">
        <f>step3_validation[[#This Row],[AI_FAC2]]</f>
        <v>8</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1</v>
      </c>
      <c r="AK154">
        <f>step3_validation[[#This Row],[AI_TRU1]]</f>
        <v>9</v>
      </c>
      <c r="AL154" t="str">
        <f t="shared" si="66"/>
        <v>Support</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2</v>
      </c>
      <c r="AP154">
        <f>step3_validation[[#This Row],[AI_TRU2]]</f>
        <v>8</v>
      </c>
      <c r="AQ154" t="str">
        <f t="shared" si="69"/>
        <v>Support</v>
      </c>
      <c r="AR154">
        <f>survey_responses[[#This Row],[Tôi thấy mức thuế tôi phải đóng theo phương án mới là công bằng (người thu nhập như tôi đóng mức này là hợp lý). - HUMAN-TRU2]]</f>
        <v>7</v>
      </c>
      <c r="AS154" t="str">
        <f t="shared" si="70"/>
        <v>Neutral</v>
      </c>
      <c r="AT154" s="32">
        <f t="shared" si="71"/>
        <v>1</v>
      </c>
      <c r="AU154">
        <f>step3_validation[[#This Row],[AI_TRU3]]</f>
        <v>9</v>
      </c>
      <c r="AV154" t="str">
        <f t="shared" si="72"/>
        <v>Support</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2</v>
      </c>
      <c r="AZ154">
        <f>step3_validation[[#This Row],[AI_TRU4]]</f>
        <v>8</v>
      </c>
      <c r="BA154" t="str">
        <f t="shared" si="75"/>
        <v>Support</v>
      </c>
      <c r="BB154">
        <f>survey_responses[[#This Row],[Tôi thấy Nhà nước đã giải thích rõ ràng, minh bạch về lý do và mục tiêu của việc sửa đổi thuế lần này. - HUMAN-TRU4]]</f>
        <v>7</v>
      </c>
      <c r="BC154" t="str">
        <f t="shared" si="76"/>
        <v>Neutral</v>
      </c>
      <c r="BD154" s="32">
        <f t="shared" si="77"/>
        <v>1</v>
      </c>
      <c r="BE154">
        <f>step3_validation[[#This Row],[AI_OUT1]]</f>
        <v>9</v>
      </c>
      <c r="BF154" t="str">
        <f t="shared" si="78"/>
        <v>Support</v>
      </c>
      <c r="BG154">
        <f>survey_responses[[#This Row],[Sau khi xem xét các quyền lợi và nghĩa vụ, bạn có ủng hộ và tuân thủ chính sách mới hiện nay? - HUMAN-OUT1]]</f>
        <v>7</v>
      </c>
      <c r="BH154" t="str">
        <f t="shared" si="79"/>
        <v>Neutral</v>
      </c>
      <c r="BI154" s="32">
        <f t="shared" si="80"/>
        <v>2</v>
      </c>
    </row>
    <row r="155" spans="1:61" x14ac:dyDescent="0.45">
      <c r="A155" s="30">
        <f>step3_validation[[#This Row],[Persona_ID]]</f>
        <v>154</v>
      </c>
      <c r="B155" s="31">
        <f>step3_validation[[#This Row],[Used_Seed]]</f>
        <v>2144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t="str">
        <f t="shared" si="54"/>
        <v>Support</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9</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1</v>
      </c>
      <c r="AK155">
        <f>step3_validation[[#This Row],[AI_TRU1]]</f>
        <v>8</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2</v>
      </c>
      <c r="AP155">
        <f>step3_validation[[#This Row],[AI_TRU2]]</f>
        <v>9</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1</v>
      </c>
      <c r="AU155">
        <f>step3_validation[[#This Row],[AI_TRU3]]</f>
        <v>8</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3</v>
      </c>
      <c r="AZ155">
        <f>step3_validation[[#This Row],[AI_TRU4]]</f>
        <v>9</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2">
        <f t="shared" si="77"/>
        <v>1</v>
      </c>
      <c r="BE155">
        <f>step3_validation[[#This Row],[AI_OUT1]]</f>
        <v>10</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2</v>
      </c>
    </row>
    <row r="156" spans="1:61" x14ac:dyDescent="0.45">
      <c r="A156" s="30">
        <f>step3_validation[[#This Row],[Persona_ID]]</f>
        <v>155</v>
      </c>
      <c r="B156" s="31">
        <f>step3_validation[[#This Row],[Used_Seed]]</f>
        <v>2145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65.294086288736366</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6</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4</v>
      </c>
      <c r="V156">
        <f>step3_validation[[#This Row],[AI_ENF2]]</f>
        <v>7</v>
      </c>
      <c r="W156" t="str">
        <f t="shared" si="57"/>
        <v>Neutral</v>
      </c>
      <c r="X156">
        <f>survey_responses[[#This Row],[Tôi tin rằng Nhà nước, cơ quan thuế có đủ khả năng và công nghệ để phát hiện, xử lý nghiêm các hành vi trốn thuế. - HUMAN-ENF2]]</f>
        <v>10</v>
      </c>
      <c r="Y156" t="str">
        <f t="shared" si="58"/>
        <v>Support</v>
      </c>
      <c r="Z156" s="32">
        <f t="shared" si="59"/>
        <v>3</v>
      </c>
      <c r="AA156">
        <f>step3_validation[[#This Row],[AI_FAC1]]</f>
        <v>8</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2</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8</v>
      </c>
      <c r="AL156" t="str">
        <f t="shared" si="66"/>
        <v>Support</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2</v>
      </c>
      <c r="AP156">
        <f>step3_validation[[#This Row],[AI_TRU2]]</f>
        <v>9</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1</v>
      </c>
      <c r="AU156">
        <f>step3_validation[[#This Row],[AI_TRU3]]</f>
        <v>8</v>
      </c>
      <c r="AV156" t="str">
        <f t="shared" si="72"/>
        <v>Support</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2</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9</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1</v>
      </c>
    </row>
    <row r="157" spans="1:61" x14ac:dyDescent="0.45">
      <c r="A157" s="30">
        <f>step3_validation[[#This Row],[Persona_ID]]</f>
        <v>156</v>
      </c>
      <c r="B157" s="31">
        <f>step3_validation[[#This Row],[Used_Seed]]</f>
        <v>2146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23.928243437507259</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6</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4</v>
      </c>
      <c r="V157">
        <f>step3_validation[[#This Row],[AI_ENF2]]</f>
        <v>8</v>
      </c>
      <c r="W157" t="str">
        <f t="shared" si="57"/>
        <v>Support</v>
      </c>
      <c r="X157">
        <f>survey_responses[[#This Row],[Tôi tin rằng Nhà nước, cơ quan thuế có đủ khả năng và công nghệ để phát hiện, xử lý nghiêm các hành vi trốn thuế. - HUMAN-ENF2]]</f>
        <v>10</v>
      </c>
      <c r="Y157" t="str">
        <f t="shared" si="58"/>
        <v>Support</v>
      </c>
      <c r="Z157" s="32">
        <f t="shared" si="59"/>
        <v>2</v>
      </c>
      <c r="AA157">
        <f>step3_validation[[#This Row],[AI_FAC1]]</f>
        <v>9</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1</v>
      </c>
      <c r="AF157">
        <f>step3_validation[[#This Row],[AI_FAC2]]</f>
        <v>8</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2</v>
      </c>
      <c r="AK157">
        <f>step3_validation[[#This Row],[AI_TRU1]]</f>
        <v>9</v>
      </c>
      <c r="AL157" t="str">
        <f t="shared" si="66"/>
        <v>Support</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1</v>
      </c>
      <c r="AP157">
        <f>step3_validation[[#This Row],[AI_TRU2]]</f>
        <v>8</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2</v>
      </c>
      <c r="AU157">
        <f>step3_validation[[#This Row],[AI_TRU3]]</f>
        <v>7</v>
      </c>
      <c r="AV157" t="str">
        <f t="shared" si="72"/>
        <v>Neutral</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3</v>
      </c>
      <c r="AZ157">
        <f>step3_validation[[#This Row],[AI_TRU4]]</f>
        <v>8</v>
      </c>
      <c r="BA157" t="str">
        <f t="shared" si="75"/>
        <v>Support</v>
      </c>
      <c r="BB157">
        <f>survey_responses[[#This Row],[Tôi thấy Nhà nước đã giải thích rõ ràng, minh bạch về lý do và mục tiêu của việc sửa đổi thuế lần này. - HUMAN-TRU4]]</f>
        <v>10</v>
      </c>
      <c r="BC157" t="str">
        <f t="shared" si="76"/>
        <v>Support</v>
      </c>
      <c r="BD157" s="32">
        <f t="shared" si="77"/>
        <v>2</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1</v>
      </c>
    </row>
    <row r="158" spans="1:61" x14ac:dyDescent="0.45">
      <c r="A158" s="30">
        <f>step3_validation[[#This Row],[Persona_ID]]</f>
        <v>157</v>
      </c>
      <c r="B158" s="31">
        <f>step3_validation[[#This Row],[Used_Seed]]</f>
        <v>2147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79.221032608637913</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3</v>
      </c>
      <c r="V158">
        <f>step3_validation[[#This Row],[AI_ENF2]]</f>
        <v>6</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4</v>
      </c>
      <c r="AA158">
        <f>step3_validation[[#This Row],[AI_FAC1]]</f>
        <v>8</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7</v>
      </c>
      <c r="AF158">
        <f>step3_validation[[#This Row],[AI_FAC2]]</f>
        <v>9</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1</v>
      </c>
      <c r="AK158">
        <f>step3_validation[[#This Row],[AI_TRU1]]</f>
        <v>7</v>
      </c>
      <c r="AL158" t="str">
        <f t="shared" si="66"/>
        <v>Neutral</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6</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7</v>
      </c>
      <c r="AV158" t="str">
        <f t="shared" si="72"/>
        <v>Neutral</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6</v>
      </c>
      <c r="AZ158">
        <f>step3_validation[[#This Row],[AI_TRU4]]</f>
        <v>6</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5</v>
      </c>
      <c r="BE158">
        <f>step3_validation[[#This Row],[AI_OUT1]]</f>
        <v>8</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2</v>
      </c>
    </row>
    <row r="159" spans="1:61" x14ac:dyDescent="0.45">
      <c r="A159" s="30">
        <f>step3_validation[[#This Row],[Persona_ID]]</f>
        <v>158</v>
      </c>
      <c r="B159" s="31">
        <f>step3_validation[[#This Row],[Used_Seed]]</f>
        <v>2148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80.819067710457034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0</v>
      </c>
      <c r="V159">
        <f>step3_validation[[#This Row],[AI_ENF2]]</f>
        <v>6</v>
      </c>
      <c r="W159" t="str">
        <f t="shared" si="57"/>
        <v>Neutral</v>
      </c>
      <c r="X159">
        <f>survey_responses[[#This Row],[Tôi tin rằng Nhà nước, cơ quan thuế có đủ khả năng và công nghệ để phát hiện, xử lý nghiêm các hành vi trốn thuế. - HUMAN-ENF2]]</f>
        <v>8</v>
      </c>
      <c r="Y159" t="str">
        <f t="shared" si="58"/>
        <v>Support</v>
      </c>
      <c r="Z159" s="32">
        <f t="shared" si="59"/>
        <v>2</v>
      </c>
      <c r="AA159">
        <f>step3_validation[[#This Row],[AI_FAC1]]</f>
        <v>8</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2</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9</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4</v>
      </c>
      <c r="AU159">
        <f>step3_validation[[#This Row],[AI_TRU3]]</f>
        <v>6</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0</v>
      </c>
      <c r="AZ159">
        <f>step3_validation[[#This Row],[AI_TRU4]]</f>
        <v>7</v>
      </c>
      <c r="BA159" t="str">
        <f t="shared" si="75"/>
        <v>Neutral</v>
      </c>
      <c r="BB159">
        <f>survey_responses[[#This Row],[Tôi thấy Nhà nước đã giải thích rõ ràng, minh bạch về lý do và mục tiêu của việc sửa đổi thuế lần này. - HUMAN-TRU4]]</f>
        <v>7</v>
      </c>
      <c r="BC159" t="str">
        <f t="shared" si="76"/>
        <v>Neutral</v>
      </c>
      <c r="BD159" s="32">
        <f t="shared" si="77"/>
        <v>0</v>
      </c>
      <c r="BE159">
        <f>step3_validation[[#This Row],[AI_OUT1]]</f>
        <v>8</v>
      </c>
      <c r="BF159" t="str">
        <f t="shared" si="78"/>
        <v>Support</v>
      </c>
      <c r="BG159">
        <f>survey_responses[[#This Row],[Sau khi xem xét các quyền lợi và nghĩa vụ, bạn có ủng hộ và tuân thủ chính sách mới hiện nay? - HUMAN-OUT1]]</f>
        <v>7</v>
      </c>
      <c r="BH159" t="str">
        <f t="shared" si="79"/>
        <v>Neutral</v>
      </c>
      <c r="BI159" s="32">
        <f t="shared" si="80"/>
        <v>1</v>
      </c>
    </row>
    <row r="160" spans="1:61" x14ac:dyDescent="0.45">
      <c r="A160" s="30">
        <f>step3_validation[[#This Row],[Persona_ID]]</f>
        <v>159</v>
      </c>
      <c r="B160" s="31">
        <f>step3_validation[[#This Row],[Used_Seed]]</f>
        <v>2149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33.46719409588362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6</v>
      </c>
      <c r="R160" t="str">
        <f t="shared" si="54"/>
        <v>Neutral</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4</v>
      </c>
      <c r="V160">
        <f>step3_validation[[#This Row],[AI_ENF2]]</f>
        <v>7</v>
      </c>
      <c r="W160" t="str">
        <f t="shared" si="57"/>
        <v>Neutral</v>
      </c>
      <c r="X160">
        <f>survey_responses[[#This Row],[Tôi tin rằng Nhà nước, cơ quan thuế có đủ khả năng và công nghệ để phát hiện, xử lý nghiêm các hành vi trốn thuế. - HUMAN-ENF2]]</f>
        <v>7</v>
      </c>
      <c r="Y160" t="str">
        <f t="shared" si="58"/>
        <v>Neutral</v>
      </c>
      <c r="Z160" s="32">
        <f t="shared" si="59"/>
        <v>0</v>
      </c>
      <c r="AA160">
        <f>step3_validation[[#This Row],[AI_FAC1]]</f>
        <v>9</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1</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7</v>
      </c>
      <c r="AL160" t="str">
        <f t="shared" si="66"/>
        <v>Neutral</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3</v>
      </c>
      <c r="AP160">
        <f>step3_validation[[#This Row],[AI_TRU2]]</f>
        <v>8</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3</v>
      </c>
      <c r="AU160">
        <f>step3_validation[[#This Row],[AI_TRU3]]</f>
        <v>7</v>
      </c>
      <c r="AV160" t="str">
        <f t="shared" si="72"/>
        <v>Neutral</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3</v>
      </c>
      <c r="AZ160">
        <f>step3_validation[[#This Row],[AI_TRU4]]</f>
        <v>6</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2">
        <f t="shared" si="77"/>
        <v>3</v>
      </c>
      <c r="BE160">
        <f>step3_validation[[#This Row],[AI_OUT1]]</f>
        <v>9</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6</v>
      </c>
    </row>
    <row r="161" spans="1:61" x14ac:dyDescent="0.45">
      <c r="A161" s="30">
        <f>step3_validation[[#This Row],[Persona_ID]]</f>
        <v>160</v>
      </c>
      <c r="B161" s="31">
        <f>step3_validation[[#This Row],[Used_Seed]]</f>
        <v>2150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45.11869588041683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8</v>
      </c>
      <c r="R161" t="str">
        <f t="shared" si="54"/>
        <v>Support</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1</v>
      </c>
      <c r="V161">
        <f>step3_validation[[#This Row],[AI_ENF2]]</f>
        <v>9</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2">
        <f t="shared" si="59"/>
        <v>0</v>
      </c>
      <c r="AA161">
        <f>step3_validation[[#This Row],[AI_FAC1]]</f>
        <v>8</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2</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7</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2</v>
      </c>
      <c r="AP161">
        <f>step3_validation[[#This Row],[AI_TRU2]]</f>
        <v>8</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1</v>
      </c>
      <c r="AU161">
        <f>step3_validation[[#This Row],[AI_TRU3]]</f>
        <v>7</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1</v>
      </c>
      <c r="AZ161">
        <f>step3_validation[[#This Row],[AI_TRU4]]</f>
        <v>8</v>
      </c>
      <c r="BA161" t="str">
        <f t="shared" si="75"/>
        <v>Support</v>
      </c>
      <c r="BB161">
        <f>survey_responses[[#This Row],[Tôi thấy Nhà nước đã giải thích rõ ràng, minh bạch về lý do và mục tiêu của việc sửa đổi thuế lần này. - HUMAN-TRU4]]</f>
        <v>8</v>
      </c>
      <c r="BC161" t="str">
        <f t="shared" si="76"/>
        <v>Support</v>
      </c>
      <c r="BD161" s="32">
        <f t="shared" si="77"/>
        <v>0</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1</v>
      </c>
    </row>
    <row r="162" spans="1:61" x14ac:dyDescent="0.45">
      <c r="A162" s="30">
        <f>step3_validation[[#This Row],[Persona_ID]]</f>
        <v>161</v>
      </c>
      <c r="B162" s="31">
        <f>step3_validation[[#This Row],[Used_Seed]]</f>
        <v>2151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15.442244316243173</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1</v>
      </c>
      <c r="V162">
        <f>step3_validation[[#This Row],[AI_ENF2]]</f>
        <v>6</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1</v>
      </c>
      <c r="AA162">
        <f>step3_validation[[#This Row],[AI_FAC1]]</f>
        <v>9</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8</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3</v>
      </c>
      <c r="AK162">
        <f>step3_validation[[#This Row],[AI_TRU1]]</f>
        <v>7</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4</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5</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8</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2">
        <f t="shared" si="77"/>
        <v>3</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4</v>
      </c>
    </row>
    <row r="163" spans="1:61" x14ac:dyDescent="0.45">
      <c r="A163" s="30">
        <f>step3_validation[[#This Row],[Persona_ID]]</f>
        <v>162</v>
      </c>
      <c r="B163" s="31">
        <f>step3_validation[[#This Row],[Used_Seed]]</f>
        <v>2152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7</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4</v>
      </c>
      <c r="V163">
        <f>step3_validation[[#This Row],[AI_ENF2]]</f>
        <v>6</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2</v>
      </c>
      <c r="AA163">
        <f>step3_validation[[#This Row],[AI_FAC1]]</f>
        <v>8</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4</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7</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2</v>
      </c>
      <c r="BE163">
        <f>step3_validation[[#This Row],[AI_OUT1]]</f>
        <v>9</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4</v>
      </c>
    </row>
    <row r="164" spans="1:61" x14ac:dyDescent="0.45">
      <c r="A164" s="30">
        <f>step3_validation[[#This Row],[Persona_ID]]</f>
        <v>163</v>
      </c>
      <c r="B164" s="31">
        <f>step3_validation[[#This Row],[Used_Seed]]</f>
        <v>2153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15.35907344478729</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7</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2">
        <f t="shared" si="59"/>
        <v>3</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8</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2</v>
      </c>
      <c r="AP164">
        <f>step3_validation[[#This Row],[AI_TRU2]]</f>
        <v>9</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2">
        <f t="shared" si="71"/>
        <v>1</v>
      </c>
      <c r="AU164">
        <f>step3_validation[[#This Row],[AI_TRU3]]</f>
        <v>8</v>
      </c>
      <c r="AV164" t="str">
        <f t="shared" si="72"/>
        <v>Support</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2</v>
      </c>
      <c r="AZ164">
        <f>step3_validation[[#This Row],[AI_TRU4]]</f>
        <v>7</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3</v>
      </c>
      <c r="BE164">
        <f>step3_validation[[#This Row],[AI_OUT1]]</f>
        <v>9</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1</v>
      </c>
    </row>
    <row r="165" spans="1:61" x14ac:dyDescent="0.45">
      <c r="A165" s="30">
        <f>step3_validation[[#This Row],[Persona_ID]]</f>
        <v>164</v>
      </c>
      <c r="B165" s="31">
        <f>step3_validation[[#This Row],[Used_Seed]]</f>
        <v>2154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39.464682757354907</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6</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2</v>
      </c>
      <c r="V165">
        <f>step3_validation[[#This Row],[AI_ENF2]]</f>
        <v>7</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2</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1</v>
      </c>
      <c r="AF165">
        <f>step3_validation[[#This Row],[AI_FAC2]]</f>
        <v>9</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0</v>
      </c>
      <c r="AK165">
        <f>step3_validation[[#This Row],[AI_TRU1]]</f>
        <v>8</v>
      </c>
      <c r="AL165" t="str">
        <f t="shared" si="66"/>
        <v>Support</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3</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7</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0</v>
      </c>
      <c r="BE165">
        <f>step3_validation[[#This Row],[AI_OUT1]]</f>
        <v>9</v>
      </c>
      <c r="BF165" t="str">
        <f t="shared" si="78"/>
        <v>Support</v>
      </c>
      <c r="BG165">
        <f>survey_responses[[#This Row],[Sau khi xem xét các quyền lợi và nghĩa vụ, bạn có ủng hộ và tuân thủ chính sách mới hiện nay? - HUMAN-OUT1]]</f>
        <v>7</v>
      </c>
      <c r="BH165" t="str">
        <f t="shared" si="79"/>
        <v>Neutral</v>
      </c>
      <c r="BI165" s="32">
        <f t="shared" si="80"/>
        <v>2</v>
      </c>
    </row>
    <row r="166" spans="1:61" x14ac:dyDescent="0.45">
      <c r="A166" s="30">
        <f>step3_validation[[#This Row],[Persona_ID]]</f>
        <v>165</v>
      </c>
      <c r="B166" s="31">
        <f>step3_validation[[#This Row],[Used_Seed]]</f>
        <v>2155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34.853131575275249</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8</v>
      </c>
      <c r="R166" t="str">
        <f t="shared" si="54"/>
        <v>Support</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3</v>
      </c>
      <c r="V166">
        <f>step3_validation[[#This Row],[AI_ENF2]]</f>
        <v>9</v>
      </c>
      <c r="W166" t="str">
        <f t="shared" si="57"/>
        <v>Support</v>
      </c>
      <c r="X166">
        <f>survey_responses[[#This Row],[Tôi tin rằng Nhà nước, cơ quan thuế có đủ khả năng và công nghệ để phát hiện, xử lý nghiêm các hành vi trốn thuế. - HUMAN-ENF2]]</f>
        <v>5</v>
      </c>
      <c r="Y166" t="str">
        <f t="shared" si="58"/>
        <v>Neutral</v>
      </c>
      <c r="Z166" s="32">
        <f t="shared" si="59"/>
        <v>4</v>
      </c>
      <c r="AA166">
        <f>step3_validation[[#This Row],[AI_FAC1]]</f>
        <v>8</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2</v>
      </c>
      <c r="AF166">
        <f>step3_validation[[#This Row],[AI_FAC2]]</f>
        <v>9</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3</v>
      </c>
      <c r="AK166">
        <f>step3_validation[[#This Row],[AI_TRU1]]</f>
        <v>8</v>
      </c>
      <c r="AL166" t="str">
        <f t="shared" si="66"/>
        <v>Support</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2</v>
      </c>
      <c r="AP166">
        <f>step3_validation[[#This Row],[AI_TRU2]]</f>
        <v>9</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3</v>
      </c>
      <c r="AU166">
        <f>step3_validation[[#This Row],[AI_TRU3]]</f>
        <v>8</v>
      </c>
      <c r="AV166" t="str">
        <f t="shared" si="72"/>
        <v>Support</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3</v>
      </c>
      <c r="AZ166">
        <f>step3_validation[[#This Row],[AI_TRU4]]</f>
        <v>9</v>
      </c>
      <c r="BA166" t="str">
        <f t="shared" si="75"/>
        <v>Support</v>
      </c>
      <c r="BB166">
        <f>survey_responses[[#This Row],[Tôi thấy Nhà nước đã giải thích rõ ràng, minh bạch về lý do và mục tiêu của việc sửa đổi thuế lần này. - HUMAN-TRU4]]</f>
        <v>7</v>
      </c>
      <c r="BC166" t="str">
        <f t="shared" si="76"/>
        <v>Neutral</v>
      </c>
      <c r="BD166" s="32">
        <f t="shared" si="77"/>
        <v>2</v>
      </c>
      <c r="BE166">
        <f>step3_validation[[#This Row],[AI_OUT1]]</f>
        <v>8</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0</v>
      </c>
    </row>
    <row r="167" spans="1:61" x14ac:dyDescent="0.45">
      <c r="A167" s="30">
        <f>step3_validation[[#This Row],[Persona_ID]]</f>
        <v>166</v>
      </c>
      <c r="B167" s="31">
        <f>step3_validation[[#This Row],[Used_Seed]]</f>
        <v>2156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43.309098013494726</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4</v>
      </c>
      <c r="V167">
        <f>step3_validation[[#This Row],[AI_ENF2]]</f>
        <v>6</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2</v>
      </c>
      <c r="AA167">
        <f>step3_validation[[#This Row],[AI_FAC1]]</f>
        <v>7</v>
      </c>
      <c r="AB167" t="str">
        <f t="shared" si="60"/>
        <v>Neutral</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3</v>
      </c>
      <c r="AF167">
        <f>step3_validation[[#This Row],[AI_FAC2]]</f>
        <v>9</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1</v>
      </c>
      <c r="AK167">
        <f>step3_validation[[#This Row],[AI_TRU1]]</f>
        <v>7</v>
      </c>
      <c r="AL167" t="str">
        <f t="shared" si="66"/>
        <v>Neutral</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3</v>
      </c>
      <c r="AP167">
        <f>step3_validation[[#This Row],[AI_TRU2]]</f>
        <v>9</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1</v>
      </c>
      <c r="AU167">
        <f>step3_validation[[#This Row],[AI_TRU3]]</f>
        <v>7</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3</v>
      </c>
      <c r="AZ167">
        <f>step3_validation[[#This Row],[AI_TRU4]]</f>
        <v>8</v>
      </c>
      <c r="BA167" t="str">
        <f t="shared" si="75"/>
        <v>Support</v>
      </c>
      <c r="BB167">
        <f>survey_responses[[#This Row],[Tôi thấy Nhà nước đã giải thích rõ ràng, minh bạch về lý do và mục tiêu của việc sửa đổi thuế lần này. - HUMAN-TRU4]]</f>
        <v>10</v>
      </c>
      <c r="BC167" t="str">
        <f t="shared" si="76"/>
        <v>Support</v>
      </c>
      <c r="BD167" s="32">
        <f t="shared" si="77"/>
        <v>2</v>
      </c>
      <c r="BE167">
        <f>step3_validation[[#This Row],[AI_OUT1]]</f>
        <v>9</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1</v>
      </c>
    </row>
    <row r="168" spans="1:61" x14ac:dyDescent="0.45">
      <c r="A168" s="30">
        <f>step3_validation[[#This Row],[Persona_ID]]</f>
        <v>167</v>
      </c>
      <c r="B168" s="31">
        <f>step3_validation[[#This Row],[Used_Seed]]</f>
        <v>2157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87.962921152290036</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6</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1</v>
      </c>
      <c r="V168">
        <f>step3_validation[[#This Row],[AI_ENF2]]</f>
        <v>7</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2">
        <f t="shared" si="59"/>
        <v>1</v>
      </c>
      <c r="AA168">
        <f>step3_validation[[#This Row],[AI_FAC1]]</f>
        <v>9</v>
      </c>
      <c r="AB168" t="str">
        <f t="shared" si="60"/>
        <v>Support</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4</v>
      </c>
      <c r="AF168">
        <f>step3_validation[[#This Row],[AI_FAC2]]</f>
        <v>9</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8</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4</v>
      </c>
      <c r="AP168">
        <f>step3_validation[[#This Row],[AI_TRU2]]</f>
        <v>7</v>
      </c>
      <c r="AQ168" t="str">
        <f t="shared" si="69"/>
        <v>Neutral</v>
      </c>
      <c r="AR168">
        <f>survey_responses[[#This Row],[Tôi thấy mức thuế tôi phải đóng theo phương án mới là công bằng (người thu nhập như tôi đóng mức này là hợp lý). - HUMAN-TRU2]]</f>
        <v>5</v>
      </c>
      <c r="AS168" t="str">
        <f t="shared" si="70"/>
        <v>Neutral</v>
      </c>
      <c r="AT168" s="32">
        <f t="shared" si="71"/>
        <v>2</v>
      </c>
      <c r="AU168">
        <f>step3_validation[[#This Row],[AI_TRU3]]</f>
        <v>8</v>
      </c>
      <c r="AV168" t="str">
        <f t="shared" si="72"/>
        <v>Support</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7</v>
      </c>
      <c r="AZ168">
        <f>step3_validation[[#This Row],[AI_TRU4]]</f>
        <v>6</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1</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2">
        <f t="shared" si="80"/>
        <v>4</v>
      </c>
    </row>
    <row r="169" spans="1:61" x14ac:dyDescent="0.45">
      <c r="A169" s="30">
        <f>step3_validation[[#This Row],[Persona_ID]]</f>
        <v>168</v>
      </c>
      <c r="B169" s="31">
        <f>step3_validation[[#This Row],[Used_Seed]]</f>
        <v>2158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21.442261342216373</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6</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1</v>
      </c>
      <c r="V169">
        <f>step3_validation[[#This Row],[AI_ENF2]]</f>
        <v>7</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0</v>
      </c>
      <c r="AA169">
        <f>step3_validation[[#This Row],[AI_FAC1]]</f>
        <v>8</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0</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8</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1</v>
      </c>
      <c r="AP169">
        <f>step3_validation[[#This Row],[AI_TRU2]]</f>
        <v>9</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1</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8</v>
      </c>
      <c r="BA169" t="str">
        <f t="shared" si="75"/>
        <v>Support</v>
      </c>
      <c r="BB169">
        <f>survey_responses[[#This Row],[Tôi thấy Nhà nước đã giải thích rõ ràng, minh bạch về lý do và mục tiêu của việc sửa đổi thuế lần này. - HUMAN-TRU4]]</f>
        <v>8</v>
      </c>
      <c r="BC169" t="str">
        <f t="shared" si="76"/>
        <v>Support</v>
      </c>
      <c r="BD169" s="32">
        <f t="shared" si="77"/>
        <v>0</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0</v>
      </c>
    </row>
    <row r="170" spans="1:61" x14ac:dyDescent="0.45">
      <c r="A170" s="30">
        <f>step3_validation[[#This Row],[Persona_ID]]</f>
        <v>169</v>
      </c>
      <c r="B170" s="31">
        <f>step3_validation[[#This Row],[Used_Seed]]</f>
        <v>2159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36.33258988407799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9</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1</v>
      </c>
      <c r="V170">
        <f>step3_validation[[#This Row],[AI_ENF2]]</f>
        <v>8</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0</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8</v>
      </c>
      <c r="AL170" t="str">
        <f t="shared" si="66"/>
        <v>Support</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1</v>
      </c>
      <c r="AP170">
        <f>step3_validation[[#This Row],[AI_TRU2]]</f>
        <v>7</v>
      </c>
      <c r="AQ170" t="str">
        <f t="shared" si="69"/>
        <v>Neutral</v>
      </c>
      <c r="AR170">
        <f>survey_responses[[#This Row],[Tôi thấy mức thuế tôi phải đóng theo phương án mới là công bằng (người thu nhập như tôi đóng mức này là hợp lý). - HUMAN-TRU2]]</f>
        <v>7</v>
      </c>
      <c r="AS170" t="str">
        <f t="shared" si="70"/>
        <v>Neutral</v>
      </c>
      <c r="AT170" s="32">
        <f t="shared" si="71"/>
        <v>0</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7</v>
      </c>
      <c r="BA170" t="str">
        <f t="shared" si="75"/>
        <v>Neutral</v>
      </c>
      <c r="BB170">
        <f>survey_responses[[#This Row],[Tôi thấy Nhà nước đã giải thích rõ ràng, minh bạch về lý do và mục tiêu của việc sửa đổi thuế lần này. - HUMAN-TRU4]]</f>
        <v>8</v>
      </c>
      <c r="BC170" t="str">
        <f t="shared" si="76"/>
        <v>Support</v>
      </c>
      <c r="BD170" s="32">
        <f t="shared" si="77"/>
        <v>1</v>
      </c>
      <c r="BE170">
        <f>step3_validation[[#This Row],[AI_OUT1]]</f>
        <v>9</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2160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14.7876944821538</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2</v>
      </c>
      <c r="V171">
        <f>step3_validation[[#This Row],[AI_ENF2]]</f>
        <v>7</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1</v>
      </c>
      <c r="AA171">
        <f>step3_validation[[#This Row],[AI_FAC1]]</f>
        <v>9</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10</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2</v>
      </c>
      <c r="AK171">
        <f>step3_validation[[#This Row],[AI_TRU1]]</f>
        <v>8</v>
      </c>
      <c r="AL171" t="str">
        <f t="shared" si="66"/>
        <v>Support</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7</v>
      </c>
      <c r="AP171">
        <f>step3_validation[[#This Row],[AI_TRU2]]</f>
        <v>9</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7</v>
      </c>
      <c r="AU171">
        <f>step3_validation[[#This Row],[AI_TRU3]]</f>
        <v>8</v>
      </c>
      <c r="AV171" t="str">
        <f t="shared" si="72"/>
        <v>Support</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5</v>
      </c>
      <c r="AZ171">
        <f>step3_validation[[#This Row],[AI_TRU4]]</f>
        <v>7</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4</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2161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9</v>
      </c>
      <c r="R172" t="str">
        <f t="shared" si="54"/>
        <v>Support</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3</v>
      </c>
      <c r="V172">
        <f>step3_validation[[#This Row],[AI_ENF2]]</f>
        <v>8</v>
      </c>
      <c r="W172" t="str">
        <f t="shared" si="57"/>
        <v>Support</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9</v>
      </c>
      <c r="AL172" t="str">
        <f t="shared" si="66"/>
        <v>Support</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2</v>
      </c>
      <c r="AP172">
        <f>step3_validation[[#This Row],[AI_TRU2]]</f>
        <v>8</v>
      </c>
      <c r="AQ172" t="str">
        <f t="shared" si="69"/>
        <v>Support</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9</v>
      </c>
      <c r="AV172" t="str">
        <f t="shared" si="72"/>
        <v>Support</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4</v>
      </c>
      <c r="AZ172">
        <f>step3_validation[[#This Row],[AI_TRU4]]</f>
        <v>8</v>
      </c>
      <c r="BA172" t="str">
        <f t="shared" si="75"/>
        <v>Support</v>
      </c>
      <c r="BB172">
        <f>survey_responses[[#This Row],[Tôi thấy Nhà nước đã giải thích rõ ràng, minh bạch về lý do và mục tiêu của việc sửa đổi thuế lần này. - HUMAN-TRU4]]</f>
        <v>7</v>
      </c>
      <c r="BC172" t="str">
        <f t="shared" si="76"/>
        <v>Neutral</v>
      </c>
      <c r="BD172" s="32">
        <f t="shared" si="77"/>
        <v>1</v>
      </c>
      <c r="BE172">
        <f>step3_validation[[#This Row],[AI_OUT1]]</f>
        <v>9</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2</v>
      </c>
    </row>
    <row r="173" spans="1:61" x14ac:dyDescent="0.45">
      <c r="A173" s="30">
        <f>step3_validation[[#This Row],[Persona_ID]]</f>
        <v>172</v>
      </c>
      <c r="B173" s="31">
        <f>step3_validation[[#This Row],[Used_Seed]]</f>
        <v>2162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158.49332291542495</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7</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1</v>
      </c>
      <c r="V173">
        <f>step3_validation[[#This Row],[AI_ENF2]]</f>
        <v>8</v>
      </c>
      <c r="W173" t="str">
        <f t="shared" si="57"/>
        <v>Support</v>
      </c>
      <c r="X173">
        <f>survey_responses[[#This Row],[Tôi tin rằng Nhà nước, cơ quan thuế có đủ khả năng và công nghệ để phát hiện, xử lý nghiêm các hành vi trốn thuế. - HUMAN-ENF2]]</f>
        <v>8</v>
      </c>
      <c r="Y173" t="str">
        <f t="shared" si="58"/>
        <v>Support</v>
      </c>
      <c r="Z173" s="32">
        <f t="shared" si="59"/>
        <v>0</v>
      </c>
      <c r="AA173">
        <f>step3_validation[[#This Row],[AI_FAC1]]</f>
        <v>7</v>
      </c>
      <c r="AB173" t="str">
        <f t="shared" si="60"/>
        <v>Neutral</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9</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0</v>
      </c>
      <c r="AK173">
        <f>step3_validation[[#This Row],[AI_TRU1]]</f>
        <v>8</v>
      </c>
      <c r="AL173" t="str">
        <f t="shared" si="66"/>
        <v>Support</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1</v>
      </c>
      <c r="AP173">
        <f>step3_validation[[#This Row],[AI_TRU2]]</f>
        <v>7</v>
      </c>
      <c r="AQ173" t="str">
        <f t="shared" si="69"/>
        <v>Neutral</v>
      </c>
      <c r="AR173">
        <f>survey_responses[[#This Row],[Tôi thấy mức thuế tôi phải đóng theo phương án mới là công bằng (người thu nhập như tôi đóng mức này là hợp lý). - HUMAN-TRU2]]</f>
        <v>5</v>
      </c>
      <c r="AS173" t="str">
        <f t="shared" si="70"/>
        <v>Neutral</v>
      </c>
      <c r="AT173" s="32">
        <f t="shared" si="71"/>
        <v>2</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6</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2</v>
      </c>
      <c r="BE173">
        <f>step3_validation[[#This Row],[AI_OUT1]]</f>
        <v>8</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2</v>
      </c>
    </row>
    <row r="174" spans="1:61" x14ac:dyDescent="0.45">
      <c r="A174" s="30">
        <f>step3_validation[[#This Row],[Persona_ID]]</f>
        <v>173</v>
      </c>
      <c r="B174" s="31">
        <f>step3_validation[[#This Row],[Used_Seed]]</f>
        <v>2163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94.736136471286372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9</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5</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3</v>
      </c>
      <c r="AK174">
        <f>step3_validation[[#This Row],[AI_TRU1]]</f>
        <v>8</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3</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5</v>
      </c>
      <c r="AU174">
        <f>step3_validation[[#This Row],[AI_TRU3]]</f>
        <v>8</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4</v>
      </c>
      <c r="AZ174">
        <f>step3_validation[[#This Row],[AI_TRU4]]</f>
        <v>7</v>
      </c>
      <c r="BA174" t="str">
        <f t="shared" si="75"/>
        <v>Neutral</v>
      </c>
      <c r="BB174">
        <f>survey_responses[[#This Row],[Tôi thấy Nhà nước đã giải thích rõ ràng, minh bạch về lý do và mục tiêu của việc sửa đổi thuế lần này. - HUMAN-TRU4]]</f>
        <v>5</v>
      </c>
      <c r="BC174" t="str">
        <f t="shared" si="76"/>
        <v>Neutral</v>
      </c>
      <c r="BD174" s="32">
        <f t="shared" si="77"/>
        <v>2</v>
      </c>
      <c r="BE174">
        <f>step3_validation[[#This Row],[AI_OUT1]]</f>
        <v>9</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4</v>
      </c>
    </row>
    <row r="175" spans="1:61" x14ac:dyDescent="0.45">
      <c r="A175" s="30">
        <f>step3_validation[[#This Row],[Persona_ID]]</f>
        <v>174</v>
      </c>
      <c r="B175" s="31">
        <f>step3_validation[[#This Row],[Used_Seed]]</f>
        <v>2164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37.205813411436509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8</v>
      </c>
      <c r="W175" t="str">
        <f t="shared" si="57"/>
        <v>Support</v>
      </c>
      <c r="X175">
        <f>survey_responses[[#This Row],[Tôi tin rằng Nhà nước, cơ quan thuế có đủ khả năng và công nghệ để phát hiện, xử lý nghiêm các hành vi trốn thuế. - HUMAN-ENF2]]</f>
        <v>6</v>
      </c>
      <c r="Y175" t="str">
        <f t="shared" si="58"/>
        <v>Neutral</v>
      </c>
      <c r="Z175" s="32">
        <f t="shared" si="59"/>
        <v>2</v>
      </c>
      <c r="AA175">
        <f>step3_validation[[#This Row],[AI_FAC1]]</f>
        <v>6</v>
      </c>
      <c r="AB175" t="str">
        <f t="shared" si="60"/>
        <v>Neutral</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0</v>
      </c>
      <c r="AF175">
        <f>step3_validation[[#This Row],[AI_FAC2]]</f>
        <v>9</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3</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0</v>
      </c>
      <c r="AP175">
        <f>step3_validation[[#This Row],[AI_TRU2]]</f>
        <v>9</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2</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3</v>
      </c>
      <c r="AZ175">
        <f>step3_validation[[#This Row],[AI_TRU4]]</f>
        <v>7</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0</v>
      </c>
      <c r="BE175">
        <f>step3_validation[[#This Row],[AI_OUT1]]</f>
        <v>9</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3</v>
      </c>
    </row>
    <row r="176" spans="1:61" x14ac:dyDescent="0.45">
      <c r="A176" s="30">
        <f>step3_validation[[#This Row],[Persona_ID]]</f>
        <v>175</v>
      </c>
      <c r="B176" s="31">
        <f>step3_validation[[#This Row],[Used_Seed]]</f>
        <v>2165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222.43464984005288</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4</v>
      </c>
      <c r="V176">
        <f>step3_validation[[#This Row],[AI_ENF2]]</f>
        <v>9</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4</v>
      </c>
      <c r="AA176">
        <f>step3_validation[[#This Row],[AI_FAC1]]</f>
        <v>8</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4</v>
      </c>
      <c r="AF176">
        <f>step3_validation[[#This Row],[AI_FAC2]]</f>
        <v>9</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3</v>
      </c>
      <c r="AK176">
        <f>step3_validation[[#This Row],[AI_TRU1]]</f>
        <v>8</v>
      </c>
      <c r="AL176" t="str">
        <f t="shared" si="66"/>
        <v>Support</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4</v>
      </c>
      <c r="AP176">
        <f>step3_validation[[#This Row],[AI_TRU2]]</f>
        <v>9</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5</v>
      </c>
      <c r="AU176">
        <f>step3_validation[[#This Row],[AI_TRU3]]</f>
        <v>8</v>
      </c>
      <c r="AV176" t="str">
        <f t="shared" si="72"/>
        <v>Support</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4</v>
      </c>
      <c r="AZ176">
        <f>step3_validation[[#This Row],[AI_TRU4]]</f>
        <v>9</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4</v>
      </c>
      <c r="BE176">
        <f>step3_validation[[#This Row],[AI_OUT1]]</f>
        <v>10</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6</v>
      </c>
    </row>
    <row r="177" spans="1:61" x14ac:dyDescent="0.45">
      <c r="A177" s="30">
        <f>step3_validation[[#This Row],[Persona_ID]]</f>
        <v>176</v>
      </c>
      <c r="B177" s="31">
        <f>step3_validation[[#This Row],[Used_Seed]]</f>
        <v>2166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147.16493116898454</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6</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4</v>
      </c>
      <c r="V177">
        <f>step3_validation[[#This Row],[AI_ENF2]]</f>
        <v>5</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2">
        <f t="shared" si="59"/>
        <v>1</v>
      </c>
      <c r="AA177">
        <f>step3_validation[[#This Row],[AI_FAC1]]</f>
        <v>8</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5</v>
      </c>
      <c r="AF177">
        <f>step3_validation[[#This Row],[AI_FAC2]]</f>
        <v>7</v>
      </c>
      <c r="AG177" t="str">
        <f t="shared" si="63"/>
        <v>Neutral</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2</v>
      </c>
      <c r="AK177">
        <f>step3_validation[[#This Row],[AI_TRU1]]</f>
        <v>9</v>
      </c>
      <c r="AL177" t="str">
        <f t="shared" si="66"/>
        <v>Support</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5</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7</v>
      </c>
      <c r="AU177">
        <f>step3_validation[[#This Row],[AI_TRU3]]</f>
        <v>9</v>
      </c>
      <c r="AV177" t="str">
        <f t="shared" si="72"/>
        <v>Support</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8</v>
      </c>
      <c r="AZ177">
        <f>step3_validation[[#This Row],[AI_TRU4]]</f>
        <v>7</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3</v>
      </c>
      <c r="BE177">
        <f>step3_validation[[#This Row],[AI_OUT1]]</f>
        <v>9</v>
      </c>
      <c r="BF177" t="str">
        <f t="shared" si="78"/>
        <v>Support</v>
      </c>
      <c r="BG177">
        <f>survey_responses[[#This Row],[Sau khi xem xét các quyền lợi và nghĩa vụ, bạn có ủng hộ và tuân thủ chính sách mới hiện nay? - HUMAN-OUT1]]</f>
        <v>4</v>
      </c>
      <c r="BH177" t="str">
        <f t="shared" si="79"/>
        <v>Oppose</v>
      </c>
      <c r="BI177" s="32">
        <f t="shared" si="80"/>
        <v>5</v>
      </c>
    </row>
    <row r="178" spans="1:61" x14ac:dyDescent="0.45">
      <c r="A178" s="30">
        <f>step3_validation[[#This Row],[Persona_ID]]</f>
        <v>177</v>
      </c>
      <c r="B178" s="31">
        <f>step3_validation[[#This Row],[Used_Seed]]</f>
        <v>2167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96.316411587907751</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6</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2</v>
      </c>
      <c r="V178">
        <f>step3_validation[[#This Row],[AI_ENF2]]</f>
        <v>7</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3</v>
      </c>
      <c r="AA178">
        <f>step3_validation[[#This Row],[AI_FAC1]]</f>
        <v>8</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5</v>
      </c>
      <c r="AF178">
        <f>step3_validation[[#This Row],[AI_FAC2]]</f>
        <v>9</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4</v>
      </c>
      <c r="AK178">
        <f>step3_validation[[#This Row],[AI_TRU1]]</f>
        <v>7</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4</v>
      </c>
      <c r="AP178">
        <f>step3_validation[[#This Row],[AI_TRU2]]</f>
        <v>9</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7</v>
      </c>
      <c r="AU178">
        <f>step3_validation[[#This Row],[AI_TRU3]]</f>
        <v>8</v>
      </c>
      <c r="AV178" t="str">
        <f t="shared" si="72"/>
        <v>Support</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7</v>
      </c>
      <c r="AZ178">
        <f>step3_validation[[#This Row],[AI_TRU4]]</f>
        <v>9</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8</v>
      </c>
      <c r="BE178">
        <f>step3_validation[[#This Row],[AI_OUT1]]</f>
        <v>8</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7</v>
      </c>
    </row>
    <row r="179" spans="1:61" x14ac:dyDescent="0.45">
      <c r="A179" s="30">
        <f>step3_validation[[#This Row],[Persona_ID]]</f>
        <v>178</v>
      </c>
      <c r="B179" s="31">
        <f>step3_validation[[#This Row],[Used_Seed]]</f>
        <v>2168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39.72833427515674</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0</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0</v>
      </c>
      <c r="AA179">
        <f>step3_validation[[#This Row],[AI_FAC1]]</f>
        <v>9</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3</v>
      </c>
      <c r="AF179">
        <f>step3_validation[[#This Row],[AI_FAC2]]</f>
        <v>8</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2</v>
      </c>
      <c r="AK179">
        <f>step3_validation[[#This Row],[AI_TRU1]]</f>
        <v>9</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3</v>
      </c>
      <c r="AP179">
        <f>step3_validation[[#This Row],[AI_TRU2]]</f>
        <v>9</v>
      </c>
      <c r="AQ179" t="str">
        <f t="shared" si="69"/>
        <v>Support</v>
      </c>
      <c r="AR179">
        <f>survey_responses[[#This Row],[Tôi thấy mức thuế tôi phải đóng theo phương án mới là công bằng (người thu nhập như tôi đóng mức này là hợp lý). - HUMAN-TRU2]]</f>
        <v>7</v>
      </c>
      <c r="AS179" t="str">
        <f t="shared" si="70"/>
        <v>Neutral</v>
      </c>
      <c r="AT179" s="32">
        <f t="shared" si="71"/>
        <v>2</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9</v>
      </c>
      <c r="BA179" t="str">
        <f t="shared" si="75"/>
        <v>Support</v>
      </c>
      <c r="BB179">
        <f>survey_responses[[#This Row],[Tôi thấy Nhà nước đã giải thích rõ ràng, minh bạch về lý do và mục tiêu của việc sửa đổi thuế lần này. - HUMAN-TRU4]]</f>
        <v>6</v>
      </c>
      <c r="BC179" t="str">
        <f t="shared" si="76"/>
        <v>Neutral</v>
      </c>
      <c r="BD179" s="32">
        <f t="shared" si="77"/>
        <v>3</v>
      </c>
      <c r="BE179">
        <f>step3_validation[[#This Row],[AI_OUT1]]</f>
        <v>8</v>
      </c>
      <c r="BF179" t="str">
        <f t="shared" si="78"/>
        <v>Support</v>
      </c>
      <c r="BG179">
        <f>survey_responses[[#This Row],[Sau khi xem xét các quyền lợi và nghĩa vụ, bạn có ủng hộ và tuân thủ chính sách mới hiện nay? - HUMAN-OUT1]]</f>
        <v>7</v>
      </c>
      <c r="BH179" t="str">
        <f t="shared" si="79"/>
        <v>Neutral</v>
      </c>
      <c r="BI179" s="32">
        <f t="shared" si="80"/>
        <v>1</v>
      </c>
    </row>
    <row r="180" spans="1:61" x14ac:dyDescent="0.45">
      <c r="A180" s="30">
        <f>step3_validation[[#This Row],[Persona_ID]]</f>
        <v>179</v>
      </c>
      <c r="B180" s="31">
        <f>step3_validation[[#This Row],[Used_Seed]]</f>
        <v>2169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29.587478458911249</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6</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1</v>
      </c>
      <c r="AA180">
        <f>step3_validation[[#This Row],[AI_FAC1]]</f>
        <v>9</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2</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6</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1</v>
      </c>
      <c r="AP180">
        <f>step3_validation[[#This Row],[AI_TRU2]]</f>
        <v>8</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0</v>
      </c>
      <c r="AU180">
        <f>step3_validation[[#This Row],[AI_TRU3]]</f>
        <v>7</v>
      </c>
      <c r="AV180" t="str">
        <f t="shared" si="72"/>
        <v>Neutral</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0</v>
      </c>
      <c r="AZ180">
        <f>step3_validation[[#This Row],[AI_TRU4]]</f>
        <v>5</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2</v>
      </c>
      <c r="BE180">
        <f>step3_validation[[#This Row],[AI_OUT1]]</f>
        <v>9</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1</v>
      </c>
    </row>
    <row r="181" spans="1:61" x14ac:dyDescent="0.45">
      <c r="A181" s="30">
        <f>step3_validation[[#This Row],[Persona_ID]]</f>
        <v>180</v>
      </c>
      <c r="B181" s="31">
        <f>step3_validation[[#This Row],[Used_Seed]]</f>
        <v>2170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57.142928137015538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t="str">
        <f t="shared" si="54"/>
        <v>Support</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3</v>
      </c>
      <c r="V181">
        <f>step3_validation[[#This Row],[AI_ENF2]]</f>
        <v>9</v>
      </c>
      <c r="W181" t="str">
        <f t="shared" si="57"/>
        <v>Support</v>
      </c>
      <c r="X181">
        <f>survey_responses[[#This Row],[Tôi tin rằng Nhà nước, cơ quan thuế có đủ khả năng và công nghệ để phát hiện, xử lý nghiêm các hành vi trốn thuế. - HUMAN-ENF2]]</f>
        <v>5</v>
      </c>
      <c r="Y181" t="str">
        <f t="shared" si="58"/>
        <v>Neutral</v>
      </c>
      <c r="Z181" s="32">
        <f t="shared" si="59"/>
        <v>4</v>
      </c>
      <c r="AA181">
        <f>step3_validation[[#This Row],[AI_FAC1]]</f>
        <v>7</v>
      </c>
      <c r="AB181" t="str">
        <f t="shared" si="60"/>
        <v>Neutral</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2</v>
      </c>
      <c r="AF181">
        <f>step3_validation[[#This Row],[AI_FAC2]]</f>
        <v>9</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2</v>
      </c>
      <c r="AK181">
        <f>step3_validation[[#This Row],[AI_TRU1]]</f>
        <v>8</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3</v>
      </c>
      <c r="AP181">
        <f>step3_validation[[#This Row],[AI_TRU2]]</f>
        <v>9</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3</v>
      </c>
      <c r="AU181">
        <f>step3_validation[[#This Row],[AI_TRU3]]</f>
        <v>8</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3</v>
      </c>
      <c r="AZ181">
        <f>step3_validation[[#This Row],[AI_TRU4]]</f>
        <v>9</v>
      </c>
      <c r="BA181" t="str">
        <f t="shared" si="75"/>
        <v>Support</v>
      </c>
      <c r="BB181">
        <f>survey_responses[[#This Row],[Tôi thấy Nhà nước đã giải thích rõ ràng, minh bạch về lý do và mục tiêu của việc sửa đổi thuế lần này. - HUMAN-TRU4]]</f>
        <v>7</v>
      </c>
      <c r="BC181" t="str">
        <f t="shared" si="76"/>
        <v>Neutral</v>
      </c>
      <c r="BD181" s="32">
        <f t="shared" si="77"/>
        <v>2</v>
      </c>
      <c r="BE181">
        <f>step3_validation[[#This Row],[AI_OUT1]]</f>
        <v>9</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2</v>
      </c>
    </row>
    <row r="182" spans="1:61" x14ac:dyDescent="0.45">
      <c r="A182" s="30">
        <f>step3_validation[[#This Row],[Persona_ID]]</f>
        <v>181</v>
      </c>
      <c r="B182" s="31">
        <f>step3_validation[[#This Row],[Used_Seed]]</f>
        <v>2171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59.561958120153506</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9</v>
      </c>
      <c r="R182" t="str">
        <f t="shared" si="54"/>
        <v>Support</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3</v>
      </c>
      <c r="V182">
        <f>step3_validation[[#This Row],[AI_ENF2]]</f>
        <v>8</v>
      </c>
      <c r="W182" t="str">
        <f t="shared" si="57"/>
        <v>Support</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9</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2</v>
      </c>
      <c r="AF182">
        <f>step3_validation[[#This Row],[AI_FAC2]]</f>
        <v>8</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0</v>
      </c>
      <c r="AK182">
        <f>step3_validation[[#This Row],[AI_TRU1]]</f>
        <v>9</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1</v>
      </c>
      <c r="AP182">
        <f>step3_validation[[#This Row],[AI_TRU2]]</f>
        <v>8</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2">
        <f t="shared" si="71"/>
        <v>1</v>
      </c>
      <c r="AU182">
        <f>step3_validation[[#This Row],[AI_TRU3]]</f>
        <v>9</v>
      </c>
      <c r="AV182" t="str">
        <f t="shared" si="72"/>
        <v>Support</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4</v>
      </c>
      <c r="AZ182">
        <f>step3_validation[[#This Row],[AI_TRU4]]</f>
        <v>8</v>
      </c>
      <c r="BA182" t="str">
        <f t="shared" si="75"/>
        <v>Support</v>
      </c>
      <c r="BB182">
        <f>survey_responses[[#This Row],[Tôi thấy Nhà nước đã giải thích rõ ràng, minh bạch về lý do và mục tiêu của việc sửa đổi thuế lần này. - HUMAN-TRU4]]</f>
        <v>7</v>
      </c>
      <c r="BC182" t="str">
        <f t="shared" si="76"/>
        <v>Neutral</v>
      </c>
      <c r="BD182" s="32">
        <f t="shared" si="77"/>
        <v>1</v>
      </c>
      <c r="BE182">
        <f>step3_validation[[#This Row],[AI_OUT1]]</f>
        <v>9</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2</v>
      </c>
    </row>
    <row r="183" spans="1:61" x14ac:dyDescent="0.45">
      <c r="A183" s="30">
        <f>step3_validation[[#This Row],[Persona_ID]]</f>
        <v>182</v>
      </c>
      <c r="B183" s="31">
        <f>step3_validation[[#This Row],[Used_Seed]]</f>
        <v>2172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26.225603420690188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6</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2</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9</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1</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9</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1</v>
      </c>
      <c r="AU183">
        <f>step3_validation[[#This Row],[AI_TRU3]]</f>
        <v>7</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1</v>
      </c>
      <c r="AZ183">
        <f>step3_validation[[#This Row],[AI_TRU4]]</f>
        <v>8</v>
      </c>
      <c r="BA183" t="str">
        <f t="shared" si="75"/>
        <v>Support</v>
      </c>
      <c r="BB183">
        <f>survey_responses[[#This Row],[Tôi thấy Nhà nước đã giải thích rõ ràng, minh bạch về lý do và mục tiêu của việc sửa đổi thuế lần này. - HUMAN-TRU4]]</f>
        <v>7</v>
      </c>
      <c r="BC183" t="str">
        <f t="shared" si="76"/>
        <v>Neutral</v>
      </c>
      <c r="BD183" s="32">
        <f t="shared" si="77"/>
        <v>1</v>
      </c>
      <c r="BE183">
        <f>step3_validation[[#This Row],[AI_OUT1]]</f>
        <v>9</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2</v>
      </c>
    </row>
    <row r="184" spans="1:61" x14ac:dyDescent="0.45">
      <c r="A184" s="30">
        <f>step3_validation[[#This Row],[Persona_ID]]</f>
        <v>183</v>
      </c>
      <c r="B184" s="31">
        <f>step3_validation[[#This Row],[Used_Seed]]</f>
        <v>2173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204.3397578818587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8</v>
      </c>
      <c r="R184" t="str">
        <f t="shared" si="54"/>
        <v>Support</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6</v>
      </c>
      <c r="V184">
        <f>step3_validation[[#This Row],[AI_ENF2]]</f>
        <v>9</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4</v>
      </c>
      <c r="AA184">
        <f>step3_validation[[#This Row],[AI_FAC1]]</f>
        <v>8</v>
      </c>
      <c r="AB184" t="str">
        <f t="shared" si="60"/>
        <v>Support</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5</v>
      </c>
      <c r="AF184">
        <f>step3_validation[[#This Row],[AI_FAC2]]</f>
        <v>9</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4</v>
      </c>
      <c r="AK184">
        <f>step3_validation[[#This Row],[AI_TRU1]]</f>
        <v>8</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5</v>
      </c>
      <c r="AP184">
        <f>step3_validation[[#This Row],[AI_TRU2]]</f>
        <v>9</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7</v>
      </c>
      <c r="AU184">
        <f>step3_validation[[#This Row],[AI_TRU3]]</f>
        <v>8</v>
      </c>
      <c r="AV184" t="str">
        <f t="shared" si="72"/>
        <v>Support</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7</v>
      </c>
      <c r="AZ184">
        <f>step3_validation[[#This Row],[AI_TRU4]]</f>
        <v>9</v>
      </c>
      <c r="BA184" t="str">
        <f t="shared" si="75"/>
        <v>Support</v>
      </c>
      <c r="BB184">
        <f>survey_responses[[#This Row],[Tôi thấy Nhà nước đã giải thích rõ ràng, minh bạch về lý do và mục tiêu của việc sửa đổi thuế lần này. - HUMAN-TRU4]]</f>
        <v>5</v>
      </c>
      <c r="BC184" t="str">
        <f t="shared" si="76"/>
        <v>Neutral</v>
      </c>
      <c r="BD184" s="32">
        <f t="shared" si="77"/>
        <v>4</v>
      </c>
      <c r="BE184">
        <f>step3_validation[[#This Row],[AI_OUT1]]</f>
        <v>8</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3</v>
      </c>
    </row>
    <row r="185" spans="1:61" x14ac:dyDescent="0.45">
      <c r="A185" s="30">
        <f>step3_validation[[#This Row],[Persona_ID]]</f>
        <v>184</v>
      </c>
      <c r="B185" s="31">
        <f>step3_validation[[#This Row],[Used_Seed]]</f>
        <v>2174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16.660570317314338</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9</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3</v>
      </c>
      <c r="V185">
        <f>step3_validation[[#This Row],[AI_ENF2]]</f>
        <v>8</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2</v>
      </c>
      <c r="AA185">
        <f>step3_validation[[#This Row],[AI_FAC1]]</f>
        <v>9</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4</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9</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2</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0</v>
      </c>
      <c r="AU185">
        <f>step3_validation[[#This Row],[AI_TRU3]]</f>
        <v>9</v>
      </c>
      <c r="AV185" t="str">
        <f t="shared" si="72"/>
        <v>Support</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4</v>
      </c>
      <c r="AZ185">
        <f>step3_validation[[#This Row],[AI_TRU4]]</f>
        <v>8</v>
      </c>
      <c r="BA185" t="str">
        <f t="shared" si="75"/>
        <v>Support</v>
      </c>
      <c r="BB185">
        <f>survey_responses[[#This Row],[Tôi thấy Nhà nước đã giải thích rõ ràng, minh bạch về lý do và mục tiêu của việc sửa đổi thuế lần này. - HUMAN-TRU4]]</f>
        <v>7</v>
      </c>
      <c r="BC185" t="str">
        <f t="shared" si="76"/>
        <v>Neutral</v>
      </c>
      <c r="BD185" s="32">
        <f t="shared" si="77"/>
        <v>1</v>
      </c>
      <c r="BE185">
        <f>step3_validation[[#This Row],[AI_OUT1]]</f>
        <v>9</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2</v>
      </c>
    </row>
    <row r="186" spans="1:61" x14ac:dyDescent="0.45">
      <c r="A186" s="30">
        <f>step3_validation[[#This Row],[Persona_ID]]</f>
        <v>185</v>
      </c>
      <c r="B186" s="31">
        <f>step3_validation[[#This Row],[Used_Seed]]</f>
        <v>2175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36.919691843798184</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4</v>
      </c>
      <c r="R186" t="str">
        <f t="shared" si="54"/>
        <v>Oppose</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3</v>
      </c>
      <c r="V186">
        <f>step3_validation[[#This Row],[AI_ENF2]]</f>
        <v>6</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8</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2</v>
      </c>
      <c r="AF186">
        <f>step3_validation[[#This Row],[AI_FAC2]]</f>
        <v>9</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1</v>
      </c>
      <c r="AK186">
        <f>step3_validation[[#This Row],[AI_TRU1]]</f>
        <v>8</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3</v>
      </c>
      <c r="AP186">
        <f>step3_validation[[#This Row],[AI_TRU2]]</f>
        <v>9</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4</v>
      </c>
      <c r="AU186">
        <f>step3_validation[[#This Row],[AI_TRU3]]</f>
        <v>8</v>
      </c>
      <c r="AV186" t="str">
        <f t="shared" si="72"/>
        <v>Support</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3</v>
      </c>
      <c r="AZ186">
        <f>step3_validation[[#This Row],[AI_TRU4]]</f>
        <v>7</v>
      </c>
      <c r="BA186" t="str">
        <f t="shared" si="75"/>
        <v>Neutral</v>
      </c>
      <c r="BB186">
        <f>survey_responses[[#This Row],[Tôi thấy Nhà nước đã giải thích rõ ràng, minh bạch về lý do và mục tiêu của việc sửa đổi thuế lần này. - HUMAN-TRU4]]</f>
        <v>6</v>
      </c>
      <c r="BC186" t="str">
        <f t="shared" si="76"/>
        <v>Neutral</v>
      </c>
      <c r="BD186" s="32">
        <f t="shared" si="77"/>
        <v>1</v>
      </c>
      <c r="BE186">
        <f>step3_validation[[#This Row],[AI_OUT1]]</f>
        <v>9</v>
      </c>
      <c r="BF186" t="str">
        <f t="shared" si="78"/>
        <v>Support</v>
      </c>
      <c r="BG186">
        <f>survey_responses[[#This Row],[Sau khi xem xét các quyền lợi và nghĩa vụ, bạn có ủng hộ và tuân thủ chính sách mới hiện nay? - HUMAN-OUT1]]</f>
        <v>5</v>
      </c>
      <c r="BH186" t="str">
        <f t="shared" si="79"/>
        <v>Neutral</v>
      </c>
      <c r="BI186" s="32">
        <f t="shared" si="80"/>
        <v>4</v>
      </c>
    </row>
    <row r="187" spans="1:61" x14ac:dyDescent="0.45">
      <c r="A187" s="30">
        <f>step3_validation[[#This Row],[Persona_ID]]</f>
        <v>186</v>
      </c>
      <c r="B187" s="31">
        <f>step3_validation[[#This Row],[Used_Seed]]</f>
        <v>2176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14.112681507246347</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8</v>
      </c>
      <c r="R187" t="str">
        <f t="shared" si="54"/>
        <v>Support</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1</v>
      </c>
      <c r="V187">
        <f>step3_validation[[#This Row],[AI_ENF2]]</f>
        <v>7</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0</v>
      </c>
      <c r="AA187">
        <f>step3_validation[[#This Row],[AI_FAC1]]</f>
        <v>6</v>
      </c>
      <c r="AB187" t="str">
        <f t="shared" si="60"/>
        <v>Neutral</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1</v>
      </c>
      <c r="AF187">
        <f>step3_validation[[#This Row],[AI_FAC2]]</f>
        <v>9</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2</v>
      </c>
      <c r="AK187">
        <f>step3_validation[[#This Row],[AI_TRU1]]</f>
        <v>7</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2</v>
      </c>
      <c r="AP187">
        <f>step3_validation[[#This Row],[AI_TRU2]]</f>
        <v>8</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3</v>
      </c>
      <c r="AU187">
        <f>step3_validation[[#This Row],[AI_TRU3]]</f>
        <v>7</v>
      </c>
      <c r="AV187" t="str">
        <f t="shared" si="72"/>
        <v>Neutral</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2</v>
      </c>
      <c r="AZ187">
        <f>step3_validation[[#This Row],[AI_TRU4]]</f>
        <v>6</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1</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3</v>
      </c>
    </row>
    <row r="188" spans="1:61" x14ac:dyDescent="0.45">
      <c r="A188" s="30">
        <f>step3_validation[[#This Row],[Persona_ID]]</f>
        <v>187</v>
      </c>
      <c r="B188" s="31">
        <f>step3_validation[[#This Row],[Used_Seed]]</f>
        <v>2177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34.639962907137786</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8</v>
      </c>
      <c r="R188" t="str">
        <f t="shared" si="54"/>
        <v>Support</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2</v>
      </c>
      <c r="V188">
        <f>step3_validation[[#This Row],[AI_ENF2]]</f>
        <v>7</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0</v>
      </c>
      <c r="AA188">
        <f>step3_validation[[#This Row],[AI_FAC1]]</f>
        <v>9</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3</v>
      </c>
      <c r="AF188">
        <f>step3_validation[[#This Row],[AI_FAC2]]</f>
        <v>8</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1</v>
      </c>
      <c r="AK188">
        <f>step3_validation[[#This Row],[AI_TRU1]]</f>
        <v>9</v>
      </c>
      <c r="AL188" t="str">
        <f t="shared" si="66"/>
        <v>Support</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3</v>
      </c>
      <c r="AP188">
        <f>step3_validation[[#This Row],[AI_TRU2]]</f>
        <v>9</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3</v>
      </c>
      <c r="AU188">
        <f>step3_validation[[#This Row],[AI_TRU3]]</f>
        <v>8</v>
      </c>
      <c r="AV188" t="str">
        <f t="shared" si="72"/>
        <v>Support</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3</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9</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3</v>
      </c>
    </row>
    <row r="189" spans="1:61" x14ac:dyDescent="0.45">
      <c r="A189" s="30">
        <f>step3_validation[[#This Row],[Persona_ID]]</f>
        <v>188</v>
      </c>
      <c r="B189" s="31">
        <f>step3_validation[[#This Row],[Used_Seed]]</f>
        <v>2178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24.967673096019993</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2</v>
      </c>
      <c r="V189">
        <f>step3_validation[[#This Row],[AI_ENF2]]</f>
        <v>8</v>
      </c>
      <c r="W189" t="str">
        <f t="shared" si="57"/>
        <v>Support</v>
      </c>
      <c r="X189">
        <f>survey_responses[[#This Row],[Tôi tin rằng Nhà nước, cơ quan thuế có đủ khả năng và công nghệ để phát hiện, xử lý nghiêm các hành vi trốn thuế. - HUMAN-ENF2]]</f>
        <v>5</v>
      </c>
      <c r="Y189" t="str">
        <f t="shared" si="58"/>
        <v>Neutral</v>
      </c>
      <c r="Z189" s="32">
        <f t="shared" si="59"/>
        <v>3</v>
      </c>
      <c r="AA189">
        <f>step3_validation[[#This Row],[AI_FAC1]]</f>
        <v>9</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5</v>
      </c>
      <c r="AF189">
        <f>step3_validation[[#This Row],[AI_FAC2]]</f>
        <v>10</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4</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3</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7</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2</v>
      </c>
      <c r="AZ189">
        <f>step3_validation[[#This Row],[AI_TRU4]]</f>
        <v>9</v>
      </c>
      <c r="BA189" t="str">
        <f t="shared" si="75"/>
        <v>Support</v>
      </c>
      <c r="BB189">
        <f>survey_responses[[#This Row],[Tôi thấy Nhà nước đã giải thích rõ ràng, minh bạch về lý do và mục tiêu của việc sửa đổi thuế lần này. - HUMAN-TRU4]]</f>
        <v>5</v>
      </c>
      <c r="BC189" t="str">
        <f t="shared" si="76"/>
        <v>Neutral</v>
      </c>
      <c r="BD189" s="32">
        <f t="shared" si="77"/>
        <v>4</v>
      </c>
      <c r="BE189">
        <f>step3_validation[[#This Row],[AI_OUT1]]</f>
        <v>10</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5</v>
      </c>
    </row>
    <row r="190" spans="1:61" x14ac:dyDescent="0.45">
      <c r="A190" s="30">
        <f>step3_validation[[#This Row],[Persona_ID]]</f>
        <v>189</v>
      </c>
      <c r="B190" s="31">
        <f>step3_validation[[#This Row],[Used_Seed]]</f>
        <v>2179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49.025570258721416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8</v>
      </c>
      <c r="W190" t="str">
        <f t="shared" si="57"/>
        <v>Support</v>
      </c>
      <c r="X190">
        <f>survey_responses[[#This Row],[Tôi tin rằng Nhà nước, cơ quan thuế có đủ khả năng và công nghệ để phát hiện, xử lý nghiêm các hành vi trốn thuế. - HUMAN-ENF2]]</f>
        <v>8</v>
      </c>
      <c r="Y190" t="str">
        <f t="shared" si="58"/>
        <v>Support</v>
      </c>
      <c r="Z190" s="32">
        <f t="shared" si="59"/>
        <v>0</v>
      </c>
      <c r="AA190">
        <f>step3_validation[[#This Row],[AI_FAC1]]</f>
        <v>6</v>
      </c>
      <c r="AB190" t="str">
        <f t="shared" si="60"/>
        <v>Neutral</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1</v>
      </c>
      <c r="AF190">
        <f>step3_validation[[#This Row],[AI_FAC2]]</f>
        <v>8</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1</v>
      </c>
      <c r="AK190">
        <f>step3_validation[[#This Row],[AI_TRU1]]</f>
        <v>7</v>
      </c>
      <c r="AL190" t="str">
        <f t="shared" si="66"/>
        <v>Neutral</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1</v>
      </c>
      <c r="AP190">
        <f>step3_validation[[#This Row],[AI_TRU2]]</f>
        <v>9</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7</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2</v>
      </c>
      <c r="AZ190">
        <f>step3_validation[[#This Row],[AI_TRU4]]</f>
        <v>6</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1</v>
      </c>
      <c r="BE190">
        <f>step3_validation[[#This Row],[AI_OUT1]]</f>
        <v>8</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0</v>
      </c>
    </row>
    <row r="191" spans="1:61" x14ac:dyDescent="0.45">
      <c r="A191" s="30">
        <f>step3_validation[[#This Row],[Persona_ID]]</f>
        <v>190</v>
      </c>
      <c r="B191" s="31">
        <f>step3_validation[[#This Row],[Used_Seed]]</f>
        <v>2180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24.80897648417444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1</v>
      </c>
      <c r="V191">
        <f>step3_validation[[#This Row],[AI_ENF2]]</f>
        <v>7</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0</v>
      </c>
      <c r="AA191">
        <f>step3_validation[[#This Row],[AI_FAC1]]</f>
        <v>9</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2</v>
      </c>
      <c r="AF191">
        <f>step3_validation[[#This Row],[AI_FAC2]]</f>
        <v>9</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7</v>
      </c>
      <c r="AL191" t="str">
        <f t="shared" si="66"/>
        <v>Neutral</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4</v>
      </c>
      <c r="AP191">
        <f>step3_validation[[#This Row],[AI_TRU2]]</f>
        <v>9</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2">
        <f t="shared" si="71"/>
        <v>6</v>
      </c>
      <c r="AU191">
        <f>step3_validation[[#This Row],[AI_TRU3]]</f>
        <v>8</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6</v>
      </c>
      <c r="AZ191">
        <f>step3_validation[[#This Row],[AI_TRU4]]</f>
        <v>6</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3</v>
      </c>
      <c r="BE191">
        <f>step3_validation[[#This Row],[AI_OUT1]]</f>
        <v>9</v>
      </c>
      <c r="BF191" t="str">
        <f t="shared" si="78"/>
        <v>Support</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2181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56.008106866924827</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10</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2</v>
      </c>
      <c r="AK192">
        <f>step3_validation[[#This Row],[AI_TRU1]]</f>
        <v>9</v>
      </c>
      <c r="AL192" t="str">
        <f t="shared" si="66"/>
        <v>Support</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2</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9</v>
      </c>
      <c r="AV192" t="str">
        <f t="shared" si="72"/>
        <v>Support</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2</v>
      </c>
      <c r="AZ192">
        <f>step3_validation[[#This Row],[AI_TRU4]]</f>
        <v>9</v>
      </c>
      <c r="BA192" t="str">
        <f t="shared" si="75"/>
        <v>Support</v>
      </c>
      <c r="BB192">
        <f>survey_responses[[#This Row],[Tôi thấy Nhà nước đã giải thích rõ ràng, minh bạch về lý do và mục tiêu của việc sửa đổi thuế lần này. - HUMAN-TRU4]]</f>
        <v>7</v>
      </c>
      <c r="BC192" t="str">
        <f t="shared" si="76"/>
        <v>Neutral</v>
      </c>
      <c r="BD192" s="32">
        <f t="shared" si="77"/>
        <v>2</v>
      </c>
      <c r="BE192">
        <f>step3_validation[[#This Row],[AI_OUT1]]</f>
        <v>9</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2</v>
      </c>
    </row>
    <row r="193" spans="1:61" x14ac:dyDescent="0.45">
      <c r="A193" s="30">
        <f>step3_validation[[#This Row],[Persona_ID]]</f>
        <v>192</v>
      </c>
      <c r="B193" s="31">
        <f>step3_validation[[#This Row],[Used_Seed]]</f>
        <v>2182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21.006095014974331</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8</v>
      </c>
      <c r="R193" t="str">
        <f t="shared" si="54"/>
        <v>Support</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0</v>
      </c>
      <c r="V193">
        <f>step3_validation[[#This Row],[AI_ENF2]]</f>
        <v>9</v>
      </c>
      <c r="W193" t="str">
        <f t="shared" si="57"/>
        <v>Support</v>
      </c>
      <c r="X193">
        <f>survey_responses[[#This Row],[Tôi tin rằng Nhà nước, cơ quan thuế có đủ khả năng và công nghệ để phát hiện, xử lý nghiêm các hành vi trốn thuế. - HUMAN-ENF2]]</f>
        <v>8</v>
      </c>
      <c r="Y193" t="str">
        <f t="shared" si="58"/>
        <v>Support</v>
      </c>
      <c r="Z193" s="32">
        <f t="shared" si="59"/>
        <v>1</v>
      </c>
      <c r="AA193">
        <f>step3_validation[[#This Row],[AI_FAC1]]</f>
        <v>7</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2</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1</v>
      </c>
      <c r="AK193">
        <f>step3_validation[[#This Row],[AI_TRU1]]</f>
        <v>7</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2</v>
      </c>
      <c r="AP193">
        <f>step3_validation[[#This Row],[AI_TRU2]]</f>
        <v>9</v>
      </c>
      <c r="AQ193" t="str">
        <f t="shared" si="69"/>
        <v>Support</v>
      </c>
      <c r="AR193">
        <f>survey_responses[[#This Row],[Tôi thấy mức thuế tôi phải đóng theo phương án mới là công bằng (người thu nhập như tôi đóng mức này là hợp lý). - HUMAN-TRU2]]</f>
        <v>9</v>
      </c>
      <c r="AS193" t="str">
        <f t="shared" si="70"/>
        <v>Support</v>
      </c>
      <c r="AT193" s="32">
        <f t="shared" si="71"/>
        <v>0</v>
      </c>
      <c r="AU193">
        <f>step3_validation[[#This Row],[AI_TRU3]]</f>
        <v>8</v>
      </c>
      <c r="AV193" t="str">
        <f t="shared" si="72"/>
        <v>Support</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0</v>
      </c>
      <c r="AZ193">
        <f>step3_validation[[#This Row],[AI_TRU4]]</f>
        <v>7</v>
      </c>
      <c r="BA193" t="str">
        <f t="shared" si="75"/>
        <v>Neutral</v>
      </c>
      <c r="BB193">
        <f>survey_responses[[#This Row],[Tôi thấy Nhà nước đã giải thích rõ ràng, minh bạch về lý do và mục tiêu của việc sửa đổi thuế lần này. - HUMAN-TRU4]]</f>
        <v>8</v>
      </c>
      <c r="BC193" t="str">
        <f t="shared" si="76"/>
        <v>Support</v>
      </c>
      <c r="BD193" s="32">
        <f t="shared" si="77"/>
        <v>1</v>
      </c>
      <c r="BE193">
        <f>step3_validation[[#This Row],[AI_OUT1]]</f>
        <v>8</v>
      </c>
      <c r="BF193" t="str">
        <f t="shared" si="78"/>
        <v>Support</v>
      </c>
      <c r="BG193">
        <f>survey_responses[[#This Row],[Sau khi xem xét các quyền lợi và nghĩa vụ, bạn có ủng hộ và tuân thủ chính sách mới hiện nay? - HUMAN-OUT1]]</f>
        <v>9</v>
      </c>
      <c r="BH193" t="str">
        <f t="shared" si="79"/>
        <v>Support</v>
      </c>
      <c r="BI193" s="32">
        <f t="shared" si="80"/>
        <v>1</v>
      </c>
    </row>
    <row r="194" spans="1:61" x14ac:dyDescent="0.45">
      <c r="A194" s="30">
        <f>step3_validation[[#This Row],[Persona_ID]]</f>
        <v>193</v>
      </c>
      <c r="B194" s="31">
        <f>step3_validation[[#This Row],[Used_Seed]]</f>
        <v>2183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24.223476505769941</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t="str">
        <f t="shared" si="54"/>
        <v>Support</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7</v>
      </c>
      <c r="V194">
        <f>step3_validation[[#This Row],[AI_ENF2]]</f>
        <v>9</v>
      </c>
      <c r="W194" t="str">
        <f t="shared" si="57"/>
        <v>Support</v>
      </c>
      <c r="X194">
        <f>survey_responses[[#This Row],[Tôi tin rằng Nhà nước, cơ quan thuế có đủ khả năng và công nghệ để phát hiện, xử lý nghiêm các hành vi trốn thuế. - HUMAN-ENF2]]</f>
        <v>1</v>
      </c>
      <c r="Y194" t="str">
        <f t="shared" si="58"/>
        <v>Oppose</v>
      </c>
      <c r="Z194" s="32">
        <f t="shared" si="59"/>
        <v>8</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9</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4</v>
      </c>
      <c r="AK194">
        <f>step3_validation[[#This Row],[AI_TRU1]]</f>
        <v>8</v>
      </c>
      <c r="AL194" t="str">
        <f t="shared" si="66"/>
        <v>Support</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3</v>
      </c>
      <c r="AP194">
        <f>step3_validation[[#This Row],[AI_TRU2]]</f>
        <v>9</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2</v>
      </c>
      <c r="AU194">
        <f>step3_validation[[#This Row],[AI_TRU3]]</f>
        <v>8</v>
      </c>
      <c r="AV194" t="str">
        <f t="shared" si="72"/>
        <v>Support</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6</v>
      </c>
      <c r="AZ194">
        <f>step3_validation[[#This Row],[AI_TRU4]]</f>
        <v>9</v>
      </c>
      <c r="BA194" t="str">
        <f t="shared" si="75"/>
        <v>Support</v>
      </c>
      <c r="BB194">
        <f>survey_responses[[#This Row],[Tôi thấy Nhà nước đã giải thích rõ ràng, minh bạch về lý do và mục tiêu của việc sửa đổi thuế lần này. - HUMAN-TRU4]]</f>
        <v>5</v>
      </c>
      <c r="BC194" t="str">
        <f t="shared" si="76"/>
        <v>Neutral</v>
      </c>
      <c r="BD194" s="32">
        <f t="shared" si="77"/>
        <v>4</v>
      </c>
      <c r="BE194">
        <f>step3_validation[[#This Row],[AI_OUT1]]</f>
        <v>10</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5</v>
      </c>
    </row>
    <row r="195" spans="1:61" x14ac:dyDescent="0.45">
      <c r="A195" s="30">
        <f>step3_validation[[#This Row],[Persona_ID]]</f>
        <v>194</v>
      </c>
      <c r="B195" s="31">
        <f>step3_validation[[#This Row],[Used_Seed]]</f>
        <v>2184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19.31967304171242</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3</v>
      </c>
      <c r="V195">
        <f>step3_validation[[#This Row],[AI_ENF2]]</f>
        <v>8</v>
      </c>
      <c r="W195" t="str">
        <f t="shared" ref="W195:W258" si="84">IF(AND(V195&gt;=1,V195&lt;5),"Oppose",IF(AND(V195&gt;=5,V195&lt;8),"Neutral",IF(AND(V195&gt;=8,V195&lt;=10),"Support","")))</f>
        <v>Support</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2</v>
      </c>
      <c r="AA195">
        <f>step3_validation[[#This Row],[AI_FAC1]]</f>
        <v>9</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3</v>
      </c>
      <c r="AF195">
        <f>step3_validation[[#This Row],[AI_FAC2]]</f>
        <v>10</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6</v>
      </c>
      <c r="AK195">
        <f>step3_validation[[#This Row],[AI_TRU1]]</f>
        <v>9</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1</v>
      </c>
      <c r="AP195">
        <f>step3_validation[[#This Row],[AI_TRU2]]</f>
        <v>8</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5</v>
      </c>
      <c r="AU195">
        <f>step3_validation[[#This Row],[AI_TRU3]]</f>
        <v>9</v>
      </c>
      <c r="AV195" t="str">
        <f t="shared" ref="AV195:AV258" si="99">IF(AND(AU195&gt;=1,AU195&lt;5),"Oppose",IF(AND(AU195&gt;=5,AU195&lt;8),"Neutral",IF(AND(AU195&gt;=8,AU195&lt;=10),"Support","")))</f>
        <v>Support</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1</v>
      </c>
      <c r="AZ195">
        <f>step3_validation[[#This Row],[AI_TRU4]]</f>
        <v>8</v>
      </c>
      <c r="BA195" t="str">
        <f t="shared" ref="BA195:BA258" si="102">IF(AND(AZ195&gt;=1,AZ195&lt;5),"Oppose",IF(AND(AZ195&gt;=5,AZ195&lt;8),"Neutral",IF(AND(AZ195&gt;=8,AZ195&lt;=10),"Support","")))</f>
        <v>Support</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2</v>
      </c>
      <c r="BE195">
        <f>step3_validation[[#This Row],[AI_OUT1]]</f>
        <v>9</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1</v>
      </c>
    </row>
    <row r="196" spans="1:61" x14ac:dyDescent="0.45">
      <c r="A196" s="30">
        <f>step3_validation[[#This Row],[Persona_ID]]</f>
        <v>195</v>
      </c>
      <c r="B196" s="31">
        <f>step3_validation[[#This Row],[Used_Seed]]</f>
        <v>2185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15.915735914964234</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9</v>
      </c>
      <c r="R196" t="str">
        <f t="shared" si="81"/>
        <v>Support</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0</v>
      </c>
      <c r="V196">
        <f>step3_validation[[#This Row],[AI_ENF2]]</f>
        <v>8</v>
      </c>
      <c r="W196" t="str">
        <f t="shared" si="84"/>
        <v>Support</v>
      </c>
      <c r="X196">
        <f>survey_responses[[#This Row],[Tôi tin rằng Nhà nước, cơ quan thuế có đủ khả năng và công nghệ để phát hiện, xử lý nghiêm các hành vi trốn thuế. - HUMAN-ENF2]]</f>
        <v>9</v>
      </c>
      <c r="Y196" t="str">
        <f t="shared" si="85"/>
        <v>Support</v>
      </c>
      <c r="Z196" s="32">
        <f t="shared" si="86"/>
        <v>1</v>
      </c>
      <c r="AA196">
        <f>step3_validation[[#This Row],[AI_FAC1]]</f>
        <v>9</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4</v>
      </c>
      <c r="AF196">
        <f>step3_validation[[#This Row],[AI_FAC2]]</f>
        <v>8</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3</v>
      </c>
      <c r="AK196">
        <f>step3_validation[[#This Row],[AI_TRU1]]</f>
        <v>9</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2</v>
      </c>
      <c r="AP196">
        <f>step3_validation[[#This Row],[AI_TRU2]]</f>
        <v>8</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1</v>
      </c>
      <c r="AU196">
        <f>step3_validation[[#This Row],[AI_TRU3]]</f>
        <v>9</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1</v>
      </c>
      <c r="AZ196">
        <f>step3_validation[[#This Row],[AI_TRU4]]</f>
        <v>8</v>
      </c>
      <c r="BA196" t="str">
        <f t="shared" si="102"/>
        <v>Support</v>
      </c>
      <c r="BB196">
        <f>survey_responses[[#This Row],[Tôi thấy Nhà nước đã giải thích rõ ràng, minh bạch về lý do và mục tiêu của việc sửa đổi thuế lần này. - HUMAN-TRU4]]</f>
        <v>8</v>
      </c>
      <c r="BC196" t="str">
        <f t="shared" si="103"/>
        <v>Support</v>
      </c>
      <c r="BD196" s="32">
        <f t="shared" si="104"/>
        <v>0</v>
      </c>
      <c r="BE196">
        <f>step3_validation[[#This Row],[AI_OUT1]]</f>
        <v>9</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2186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13.836921905190801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6</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3</v>
      </c>
      <c r="V197">
        <f>step3_validation[[#This Row],[AI_ENF2]]</f>
        <v>7</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2</v>
      </c>
      <c r="AA197">
        <f>step3_validation[[#This Row],[AI_FAC1]]</f>
        <v>9</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0</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7</v>
      </c>
      <c r="AL197" t="str">
        <f t="shared" si="93"/>
        <v>Neutral</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2</v>
      </c>
      <c r="AP197">
        <f>step3_validation[[#This Row],[AI_TRU2]]</f>
        <v>8</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2">
        <f t="shared" si="98"/>
        <v>1</v>
      </c>
      <c r="AU197">
        <f>step3_validation[[#This Row],[AI_TRU3]]</f>
        <v>7</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2</v>
      </c>
      <c r="AZ197">
        <f>step3_validation[[#This Row],[AI_TRU4]]</f>
        <v>6</v>
      </c>
      <c r="BA197" t="str">
        <f t="shared" si="102"/>
        <v>Neutral</v>
      </c>
      <c r="BB197">
        <f>survey_responses[[#This Row],[Tôi thấy Nhà nước đã giải thích rõ ràng, minh bạch về lý do và mục tiêu của việc sửa đổi thuế lần này. - HUMAN-TRU4]]</f>
        <v>9</v>
      </c>
      <c r="BC197" t="str">
        <f t="shared" si="103"/>
        <v>Support</v>
      </c>
      <c r="BD197" s="32">
        <f t="shared" si="104"/>
        <v>3</v>
      </c>
      <c r="BE197">
        <f>step3_validation[[#This Row],[AI_OUT1]]</f>
        <v>9</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0</v>
      </c>
    </row>
    <row r="198" spans="1:61" x14ac:dyDescent="0.45">
      <c r="A198" s="30">
        <f>step3_validation[[#This Row],[Persona_ID]]</f>
        <v>197</v>
      </c>
      <c r="B198" s="31">
        <f>step3_validation[[#This Row],[Used_Seed]]</f>
        <v>2187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12.669669982638217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0</v>
      </c>
      <c r="V198">
        <f>step3_validation[[#This Row],[AI_ENF2]]</f>
        <v>8</v>
      </c>
      <c r="W198" t="str">
        <f t="shared" si="84"/>
        <v>Support</v>
      </c>
      <c r="X198">
        <f>survey_responses[[#This Row],[Tôi tin rằng Nhà nước, cơ quan thuế có đủ khả năng và công nghệ để phát hiện, xử lý nghiêm các hành vi trốn thuế. - HUMAN-ENF2]]</f>
        <v>10</v>
      </c>
      <c r="Y198" t="str">
        <f t="shared" si="85"/>
        <v>Support</v>
      </c>
      <c r="Z198" s="32">
        <f t="shared" si="86"/>
        <v>2</v>
      </c>
      <c r="AA198">
        <f>step3_validation[[#This Row],[AI_FAC1]]</f>
        <v>7</v>
      </c>
      <c r="AB198" t="str">
        <f t="shared" si="87"/>
        <v>Neutral</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3</v>
      </c>
      <c r="AF198">
        <f>step3_validation[[#This Row],[AI_FAC2]]</f>
        <v>8</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1</v>
      </c>
      <c r="AK198">
        <f>step3_validation[[#This Row],[AI_TRU1]]</f>
        <v>9</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1</v>
      </c>
      <c r="AP198">
        <f>step3_validation[[#This Row],[AI_TRU2]]</f>
        <v>8</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2</v>
      </c>
      <c r="AU198">
        <f>step3_validation[[#This Row],[AI_TRU3]]</f>
        <v>7</v>
      </c>
      <c r="AV198" t="str">
        <f t="shared" si="99"/>
        <v>Neutral</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3</v>
      </c>
      <c r="AZ198">
        <f>step3_validation[[#This Row],[AI_TRU4]]</f>
        <v>6</v>
      </c>
      <c r="BA198" t="str">
        <f t="shared" si="102"/>
        <v>Neutral</v>
      </c>
      <c r="BB198">
        <f>survey_responses[[#This Row],[Tôi thấy Nhà nước đã giải thích rõ ràng, minh bạch về lý do và mục tiêu của việc sửa đổi thuế lần này. - HUMAN-TRU4]]</f>
        <v>9</v>
      </c>
      <c r="BC198" t="str">
        <f t="shared" si="103"/>
        <v>Support</v>
      </c>
      <c r="BD198" s="32">
        <f t="shared" si="104"/>
        <v>3</v>
      </c>
      <c r="BE198">
        <f>step3_validation[[#This Row],[AI_OUT1]]</f>
        <v>8</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2</v>
      </c>
    </row>
    <row r="199" spans="1:61" x14ac:dyDescent="0.45">
      <c r="A199" s="30">
        <f>step3_validation[[#This Row],[Persona_ID]]</f>
        <v>198</v>
      </c>
      <c r="B199" s="31">
        <f>step3_validation[[#This Row],[Used_Seed]]</f>
        <v>2188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12.688219564202335</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2</v>
      </c>
      <c r="R199" t="str">
        <f t="shared" si="81"/>
        <v>Oppose</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3</v>
      </c>
      <c r="V199">
        <f>step3_validation[[#This Row],[AI_ENF2]]</f>
        <v>3</v>
      </c>
      <c r="W199" t="str">
        <f t="shared" si="84"/>
        <v>Oppose</v>
      </c>
      <c r="X199">
        <f>survey_responses[[#This Row],[Tôi tin rằng Nhà nước, cơ quan thuế có đủ khả năng và công nghệ để phát hiện, xử lý nghiêm các hành vi trốn thuế. - HUMAN-ENF2]]</f>
        <v>5</v>
      </c>
      <c r="Y199" t="str">
        <f t="shared" si="85"/>
        <v>Neutral</v>
      </c>
      <c r="Z199" s="32">
        <f t="shared" si="86"/>
        <v>2</v>
      </c>
      <c r="AA199">
        <f>step3_validation[[#This Row],[AI_FAC1]]</f>
        <v>8</v>
      </c>
      <c r="AB199" t="str">
        <f t="shared" si="87"/>
        <v>Support</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3</v>
      </c>
      <c r="AF199">
        <f>step3_validation[[#This Row],[AI_FAC2]]</f>
        <v>9</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4</v>
      </c>
      <c r="AK199">
        <f>step3_validation[[#This Row],[AI_TRU1]]</f>
        <v>7</v>
      </c>
      <c r="AL199" t="str">
        <f t="shared" si="93"/>
        <v>Neutral</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2</v>
      </c>
      <c r="AP199">
        <f>step3_validation[[#This Row],[AI_TRU2]]</f>
        <v>9</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4</v>
      </c>
      <c r="AU199">
        <f>step3_validation[[#This Row],[AI_TRU3]]</f>
        <v>7</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2</v>
      </c>
      <c r="AZ199">
        <f>step3_validation[[#This Row],[AI_TRU4]]</f>
        <v>8</v>
      </c>
      <c r="BA199" t="str">
        <f t="shared" si="102"/>
        <v>Support</v>
      </c>
      <c r="BB199">
        <f>survey_responses[[#This Row],[Tôi thấy Nhà nước đã giải thích rõ ràng, minh bạch về lý do và mục tiêu của việc sửa đổi thuế lần này. - HUMAN-TRU4]]</f>
        <v>4</v>
      </c>
      <c r="BC199" t="str">
        <f t="shared" si="103"/>
        <v>Oppose</v>
      </c>
      <c r="BD199" s="32">
        <f t="shared" si="104"/>
        <v>4</v>
      </c>
      <c r="BE199">
        <f>step3_validation[[#This Row],[AI_OUT1]]</f>
        <v>9</v>
      </c>
      <c r="BF199" t="str">
        <f t="shared" si="105"/>
        <v>Support</v>
      </c>
      <c r="BG199">
        <f>survey_responses[[#This Row],[Sau khi xem xét các quyền lợi và nghĩa vụ, bạn có ủng hộ và tuân thủ chính sách mới hiện nay? - HUMAN-OUT1]]</f>
        <v>5</v>
      </c>
      <c r="BH199" t="str">
        <f t="shared" si="106"/>
        <v>Neutral</v>
      </c>
      <c r="BI199" s="32">
        <f t="shared" si="107"/>
        <v>4</v>
      </c>
    </row>
    <row r="200" spans="1:61" x14ac:dyDescent="0.45">
      <c r="A200" s="30">
        <f>step3_validation[[#This Row],[Persona_ID]]</f>
        <v>199</v>
      </c>
      <c r="B200" s="31">
        <f>step3_validation[[#This Row],[Used_Seed]]</f>
        <v>2189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6</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3</v>
      </c>
      <c r="V200">
        <f>step3_validation[[#This Row],[AI_ENF2]]</f>
        <v>5</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3</v>
      </c>
      <c r="AA200">
        <f>step3_validation[[#This Row],[AI_FAC1]]</f>
        <v>8</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1</v>
      </c>
      <c r="AF200">
        <f>step3_validation[[#This Row],[AI_FAC2]]</f>
        <v>9</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0</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9</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0</v>
      </c>
      <c r="AU200">
        <f>step3_validation[[#This Row],[AI_TRU3]]</f>
        <v>8</v>
      </c>
      <c r="AV200" t="str">
        <f t="shared" si="99"/>
        <v>Support</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2</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3</v>
      </c>
      <c r="BE200">
        <f>step3_validation[[#This Row],[AI_OUT1]]</f>
        <v>8</v>
      </c>
      <c r="BF200" t="str">
        <f t="shared" si="105"/>
        <v>Support</v>
      </c>
      <c r="BG200">
        <f>survey_responses[[#This Row],[Sau khi xem xét các quyền lợi và nghĩa vụ, bạn có ủng hộ và tuân thủ chính sách mới hiện nay? - HUMAN-OUT1]]</f>
        <v>10</v>
      </c>
      <c r="BH200" t="str">
        <f t="shared" si="106"/>
        <v>Support</v>
      </c>
      <c r="BI200" s="32">
        <f t="shared" si="107"/>
        <v>2</v>
      </c>
    </row>
    <row r="201" spans="1:61" x14ac:dyDescent="0.45">
      <c r="A201" s="30">
        <f>step3_validation[[#This Row],[Persona_ID]]</f>
        <v>200</v>
      </c>
      <c r="B201" s="31">
        <f>step3_validation[[#This Row],[Used_Seed]]</f>
        <v>2190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87.703893705269323</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t="str">
        <f t="shared" si="81"/>
        <v>Neutral</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3</v>
      </c>
      <c r="V201">
        <f>step3_validation[[#This Row],[AI_ENF2]]</f>
        <v>6</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2">
        <f t="shared" si="86"/>
        <v>2</v>
      </c>
      <c r="AA201">
        <f>step3_validation[[#This Row],[AI_FAC1]]</f>
        <v>8</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5</v>
      </c>
      <c r="AF201">
        <f>step3_validation[[#This Row],[AI_FAC2]]</f>
        <v>9</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4</v>
      </c>
      <c r="AK201">
        <f>step3_validation[[#This Row],[AI_TRU1]]</f>
        <v>8</v>
      </c>
      <c r="AL201" t="str">
        <f t="shared" si="93"/>
        <v>Support</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4</v>
      </c>
      <c r="AP201">
        <f>step3_validation[[#This Row],[AI_TRU2]]</f>
        <v>9</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4</v>
      </c>
      <c r="AU201">
        <f>step3_validation[[#This Row],[AI_TRU3]]</f>
        <v>7</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6</v>
      </c>
      <c r="AZ201">
        <f>step3_validation[[#This Row],[AI_TRU4]]</f>
        <v>8</v>
      </c>
      <c r="BA201" t="str">
        <f t="shared" si="102"/>
        <v>Support</v>
      </c>
      <c r="BB201">
        <f>survey_responses[[#This Row],[Tôi thấy Nhà nước đã giải thích rõ ràng, minh bạch về lý do và mục tiêu của việc sửa đổi thuế lần này. - HUMAN-TRU4]]</f>
        <v>5</v>
      </c>
      <c r="BC201" t="str">
        <f t="shared" si="103"/>
        <v>Neutral</v>
      </c>
      <c r="BD201" s="32">
        <f t="shared" si="104"/>
        <v>3</v>
      </c>
      <c r="BE201">
        <f>step3_validation[[#This Row],[AI_OUT1]]</f>
        <v>9</v>
      </c>
      <c r="BF201" t="str">
        <f t="shared" si="105"/>
        <v>Support</v>
      </c>
      <c r="BG201">
        <f>survey_responses[[#This Row],[Sau khi xem xét các quyền lợi và nghĩa vụ, bạn có ủng hộ và tuân thủ chính sách mới hiện nay? - HUMAN-OUT1]]</f>
        <v>5</v>
      </c>
      <c r="BH201" t="str">
        <f t="shared" si="106"/>
        <v>Neutral</v>
      </c>
      <c r="BI201" s="32">
        <f t="shared" si="107"/>
        <v>4</v>
      </c>
    </row>
    <row r="202" spans="1:61" x14ac:dyDescent="0.45">
      <c r="A202" s="30">
        <f>step3_validation[[#This Row],[Persona_ID]]</f>
        <v>201</v>
      </c>
      <c r="B202" s="31">
        <f>step3_validation[[#This Row],[Used_Seed]]</f>
        <v>2191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53.584938230999832</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9</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4</v>
      </c>
      <c r="V202">
        <f>step3_validation[[#This Row],[AI_ENF2]]</f>
        <v>8</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3</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8</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3</v>
      </c>
      <c r="AK202">
        <f>step3_validation[[#This Row],[AI_TRU1]]</f>
        <v>7</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3</v>
      </c>
      <c r="AP202">
        <f>step3_validation[[#This Row],[AI_TRU2]]</f>
        <v>8</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6</v>
      </c>
      <c r="AU202">
        <f>step3_validation[[#This Row],[AI_TRU3]]</f>
        <v>7</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5</v>
      </c>
      <c r="AZ202">
        <f>step3_validation[[#This Row],[AI_TRU4]]</f>
        <v>8</v>
      </c>
      <c r="BA202" t="str">
        <f t="shared" si="102"/>
        <v>Support</v>
      </c>
      <c r="BB202">
        <f>survey_responses[[#This Row],[Tôi thấy Nhà nước đã giải thích rõ ràng, minh bạch về lý do và mục tiêu của việc sửa đổi thuế lần này. - HUMAN-TRU4]]</f>
        <v>5</v>
      </c>
      <c r="BC202" t="str">
        <f t="shared" si="103"/>
        <v>Neutral</v>
      </c>
      <c r="BD202" s="32">
        <f t="shared" si="104"/>
        <v>3</v>
      </c>
      <c r="BE202">
        <f>step3_validation[[#This Row],[AI_OUT1]]</f>
        <v>9</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5</v>
      </c>
    </row>
    <row r="203" spans="1:61" x14ac:dyDescent="0.45">
      <c r="A203" s="30">
        <f>step3_validation[[#This Row],[Persona_ID]]</f>
        <v>202</v>
      </c>
      <c r="B203" s="31">
        <f>step3_validation[[#This Row],[Used_Seed]]</f>
        <v>2192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77.321595157775064</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6</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2</v>
      </c>
      <c r="AA203">
        <f>step3_validation[[#This Row],[AI_FAC1]]</f>
        <v>8</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0</v>
      </c>
      <c r="AF203">
        <f>step3_validation[[#This Row],[AI_FAC2]]</f>
        <v>9</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0</v>
      </c>
      <c r="AK203">
        <f>step3_validation[[#This Row],[AI_TRU1]]</f>
        <v>8</v>
      </c>
      <c r="AL203" t="str">
        <f t="shared" si="93"/>
        <v>Support</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1</v>
      </c>
      <c r="AP203">
        <f>step3_validation[[#This Row],[AI_TRU2]]</f>
        <v>9</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2</v>
      </c>
      <c r="AU203">
        <f>step3_validation[[#This Row],[AI_TRU3]]</f>
        <v>8</v>
      </c>
      <c r="AV203" t="str">
        <f t="shared" si="99"/>
        <v>Support</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1</v>
      </c>
      <c r="AZ203">
        <f>step3_validation[[#This Row],[AI_TRU4]]</f>
        <v>9</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1</v>
      </c>
      <c r="BE203">
        <f>step3_validation[[#This Row],[AI_OUT1]]</f>
        <v>10</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2</v>
      </c>
    </row>
    <row r="204" spans="1:61" x14ac:dyDescent="0.45">
      <c r="A204" s="30">
        <f>step3_validation[[#This Row],[Persona_ID]]</f>
        <v>203</v>
      </c>
      <c r="B204" s="31">
        <f>step3_validation[[#This Row],[Used_Seed]]</f>
        <v>2193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196.62014524304763</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6</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1</v>
      </c>
      <c r="V204">
        <f>step3_validation[[#This Row],[AI_ENF2]]</f>
        <v>7</v>
      </c>
      <c r="W204" t="str">
        <f t="shared" si="84"/>
        <v>Neutral</v>
      </c>
      <c r="X204">
        <f>survey_responses[[#This Row],[Tôi tin rằng Nhà nước, cơ quan thuế có đủ khả năng và công nghệ để phát hiện, xử lý nghiêm các hành vi trốn thuế. - HUMAN-ENF2]]</f>
        <v>5</v>
      </c>
      <c r="Y204" t="str">
        <f t="shared" si="85"/>
        <v>Neutral</v>
      </c>
      <c r="Z204" s="32">
        <f t="shared" si="86"/>
        <v>2</v>
      </c>
      <c r="AA204">
        <f>step3_validation[[#This Row],[AI_FAC1]]</f>
        <v>8</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3</v>
      </c>
      <c r="AF204">
        <f>step3_validation[[#This Row],[AI_FAC2]]</f>
        <v>9</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4</v>
      </c>
      <c r="AK204">
        <f>step3_validation[[#This Row],[AI_TRU1]]</f>
        <v>8</v>
      </c>
      <c r="AL204" t="str">
        <f t="shared" si="93"/>
        <v>Support</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3</v>
      </c>
      <c r="AP204">
        <f>step3_validation[[#This Row],[AI_TRU2]]</f>
        <v>9</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4</v>
      </c>
      <c r="AU204">
        <f>step3_validation[[#This Row],[AI_TRU3]]</f>
        <v>7</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2</v>
      </c>
      <c r="AZ204">
        <f>step3_validation[[#This Row],[AI_TRU4]]</f>
        <v>6</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1</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2194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39.051620371938974</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0</v>
      </c>
      <c r="V205">
        <f>step3_validation[[#This Row],[AI_ENF2]]</f>
        <v>9</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2</v>
      </c>
      <c r="AA205">
        <f>step3_validation[[#This Row],[AI_FAC1]]</f>
        <v>6</v>
      </c>
      <c r="AB205" t="str">
        <f t="shared" si="87"/>
        <v>Neutral</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1</v>
      </c>
      <c r="AF205">
        <f>step3_validation[[#This Row],[AI_FAC2]]</f>
        <v>8</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0</v>
      </c>
      <c r="AK205">
        <f>step3_validation[[#This Row],[AI_TRU1]]</f>
        <v>6</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1</v>
      </c>
      <c r="AP205">
        <f>step3_validation[[#This Row],[AI_TRU2]]</f>
        <v>8</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1</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9</v>
      </c>
      <c r="BA205" t="str">
        <f t="shared" si="102"/>
        <v>Support</v>
      </c>
      <c r="BB205">
        <f>survey_responses[[#This Row],[Tôi thấy Nhà nước đã giải thích rõ ràng, minh bạch về lý do và mục tiêu của việc sửa đổi thuế lần này. - HUMAN-TRU4]]</f>
        <v>7</v>
      </c>
      <c r="BC205" t="str">
        <f t="shared" si="103"/>
        <v>Neutral</v>
      </c>
      <c r="BD205" s="32">
        <f t="shared" si="104"/>
        <v>2</v>
      </c>
      <c r="BE205">
        <f>step3_validation[[#This Row],[AI_OUT1]]</f>
        <v>8</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1</v>
      </c>
    </row>
    <row r="206" spans="1:61" x14ac:dyDescent="0.45">
      <c r="A206" s="30">
        <f>step3_validation[[#This Row],[Persona_ID]]</f>
        <v>205</v>
      </c>
      <c r="B206" s="31">
        <f>step3_validation[[#This Row],[Used_Seed]]</f>
        <v>2195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28.020819496571374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t="str">
        <f t="shared" si="81"/>
        <v>Neutral</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4</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7</v>
      </c>
      <c r="AA206">
        <f>step3_validation[[#This Row],[AI_FAC1]]</f>
        <v>9</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8</v>
      </c>
      <c r="AF206">
        <f>step3_validation[[#This Row],[AI_FAC2]]</f>
        <v>9</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4</v>
      </c>
      <c r="AK206">
        <f>step3_validation[[#This Row],[AI_TRU1]]</f>
        <v>7</v>
      </c>
      <c r="AL206" t="str">
        <f t="shared" si="93"/>
        <v>Neutral</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6</v>
      </c>
      <c r="AP206">
        <f>step3_validation[[#This Row],[AI_TRU2]]</f>
        <v>9</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8</v>
      </c>
      <c r="AU206">
        <f>step3_validation[[#This Row],[AI_TRU3]]</f>
        <v>7</v>
      </c>
      <c r="AV206" t="str">
        <f t="shared" si="99"/>
        <v>Neutral</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6</v>
      </c>
      <c r="AZ206">
        <f>step3_validation[[#This Row],[AI_TRU4]]</f>
        <v>8</v>
      </c>
      <c r="BA206" t="str">
        <f t="shared" si="102"/>
        <v>Support</v>
      </c>
      <c r="BB206">
        <f>survey_responses[[#This Row],[Tôi thấy Nhà nước đã giải thích rõ ràng, minh bạch về lý do và mục tiêu của việc sửa đổi thuế lần này. - HUMAN-TRU4]]</f>
        <v>4</v>
      </c>
      <c r="BC206" t="str">
        <f t="shared" si="103"/>
        <v>Oppose</v>
      </c>
      <c r="BD206" s="32">
        <f t="shared" si="104"/>
        <v>4</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2196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67.334763590608418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t="str">
        <f t="shared" si="81"/>
        <v>Support</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0</v>
      </c>
      <c r="V207">
        <f>step3_validation[[#This Row],[AI_ENF2]]</f>
        <v>7</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1</v>
      </c>
      <c r="AA207">
        <f>step3_validation[[#This Row],[AI_FAC1]]</f>
        <v>9</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4</v>
      </c>
      <c r="AF207">
        <f>step3_validation[[#This Row],[AI_FAC2]]</f>
        <v>10</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3</v>
      </c>
      <c r="AK207">
        <f>step3_validation[[#This Row],[AI_TRU1]]</f>
        <v>8</v>
      </c>
      <c r="AL207" t="str">
        <f t="shared" si="93"/>
        <v>Support</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1</v>
      </c>
      <c r="AP207">
        <f>step3_validation[[#This Row],[AI_TRU2]]</f>
        <v>9</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3</v>
      </c>
      <c r="AU207">
        <f>step3_validation[[#This Row],[AI_TRU3]]</f>
        <v>8</v>
      </c>
      <c r="AV207" t="str">
        <f t="shared" si="99"/>
        <v>Support</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2</v>
      </c>
      <c r="AZ207">
        <f>step3_validation[[#This Row],[AI_TRU4]]</f>
        <v>7</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0</v>
      </c>
      <c r="BE207">
        <f>step3_validation[[#This Row],[AI_OUT1]]</f>
        <v>9</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2</v>
      </c>
    </row>
    <row r="208" spans="1:61" x14ac:dyDescent="0.45">
      <c r="A208" s="30">
        <f>step3_validation[[#This Row],[Persona_ID]]</f>
        <v>207</v>
      </c>
      <c r="B208" s="31">
        <f>step3_validation[[#This Row],[Used_Seed]]</f>
        <v>2197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60.262001971001808</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7</v>
      </c>
      <c r="R208" t="str">
        <f t="shared" si="81"/>
        <v>Neutral</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3</v>
      </c>
      <c r="V208">
        <f>step3_validation[[#This Row],[AI_ENF2]]</f>
        <v>8</v>
      </c>
      <c r="W208" t="str">
        <f t="shared" si="84"/>
        <v>Support</v>
      </c>
      <c r="X208">
        <f>survey_responses[[#This Row],[Tôi tin rằng Nhà nước, cơ quan thuế có đủ khả năng và công nghệ để phát hiện, xử lý nghiêm các hành vi trốn thuế. - HUMAN-ENF2]]</f>
        <v>3</v>
      </c>
      <c r="Y208" t="str">
        <f t="shared" si="85"/>
        <v>Oppose</v>
      </c>
      <c r="Z208" s="32">
        <f t="shared" si="86"/>
        <v>5</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10</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8</v>
      </c>
      <c r="AK208">
        <f>step3_validation[[#This Row],[AI_TRU1]]</f>
        <v>8</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7</v>
      </c>
      <c r="AP208">
        <f>step3_validation[[#This Row],[AI_TRU2]]</f>
        <v>9</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8</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6</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2</v>
      </c>
      <c r="BE208">
        <f>step3_validation[[#This Row],[AI_OUT1]]</f>
        <v>9</v>
      </c>
      <c r="BF208" t="str">
        <f t="shared" si="105"/>
        <v>Support</v>
      </c>
      <c r="BG208">
        <f>survey_responses[[#This Row],[Sau khi xem xét các quyền lợi và nghĩa vụ, bạn có ủng hộ và tuân thủ chính sách mới hiện nay? - HUMAN-OUT1]]</f>
        <v>2</v>
      </c>
      <c r="BH208" t="str">
        <f t="shared" si="106"/>
        <v>Oppose</v>
      </c>
      <c r="BI208" s="32">
        <f t="shared" si="107"/>
        <v>7</v>
      </c>
    </row>
    <row r="209" spans="1:61" x14ac:dyDescent="0.45">
      <c r="A209" s="30">
        <f>step3_validation[[#This Row],[Persona_ID]]</f>
        <v>208</v>
      </c>
      <c r="B209" s="31">
        <f>step3_validation[[#This Row],[Used_Seed]]</f>
        <v>2198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46.752900936072265</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8</v>
      </c>
      <c r="R209" t="str">
        <f t="shared" si="81"/>
        <v>Support</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1</v>
      </c>
      <c r="V209">
        <f>step3_validation[[#This Row],[AI_ENF2]]</f>
        <v>9</v>
      </c>
      <c r="W209" t="str">
        <f t="shared" si="84"/>
        <v>Support</v>
      </c>
      <c r="X209">
        <f>survey_responses[[#This Row],[Tôi tin rằng Nhà nước, cơ quan thuế có đủ khả năng và công nghệ để phát hiện, xử lý nghiêm các hành vi trốn thuế. - HUMAN-ENF2]]</f>
        <v>8</v>
      </c>
      <c r="Y209" t="str">
        <f t="shared" si="85"/>
        <v>Support</v>
      </c>
      <c r="Z209" s="32">
        <f t="shared" si="86"/>
        <v>1</v>
      </c>
      <c r="AA209">
        <f>step3_validation[[#This Row],[AI_FAC1]]</f>
        <v>8</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2</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9</v>
      </c>
      <c r="AL209" t="str">
        <f t="shared" si="93"/>
        <v>Support</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3</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9</v>
      </c>
      <c r="AV209" t="str">
        <f t="shared" si="99"/>
        <v>Support</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3</v>
      </c>
      <c r="AZ209">
        <f>step3_validation[[#This Row],[AI_TRU4]]</f>
        <v>8</v>
      </c>
      <c r="BA209" t="str">
        <f t="shared" si="102"/>
        <v>Support</v>
      </c>
      <c r="BB209">
        <f>survey_responses[[#This Row],[Tôi thấy Nhà nước đã giải thích rõ ràng, minh bạch về lý do và mục tiêu của việc sửa đổi thuế lần này. - HUMAN-TRU4]]</f>
        <v>6</v>
      </c>
      <c r="BC209" t="str">
        <f t="shared" si="103"/>
        <v>Neutral</v>
      </c>
      <c r="BD209" s="32">
        <f t="shared" si="104"/>
        <v>2</v>
      </c>
      <c r="BE209">
        <f>step3_validation[[#This Row],[AI_OUT1]]</f>
        <v>9</v>
      </c>
      <c r="BF209" t="str">
        <f t="shared" si="105"/>
        <v>Support</v>
      </c>
      <c r="BG209">
        <f>survey_responses[[#This Row],[Sau khi xem xét các quyền lợi và nghĩa vụ, bạn có ủng hộ và tuân thủ chính sách mới hiện nay? - HUMAN-OUT1]]</f>
        <v>6</v>
      </c>
      <c r="BH209" t="str">
        <f t="shared" si="106"/>
        <v>Neutral</v>
      </c>
      <c r="BI209" s="32">
        <f t="shared" si="107"/>
        <v>3</v>
      </c>
    </row>
    <row r="210" spans="1:61" x14ac:dyDescent="0.45">
      <c r="A210" s="30">
        <f>step3_validation[[#This Row],[Persona_ID]]</f>
        <v>209</v>
      </c>
      <c r="B210" s="31">
        <f>step3_validation[[#This Row],[Used_Seed]]</f>
        <v>2199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43.547367865424363</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9</v>
      </c>
      <c r="R210" t="str">
        <f t="shared" si="81"/>
        <v>Support</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3</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3</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2</v>
      </c>
      <c r="AK210">
        <f>step3_validation[[#This Row],[AI_TRU1]]</f>
        <v>7</v>
      </c>
      <c r="AL210" t="str">
        <f t="shared" si="93"/>
        <v>Neutral</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1</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7</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1</v>
      </c>
      <c r="AZ210">
        <f>step3_validation[[#This Row],[AI_TRU4]]</f>
        <v>8</v>
      </c>
      <c r="BA210" t="str">
        <f t="shared" si="102"/>
        <v>Support</v>
      </c>
      <c r="BB210">
        <f>survey_responses[[#This Row],[Tôi thấy Nhà nước đã giải thích rõ ràng, minh bạch về lý do và mục tiêu của việc sửa đổi thuế lần này. - HUMAN-TRU4]]</f>
        <v>6</v>
      </c>
      <c r="BC210" t="str">
        <f t="shared" si="103"/>
        <v>Neutral</v>
      </c>
      <c r="BD210" s="32">
        <f t="shared" si="104"/>
        <v>2</v>
      </c>
      <c r="BE210">
        <f>step3_validation[[#This Row],[AI_OUT1]]</f>
        <v>9</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3</v>
      </c>
    </row>
    <row r="211" spans="1:61" x14ac:dyDescent="0.45">
      <c r="A211" s="30">
        <f>step3_validation[[#This Row],[Persona_ID]]</f>
        <v>210</v>
      </c>
      <c r="B211" s="31">
        <f>step3_validation[[#This Row],[Used_Seed]]</f>
        <v>2200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28.560004683260935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t="str">
        <f t="shared" si="81"/>
        <v>Support</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1</v>
      </c>
      <c r="V211">
        <f>step3_validation[[#This Row],[AI_ENF2]]</f>
        <v>10</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3</v>
      </c>
      <c r="AA211">
        <f>step3_validation[[#This Row],[AI_FAC1]]</f>
        <v>10</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2</v>
      </c>
      <c r="AF211">
        <f>step3_validation[[#This Row],[AI_FAC2]]</f>
        <v>10</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2</v>
      </c>
      <c r="AK211">
        <f>step3_validation[[#This Row],[AI_TRU1]]</f>
        <v>9</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1</v>
      </c>
      <c r="AP211">
        <f>step3_validation[[#This Row],[AI_TRU2]]</f>
        <v>10</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1</v>
      </c>
      <c r="AU211">
        <f>step3_validation[[#This Row],[AI_TRU3]]</f>
        <v>9</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10</v>
      </c>
      <c r="BA211" t="str">
        <f t="shared" si="102"/>
        <v>Support</v>
      </c>
      <c r="BB211">
        <f>survey_responses[[#This Row],[Tôi thấy Nhà nước đã giải thích rõ ràng, minh bạch về lý do và mục tiêu của việc sửa đổi thuế lần này. - HUMAN-TRU4]]</f>
        <v>8</v>
      </c>
      <c r="BC211" t="str">
        <f t="shared" si="103"/>
        <v>Support</v>
      </c>
      <c r="BD211" s="32">
        <f t="shared" si="104"/>
        <v>2</v>
      </c>
      <c r="BE211">
        <f>step3_validation[[#This Row],[AI_OUT1]]</f>
        <v>10</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2</v>
      </c>
    </row>
    <row r="212" spans="1:61" x14ac:dyDescent="0.45">
      <c r="A212" s="30">
        <f>step3_validation[[#This Row],[Persona_ID]]</f>
        <v>211</v>
      </c>
      <c r="B212" s="31">
        <f>step3_validation[[#This Row],[Used_Seed]]</f>
        <v>2201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63.416603098597655</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8</v>
      </c>
      <c r="R212" t="str">
        <f t="shared" si="81"/>
        <v>Support</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1</v>
      </c>
      <c r="V212">
        <f>step3_validation[[#This Row],[AI_ENF2]]</f>
        <v>8</v>
      </c>
      <c r="W212" t="str">
        <f t="shared" si="84"/>
        <v>Support</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9</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2</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8</v>
      </c>
      <c r="AL212" t="str">
        <f t="shared" si="93"/>
        <v>Support</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1</v>
      </c>
      <c r="AP212">
        <f>step3_validation[[#This Row],[AI_TRU2]]</f>
        <v>9</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2</v>
      </c>
      <c r="AU212">
        <f>step3_validation[[#This Row],[AI_TRU3]]</f>
        <v>8</v>
      </c>
      <c r="AV212" t="str">
        <f t="shared" si="99"/>
        <v>Support</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1</v>
      </c>
      <c r="AZ212">
        <f>step3_validation[[#This Row],[AI_TRU4]]</f>
        <v>7</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0</v>
      </c>
      <c r="BE212">
        <f>step3_validation[[#This Row],[AI_OUT1]]</f>
        <v>9</v>
      </c>
      <c r="BF212" t="str">
        <f t="shared" si="105"/>
        <v>Support</v>
      </c>
      <c r="BG212">
        <f>survey_responses[[#This Row],[Sau khi xem xét các quyền lợi và nghĩa vụ, bạn có ủng hộ và tuân thủ chính sách mới hiện nay? - HUMAN-OUT1]]</f>
        <v>7</v>
      </c>
      <c r="BH212" t="str">
        <f t="shared" si="106"/>
        <v>Neutral</v>
      </c>
      <c r="BI212" s="32">
        <f t="shared" si="107"/>
        <v>2</v>
      </c>
    </row>
    <row r="213" spans="1:61" x14ac:dyDescent="0.45">
      <c r="A213" s="30">
        <f>step3_validation[[#This Row],[Persona_ID]]</f>
        <v>212</v>
      </c>
      <c r="B213" s="31">
        <f>step3_validation[[#This Row],[Used_Seed]]</f>
        <v>2202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62.857520934509097</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2</v>
      </c>
      <c r="V213">
        <f>step3_validation[[#This Row],[AI_ENF2]]</f>
        <v>6</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1</v>
      </c>
      <c r="AA213">
        <f>step3_validation[[#This Row],[AI_FAC1]]</f>
        <v>9</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8</v>
      </c>
      <c r="AF213">
        <f>step3_validation[[#This Row],[AI_FAC2]]</f>
        <v>9</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4</v>
      </c>
      <c r="AK213">
        <f>step3_validation[[#This Row],[AI_TRU1]]</f>
        <v>8</v>
      </c>
      <c r="AL213" t="str">
        <f t="shared" si="93"/>
        <v>Support</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3</v>
      </c>
      <c r="AP213">
        <f>step3_validation[[#This Row],[AI_TRU2]]</f>
        <v>9</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4</v>
      </c>
      <c r="AU213">
        <f>step3_validation[[#This Row],[AI_TRU3]]</f>
        <v>8</v>
      </c>
      <c r="AV213" t="str">
        <f t="shared" si="99"/>
        <v>Support</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4</v>
      </c>
      <c r="AZ213">
        <f>step3_validation[[#This Row],[AI_TRU4]]</f>
        <v>7</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2</v>
      </c>
      <c r="BE213">
        <f>step3_validation[[#This Row],[AI_OUT1]]</f>
        <v>9</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4</v>
      </c>
    </row>
    <row r="214" spans="1:61" x14ac:dyDescent="0.45">
      <c r="A214" s="30">
        <f>step3_validation[[#This Row],[Persona_ID]]</f>
        <v>213</v>
      </c>
      <c r="B214" s="31">
        <f>step3_validation[[#This Row],[Used_Seed]]</f>
        <v>2203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54.46559089304855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9</v>
      </c>
      <c r="R214" t="str">
        <f t="shared" si="81"/>
        <v>Support</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2</v>
      </c>
      <c r="V214">
        <f>step3_validation[[#This Row],[AI_ENF2]]</f>
        <v>8</v>
      </c>
      <c r="W214" t="str">
        <f t="shared" si="84"/>
        <v>Support</v>
      </c>
      <c r="X214">
        <f>survey_responses[[#This Row],[Tôi tin rằng Nhà nước, cơ quan thuế có đủ khả năng và công nghệ để phát hiện, xử lý nghiêm các hành vi trốn thuế. - HUMAN-ENF2]]</f>
        <v>8</v>
      </c>
      <c r="Y214" t="str">
        <f t="shared" si="85"/>
        <v>Support</v>
      </c>
      <c r="Z214" s="32">
        <f t="shared" si="86"/>
        <v>0</v>
      </c>
      <c r="AA214">
        <f>step3_validation[[#This Row],[AI_FAC1]]</f>
        <v>9</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1</v>
      </c>
      <c r="AF214">
        <f>step3_validation[[#This Row],[AI_FAC2]]</f>
        <v>8</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0</v>
      </c>
      <c r="AK214">
        <f>step3_validation[[#This Row],[AI_TRU1]]</f>
        <v>9</v>
      </c>
      <c r="AL214" t="str">
        <f t="shared" si="93"/>
        <v>Support</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1</v>
      </c>
      <c r="AP214">
        <f>step3_validation[[#This Row],[AI_TRU2]]</f>
        <v>8</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0</v>
      </c>
      <c r="AU214">
        <f>step3_validation[[#This Row],[AI_TRU3]]</f>
        <v>9</v>
      </c>
      <c r="AV214" t="str">
        <f t="shared" si="99"/>
        <v>Support</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8</v>
      </c>
      <c r="BA214" t="str">
        <f t="shared" si="102"/>
        <v>Support</v>
      </c>
      <c r="BB214">
        <f>survey_responses[[#This Row],[Tôi thấy Nhà nước đã giải thích rõ ràng, minh bạch về lý do và mục tiêu của việc sửa đổi thuế lần này. - HUMAN-TRU4]]</f>
        <v>8</v>
      </c>
      <c r="BC214" t="str">
        <f t="shared" si="103"/>
        <v>Support</v>
      </c>
      <c r="BD214" s="32">
        <f t="shared" si="104"/>
        <v>0</v>
      </c>
      <c r="BE214">
        <f>step3_validation[[#This Row],[AI_OUT1]]</f>
        <v>9</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2204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64.809338630682674</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6</v>
      </c>
      <c r="W215" t="str">
        <f t="shared" si="84"/>
        <v>Neutral</v>
      </c>
      <c r="X215">
        <f>survey_responses[[#This Row],[Tôi tin rằng Nhà nước, cơ quan thuế có đủ khả năng và công nghệ để phát hiện, xử lý nghiêm các hành vi trốn thuế. - HUMAN-ENF2]]</f>
        <v>9</v>
      </c>
      <c r="Y215" t="str">
        <f t="shared" si="85"/>
        <v>Support</v>
      </c>
      <c r="Z215" s="32">
        <f t="shared" si="86"/>
        <v>3</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7</v>
      </c>
      <c r="AL215" t="str">
        <f t="shared" si="93"/>
        <v>Neutral</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2</v>
      </c>
      <c r="AP215">
        <f>step3_validation[[#This Row],[AI_TRU2]]</f>
        <v>9</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0</v>
      </c>
      <c r="AU215">
        <f>step3_validation[[#This Row],[AI_TRU3]]</f>
        <v>6</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3</v>
      </c>
      <c r="AZ215">
        <f>step3_validation[[#This Row],[AI_TRU4]]</f>
        <v>8</v>
      </c>
      <c r="BA215" t="str">
        <f t="shared" si="102"/>
        <v>Support</v>
      </c>
      <c r="BB215">
        <f>survey_responses[[#This Row],[Tôi thấy Nhà nước đã giải thích rõ ràng, minh bạch về lý do và mục tiêu của việc sửa đổi thuế lần này. - HUMAN-TRU4]]</f>
        <v>9</v>
      </c>
      <c r="BC215" t="str">
        <f t="shared" si="103"/>
        <v>Support</v>
      </c>
      <c r="BD215" s="32">
        <f t="shared" si="104"/>
        <v>1</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0</v>
      </c>
    </row>
    <row r="216" spans="1:61" x14ac:dyDescent="0.45">
      <c r="A216" s="30">
        <f>step3_validation[[#This Row],[Persona_ID]]</f>
        <v>215</v>
      </c>
      <c r="B216" s="31">
        <f>step3_validation[[#This Row],[Used_Seed]]</f>
        <v>2205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19.821571689948538</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2</v>
      </c>
      <c r="V216">
        <f>step3_validation[[#This Row],[AI_ENF2]]</f>
        <v>8</v>
      </c>
      <c r="W216" t="str">
        <f t="shared" si="84"/>
        <v>Support</v>
      </c>
      <c r="X216">
        <f>survey_responses[[#This Row],[Tôi tin rằng Nhà nước, cơ quan thuế có đủ khả năng và công nghệ để phát hiện, xử lý nghiêm các hành vi trốn thuế. - HUMAN-ENF2]]</f>
        <v>5</v>
      </c>
      <c r="Y216" t="str">
        <f t="shared" si="85"/>
        <v>Neutral</v>
      </c>
      <c r="Z216" s="32">
        <f t="shared" si="86"/>
        <v>3</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4</v>
      </c>
      <c r="AF216">
        <f>step3_validation[[#This Row],[AI_FAC2]]</f>
        <v>9</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4</v>
      </c>
      <c r="AK216">
        <f>step3_validation[[#This Row],[AI_TRU1]]</f>
        <v>8</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3</v>
      </c>
      <c r="AP216">
        <f>step3_validation[[#This Row],[AI_TRU2]]</f>
        <v>9</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2">
        <f t="shared" si="98"/>
        <v>4</v>
      </c>
      <c r="AU216">
        <f>step3_validation[[#This Row],[AI_TRU3]]</f>
        <v>8</v>
      </c>
      <c r="AV216" t="str">
        <f t="shared" si="99"/>
        <v>Support</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3</v>
      </c>
      <c r="AZ216">
        <f>step3_validation[[#This Row],[AI_TRU4]]</f>
        <v>7</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2</v>
      </c>
      <c r="BE216">
        <f>step3_validation[[#This Row],[AI_OUT1]]</f>
        <v>9</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4</v>
      </c>
    </row>
    <row r="217" spans="1:61" x14ac:dyDescent="0.45">
      <c r="A217" s="30">
        <f>step3_validation[[#This Row],[Persona_ID]]</f>
        <v>216</v>
      </c>
      <c r="B217" s="31">
        <f>step3_validation[[#This Row],[Used_Seed]]</f>
        <v>2206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41.401414327447036</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8</v>
      </c>
      <c r="R217" t="str">
        <f t="shared" si="81"/>
        <v>Support</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2</v>
      </c>
      <c r="V217">
        <f>step3_validation[[#This Row],[AI_ENF2]]</f>
        <v>9</v>
      </c>
      <c r="W217" t="str">
        <f t="shared" si="84"/>
        <v>Support</v>
      </c>
      <c r="X217">
        <f>survey_responses[[#This Row],[Tôi tin rằng Nhà nước, cơ quan thuế có đủ khả năng và công nghệ để phát hiện, xử lý nghiêm các hành vi trốn thuế. - HUMAN-ENF2]]</f>
        <v>7</v>
      </c>
      <c r="Y217" t="str">
        <f t="shared" si="85"/>
        <v>Neutral</v>
      </c>
      <c r="Z217" s="32">
        <f t="shared" si="86"/>
        <v>2</v>
      </c>
      <c r="AA217">
        <f>step3_validation[[#This Row],[AI_FAC1]]</f>
        <v>7</v>
      </c>
      <c r="AB217" t="str">
        <f t="shared" si="87"/>
        <v>Neutral</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0</v>
      </c>
      <c r="AF217">
        <f>step3_validation[[#This Row],[AI_FAC2]]</f>
        <v>9</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2</v>
      </c>
      <c r="AK217">
        <f>step3_validation[[#This Row],[AI_TRU1]]</f>
        <v>7</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1</v>
      </c>
      <c r="AP217">
        <f>step3_validation[[#This Row],[AI_TRU2]]</f>
        <v>8</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1</v>
      </c>
      <c r="AU217">
        <f>step3_validation[[#This Row],[AI_TRU3]]</f>
        <v>7</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0</v>
      </c>
      <c r="AZ217">
        <f>step3_validation[[#This Row],[AI_TRU4]]</f>
        <v>6</v>
      </c>
      <c r="BA217" t="str">
        <f t="shared" si="102"/>
        <v>Neutral</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8</v>
      </c>
      <c r="BF217" t="str">
        <f t="shared" si="105"/>
        <v>Support</v>
      </c>
      <c r="BG217">
        <f>survey_responses[[#This Row],[Sau khi xem xét các quyền lợi và nghĩa vụ, bạn có ủng hộ và tuân thủ chính sách mới hiện nay? - HUMAN-OUT1]]</f>
        <v>7</v>
      </c>
      <c r="BH217" t="str">
        <f t="shared" si="106"/>
        <v>Neutral</v>
      </c>
      <c r="BI217" s="32">
        <f t="shared" si="107"/>
        <v>1</v>
      </c>
    </row>
    <row r="218" spans="1:61" x14ac:dyDescent="0.45">
      <c r="A218" s="30">
        <f>step3_validation[[#This Row],[Persona_ID]]</f>
        <v>217</v>
      </c>
      <c r="B218" s="31">
        <f>step3_validation[[#This Row],[Used_Seed]]</f>
        <v>2207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41.834261296939601</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6</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1</v>
      </c>
      <c r="V218">
        <f>step3_validation[[#This Row],[AI_ENF2]]</f>
        <v>7</v>
      </c>
      <c r="W218" t="str">
        <f t="shared" si="84"/>
        <v>Neutral</v>
      </c>
      <c r="X218">
        <f>survey_responses[[#This Row],[Tôi tin rằng Nhà nước, cơ quan thuế có đủ khả năng và công nghệ để phát hiện, xử lý nghiêm các hành vi trốn thuế. - HUMAN-ENF2]]</f>
        <v>5</v>
      </c>
      <c r="Y218" t="str">
        <f t="shared" si="85"/>
        <v>Neutral</v>
      </c>
      <c r="Z218" s="32">
        <f t="shared" si="86"/>
        <v>2</v>
      </c>
      <c r="AA218">
        <f>step3_validation[[#This Row],[AI_FAC1]]</f>
        <v>8</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3</v>
      </c>
      <c r="AF218">
        <f>step3_validation[[#This Row],[AI_FAC2]]</f>
        <v>9</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3</v>
      </c>
      <c r="AK218">
        <f>step3_validation[[#This Row],[AI_TRU1]]</f>
        <v>8</v>
      </c>
      <c r="AL218" t="str">
        <f t="shared" si="93"/>
        <v>Support</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3</v>
      </c>
      <c r="AP218">
        <f>step3_validation[[#This Row],[AI_TRU2]]</f>
        <v>9</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4</v>
      </c>
      <c r="AU218">
        <f>step3_validation[[#This Row],[AI_TRU3]]</f>
        <v>8</v>
      </c>
      <c r="AV218" t="str">
        <f t="shared" si="99"/>
        <v>Support</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3</v>
      </c>
      <c r="AZ218">
        <f>step3_validation[[#This Row],[AI_TRU4]]</f>
        <v>9</v>
      </c>
      <c r="BA218" t="str">
        <f t="shared" si="102"/>
        <v>Support</v>
      </c>
      <c r="BB218">
        <f>survey_responses[[#This Row],[Tôi thấy Nhà nước đã giải thích rõ ràng, minh bạch về lý do và mục tiêu của việc sửa đổi thuế lần này. - HUMAN-TRU4]]</f>
        <v>5</v>
      </c>
      <c r="BC218" t="str">
        <f t="shared" si="103"/>
        <v>Neutral</v>
      </c>
      <c r="BD218" s="32">
        <f t="shared" si="104"/>
        <v>4</v>
      </c>
      <c r="BE218">
        <f>step3_validation[[#This Row],[AI_OUT1]]</f>
        <v>8</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3</v>
      </c>
    </row>
    <row r="219" spans="1:61" x14ac:dyDescent="0.45">
      <c r="A219" s="30">
        <f>step3_validation[[#This Row],[Persona_ID]]</f>
        <v>218</v>
      </c>
      <c r="B219" s="31">
        <f>step3_validation[[#This Row],[Used_Seed]]</f>
        <v>2208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65.255038986454082</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8</v>
      </c>
      <c r="R219" t="str">
        <f t="shared" si="81"/>
        <v>Support</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2</v>
      </c>
      <c r="V219">
        <f>step3_validation[[#This Row],[AI_ENF2]]</f>
        <v>7</v>
      </c>
      <c r="W219" t="str">
        <f t="shared" si="84"/>
        <v>Neutral</v>
      </c>
      <c r="X219">
        <f>survey_responses[[#This Row],[Tôi tin rằng Nhà nước, cơ quan thuế có đủ khả năng và công nghệ để phát hiện, xử lý nghiêm các hành vi trốn thuế. - HUMAN-ENF2]]</f>
        <v>7</v>
      </c>
      <c r="Y219" t="str">
        <f t="shared" si="85"/>
        <v>Neutral</v>
      </c>
      <c r="Z219" s="32">
        <f t="shared" si="86"/>
        <v>0</v>
      </c>
      <c r="AA219">
        <f>step3_validation[[#This Row],[AI_FAC1]]</f>
        <v>9</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2</v>
      </c>
      <c r="AF219">
        <f>step3_validation[[#This Row],[AI_FAC2]]</f>
        <v>10</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3</v>
      </c>
      <c r="AK219">
        <f>step3_validation[[#This Row],[AI_TRU1]]</f>
        <v>8</v>
      </c>
      <c r="AL219" t="str">
        <f t="shared" si="93"/>
        <v>Support</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1</v>
      </c>
      <c r="AP219">
        <f>step3_validation[[#This Row],[AI_TRU2]]</f>
        <v>9</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2</v>
      </c>
      <c r="AU219">
        <f>step3_validation[[#This Row],[AI_TRU3]]</f>
        <v>8</v>
      </c>
      <c r="AV219" t="str">
        <f t="shared" si="99"/>
        <v>Support</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1</v>
      </c>
      <c r="AZ219">
        <f>step3_validation[[#This Row],[AI_TRU4]]</f>
        <v>7</v>
      </c>
      <c r="BA219" t="str">
        <f t="shared" si="102"/>
        <v>Neutral</v>
      </c>
      <c r="BB219">
        <f>survey_responses[[#This Row],[Tôi thấy Nhà nước đã giải thích rõ ràng, minh bạch về lý do và mục tiêu của việc sửa đổi thuế lần này. - HUMAN-TRU4]]</f>
        <v>7</v>
      </c>
      <c r="BC219" t="str">
        <f t="shared" si="103"/>
        <v>Neutral</v>
      </c>
      <c r="BD219" s="32">
        <f t="shared" si="104"/>
        <v>0</v>
      </c>
      <c r="BE219">
        <f>step3_validation[[#This Row],[AI_OUT1]]</f>
        <v>9</v>
      </c>
      <c r="BF219" t="str">
        <f t="shared" si="105"/>
        <v>Support</v>
      </c>
      <c r="BG219">
        <f>survey_responses[[#This Row],[Sau khi xem xét các quyền lợi và nghĩa vụ, bạn có ủng hộ và tuân thủ chính sách mới hiện nay? - HUMAN-OUT1]]</f>
        <v>7</v>
      </c>
      <c r="BH219" t="str">
        <f t="shared" si="106"/>
        <v>Neutral</v>
      </c>
      <c r="BI219" s="32">
        <f t="shared" si="107"/>
        <v>2</v>
      </c>
    </row>
    <row r="220" spans="1:61" x14ac:dyDescent="0.45">
      <c r="A220" s="30">
        <f>step3_validation[[#This Row],[Persona_ID]]</f>
        <v>219</v>
      </c>
      <c r="B220" s="31">
        <f>step3_validation[[#This Row],[Used_Seed]]</f>
        <v>2209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149.08467482785926</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5</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2</v>
      </c>
      <c r="V220">
        <f>step3_validation[[#This Row],[AI_ENF2]]</f>
        <v>6</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2</v>
      </c>
      <c r="AA220">
        <f>step3_validation[[#This Row],[AI_FAC1]]</f>
        <v>7</v>
      </c>
      <c r="AB220" t="str">
        <f t="shared" si="87"/>
        <v>Neutral</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1</v>
      </c>
      <c r="AF220">
        <f>step3_validation[[#This Row],[AI_FAC2]]</f>
        <v>8</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0</v>
      </c>
      <c r="AK220">
        <f>step3_validation[[#This Row],[AI_TRU1]]</f>
        <v>6</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2</v>
      </c>
      <c r="AP220">
        <f>step3_validation[[#This Row],[AI_TRU2]]</f>
        <v>9</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4</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6</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8</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2</v>
      </c>
    </row>
    <row r="221" spans="1:61" x14ac:dyDescent="0.45">
      <c r="A221" s="30">
        <f>step3_validation[[#This Row],[Persona_ID]]</f>
        <v>220</v>
      </c>
      <c r="B221" s="31">
        <f>step3_validation[[#This Row],[Used_Seed]]</f>
        <v>2210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215.45995146555558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9</v>
      </c>
      <c r="R221" t="str">
        <f t="shared" si="81"/>
        <v>Support</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1</v>
      </c>
      <c r="V221">
        <f>step3_validation[[#This Row],[AI_ENF2]]</f>
        <v>9</v>
      </c>
      <c r="W221" t="str">
        <f t="shared" si="84"/>
        <v>Support</v>
      </c>
      <c r="X221">
        <f>survey_responses[[#This Row],[Tôi tin rằng Nhà nước, cơ quan thuế có đủ khả năng và công nghệ để phát hiện, xử lý nghiêm các hành vi trốn thuế. - HUMAN-ENF2]]</f>
        <v>10</v>
      </c>
      <c r="Y221" t="str">
        <f t="shared" si="85"/>
        <v>Support</v>
      </c>
      <c r="Z221" s="32">
        <f t="shared" si="86"/>
        <v>1</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8</v>
      </c>
      <c r="AL221" t="str">
        <f t="shared" si="93"/>
        <v>Support</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1</v>
      </c>
      <c r="AP221">
        <f>step3_validation[[#This Row],[AI_TRU2]]</f>
        <v>9</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0</v>
      </c>
      <c r="AU221">
        <f>step3_validation[[#This Row],[AI_TRU3]]</f>
        <v>8</v>
      </c>
      <c r="AV221" t="str">
        <f t="shared" si="99"/>
        <v>Support</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1</v>
      </c>
      <c r="AZ221">
        <f>step3_validation[[#This Row],[AI_TRU4]]</f>
        <v>9</v>
      </c>
      <c r="BA221" t="str">
        <f t="shared" si="102"/>
        <v>Support</v>
      </c>
      <c r="BB221">
        <f>survey_responses[[#This Row],[Tôi thấy Nhà nước đã giải thích rõ ràng, minh bạch về lý do và mục tiêu của việc sửa đổi thuế lần này. - HUMAN-TRU4]]</f>
        <v>8</v>
      </c>
      <c r="BC221" t="str">
        <f t="shared" si="103"/>
        <v>Support</v>
      </c>
      <c r="BD221" s="32">
        <f t="shared" si="104"/>
        <v>1</v>
      </c>
      <c r="BE221">
        <f>step3_validation[[#This Row],[AI_OUT1]]</f>
        <v>8</v>
      </c>
      <c r="BF221" t="str">
        <f t="shared" si="105"/>
        <v>Support</v>
      </c>
      <c r="BG221">
        <f>survey_responses[[#This Row],[Sau khi xem xét các quyền lợi và nghĩa vụ, bạn có ủng hộ và tuân thủ chính sách mới hiện nay? - HUMAN-OUT1]]</f>
        <v>8</v>
      </c>
      <c r="BH221" t="str">
        <f t="shared" si="106"/>
        <v>Support</v>
      </c>
      <c r="BI221" s="32">
        <f t="shared" si="107"/>
        <v>0</v>
      </c>
    </row>
    <row r="222" spans="1:61" x14ac:dyDescent="0.45">
      <c r="A222" s="30">
        <f>step3_validation[[#This Row],[Persona_ID]]</f>
        <v>221</v>
      </c>
      <c r="B222" s="31">
        <f>step3_validation[[#This Row],[Used_Seed]]</f>
        <v>2211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64.305378599568215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6</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2</v>
      </c>
      <c r="V222">
        <f>step3_validation[[#This Row],[AI_ENF2]]</f>
        <v>6</v>
      </c>
      <c r="W222" t="str">
        <f t="shared" si="84"/>
        <v>Neutral</v>
      </c>
      <c r="X222">
        <f>survey_responses[[#This Row],[Tôi tin rằng Nhà nước, cơ quan thuế có đủ khả năng và công nghệ để phát hiện, xử lý nghiêm các hành vi trốn thuế. - HUMAN-ENF2]]</f>
        <v>4</v>
      </c>
      <c r="Y222" t="str">
        <f t="shared" si="85"/>
        <v>Oppose</v>
      </c>
      <c r="Z222" s="32">
        <f t="shared" si="86"/>
        <v>2</v>
      </c>
      <c r="AA222">
        <f>step3_validation[[#This Row],[AI_FAC1]]</f>
        <v>7</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3</v>
      </c>
      <c r="AF222">
        <f>step3_validation[[#This Row],[AI_FAC2]]</f>
        <v>7</v>
      </c>
      <c r="AG222" t="str">
        <f t="shared" si="90"/>
        <v>Neutral</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1</v>
      </c>
      <c r="AK222">
        <f>step3_validation[[#This Row],[AI_TRU1]]</f>
        <v>8</v>
      </c>
      <c r="AL222" t="str">
        <f t="shared" si="93"/>
        <v>Support</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3</v>
      </c>
      <c r="AP222">
        <f>step3_validation[[#This Row],[AI_TRU2]]</f>
        <v>9</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3</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8</v>
      </c>
      <c r="BA222" t="str">
        <f t="shared" si="102"/>
        <v>Support</v>
      </c>
      <c r="BB222">
        <f>survey_responses[[#This Row],[Tôi thấy Nhà nước đã giải thích rõ ràng, minh bạch về lý do và mục tiêu của việc sửa đổi thuế lần này. - HUMAN-TRU4]]</f>
        <v>6</v>
      </c>
      <c r="BC222" t="str">
        <f t="shared" si="103"/>
        <v>Neutral</v>
      </c>
      <c r="BD222" s="32">
        <f t="shared" si="104"/>
        <v>2</v>
      </c>
      <c r="BE222">
        <f>step3_validation[[#This Row],[AI_OUT1]]</f>
        <v>9</v>
      </c>
      <c r="BF222" t="str">
        <f t="shared" si="105"/>
        <v>Support</v>
      </c>
      <c r="BG222">
        <f>survey_responses[[#This Row],[Sau khi xem xét các quyền lợi và nghĩa vụ, bạn có ủng hộ và tuân thủ chính sách mới hiện nay? - HUMAN-OUT1]]</f>
        <v>5</v>
      </c>
      <c r="BH222" t="str">
        <f t="shared" si="106"/>
        <v>Neutral</v>
      </c>
      <c r="BI222" s="32">
        <f t="shared" si="107"/>
        <v>4</v>
      </c>
    </row>
    <row r="223" spans="1:61" x14ac:dyDescent="0.45">
      <c r="A223" s="30">
        <f>step3_validation[[#This Row],[Persona_ID]]</f>
        <v>222</v>
      </c>
      <c r="B223" s="31">
        <f>step3_validation[[#This Row],[Used_Seed]]</f>
        <v>2212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64.997736802972142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3</v>
      </c>
      <c r="V223">
        <f>step3_validation[[#This Row],[AI_ENF2]]</f>
        <v>6</v>
      </c>
      <c r="W223" t="str">
        <f t="shared" si="84"/>
        <v>Neutral</v>
      </c>
      <c r="X223">
        <f>survey_responses[[#This Row],[Tôi tin rằng Nhà nước, cơ quan thuế có đủ khả năng và công nghệ để phát hiện, xử lý nghiêm các hành vi trốn thuế. - HUMAN-ENF2]]</f>
        <v>5</v>
      </c>
      <c r="Y223" t="str">
        <f t="shared" si="85"/>
        <v>Neutral</v>
      </c>
      <c r="Z223" s="32">
        <f t="shared" si="86"/>
        <v>1</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6</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1</v>
      </c>
      <c r="AP223">
        <f>step3_validation[[#This Row],[AI_TRU2]]</f>
        <v>8</v>
      </c>
      <c r="AQ223" t="str">
        <f t="shared" si="96"/>
        <v>Support</v>
      </c>
      <c r="AR223">
        <f>survey_responses[[#This Row],[Tôi thấy mức thuế tôi phải đóng theo phương án mới là công bằng (người thu nhập như tôi đóng mức này là hợp lý). - HUMAN-TRU2]]</f>
        <v>5</v>
      </c>
      <c r="AS223" t="str">
        <f t="shared" si="97"/>
        <v>Neutral</v>
      </c>
      <c r="AT223" s="32">
        <f t="shared" si="98"/>
        <v>3</v>
      </c>
      <c r="AU223">
        <f>step3_validation[[#This Row],[AI_TRU3]]</f>
        <v>7</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2</v>
      </c>
      <c r="AZ223">
        <f>step3_validation[[#This Row],[AI_TRU4]]</f>
        <v>5</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0</v>
      </c>
      <c r="BE223">
        <f>step3_validation[[#This Row],[AI_OUT1]]</f>
        <v>8</v>
      </c>
      <c r="BF223" t="str">
        <f t="shared" si="105"/>
        <v>Support</v>
      </c>
      <c r="BG223">
        <f>survey_responses[[#This Row],[Sau khi xem xét các quyền lợi và nghĩa vụ, bạn có ủng hộ và tuân thủ chính sách mới hiện nay? - HUMAN-OUT1]]</f>
        <v>5</v>
      </c>
      <c r="BH223" t="str">
        <f t="shared" si="106"/>
        <v>Neutral</v>
      </c>
      <c r="BI223" s="32">
        <f t="shared" si="107"/>
        <v>3</v>
      </c>
    </row>
    <row r="224" spans="1:61" x14ac:dyDescent="0.45">
      <c r="A224" s="30">
        <f>step3_validation[[#This Row],[Persona_ID]]</f>
        <v>223</v>
      </c>
      <c r="B224" s="31">
        <f>step3_validation[[#This Row],[Used_Seed]]</f>
        <v>2213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65.920209687056527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9</v>
      </c>
      <c r="R224" t="str">
        <f t="shared" si="81"/>
        <v>Support</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3</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9</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3</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2</v>
      </c>
      <c r="AU224">
        <f>step3_validation[[#This Row],[AI_TRU3]]</f>
        <v>9</v>
      </c>
      <c r="AV224" t="str">
        <f t="shared" si="99"/>
        <v>Support</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1</v>
      </c>
      <c r="AZ224">
        <f>step3_validation[[#This Row],[AI_TRU4]]</f>
        <v>8</v>
      </c>
      <c r="BA224" t="str">
        <f t="shared" si="102"/>
        <v>Support</v>
      </c>
      <c r="BB224">
        <f>survey_responses[[#This Row],[Tôi thấy Nhà nước đã giải thích rõ ràng, minh bạch về lý do và mục tiêu của việc sửa đổi thuế lần này. - HUMAN-TRU4]]</f>
        <v>8</v>
      </c>
      <c r="BC224" t="str">
        <f t="shared" si="103"/>
        <v>Support</v>
      </c>
      <c r="BD224" s="32">
        <f t="shared" si="104"/>
        <v>0</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2</v>
      </c>
    </row>
    <row r="225" spans="1:61" x14ac:dyDescent="0.45">
      <c r="A225" s="30">
        <f>step3_validation[[#This Row],[Persona_ID]]</f>
        <v>224</v>
      </c>
      <c r="B225" s="31">
        <f>step3_validation[[#This Row],[Used_Seed]]</f>
        <v>2214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54.0873404483496</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0</v>
      </c>
      <c r="V225">
        <f>step3_validation[[#This Row],[AI_ENF2]]</f>
        <v>7</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2">
        <f t="shared" si="86"/>
        <v>0</v>
      </c>
      <c r="AA225">
        <f>step3_validation[[#This Row],[AI_FAC1]]</f>
        <v>8</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1</v>
      </c>
      <c r="AF225">
        <f>step3_validation[[#This Row],[AI_FAC2]]</f>
        <v>9</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2</v>
      </c>
      <c r="AK225">
        <f>step3_validation[[#This Row],[AI_TRU1]]</f>
        <v>8</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1</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7</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0</v>
      </c>
      <c r="AZ225">
        <f>step3_validation[[#This Row],[AI_TRU4]]</f>
        <v>6</v>
      </c>
      <c r="BA225" t="str">
        <f t="shared" si="102"/>
        <v>Neutral</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2215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43.414690117838731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7</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1</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9</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3</v>
      </c>
      <c r="AU226">
        <f>step3_validation[[#This Row],[AI_TRU3]]</f>
        <v>7</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8</v>
      </c>
      <c r="BA226" t="str">
        <f t="shared" si="102"/>
        <v>Support</v>
      </c>
      <c r="BB226">
        <f>survey_responses[[#This Row],[Tôi thấy Nhà nước đã giải thích rõ ràng, minh bạch về lý do và mục tiêu của việc sửa đổi thuế lần này. - HUMAN-TRU4]]</f>
        <v>6</v>
      </c>
      <c r="BC226" t="str">
        <f t="shared" si="103"/>
        <v>Neutral</v>
      </c>
      <c r="BD226" s="32">
        <f t="shared" si="104"/>
        <v>2</v>
      </c>
      <c r="BE226">
        <f>step3_validation[[#This Row],[AI_OUT1]]</f>
        <v>9</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2</v>
      </c>
    </row>
    <row r="227" spans="1:61" x14ac:dyDescent="0.45">
      <c r="A227" s="30">
        <f>step3_validation[[#This Row],[Persona_ID]]</f>
        <v>226</v>
      </c>
      <c r="B227" s="31">
        <f>step3_validation[[#This Row],[Used_Seed]]</f>
        <v>2216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84.074035270115829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9</v>
      </c>
      <c r="R227" t="str">
        <f t="shared" si="81"/>
        <v>Support</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2</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8</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2</v>
      </c>
      <c r="AF227">
        <f>step3_validation[[#This Row],[AI_FAC2]]</f>
        <v>9</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2</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8</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7</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0</v>
      </c>
      <c r="AZ227">
        <f>step3_validation[[#This Row],[AI_TRU4]]</f>
        <v>6</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1</v>
      </c>
      <c r="BE227">
        <f>step3_validation[[#This Row],[AI_OUT1]]</f>
        <v>8</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1</v>
      </c>
    </row>
    <row r="228" spans="1:61" x14ac:dyDescent="0.45">
      <c r="A228" s="30">
        <f>step3_validation[[#This Row],[Persona_ID]]</f>
        <v>227</v>
      </c>
      <c r="B228" s="31">
        <f>step3_validation[[#This Row],[Used_Seed]]</f>
        <v>2217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26.554586124237517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6</v>
      </c>
      <c r="W228" t="str">
        <f t="shared" si="84"/>
        <v>Neutral</v>
      </c>
      <c r="X228">
        <f>survey_responses[[#This Row],[Tôi tin rằng Nhà nước, cơ quan thuế có đủ khả năng và công nghệ để phát hiện, xử lý nghiêm các hành vi trốn thuế. - HUMAN-ENF2]]</f>
        <v>6</v>
      </c>
      <c r="Y228" t="str">
        <f t="shared" si="85"/>
        <v>Neutral</v>
      </c>
      <c r="Z228" s="32">
        <f t="shared" si="86"/>
        <v>0</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10</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4</v>
      </c>
      <c r="AK228">
        <f>step3_validation[[#This Row],[AI_TRU1]]</f>
        <v>7</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8</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2</v>
      </c>
      <c r="AU228">
        <f>step3_validation[[#This Row],[AI_TRU3]]</f>
        <v>7</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6</v>
      </c>
      <c r="BA228" t="str">
        <f t="shared" si="102"/>
        <v>Neutral</v>
      </c>
      <c r="BB228">
        <f>survey_responses[[#This Row],[Tôi thấy Nhà nước đã giải thích rõ ràng, minh bạch về lý do và mục tiêu của việc sửa đổi thuế lần này. - HUMAN-TRU4]]</f>
        <v>6</v>
      </c>
      <c r="BC228" t="str">
        <f t="shared" si="103"/>
        <v>Neutral</v>
      </c>
      <c r="BD228" s="32">
        <f t="shared" si="104"/>
        <v>0</v>
      </c>
      <c r="BE228">
        <f>step3_validation[[#This Row],[AI_OUT1]]</f>
        <v>9</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3</v>
      </c>
    </row>
    <row r="229" spans="1:61" x14ac:dyDescent="0.45">
      <c r="A229" s="30">
        <f>step3_validation[[#This Row],[Persona_ID]]</f>
        <v>228</v>
      </c>
      <c r="B229" s="31">
        <f>step3_validation[[#This Row],[Used_Seed]]</f>
        <v>2218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18.971675083764307</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6</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2</v>
      </c>
      <c r="V229">
        <f>step3_validation[[#This Row],[AI_ENF2]]</f>
        <v>7</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2</v>
      </c>
      <c r="AA229">
        <f>step3_validation[[#This Row],[AI_FAC1]]</f>
        <v>9</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2</v>
      </c>
      <c r="AF229">
        <f>step3_validation[[#This Row],[AI_FAC2]]</f>
        <v>8</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0</v>
      </c>
      <c r="AK229">
        <f>step3_validation[[#This Row],[AI_TRU1]]</f>
        <v>9</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0</v>
      </c>
      <c r="AP229">
        <f>step3_validation[[#This Row],[AI_TRU2]]</f>
        <v>8</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2">
        <f t="shared" si="98"/>
        <v>0</v>
      </c>
      <c r="AU229">
        <f>step3_validation[[#This Row],[AI_TRU3]]</f>
        <v>9</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1</v>
      </c>
      <c r="AZ229">
        <f>step3_validation[[#This Row],[AI_TRU4]]</f>
        <v>8</v>
      </c>
      <c r="BA229" t="str">
        <f t="shared" si="102"/>
        <v>Support</v>
      </c>
      <c r="BB229">
        <f>survey_responses[[#This Row],[Tôi thấy Nhà nước đã giải thích rõ ràng, minh bạch về lý do và mục tiêu của việc sửa đổi thuế lần này. - HUMAN-TRU4]]</f>
        <v>8</v>
      </c>
      <c r="BC229" t="str">
        <f t="shared" si="103"/>
        <v>Support</v>
      </c>
      <c r="BD229" s="32">
        <f t="shared" si="104"/>
        <v>0</v>
      </c>
      <c r="BE229">
        <f>step3_validation[[#This Row],[AI_OUT1]]</f>
        <v>9</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2219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62.619751996049857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5</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1</v>
      </c>
      <c r="V230">
        <f>step3_validation[[#This Row],[AI_ENF2]]</f>
        <v>7</v>
      </c>
      <c r="W230" t="str">
        <f t="shared" si="84"/>
        <v>Neutral</v>
      </c>
      <c r="X230">
        <f>survey_responses[[#This Row],[Tôi tin rằng Nhà nước, cơ quan thuế có đủ khả năng và công nghệ để phát hiện, xử lý nghiêm các hành vi trốn thuế. - HUMAN-ENF2]]</f>
        <v>6</v>
      </c>
      <c r="Y230" t="str">
        <f t="shared" si="85"/>
        <v>Neutral</v>
      </c>
      <c r="Z230" s="32">
        <f t="shared" si="86"/>
        <v>1</v>
      </c>
      <c r="AA230">
        <f>step3_validation[[#This Row],[AI_FAC1]]</f>
        <v>9</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3</v>
      </c>
      <c r="AF230">
        <f>step3_validation[[#This Row],[AI_FAC2]]</f>
        <v>8</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2</v>
      </c>
      <c r="AK230">
        <f>step3_validation[[#This Row],[AI_TRU1]]</f>
        <v>7</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1</v>
      </c>
      <c r="AP230">
        <f>step3_validation[[#This Row],[AI_TRU2]]</f>
        <v>8</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1</v>
      </c>
      <c r="AU230">
        <f>step3_validation[[#This Row],[AI_TRU3]]</f>
        <v>6</v>
      </c>
      <c r="AV230" t="str">
        <f t="shared" si="99"/>
        <v>Neutral</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0</v>
      </c>
      <c r="AZ230">
        <f>step3_validation[[#This Row],[AI_TRU4]]</f>
        <v>7</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1</v>
      </c>
      <c r="BE230">
        <f>step3_validation[[#This Row],[AI_OUT1]]</f>
        <v>9</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2</v>
      </c>
    </row>
    <row r="231" spans="1:61" x14ac:dyDescent="0.45">
      <c r="A231" s="30">
        <f>step3_validation[[#This Row],[Persona_ID]]</f>
        <v>230</v>
      </c>
      <c r="B231" s="31">
        <f>step3_validation[[#This Row],[Used_Seed]]</f>
        <v>2220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95.054824638140062</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3</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9</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8</v>
      </c>
      <c r="AF231">
        <f>step3_validation[[#This Row],[AI_FAC2]]</f>
        <v>10</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4</v>
      </c>
      <c r="AK231">
        <f>step3_validation[[#This Row],[AI_TRU1]]</f>
        <v>9</v>
      </c>
      <c r="AL231" t="str">
        <f t="shared" si="93"/>
        <v>Support</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5</v>
      </c>
      <c r="AP231">
        <f>step3_validation[[#This Row],[AI_TRU2]]</f>
        <v>8</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4</v>
      </c>
      <c r="AU231">
        <f>step3_validation[[#This Row],[AI_TRU3]]</f>
        <v>9</v>
      </c>
      <c r="AV231" t="str">
        <f t="shared" si="99"/>
        <v>Support</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4</v>
      </c>
      <c r="AZ231">
        <f>step3_validation[[#This Row],[AI_TRU4]]</f>
        <v>7</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2</v>
      </c>
      <c r="BE231">
        <f>step3_validation[[#This Row],[AI_OUT1]]</f>
        <v>8</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3</v>
      </c>
    </row>
    <row r="232" spans="1:61" x14ac:dyDescent="0.45">
      <c r="A232" s="30">
        <f>step3_validation[[#This Row],[Persona_ID]]</f>
        <v>231</v>
      </c>
      <c r="B232" s="31">
        <f>step3_validation[[#This Row],[Used_Seed]]</f>
        <v>2221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186.43692716427915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6</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2</v>
      </c>
      <c r="V232">
        <f>step3_validation[[#This Row],[AI_ENF2]]</f>
        <v>8</v>
      </c>
      <c r="W232" t="str">
        <f t="shared" si="84"/>
        <v>Support</v>
      </c>
      <c r="X232">
        <f>survey_responses[[#This Row],[Tôi tin rằng Nhà nước, cơ quan thuế có đủ khả năng và công nghệ để phát hiện, xử lý nghiêm các hành vi trốn thuế. - HUMAN-ENF2]]</f>
        <v>8</v>
      </c>
      <c r="Y232" t="str">
        <f t="shared" si="85"/>
        <v>Support</v>
      </c>
      <c r="Z232" s="32">
        <f t="shared" si="86"/>
        <v>0</v>
      </c>
      <c r="AA232">
        <f>step3_validation[[#This Row],[AI_FAC1]]</f>
        <v>7</v>
      </c>
      <c r="AB232" t="str">
        <f t="shared" si="87"/>
        <v>Neutral</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1</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8</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1</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1</v>
      </c>
      <c r="AZ232">
        <f>step3_validation[[#This Row],[AI_TRU4]]</f>
        <v>9</v>
      </c>
      <c r="BA232" t="str">
        <f t="shared" si="102"/>
        <v>Support</v>
      </c>
      <c r="BB232">
        <f>survey_responses[[#This Row],[Tôi thấy Nhà nước đã giải thích rõ ràng, minh bạch về lý do và mục tiêu của việc sửa đổi thuế lần này. - HUMAN-TRU4]]</f>
        <v>7</v>
      </c>
      <c r="BC232" t="str">
        <f t="shared" si="103"/>
        <v>Neutral</v>
      </c>
      <c r="BD232" s="32">
        <f t="shared" si="104"/>
        <v>2</v>
      </c>
      <c r="BE232">
        <f>step3_validation[[#This Row],[AI_OUT1]]</f>
        <v>8</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0</v>
      </c>
    </row>
    <row r="233" spans="1:61" x14ac:dyDescent="0.45">
      <c r="A233" s="30">
        <f>step3_validation[[#This Row],[Persona_ID]]</f>
        <v>232</v>
      </c>
      <c r="B233" s="31">
        <f>step3_validation[[#This Row],[Used_Seed]]</f>
        <v>2222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54.677067865377872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6</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2">
        <f t="shared" si="86"/>
        <v>0</v>
      </c>
      <c r="AA233">
        <f>step3_validation[[#This Row],[AI_FAC1]]</f>
        <v>8</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2</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3</v>
      </c>
      <c r="AK233">
        <f>step3_validation[[#This Row],[AI_TRU1]]</f>
        <v>8</v>
      </c>
      <c r="AL233" t="str">
        <f t="shared" si="93"/>
        <v>Support</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2</v>
      </c>
      <c r="AP233">
        <f>step3_validation[[#This Row],[AI_TRU2]]</f>
        <v>9</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3</v>
      </c>
      <c r="AU233">
        <f>step3_validation[[#This Row],[AI_TRU3]]</f>
        <v>8</v>
      </c>
      <c r="AV233" t="str">
        <f t="shared" si="99"/>
        <v>Support</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2</v>
      </c>
      <c r="AZ233">
        <f>step3_validation[[#This Row],[AI_TRU4]]</f>
        <v>9</v>
      </c>
      <c r="BA233" t="str">
        <f t="shared" si="102"/>
        <v>Support</v>
      </c>
      <c r="BB233">
        <f>survey_responses[[#This Row],[Tôi thấy Nhà nước đã giải thích rõ ràng, minh bạch về lý do và mục tiêu của việc sửa đổi thuế lần này. - HUMAN-TRU4]]</f>
        <v>6</v>
      </c>
      <c r="BC233" t="str">
        <f t="shared" si="103"/>
        <v>Neutral</v>
      </c>
      <c r="BD233" s="32">
        <f t="shared" si="104"/>
        <v>3</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2</v>
      </c>
    </row>
    <row r="234" spans="1:61" x14ac:dyDescent="0.45">
      <c r="A234" s="30">
        <f>step3_validation[[#This Row],[Persona_ID]]</f>
        <v>233</v>
      </c>
      <c r="B234" s="31">
        <f>step3_validation[[#This Row],[Used_Seed]]</f>
        <v>2223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13.101521068160853</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t="str">
        <f t="shared" si="81"/>
        <v>Support</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0</v>
      </c>
      <c r="V234">
        <f>step3_validation[[#This Row],[AI_ENF2]]</f>
        <v>9</v>
      </c>
      <c r="W234" t="str">
        <f t="shared" si="84"/>
        <v>Support</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8</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0</v>
      </c>
      <c r="AF234">
        <f>step3_validation[[#This Row],[AI_FAC2]]</f>
        <v>9</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1</v>
      </c>
      <c r="AK234">
        <f>step3_validation[[#This Row],[AI_TRU1]]</f>
        <v>8</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1</v>
      </c>
      <c r="AP234">
        <f>step3_validation[[#This Row],[AI_TRU2]]</f>
        <v>9</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2">
        <f t="shared" si="98"/>
        <v>1</v>
      </c>
      <c r="AU234">
        <f>step3_validation[[#This Row],[AI_TRU3]]</f>
        <v>8</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0</v>
      </c>
      <c r="AZ234">
        <f>step3_validation[[#This Row],[AI_TRU4]]</f>
        <v>9</v>
      </c>
      <c r="BA234" t="str">
        <f t="shared" si="102"/>
        <v>Support</v>
      </c>
      <c r="BB234">
        <f>survey_responses[[#This Row],[Tôi thấy Nhà nước đã giải thích rõ ràng, minh bạch về lý do và mục tiêu của việc sửa đổi thuế lần này. - HUMAN-TRU4]]</f>
        <v>8</v>
      </c>
      <c r="BC234" t="str">
        <f t="shared" si="103"/>
        <v>Support</v>
      </c>
      <c r="BD234" s="32">
        <f t="shared" si="104"/>
        <v>1</v>
      </c>
      <c r="BE234">
        <f>step3_validation[[#This Row],[AI_OUT1]]</f>
        <v>9</v>
      </c>
      <c r="BF234" t="str">
        <f t="shared" si="105"/>
        <v>Support</v>
      </c>
      <c r="BG234">
        <f>survey_responses[[#This Row],[Sau khi xem xét các quyền lợi và nghĩa vụ, bạn có ủng hộ và tuân thủ chính sách mới hiện nay? - HUMAN-OUT1]]</f>
        <v>10</v>
      </c>
      <c r="BH234" t="str">
        <f t="shared" si="106"/>
        <v>Support</v>
      </c>
      <c r="BI234" s="32">
        <f t="shared" si="107"/>
        <v>1</v>
      </c>
    </row>
    <row r="235" spans="1:61" x14ac:dyDescent="0.45">
      <c r="A235" s="30">
        <f>step3_validation[[#This Row],[Persona_ID]]</f>
        <v>234</v>
      </c>
      <c r="B235" s="31">
        <f>step3_validation[[#This Row],[Used_Seed]]</f>
        <v>2224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91.549762628109718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t="str">
        <f t="shared" si="81"/>
        <v>Support</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4</v>
      </c>
      <c r="V235">
        <f>step3_validation[[#This Row],[AI_ENF2]]</f>
        <v>9</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5</v>
      </c>
      <c r="AA235">
        <f>step3_validation[[#This Row],[AI_FAC1]]</f>
        <v>7</v>
      </c>
      <c r="AB235" t="str">
        <f t="shared" si="87"/>
        <v>Neutral</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3</v>
      </c>
      <c r="AF235">
        <f>step3_validation[[#This Row],[AI_FAC2]]</f>
        <v>9</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5</v>
      </c>
      <c r="AK235">
        <f>step3_validation[[#This Row],[AI_TRU1]]</f>
        <v>7</v>
      </c>
      <c r="AL235" t="str">
        <f t="shared" si="93"/>
        <v>Neutral</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6</v>
      </c>
      <c r="AP235">
        <f>step3_validation[[#This Row],[AI_TRU2]]</f>
        <v>8</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5</v>
      </c>
      <c r="AU235">
        <f>step3_validation[[#This Row],[AI_TRU3]]</f>
        <v>7</v>
      </c>
      <c r="AV235" t="str">
        <f t="shared" si="99"/>
        <v>Neutral</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6</v>
      </c>
      <c r="AZ235">
        <f>step3_validation[[#This Row],[AI_TRU4]]</f>
        <v>8</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7</v>
      </c>
      <c r="BE235">
        <f>step3_validation[[#This Row],[AI_OUT1]]</f>
        <v>9</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8</v>
      </c>
    </row>
    <row r="236" spans="1:61" x14ac:dyDescent="0.45">
      <c r="A236" s="30">
        <f>step3_validation[[#This Row],[Persona_ID]]</f>
        <v>235</v>
      </c>
      <c r="B236" s="31">
        <f>step3_validation[[#This Row],[Used_Seed]]</f>
        <v>2225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35.712238417609569</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8</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2">
        <f t="shared" si="86"/>
        <v>2</v>
      </c>
      <c r="AA236">
        <f>step3_validation[[#This Row],[AI_FAC1]]</f>
        <v>6</v>
      </c>
      <c r="AB236" t="str">
        <f t="shared" si="87"/>
        <v>Neutral</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5</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3</v>
      </c>
      <c r="AK236">
        <f>step3_validation[[#This Row],[AI_TRU1]]</f>
        <v>8</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3</v>
      </c>
      <c r="AP236">
        <f>step3_validation[[#This Row],[AI_TRU2]]</f>
        <v>9</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3</v>
      </c>
      <c r="AU236">
        <f>step3_validation[[#This Row],[AI_TRU3]]</f>
        <v>8</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3</v>
      </c>
      <c r="AZ236">
        <f>step3_validation[[#This Row],[AI_TRU4]]</f>
        <v>7</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2">
        <f t="shared" si="107"/>
        <v>3</v>
      </c>
    </row>
    <row r="237" spans="1:61" x14ac:dyDescent="0.45">
      <c r="A237" s="30">
        <f>step3_validation[[#This Row],[Persona_ID]]</f>
        <v>236</v>
      </c>
      <c r="B237" s="31">
        <f>step3_validation[[#This Row],[Used_Seed]]</f>
        <v>2226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58.668880008919636</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8</v>
      </c>
      <c r="W237" t="str">
        <f t="shared" si="84"/>
        <v>Support</v>
      </c>
      <c r="X237">
        <f>survey_responses[[#This Row],[Tôi tin rằng Nhà nước, cơ quan thuế có đủ khả năng và công nghệ để phát hiện, xử lý nghiêm các hành vi trốn thuế. - HUMAN-ENF2]]</f>
        <v>7</v>
      </c>
      <c r="Y237" t="str">
        <f t="shared" si="85"/>
        <v>Neutral</v>
      </c>
      <c r="Z237" s="32">
        <f t="shared" si="86"/>
        <v>1</v>
      </c>
      <c r="AA237">
        <f>step3_validation[[#This Row],[AI_FAC1]]</f>
        <v>9</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2</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2</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8</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7</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0</v>
      </c>
      <c r="AZ237">
        <f>step3_validation[[#This Row],[AI_TRU4]]</f>
        <v>8</v>
      </c>
      <c r="BA237" t="str">
        <f t="shared" si="102"/>
        <v>Support</v>
      </c>
      <c r="BB237">
        <f>survey_responses[[#This Row],[Tôi thấy Nhà nước đã giải thích rõ ràng, minh bạch về lý do và mục tiêu của việc sửa đổi thuế lần này. - HUMAN-TRU4]]</f>
        <v>7</v>
      </c>
      <c r="BC237" t="str">
        <f t="shared" si="103"/>
        <v>Neutral</v>
      </c>
      <c r="BD237" s="32">
        <f t="shared" si="104"/>
        <v>1</v>
      </c>
      <c r="BE237">
        <f>step3_validation[[#This Row],[AI_OUT1]]</f>
        <v>9</v>
      </c>
      <c r="BF237" t="str">
        <f t="shared" si="105"/>
        <v>Support</v>
      </c>
      <c r="BG237">
        <f>survey_responses[[#This Row],[Sau khi xem xét các quyền lợi và nghĩa vụ, bạn có ủng hộ và tuân thủ chính sách mới hiện nay? - HUMAN-OUT1]]</f>
        <v>7</v>
      </c>
      <c r="BH237" t="str">
        <f t="shared" si="106"/>
        <v>Neutral</v>
      </c>
      <c r="BI237" s="32">
        <f t="shared" si="107"/>
        <v>2</v>
      </c>
    </row>
    <row r="238" spans="1:61" x14ac:dyDescent="0.45">
      <c r="A238" s="30">
        <f>step3_validation[[#This Row],[Persona_ID]]</f>
        <v>237</v>
      </c>
      <c r="B238" s="31">
        <f>step3_validation[[#This Row],[Used_Seed]]</f>
        <v>2227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15.776987206239891</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5</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5</v>
      </c>
      <c r="V238">
        <f>step3_validation[[#This Row],[AI_ENF2]]</f>
        <v>8</v>
      </c>
      <c r="W238" t="str">
        <f t="shared" si="84"/>
        <v>Support</v>
      </c>
      <c r="X238">
        <f>survey_responses[[#This Row],[Tôi tin rằng Nhà nước, cơ quan thuế có đủ khả năng và công nghệ để phát hiện, xử lý nghiêm các hành vi trốn thuế. - HUMAN-ENF2]]</f>
        <v>10</v>
      </c>
      <c r="Y238" t="str">
        <f t="shared" si="85"/>
        <v>Support</v>
      </c>
      <c r="Z238" s="32">
        <f t="shared" si="86"/>
        <v>2</v>
      </c>
      <c r="AA238">
        <f>step3_validation[[#This Row],[AI_FAC1]]</f>
        <v>6</v>
      </c>
      <c r="AB238" t="str">
        <f t="shared" si="87"/>
        <v>Neutral</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2</v>
      </c>
      <c r="AF238">
        <f>step3_validation[[#This Row],[AI_FAC2]]</f>
        <v>7</v>
      </c>
      <c r="AG238" t="str">
        <f t="shared" si="90"/>
        <v>Neutral</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1</v>
      </c>
      <c r="AK238">
        <f>step3_validation[[#This Row],[AI_TRU1]]</f>
        <v>6</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3</v>
      </c>
      <c r="AP238">
        <f>step3_validation[[#This Row],[AI_TRU2]]</f>
        <v>8</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7</v>
      </c>
      <c r="AU238">
        <f>step3_validation[[#This Row],[AI_TRU3]]</f>
        <v>6</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5</v>
      </c>
      <c r="AZ238">
        <f>step3_validation[[#This Row],[AI_TRU4]]</f>
        <v>7</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4</v>
      </c>
      <c r="BE238">
        <f>step3_validation[[#This Row],[AI_OUT1]]</f>
        <v>8</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7</v>
      </c>
    </row>
    <row r="239" spans="1:61" x14ac:dyDescent="0.45">
      <c r="A239" s="30">
        <f>step3_validation[[#This Row],[Persona_ID]]</f>
        <v>238</v>
      </c>
      <c r="B239" s="31">
        <f>step3_validation[[#This Row],[Used_Seed]]</f>
        <v>2228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28.665414840729056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8</v>
      </c>
      <c r="R239" t="str">
        <f t="shared" si="81"/>
        <v>Support</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0</v>
      </c>
      <c r="V239">
        <f>step3_validation[[#This Row],[AI_ENF2]]</f>
        <v>9</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1</v>
      </c>
      <c r="AA239">
        <f>step3_validation[[#This Row],[AI_FAC1]]</f>
        <v>7</v>
      </c>
      <c r="AB239" t="str">
        <f t="shared" si="87"/>
        <v>Neutral</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9</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1</v>
      </c>
      <c r="AK239">
        <f>step3_validation[[#This Row],[AI_TRU1]]</f>
        <v>8</v>
      </c>
      <c r="AL239" t="str">
        <f t="shared" si="93"/>
        <v>Support</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1</v>
      </c>
      <c r="AP239">
        <f>step3_validation[[#This Row],[AI_TRU2]]</f>
        <v>9</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8</v>
      </c>
      <c r="AV239" t="str">
        <f t="shared" si="99"/>
        <v>Support</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1</v>
      </c>
      <c r="AZ239">
        <f>step3_validation[[#This Row],[AI_TRU4]]</f>
        <v>9</v>
      </c>
      <c r="BA239" t="str">
        <f t="shared" si="102"/>
        <v>Support</v>
      </c>
      <c r="BB239">
        <f>survey_responses[[#This Row],[Tôi thấy Nhà nước đã giải thích rõ ràng, minh bạch về lý do và mục tiêu của việc sửa đổi thuế lần này. - HUMAN-TRU4]]</f>
        <v>9</v>
      </c>
      <c r="BC239" t="str">
        <f t="shared" si="103"/>
        <v>Support</v>
      </c>
      <c r="BD239" s="32">
        <f t="shared" si="104"/>
        <v>0</v>
      </c>
      <c r="BE239">
        <f>step3_validation[[#This Row],[AI_OUT1]]</f>
        <v>10</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1</v>
      </c>
    </row>
    <row r="240" spans="1:61" x14ac:dyDescent="0.45">
      <c r="A240" s="30">
        <f>step3_validation[[#This Row],[Persona_ID]]</f>
        <v>239</v>
      </c>
      <c r="B240" s="31">
        <f>step3_validation[[#This Row],[Used_Seed]]</f>
        <v>2229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70.63326556537244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1</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9</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3</v>
      </c>
      <c r="AF240">
        <f>step3_validation[[#This Row],[AI_FAC2]]</f>
        <v>10</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4</v>
      </c>
      <c r="AK240">
        <f>step3_validation[[#This Row],[AI_TRU1]]</f>
        <v>7</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1</v>
      </c>
      <c r="AP240">
        <f>step3_validation[[#This Row],[AI_TRU2]]</f>
        <v>9</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3</v>
      </c>
      <c r="AU240">
        <f>step3_validation[[#This Row],[AI_TRU3]]</f>
        <v>6</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0</v>
      </c>
      <c r="AZ240">
        <f>step3_validation[[#This Row],[AI_TRU4]]</f>
        <v>8</v>
      </c>
      <c r="BA240" t="str">
        <f t="shared" si="102"/>
        <v>Support</v>
      </c>
      <c r="BB240">
        <f>survey_responses[[#This Row],[Tôi thấy Nhà nước đã giải thích rõ ràng, minh bạch về lý do và mục tiêu của việc sửa đổi thuế lần này. - HUMAN-TRU4]]</f>
        <v>7</v>
      </c>
      <c r="BC240" t="str">
        <f t="shared" si="103"/>
        <v>Neutral</v>
      </c>
      <c r="BD240" s="32">
        <f t="shared" si="104"/>
        <v>1</v>
      </c>
      <c r="BE240">
        <f>step3_validation[[#This Row],[AI_OUT1]]</f>
        <v>9</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3</v>
      </c>
    </row>
    <row r="241" spans="1:61" x14ac:dyDescent="0.45">
      <c r="A241" s="30">
        <f>step3_validation[[#This Row],[Persona_ID]]</f>
        <v>240</v>
      </c>
      <c r="B241" s="31">
        <f>step3_validation[[#This Row],[Used_Seed]]</f>
        <v>2230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68.011487226736349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6</v>
      </c>
      <c r="R241" t="str">
        <f t="shared" si="81"/>
        <v>Neutral</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2</v>
      </c>
      <c r="V241">
        <f>step3_validation[[#This Row],[AI_ENF2]]</f>
        <v>7</v>
      </c>
      <c r="W241" t="str">
        <f t="shared" si="84"/>
        <v>Neutral</v>
      </c>
      <c r="X241">
        <f>survey_responses[[#This Row],[Tôi tin rằng Nhà nước, cơ quan thuế có đủ khả năng và công nghệ để phát hiện, xử lý nghiêm các hành vi trốn thuế. - HUMAN-ENF2]]</f>
        <v>8</v>
      </c>
      <c r="Y241" t="str">
        <f t="shared" si="85"/>
        <v>Support</v>
      </c>
      <c r="Z241" s="32">
        <f t="shared" si="86"/>
        <v>1</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7</v>
      </c>
      <c r="AL241" t="str">
        <f t="shared" si="93"/>
        <v>Neutral</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1</v>
      </c>
      <c r="AP241">
        <f>step3_validation[[#This Row],[AI_TRU2]]</f>
        <v>8</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0</v>
      </c>
      <c r="AU241">
        <f>step3_validation[[#This Row],[AI_TRU3]]</f>
        <v>6</v>
      </c>
      <c r="AV241" t="str">
        <f t="shared" si="99"/>
        <v>Neutral</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2</v>
      </c>
      <c r="AZ241">
        <f>step3_validation[[#This Row],[AI_TRU4]]</f>
        <v>8</v>
      </c>
      <c r="BA241" t="str">
        <f t="shared" si="102"/>
        <v>Support</v>
      </c>
      <c r="BB241">
        <f>survey_responses[[#This Row],[Tôi thấy Nhà nước đã giải thích rõ ràng, minh bạch về lý do và mục tiêu của việc sửa đổi thuế lần này. - HUMAN-TRU4]]</f>
        <v>8</v>
      </c>
      <c r="BC241" t="str">
        <f t="shared" si="103"/>
        <v>Support</v>
      </c>
      <c r="BD241" s="32">
        <f t="shared" si="104"/>
        <v>0</v>
      </c>
      <c r="BE241">
        <f>step3_validation[[#This Row],[AI_OUT1]]</f>
        <v>9</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2231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66.754555655497384</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8</v>
      </c>
      <c r="R242" t="str">
        <f t="shared" si="81"/>
        <v>Support</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1</v>
      </c>
      <c r="V242">
        <f>step3_validation[[#This Row],[AI_ENF2]]</f>
        <v>7</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1</v>
      </c>
      <c r="AA242">
        <f>step3_validation[[#This Row],[AI_FAC1]]</f>
        <v>9</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2</v>
      </c>
      <c r="AF242">
        <f>step3_validation[[#This Row],[AI_FAC2]]</f>
        <v>8</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1</v>
      </c>
      <c r="AK242">
        <f>step3_validation[[#This Row],[AI_TRU1]]</f>
        <v>9</v>
      </c>
      <c r="AL242" t="str">
        <f t="shared" si="93"/>
        <v>Support</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9</v>
      </c>
      <c r="AV242" t="str">
        <f t="shared" si="99"/>
        <v>Support</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1</v>
      </c>
      <c r="AZ242">
        <f>step3_validation[[#This Row],[AI_TRU4]]</f>
        <v>8</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2">
        <f t="shared" si="104"/>
        <v>0</v>
      </c>
      <c r="BE242">
        <f>step3_validation[[#This Row],[AI_OUT1]]</f>
        <v>9</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2232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48.582354279252861</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9</v>
      </c>
      <c r="R243" t="str">
        <f t="shared" si="81"/>
        <v>Support</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3</v>
      </c>
      <c r="V243">
        <f>step3_validation[[#This Row],[AI_ENF2]]</f>
        <v>8</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2">
        <f t="shared" si="86"/>
        <v>3</v>
      </c>
      <c r="AA243">
        <f>step3_validation[[#This Row],[AI_FAC1]]</f>
        <v>7</v>
      </c>
      <c r="AB243" t="str">
        <f t="shared" si="87"/>
        <v>Neutral</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2</v>
      </c>
      <c r="AF243">
        <f>step3_validation[[#This Row],[AI_FAC2]]</f>
        <v>8</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1</v>
      </c>
      <c r="AK243">
        <f>step3_validation[[#This Row],[AI_TRU1]]</f>
        <v>9</v>
      </c>
      <c r="AL243" t="str">
        <f t="shared" si="93"/>
        <v>Support</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2</v>
      </c>
      <c r="AP243">
        <f>step3_validation[[#This Row],[AI_TRU2]]</f>
        <v>9</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2</v>
      </c>
      <c r="AU243">
        <f>step3_validation[[#This Row],[AI_TRU3]]</f>
        <v>8</v>
      </c>
      <c r="AV243" t="str">
        <f t="shared" si="99"/>
        <v>Support</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1</v>
      </c>
      <c r="AZ243">
        <f>step3_validation[[#This Row],[AI_TRU4]]</f>
        <v>9</v>
      </c>
      <c r="BA243" t="str">
        <f t="shared" si="102"/>
        <v>Support</v>
      </c>
      <c r="BB243">
        <f>survey_responses[[#This Row],[Tôi thấy Nhà nước đã giải thích rõ ràng, minh bạch về lý do và mục tiêu của việc sửa đổi thuế lần này. - HUMAN-TRU4]]</f>
        <v>8</v>
      </c>
      <c r="BC243" t="str">
        <f t="shared" si="103"/>
        <v>Support</v>
      </c>
      <c r="BD243" s="32">
        <f t="shared" si="104"/>
        <v>1</v>
      </c>
      <c r="BE243">
        <f>step3_validation[[#This Row],[AI_OUT1]]</f>
        <v>9</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2233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79.535115011982171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8</v>
      </c>
      <c r="R244" t="str">
        <f t="shared" si="81"/>
        <v>Support</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2</v>
      </c>
      <c r="V244">
        <f>step3_validation[[#This Row],[AI_ENF2]]</f>
        <v>9</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3</v>
      </c>
      <c r="AA244">
        <f>step3_validation[[#This Row],[AI_FAC1]]</f>
        <v>8</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2</v>
      </c>
      <c r="AF244">
        <f>step3_validation[[#This Row],[AI_FAC2]]</f>
        <v>9</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3</v>
      </c>
      <c r="AK244">
        <f>step3_validation[[#This Row],[AI_TRU1]]</f>
        <v>8</v>
      </c>
      <c r="AL244" t="str">
        <f t="shared" si="93"/>
        <v>Support</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2</v>
      </c>
      <c r="AP244">
        <f>step3_validation[[#This Row],[AI_TRU2]]</f>
        <v>9</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2">
        <f t="shared" si="98"/>
        <v>3</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2</v>
      </c>
      <c r="AZ244">
        <f>step3_validation[[#This Row],[AI_TRU4]]</f>
        <v>9</v>
      </c>
      <c r="BA244" t="str">
        <f t="shared" si="102"/>
        <v>Support</v>
      </c>
      <c r="BB244">
        <f>survey_responses[[#This Row],[Tôi thấy Nhà nước đã giải thích rõ ràng, minh bạch về lý do và mục tiêu của việc sửa đổi thuế lần này. - HUMAN-TRU4]]</f>
        <v>6</v>
      </c>
      <c r="BC244" t="str">
        <f t="shared" si="103"/>
        <v>Neutral</v>
      </c>
      <c r="BD244" s="32">
        <f t="shared" si="104"/>
        <v>3</v>
      </c>
      <c r="BE244">
        <f>step3_validation[[#This Row],[AI_OUT1]]</f>
        <v>8</v>
      </c>
      <c r="BF244" t="str">
        <f t="shared" si="105"/>
        <v>Support</v>
      </c>
      <c r="BG244">
        <f>survey_responses[[#This Row],[Sau khi xem xét các quyền lợi và nghĩa vụ, bạn có ủng hộ và tuân thủ chính sách mới hiện nay? - HUMAN-OUT1]]</f>
        <v>6</v>
      </c>
      <c r="BH244" t="str">
        <f t="shared" si="106"/>
        <v>Neutral</v>
      </c>
      <c r="BI244" s="32">
        <f t="shared" si="107"/>
        <v>2</v>
      </c>
    </row>
    <row r="245" spans="1:61" x14ac:dyDescent="0.45">
      <c r="A245" s="30">
        <f>step3_validation[[#This Row],[Persona_ID]]</f>
        <v>244</v>
      </c>
      <c r="B245" s="31">
        <f>step3_validation[[#This Row],[Used_Seed]]</f>
        <v>2234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55.622846529421899</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6</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7</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8</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2</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1</v>
      </c>
      <c r="AK245">
        <f>step3_validation[[#This Row],[AI_TRU1]]</f>
        <v>7</v>
      </c>
      <c r="AL245" t="str">
        <f t="shared" si="93"/>
        <v>Neutral</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1</v>
      </c>
      <c r="AP245">
        <f>step3_validation[[#This Row],[AI_TRU2]]</f>
        <v>9</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3</v>
      </c>
      <c r="AU245">
        <f>step3_validation[[#This Row],[AI_TRU3]]</f>
        <v>8</v>
      </c>
      <c r="AV245" t="str">
        <f t="shared" si="99"/>
        <v>Support</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2</v>
      </c>
      <c r="AZ245">
        <f>step3_validation[[#This Row],[AI_TRU4]]</f>
        <v>9</v>
      </c>
      <c r="BA245" t="str">
        <f t="shared" si="102"/>
        <v>Support</v>
      </c>
      <c r="BB245">
        <f>survey_responses[[#This Row],[Tôi thấy Nhà nước đã giải thích rõ ràng, minh bạch về lý do và mục tiêu của việc sửa đổi thuế lần này. - HUMAN-TRU4]]</f>
        <v>6</v>
      </c>
      <c r="BC245" t="str">
        <f t="shared" si="103"/>
        <v>Neutral</v>
      </c>
      <c r="BD245" s="32">
        <f t="shared" si="104"/>
        <v>3</v>
      </c>
      <c r="BE245">
        <f>step3_validation[[#This Row],[AI_OUT1]]</f>
        <v>8</v>
      </c>
      <c r="BF245" t="str">
        <f t="shared" si="105"/>
        <v>Support</v>
      </c>
      <c r="BG245">
        <f>survey_responses[[#This Row],[Sau khi xem xét các quyền lợi và nghĩa vụ, bạn có ủng hộ và tuân thủ chính sách mới hiện nay? - HUMAN-OUT1]]</f>
        <v>6</v>
      </c>
      <c r="BH245" t="str">
        <f t="shared" si="106"/>
        <v>Neutral</v>
      </c>
      <c r="BI245" s="32">
        <f t="shared" si="107"/>
        <v>2</v>
      </c>
    </row>
    <row r="246" spans="1:61" x14ac:dyDescent="0.45">
      <c r="A246" s="30">
        <f>step3_validation[[#This Row],[Persona_ID]]</f>
        <v>245</v>
      </c>
      <c r="B246" s="31">
        <f>step3_validation[[#This Row],[Used_Seed]]</f>
        <v>2235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166.35065651465328</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3</v>
      </c>
      <c r="V246">
        <f>step3_validation[[#This Row],[AI_ENF2]]</f>
        <v>6</v>
      </c>
      <c r="W246" t="str">
        <f t="shared" si="84"/>
        <v>Neutral</v>
      </c>
      <c r="X246">
        <f>survey_responses[[#This Row],[Tôi tin rằng Nhà nước, cơ quan thuế có đủ khả năng và công nghệ để phát hiện, xử lý nghiêm các hành vi trốn thuế. - HUMAN-ENF2]]</f>
        <v>4</v>
      </c>
      <c r="Y246" t="str">
        <f t="shared" si="85"/>
        <v>Oppose</v>
      </c>
      <c r="Z246" s="32">
        <f t="shared" si="86"/>
        <v>2</v>
      </c>
      <c r="AA246">
        <f>step3_validation[[#This Row],[AI_FAC1]]</f>
        <v>8</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7</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5</v>
      </c>
      <c r="AK246">
        <f>step3_validation[[#This Row],[AI_TRU1]]</f>
        <v>7</v>
      </c>
      <c r="AL246" t="str">
        <f t="shared" si="93"/>
        <v>Neutral</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3</v>
      </c>
      <c r="AP246">
        <f>step3_validation[[#This Row],[AI_TRU2]]</f>
        <v>8</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2">
        <f t="shared" si="98"/>
        <v>4</v>
      </c>
      <c r="AU246">
        <f>step3_validation[[#This Row],[AI_TRU3]]</f>
        <v>7</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2</v>
      </c>
      <c r="AZ246">
        <f>step3_validation[[#This Row],[AI_TRU4]]</f>
        <v>6</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1</v>
      </c>
      <c r="BE246">
        <f>step3_validation[[#This Row],[AI_OUT1]]</f>
        <v>8</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3</v>
      </c>
    </row>
    <row r="247" spans="1:61" x14ac:dyDescent="0.45">
      <c r="A247" s="30">
        <f>step3_validation[[#This Row],[Persona_ID]]</f>
        <v>246</v>
      </c>
      <c r="B247" s="31">
        <f>step3_validation[[#This Row],[Used_Seed]]</f>
        <v>2236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26.151790808185822</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7</v>
      </c>
      <c r="R247" t="str">
        <f t="shared" si="81"/>
        <v>Neutral</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1</v>
      </c>
      <c r="V247">
        <f>step3_validation[[#This Row],[AI_ENF2]]</f>
        <v>6</v>
      </c>
      <c r="W247" t="str">
        <f t="shared" si="84"/>
        <v>Neutral</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8</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1</v>
      </c>
      <c r="AF247">
        <f>step3_validation[[#This Row],[AI_FAC2]]</f>
        <v>9</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2</v>
      </c>
      <c r="AK247">
        <f>step3_validation[[#This Row],[AI_TRU1]]</f>
        <v>7</v>
      </c>
      <c r="AL247" t="str">
        <f t="shared" si="93"/>
        <v>Neutral</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0</v>
      </c>
      <c r="AP247">
        <f>step3_validation[[#This Row],[AI_TRU2]]</f>
        <v>8</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7</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0</v>
      </c>
      <c r="AZ247">
        <f>step3_validation[[#This Row],[AI_TRU4]]</f>
        <v>6</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1</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2237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64.505820703954043</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0</v>
      </c>
      <c r="V248">
        <f>step3_validation[[#This Row],[AI_ENF2]]</f>
        <v>9</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2">
        <f t="shared" si="86"/>
        <v>1</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0</v>
      </c>
      <c r="AF248">
        <f>step3_validation[[#This Row],[AI_FAC2]]</f>
        <v>9</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1</v>
      </c>
      <c r="AK248">
        <f>step3_validation[[#This Row],[AI_TRU1]]</f>
        <v>8</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0</v>
      </c>
      <c r="AP248">
        <f>step3_validation[[#This Row],[AI_TRU2]]</f>
        <v>9</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1</v>
      </c>
      <c r="AU248">
        <f>step3_validation[[#This Row],[AI_TRU3]]</f>
        <v>8</v>
      </c>
      <c r="AV248" t="str">
        <f t="shared" si="99"/>
        <v>Support</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0</v>
      </c>
      <c r="AZ248">
        <f>step3_validation[[#This Row],[AI_TRU4]]</f>
        <v>9</v>
      </c>
      <c r="BA248" t="str">
        <f t="shared" si="102"/>
        <v>Support</v>
      </c>
      <c r="BB248">
        <f>survey_responses[[#This Row],[Tôi thấy Nhà nước đã giải thích rõ ràng, minh bạch về lý do và mục tiêu của việc sửa đổi thuế lần này. - HUMAN-TRU4]]</f>
        <v>8</v>
      </c>
      <c r="BC248" t="str">
        <f t="shared" si="103"/>
        <v>Support</v>
      </c>
      <c r="BD248" s="32">
        <f t="shared" si="104"/>
        <v>1</v>
      </c>
      <c r="BE248">
        <f>step3_validation[[#This Row],[AI_OUT1]]</f>
        <v>9</v>
      </c>
      <c r="BF248" t="str">
        <f t="shared" si="105"/>
        <v>Support</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2238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38.111758052996414</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9</v>
      </c>
      <c r="AB249" t="str">
        <f t="shared" si="87"/>
        <v>Support</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9</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2</v>
      </c>
      <c r="AK249">
        <f>step3_validation[[#This Row],[AI_TRU1]]</f>
        <v>7</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0</v>
      </c>
      <c r="AP249">
        <f>step3_validation[[#This Row],[AI_TRU2]]</f>
        <v>9</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2</v>
      </c>
      <c r="AU249">
        <f>step3_validation[[#This Row],[AI_TRU3]]</f>
        <v>7</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0</v>
      </c>
      <c r="AZ249">
        <f>step3_validation[[#This Row],[AI_TRU4]]</f>
        <v>6</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9</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2</v>
      </c>
    </row>
    <row r="250" spans="1:61" x14ac:dyDescent="0.45">
      <c r="A250" s="30">
        <f>step3_validation[[#This Row],[Persona_ID]]</f>
        <v>249</v>
      </c>
      <c r="B250" s="31">
        <f>step3_validation[[#This Row],[Used_Seed]]</f>
        <v>2239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91.208481489169714</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8</v>
      </c>
      <c r="R250" t="str">
        <f t="shared" si="81"/>
        <v>Support</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1</v>
      </c>
      <c r="V250">
        <f>step3_validation[[#This Row],[AI_ENF2]]</f>
        <v>9</v>
      </c>
      <c r="W250" t="str">
        <f t="shared" si="84"/>
        <v>Support</v>
      </c>
      <c r="X250">
        <f>survey_responses[[#This Row],[Tôi tin rằng Nhà nước, cơ quan thuế có đủ khả năng và công nghệ để phát hiện, xử lý nghiêm các hành vi trốn thuế. - HUMAN-ENF2]]</f>
        <v>9</v>
      </c>
      <c r="Y250" t="str">
        <f t="shared" si="85"/>
        <v>Support</v>
      </c>
      <c r="Z250" s="32">
        <f t="shared" si="86"/>
        <v>0</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1</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0</v>
      </c>
      <c r="AK250">
        <f>step3_validation[[#This Row],[AI_TRU1]]</f>
        <v>8</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1</v>
      </c>
      <c r="AP250">
        <f>step3_validation[[#This Row],[AI_TRU2]]</f>
        <v>9</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0</v>
      </c>
      <c r="AU250">
        <f>step3_validation[[#This Row],[AI_TRU3]]</f>
        <v>8</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1</v>
      </c>
      <c r="AZ250">
        <f>step3_validation[[#This Row],[AI_TRU4]]</f>
        <v>9</v>
      </c>
      <c r="BA250" t="str">
        <f t="shared" si="102"/>
        <v>Support</v>
      </c>
      <c r="BB250">
        <f>survey_responses[[#This Row],[Tôi thấy Nhà nước đã giải thích rõ ràng, minh bạch về lý do và mục tiêu của việc sửa đổi thuế lần này. - HUMAN-TRU4]]</f>
        <v>9</v>
      </c>
      <c r="BC250" t="str">
        <f t="shared" si="103"/>
        <v>Support</v>
      </c>
      <c r="BD250" s="32">
        <f t="shared" si="104"/>
        <v>0</v>
      </c>
      <c r="BE250">
        <f>step3_validation[[#This Row],[AI_OUT1]]</f>
        <v>9</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0</v>
      </c>
    </row>
    <row r="251" spans="1:61" x14ac:dyDescent="0.45">
      <c r="A251" s="30">
        <f>step3_validation[[#This Row],[Persona_ID]]</f>
        <v>250</v>
      </c>
      <c r="B251" s="31">
        <f>step3_validation[[#This Row],[Used_Seed]]</f>
        <v>2240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64.573837101658071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9</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2</v>
      </c>
      <c r="V251">
        <f>step3_validation[[#This Row],[AI_ENF2]]</f>
        <v>8</v>
      </c>
      <c r="W251" t="str">
        <f t="shared" si="84"/>
        <v>Support</v>
      </c>
      <c r="X251">
        <f>survey_responses[[#This Row],[Tôi tin rằng Nhà nước, cơ quan thuế có đủ khả năng và công nghệ để phát hiện, xử lý nghiêm các hành vi trốn thuế. - HUMAN-ENF2]]</f>
        <v>6</v>
      </c>
      <c r="Y251" t="str">
        <f t="shared" si="85"/>
        <v>Neutral</v>
      </c>
      <c r="Z251" s="32">
        <f t="shared" si="86"/>
        <v>2</v>
      </c>
      <c r="AA251">
        <f>step3_validation[[#This Row],[AI_FAC1]]</f>
        <v>7</v>
      </c>
      <c r="AB251" t="str">
        <f t="shared" si="87"/>
        <v>Neutral</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2</v>
      </c>
      <c r="AF251">
        <f>step3_validation[[#This Row],[AI_FAC2]]</f>
        <v>9</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3</v>
      </c>
      <c r="AK251">
        <f>step3_validation[[#This Row],[AI_TRU1]]</f>
        <v>8</v>
      </c>
      <c r="AL251" t="str">
        <f t="shared" si="93"/>
        <v>Support</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2</v>
      </c>
      <c r="AP251">
        <f>step3_validation[[#This Row],[AI_TRU2]]</f>
        <v>9</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3</v>
      </c>
      <c r="AU251">
        <f>step3_validation[[#This Row],[AI_TRU3]]</f>
        <v>8</v>
      </c>
      <c r="AV251" t="str">
        <f t="shared" si="99"/>
        <v>Support</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2</v>
      </c>
      <c r="AZ251">
        <f>step3_validation[[#This Row],[AI_TRU4]]</f>
        <v>9</v>
      </c>
      <c r="BA251" t="str">
        <f t="shared" si="102"/>
        <v>Support</v>
      </c>
      <c r="BB251">
        <f>survey_responses[[#This Row],[Tôi thấy Nhà nước đã giải thích rõ ràng, minh bạch về lý do và mục tiêu của việc sửa đổi thuế lần này. - HUMAN-TRU4]]</f>
        <v>6</v>
      </c>
      <c r="BC251" t="str">
        <f t="shared" si="103"/>
        <v>Neutral</v>
      </c>
      <c r="BD251" s="32">
        <f t="shared" si="104"/>
        <v>3</v>
      </c>
      <c r="BE251">
        <f>step3_validation[[#This Row],[AI_OUT1]]</f>
        <v>8</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1</v>
      </c>
    </row>
    <row r="252" spans="1:61" x14ac:dyDescent="0.45">
      <c r="A252" s="30">
        <f>step3_validation[[#This Row],[Persona_ID]]</f>
        <v>251</v>
      </c>
      <c r="B252" s="31">
        <f>step3_validation[[#This Row],[Used_Seed]]</f>
        <v>2241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46.732707487689403</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6</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2</v>
      </c>
      <c r="V252">
        <f>step3_validation[[#This Row],[AI_ENF2]]</f>
        <v>8</v>
      </c>
      <c r="W252" t="str">
        <f t="shared" si="84"/>
        <v>Support</v>
      </c>
      <c r="X252">
        <f>survey_responses[[#This Row],[Tôi tin rằng Nhà nước, cơ quan thuế có đủ khả năng và công nghệ để phát hiện, xử lý nghiêm các hành vi trốn thuế. - HUMAN-ENF2]]</f>
        <v>8</v>
      </c>
      <c r="Y252" t="str">
        <f t="shared" si="85"/>
        <v>Support</v>
      </c>
      <c r="Z252" s="32">
        <f t="shared" si="86"/>
        <v>0</v>
      </c>
      <c r="AA252">
        <f>step3_validation[[#This Row],[AI_FAC1]]</f>
        <v>7</v>
      </c>
      <c r="AB252" t="str">
        <f t="shared" si="87"/>
        <v>Neutral</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9</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0</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9</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1</v>
      </c>
      <c r="AU252">
        <f>step3_validation[[#This Row],[AI_TRU3]]</f>
        <v>8</v>
      </c>
      <c r="AV252" t="str">
        <f t="shared" si="99"/>
        <v>Support</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7</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0</v>
      </c>
      <c r="BE252">
        <f>step3_validation[[#This Row],[AI_OUT1]]</f>
        <v>9</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1</v>
      </c>
    </row>
    <row r="253" spans="1:61" x14ac:dyDescent="0.45">
      <c r="A253" s="30">
        <f>step3_validation[[#This Row],[Persona_ID]]</f>
        <v>252</v>
      </c>
      <c r="B253" s="31">
        <f>step3_validation[[#This Row],[Used_Seed]]</f>
        <v>2242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65.532943390828976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1</v>
      </c>
      <c r="V253">
        <f>step3_validation[[#This Row],[AI_ENF2]]</f>
        <v>8</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2</v>
      </c>
      <c r="AA253">
        <f>step3_validation[[#This Row],[AI_FAC1]]</f>
        <v>9</v>
      </c>
      <c r="AB253" t="str">
        <f t="shared" si="87"/>
        <v>Support</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8</v>
      </c>
      <c r="AF253">
        <f>step3_validation[[#This Row],[AI_FAC2]]</f>
        <v>9</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3</v>
      </c>
      <c r="AK253">
        <f>step3_validation[[#This Row],[AI_TRU1]]</f>
        <v>8</v>
      </c>
      <c r="AL253" t="str">
        <f t="shared" si="93"/>
        <v>Support</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3</v>
      </c>
      <c r="AP253">
        <f>step3_validation[[#This Row],[AI_TRU2]]</f>
        <v>9</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3</v>
      </c>
      <c r="AU253">
        <f>step3_validation[[#This Row],[AI_TRU3]]</f>
        <v>8</v>
      </c>
      <c r="AV253" t="str">
        <f t="shared" si="99"/>
        <v>Support</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2</v>
      </c>
      <c r="AZ253">
        <f>step3_validation[[#This Row],[AI_TRU4]]</f>
        <v>7</v>
      </c>
      <c r="BA253" t="str">
        <f t="shared" si="102"/>
        <v>Neutral</v>
      </c>
      <c r="BB253">
        <f>survey_responses[[#This Row],[Tôi thấy Nhà nước đã giải thích rõ ràng, minh bạch về lý do và mục tiêu của việc sửa đổi thuế lần này. - HUMAN-TRU4]]</f>
        <v>6</v>
      </c>
      <c r="BC253" t="str">
        <f t="shared" si="103"/>
        <v>Neutral</v>
      </c>
      <c r="BD253" s="32">
        <f t="shared" si="104"/>
        <v>1</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2243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82.14951735135385</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6</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2</v>
      </c>
      <c r="AA254">
        <f>step3_validation[[#This Row],[AI_FAC1]]</f>
        <v>8</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5</v>
      </c>
      <c r="AF254">
        <f>step3_validation[[#This Row],[AI_FAC2]]</f>
        <v>9</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0</v>
      </c>
      <c r="AK254">
        <f>step3_validation[[#This Row],[AI_TRU1]]</f>
        <v>7</v>
      </c>
      <c r="AL254" t="str">
        <f t="shared" si="93"/>
        <v>Neutral</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1</v>
      </c>
      <c r="AP254">
        <f>step3_validation[[#This Row],[AI_TRU2]]</f>
        <v>8</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2">
        <f t="shared" si="98"/>
        <v>0</v>
      </c>
      <c r="AU254">
        <f>step3_validation[[#This Row],[AI_TRU3]]</f>
        <v>7</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1</v>
      </c>
      <c r="AZ254">
        <f>step3_validation[[#This Row],[AI_TRU4]]</f>
        <v>6</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2</v>
      </c>
      <c r="BE254">
        <f>step3_validation[[#This Row],[AI_OUT1]]</f>
        <v>9</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1</v>
      </c>
    </row>
    <row r="255" spans="1:61" x14ac:dyDescent="0.45">
      <c r="A255" s="30">
        <f>step3_validation[[#This Row],[Persona_ID]]</f>
        <v>254</v>
      </c>
      <c r="B255" s="31">
        <f>step3_validation[[#This Row],[Used_Seed]]</f>
        <v>2244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86.850437301740783</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6</v>
      </c>
      <c r="W255" t="str">
        <f t="shared" si="84"/>
        <v>Neutral</v>
      </c>
      <c r="X255">
        <f>survey_responses[[#This Row],[Tôi tin rằng Nhà nước, cơ quan thuế có đủ khả năng và công nghệ để phát hiện, xử lý nghiêm các hành vi trốn thuế. - HUMAN-ENF2]]</f>
        <v>3</v>
      </c>
      <c r="Y255" t="str">
        <f t="shared" si="85"/>
        <v>Oppose</v>
      </c>
      <c r="Z255" s="32">
        <f t="shared" si="86"/>
        <v>3</v>
      </c>
      <c r="AA255">
        <f>step3_validation[[#This Row],[AI_FAC1]]</f>
        <v>8</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7</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2</v>
      </c>
      <c r="AK255">
        <f>step3_validation[[#This Row],[AI_TRU1]]</f>
        <v>8</v>
      </c>
      <c r="AL255" t="str">
        <f t="shared" si="93"/>
        <v>Support</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5</v>
      </c>
      <c r="AP255">
        <f>step3_validation[[#This Row],[AI_TRU2]]</f>
        <v>9</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3</v>
      </c>
      <c r="AU255">
        <f>step3_validation[[#This Row],[AI_TRU3]]</f>
        <v>8</v>
      </c>
      <c r="AV255" t="str">
        <f t="shared" si="99"/>
        <v>Support</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3</v>
      </c>
      <c r="AZ255">
        <f>step3_validation[[#This Row],[AI_TRU4]]</f>
        <v>7</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1</v>
      </c>
      <c r="BE255">
        <f>step3_validation[[#This Row],[AI_OUT1]]</f>
        <v>9</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3</v>
      </c>
    </row>
    <row r="256" spans="1:61" x14ac:dyDescent="0.45">
      <c r="A256" s="30">
        <f>step3_validation[[#This Row],[Persona_ID]]</f>
        <v>255</v>
      </c>
      <c r="B256" s="31">
        <f>step3_validation[[#This Row],[Used_Seed]]</f>
        <v>2245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61.469377991722489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8</v>
      </c>
      <c r="R256" t="str">
        <f t="shared" si="81"/>
        <v>Support</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2</v>
      </c>
      <c r="V256">
        <f>step3_validation[[#This Row],[AI_ENF2]]</f>
        <v>7</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1</v>
      </c>
      <c r="AA256">
        <f>step3_validation[[#This Row],[AI_FAC1]]</f>
        <v>9</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8</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2</v>
      </c>
      <c r="AK256">
        <f>step3_validation[[#This Row],[AI_TRU1]]</f>
        <v>8</v>
      </c>
      <c r="AL256" t="str">
        <f t="shared" si="93"/>
        <v>Support</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3</v>
      </c>
      <c r="AP256">
        <f>step3_validation[[#This Row],[AI_TRU2]]</f>
        <v>9</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3</v>
      </c>
      <c r="AU256">
        <f>step3_validation[[#This Row],[AI_TRU3]]</f>
        <v>8</v>
      </c>
      <c r="AV256" t="str">
        <f t="shared" si="99"/>
        <v>Support</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2</v>
      </c>
      <c r="AZ256">
        <f>step3_validation[[#This Row],[AI_TRU4]]</f>
        <v>7</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9</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3</v>
      </c>
    </row>
    <row r="257" spans="1:61" x14ac:dyDescent="0.45">
      <c r="A257" s="30">
        <f>step3_validation[[#This Row],[Persona_ID]]</f>
        <v>256</v>
      </c>
      <c r="B257" s="31">
        <f>step3_validation[[#This Row],[Used_Seed]]</f>
        <v>2246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155.46569674021657</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8</v>
      </c>
      <c r="W257" t="str">
        <f t="shared" si="84"/>
        <v>Support</v>
      </c>
      <c r="X257">
        <f>survey_responses[[#This Row],[Tôi tin rằng Nhà nước, cơ quan thuế có đủ khả năng và công nghệ để phát hiện, xử lý nghiêm các hành vi trốn thuế. - HUMAN-ENF2]]</f>
        <v>8</v>
      </c>
      <c r="Y257" t="str">
        <f t="shared" si="85"/>
        <v>Support</v>
      </c>
      <c r="Z257" s="32">
        <f t="shared" si="86"/>
        <v>0</v>
      </c>
      <c r="AA257">
        <f>step3_validation[[#This Row],[AI_FAC1]]</f>
        <v>7</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2</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6</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2</v>
      </c>
      <c r="AP257">
        <f>step3_validation[[#This Row],[AI_TRU2]]</f>
        <v>8</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6</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7</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0</v>
      </c>
      <c r="BE257">
        <f>step3_validation[[#This Row],[AI_OUT1]]</f>
        <v>8</v>
      </c>
      <c r="BF257" t="str">
        <f t="shared" si="105"/>
        <v>Support</v>
      </c>
      <c r="BG257">
        <f>survey_responses[[#This Row],[Sau khi xem xét các quyền lợi và nghĩa vụ, bạn có ủng hộ và tuân thủ chính sách mới hiện nay? - HUMAN-OUT1]]</f>
        <v>7</v>
      </c>
      <c r="BH257" t="str">
        <f t="shared" si="106"/>
        <v>Neutral</v>
      </c>
      <c r="BI257" s="32">
        <f t="shared" si="107"/>
        <v>1</v>
      </c>
    </row>
    <row r="258" spans="1:61" x14ac:dyDescent="0.45">
      <c r="A258" s="30">
        <f>step3_validation[[#This Row],[Persona_ID]]</f>
        <v>257</v>
      </c>
      <c r="B258" s="31">
        <f>step3_validation[[#This Row],[Used_Seed]]</f>
        <v>2247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32.842725037886026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5</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2</v>
      </c>
      <c r="V258">
        <f>step3_validation[[#This Row],[AI_ENF2]]</f>
        <v>6</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2</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2</v>
      </c>
      <c r="AZ258">
        <f>step3_validation[[#This Row],[AI_TRU4]]</f>
        <v>6</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0</v>
      </c>
      <c r="BE258">
        <f>step3_validation[[#This Row],[AI_OUT1]]</f>
        <v>8</v>
      </c>
      <c r="BF258" t="str">
        <f t="shared" si="105"/>
        <v>Support</v>
      </c>
      <c r="BG258">
        <f>survey_responses[[#This Row],[Sau khi xem xét các quyền lợi và nghĩa vụ, bạn có ủng hộ và tuân thủ chính sách mới hiện nay? - HUMAN-OUT1]]</f>
        <v>6</v>
      </c>
      <c r="BH258" t="str">
        <f t="shared" si="106"/>
        <v>Neutral</v>
      </c>
      <c r="BI258" s="32">
        <f t="shared" si="107"/>
        <v>2</v>
      </c>
    </row>
    <row r="259" spans="1:61" x14ac:dyDescent="0.45">
      <c r="A259" s="30">
        <f>step3_validation[[#This Row],[Persona_ID]]</f>
        <v>258</v>
      </c>
      <c r="B259" s="31">
        <f>step3_validation[[#This Row],[Used_Seed]]</f>
        <v>2248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68.345061331934133</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0</v>
      </c>
      <c r="V259">
        <f>step3_validation[[#This Row],[AI_ENF2]]</f>
        <v>5</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2</v>
      </c>
      <c r="AA259">
        <f>step3_validation[[#This Row],[AI_FAC1]]</f>
        <v>7</v>
      </c>
      <c r="AB259" t="str">
        <f t="shared" ref="AB259:AB322" si="114">IF(AND(AA259&gt;=1,AA259&lt;5),"Oppose",IF(AND(AA259&gt;=5,AA259&lt;8),"Neutral",IF(AND(AA259&gt;=8,AA259&lt;=10),"Support","")))</f>
        <v>Neutral</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5</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7</v>
      </c>
      <c r="AL259" t="str">
        <f t="shared" ref="AL259:AL322" si="120">IF(AND(AK259&gt;=1,AK259&lt;5),"Oppose",IF(AND(AK259&gt;=5,AK259&lt;8),"Neutral",IF(AND(AK259&gt;=8,AK259&lt;=10),"Support","")))</f>
        <v>Neutral</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2</v>
      </c>
      <c r="AP259">
        <f>step3_validation[[#This Row],[AI_TRU2]]</f>
        <v>9</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4</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9</v>
      </c>
      <c r="BA259" t="str">
        <f t="shared" ref="BA259:BA322" si="129">IF(AND(AZ259&gt;=1,AZ259&lt;5),"Oppose",IF(AND(AZ259&gt;=5,AZ259&lt;8),"Neutral",IF(AND(AZ259&gt;=8,AZ259&lt;=10),"Support","")))</f>
        <v>Support</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3</v>
      </c>
      <c r="BE259">
        <f>step3_validation[[#This Row],[AI_OUT1]]</f>
        <v>8</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3</v>
      </c>
    </row>
    <row r="260" spans="1:61" x14ac:dyDescent="0.45">
      <c r="A260" s="30">
        <f>step3_validation[[#This Row],[Persona_ID]]</f>
        <v>259</v>
      </c>
      <c r="B260" s="31">
        <f>step3_validation[[#This Row],[Used_Seed]]</f>
        <v>2249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191.86155060733867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8</v>
      </c>
      <c r="R260" t="str">
        <f t="shared" si="108"/>
        <v>Support</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6</v>
      </c>
      <c r="V260">
        <f>step3_validation[[#This Row],[AI_ENF2]]</f>
        <v>9</v>
      </c>
      <c r="W260" t="str">
        <f t="shared" si="111"/>
        <v>Support</v>
      </c>
      <c r="X260">
        <f>survey_responses[[#This Row],[Tôi tin rằng Nhà nước, cơ quan thuế có đủ khả năng và công nghệ để phát hiện, xử lý nghiêm các hành vi trốn thuế. - HUMAN-ENF2]]</f>
        <v>1</v>
      </c>
      <c r="Y260" t="str">
        <f t="shared" si="112"/>
        <v>Oppose</v>
      </c>
      <c r="Z260" s="32">
        <f t="shared" si="113"/>
        <v>8</v>
      </c>
      <c r="AA260">
        <f>step3_validation[[#This Row],[AI_FAC1]]</f>
        <v>7</v>
      </c>
      <c r="AB260" t="str">
        <f t="shared" si="114"/>
        <v>Neutral</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6</v>
      </c>
      <c r="AF260">
        <f>step3_validation[[#This Row],[AI_FAC2]]</f>
        <v>8</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2</v>
      </c>
      <c r="AK260">
        <f>step3_validation[[#This Row],[AI_TRU1]]</f>
        <v>7</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5</v>
      </c>
      <c r="AP260">
        <f>step3_validation[[#This Row],[AI_TRU2]]</f>
        <v>9</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6</v>
      </c>
      <c r="AU260">
        <f>step3_validation[[#This Row],[AI_TRU3]]</f>
        <v>8</v>
      </c>
      <c r="AV260" t="str">
        <f t="shared" si="126"/>
        <v>Support</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7</v>
      </c>
      <c r="AZ260">
        <f>step3_validation[[#This Row],[AI_TRU4]]</f>
        <v>7</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2</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5</v>
      </c>
    </row>
    <row r="261" spans="1:61" x14ac:dyDescent="0.45">
      <c r="A261" s="30">
        <f>step3_validation[[#This Row],[Persona_ID]]</f>
        <v>260</v>
      </c>
      <c r="B261" s="31">
        <f>step3_validation[[#This Row],[Used_Seed]]</f>
        <v>2250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37.838960492696707</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7</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1</v>
      </c>
      <c r="V261">
        <f>step3_validation[[#This Row],[AI_ENF2]]</f>
        <v>6</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0</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2</v>
      </c>
      <c r="AF261">
        <f>step3_validation[[#This Row],[AI_FAC2]]</f>
        <v>9</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3</v>
      </c>
      <c r="AK261">
        <f>step3_validation[[#This Row],[AI_TRU1]]</f>
        <v>8</v>
      </c>
      <c r="AL261" t="str">
        <f t="shared" si="120"/>
        <v>Support</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3</v>
      </c>
      <c r="AP261">
        <f>step3_validation[[#This Row],[AI_TRU2]]</f>
        <v>8</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2</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2</v>
      </c>
      <c r="AZ261">
        <f>step3_validation[[#This Row],[AI_TRU4]]</f>
        <v>8</v>
      </c>
      <c r="BA261" t="str">
        <f t="shared" si="129"/>
        <v>Support</v>
      </c>
      <c r="BB261">
        <f>survey_responses[[#This Row],[Tôi thấy Nhà nước đã giải thích rõ ràng, minh bạch về lý do và mục tiêu của việc sửa đổi thuế lần này. - HUMAN-TRU4]]</f>
        <v>6</v>
      </c>
      <c r="BC261" t="str">
        <f t="shared" si="130"/>
        <v>Neutral</v>
      </c>
      <c r="BD261" s="32">
        <f t="shared" si="131"/>
        <v>2</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3</v>
      </c>
    </row>
    <row r="262" spans="1:61" x14ac:dyDescent="0.45">
      <c r="A262" s="30">
        <f>step3_validation[[#This Row],[Persona_ID]]</f>
        <v>261</v>
      </c>
      <c r="B262" s="31">
        <f>step3_validation[[#This Row],[Used_Seed]]</f>
        <v>2251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44.657972186580224</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6</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0</v>
      </c>
      <c r="V262">
        <f>step3_validation[[#This Row],[AI_ENF2]]</f>
        <v>7</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0</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2</v>
      </c>
      <c r="AP262">
        <f>step3_validation[[#This Row],[AI_TRU2]]</f>
        <v>9</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2">
        <f t="shared" si="125"/>
        <v>5</v>
      </c>
      <c r="AU262">
        <f>step3_validation[[#This Row],[AI_TRU3]]</f>
        <v>8</v>
      </c>
      <c r="AV262" t="str">
        <f t="shared" si="126"/>
        <v>Support</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4</v>
      </c>
      <c r="AZ262">
        <f>step3_validation[[#This Row],[AI_TRU4]]</f>
        <v>6</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1</v>
      </c>
      <c r="BE262">
        <f>step3_validation[[#This Row],[AI_OUT1]]</f>
        <v>9</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4</v>
      </c>
    </row>
    <row r="263" spans="1:61" x14ac:dyDescent="0.45">
      <c r="A263" s="30">
        <f>step3_validation[[#This Row],[Persona_ID]]</f>
        <v>262</v>
      </c>
      <c r="B263" s="31">
        <f>step3_validation[[#This Row],[Used_Seed]]</f>
        <v>2252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52.492717578087984</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9</v>
      </c>
      <c r="R263" t="str">
        <f t="shared" si="108"/>
        <v>Support</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0</v>
      </c>
      <c r="V263">
        <f>step3_validation[[#This Row],[AI_ENF2]]</f>
        <v>8</v>
      </c>
      <c r="W263" t="str">
        <f t="shared" si="111"/>
        <v>Support</v>
      </c>
      <c r="X263">
        <f>survey_responses[[#This Row],[Tôi tin rằng Nhà nước, cơ quan thuế có đủ khả năng và công nghệ để phát hiện, xử lý nghiêm các hành vi trốn thuế. - HUMAN-ENF2]]</f>
        <v>9</v>
      </c>
      <c r="Y263" t="str">
        <f t="shared" si="112"/>
        <v>Support</v>
      </c>
      <c r="Z263" s="32">
        <f t="shared" si="113"/>
        <v>1</v>
      </c>
      <c r="AA263">
        <f>step3_validation[[#This Row],[AI_FAC1]]</f>
        <v>7</v>
      </c>
      <c r="AB263" t="str">
        <f t="shared" si="114"/>
        <v>Neutral</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1</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1</v>
      </c>
      <c r="AK263">
        <f>step3_validation[[#This Row],[AI_TRU1]]</f>
        <v>9</v>
      </c>
      <c r="AL263" t="str">
        <f t="shared" si="120"/>
        <v>Support</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9</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0</v>
      </c>
      <c r="AU263">
        <f>step3_validation[[#This Row],[AI_TRU3]]</f>
        <v>8</v>
      </c>
      <c r="AV263" t="str">
        <f t="shared" si="126"/>
        <v>Support</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1</v>
      </c>
      <c r="AZ263">
        <f>step3_validation[[#This Row],[AI_TRU4]]</f>
        <v>9</v>
      </c>
      <c r="BA263" t="str">
        <f t="shared" si="129"/>
        <v>Support</v>
      </c>
      <c r="BB263">
        <f>survey_responses[[#This Row],[Tôi thấy Nhà nước đã giải thích rõ ràng, minh bạch về lý do và mục tiêu của việc sửa đổi thuế lần này. - HUMAN-TRU4]]</f>
        <v>8</v>
      </c>
      <c r="BC263" t="str">
        <f t="shared" si="130"/>
        <v>Support</v>
      </c>
      <c r="BD263" s="32">
        <f t="shared" si="131"/>
        <v>1</v>
      </c>
      <c r="BE263">
        <f>step3_validation[[#This Row],[AI_OUT1]]</f>
        <v>8</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0</v>
      </c>
    </row>
    <row r="264" spans="1:61" x14ac:dyDescent="0.45">
      <c r="A264" s="30">
        <f>step3_validation[[#This Row],[Persona_ID]]</f>
        <v>263</v>
      </c>
      <c r="B264" s="31">
        <f>step3_validation[[#This Row],[Used_Seed]]</f>
        <v>2253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74.082301305339371</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t="str">
        <f t="shared" si="108"/>
        <v>Neutral</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1</v>
      </c>
      <c r="V264">
        <f>step3_validation[[#This Row],[AI_ENF2]]</f>
        <v>6</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2">
        <f t="shared" si="113"/>
        <v>2</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3</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2">
        <f t="shared" si="125"/>
        <v>4</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3</v>
      </c>
      <c r="AZ264">
        <f>step3_validation[[#This Row],[AI_TRU4]]</f>
        <v>7</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1</v>
      </c>
      <c r="BE264">
        <f>step3_validation[[#This Row],[AI_OUT1]]</f>
        <v>9</v>
      </c>
      <c r="BF264" t="str">
        <f t="shared" si="132"/>
        <v>Support</v>
      </c>
      <c r="BG264">
        <f>survey_responses[[#This Row],[Sau khi xem xét các quyền lợi và nghĩa vụ, bạn có ủng hộ và tuân thủ chính sách mới hiện nay? - HUMAN-OUT1]]</f>
        <v>6</v>
      </c>
      <c r="BH264" t="str">
        <f t="shared" si="133"/>
        <v>Neutral</v>
      </c>
      <c r="BI264" s="32">
        <f t="shared" si="134"/>
        <v>3</v>
      </c>
    </row>
    <row r="265" spans="1:61" x14ac:dyDescent="0.45">
      <c r="A265" s="30">
        <f>step3_validation[[#This Row],[Persona_ID]]</f>
        <v>264</v>
      </c>
      <c r="B265" s="31">
        <f>step3_validation[[#This Row],[Used_Seed]]</f>
        <v>2254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139.51218293264679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7</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0</v>
      </c>
      <c r="AA265">
        <f>step3_validation[[#This Row],[AI_FAC1]]</f>
        <v>8</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1</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8</v>
      </c>
      <c r="AL265" t="str">
        <f t="shared" si="120"/>
        <v>Support</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1</v>
      </c>
      <c r="AP265">
        <f>step3_validation[[#This Row],[AI_TRU2]]</f>
        <v>7</v>
      </c>
      <c r="AQ265" t="str">
        <f t="shared" si="123"/>
        <v>Neutral</v>
      </c>
      <c r="AR265">
        <f>survey_responses[[#This Row],[Tôi thấy mức thuế tôi phải đóng theo phương án mới là công bằng (người thu nhập như tôi đóng mức này là hợp lý). - HUMAN-TRU2]]</f>
        <v>7</v>
      </c>
      <c r="AS265" t="str">
        <f t="shared" si="124"/>
        <v>Neutral</v>
      </c>
      <c r="AT265" s="32">
        <f t="shared" si="125"/>
        <v>0</v>
      </c>
      <c r="AU265">
        <f>step3_validation[[#This Row],[AI_TRU3]]</f>
        <v>8</v>
      </c>
      <c r="AV265" t="str">
        <f t="shared" si="126"/>
        <v>Support</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1</v>
      </c>
      <c r="AZ265">
        <f>step3_validation[[#This Row],[AI_TRU4]]</f>
        <v>7</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0</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1</v>
      </c>
    </row>
    <row r="266" spans="1:61" x14ac:dyDescent="0.45">
      <c r="A266" s="30">
        <f>step3_validation[[#This Row],[Persona_ID]]</f>
        <v>265</v>
      </c>
      <c r="B266" s="31">
        <f>step3_validation[[#This Row],[Used_Seed]]</f>
        <v>2255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23.4628029662031</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6</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0</v>
      </c>
      <c r="V266">
        <f>step3_validation[[#This Row],[AI_ENF2]]</f>
        <v>6</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1</v>
      </c>
      <c r="AA266">
        <f>step3_validation[[#This Row],[AI_FAC1]]</f>
        <v>7</v>
      </c>
      <c r="AB266" t="str">
        <f t="shared" si="114"/>
        <v>Neutral</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2</v>
      </c>
      <c r="AF266">
        <f>step3_validation[[#This Row],[AI_FAC2]]</f>
        <v>9</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2</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9</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2</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8</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2">
        <f t="shared" si="131"/>
        <v>2</v>
      </c>
      <c r="BE266">
        <f>step3_validation[[#This Row],[AI_OUT1]]</f>
        <v>9</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3</v>
      </c>
    </row>
    <row r="267" spans="1:61" x14ac:dyDescent="0.45">
      <c r="A267" s="30">
        <f>step3_validation[[#This Row],[Persona_ID]]</f>
        <v>266</v>
      </c>
      <c r="B267" s="31">
        <f>step3_validation[[#This Row],[Used_Seed]]</f>
        <v>2256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62.259642572768584</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6</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0</v>
      </c>
      <c r="AA267">
        <f>step3_validation[[#This Row],[AI_FAC1]]</f>
        <v>8</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2</v>
      </c>
      <c r="AF267">
        <f>step3_validation[[#This Row],[AI_FAC2]]</f>
        <v>9</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3</v>
      </c>
      <c r="AK267">
        <f>step3_validation[[#This Row],[AI_TRU1]]</f>
        <v>6</v>
      </c>
      <c r="AL267" t="str">
        <f t="shared" si="120"/>
        <v>Neutral</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1</v>
      </c>
      <c r="AP267">
        <f>step3_validation[[#This Row],[AI_TRU2]]</f>
        <v>9</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2</v>
      </c>
      <c r="AU267">
        <f>step3_validation[[#This Row],[AI_TRU3]]</f>
        <v>7</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0</v>
      </c>
      <c r="AZ267">
        <f>step3_validation[[#This Row],[AI_TRU4]]</f>
        <v>8</v>
      </c>
      <c r="BA267" t="str">
        <f t="shared" si="129"/>
        <v>Support</v>
      </c>
      <c r="BB267">
        <f>survey_responses[[#This Row],[Tôi thấy Nhà nước đã giải thích rõ ràng, minh bạch về lý do và mục tiêu của việc sửa đổi thuế lần này. - HUMAN-TRU4]]</f>
        <v>7</v>
      </c>
      <c r="BC267" t="str">
        <f t="shared" si="130"/>
        <v>Neutral</v>
      </c>
      <c r="BD267" s="32">
        <f t="shared" si="131"/>
        <v>1</v>
      </c>
      <c r="BE267">
        <f>step3_validation[[#This Row],[AI_OUT1]]</f>
        <v>7</v>
      </c>
      <c r="BF267" t="str">
        <f t="shared" si="132"/>
        <v>Neutral</v>
      </c>
      <c r="BG267">
        <f>survey_responses[[#This Row],[Sau khi xem xét các quyền lợi và nghĩa vụ, bạn có ủng hộ và tuân thủ chính sách mới hiện nay? - HUMAN-OUT1]]</f>
        <v>7</v>
      </c>
      <c r="BH267" t="str">
        <f t="shared" si="133"/>
        <v>Neutral</v>
      </c>
      <c r="BI267" s="32">
        <f t="shared" si="134"/>
        <v>0</v>
      </c>
    </row>
    <row r="268" spans="1:61" x14ac:dyDescent="0.45">
      <c r="A268" s="30">
        <f>step3_validation[[#This Row],[Persona_ID]]</f>
        <v>267</v>
      </c>
      <c r="B268" s="31">
        <f>step3_validation[[#This Row],[Used_Seed]]</f>
        <v>2257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60.808420867312741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7</v>
      </c>
      <c r="W268" t="str">
        <f t="shared" si="111"/>
        <v>Neutral</v>
      </c>
      <c r="X268">
        <f>survey_responses[[#This Row],[Tôi tin rằng Nhà nước, cơ quan thuế có đủ khả năng và công nghệ để phát hiện, xử lý nghiêm các hành vi trốn thuế. - HUMAN-ENF2]]</f>
        <v>7</v>
      </c>
      <c r="Y268" t="str">
        <f t="shared" si="112"/>
        <v>Neutral</v>
      </c>
      <c r="Z268" s="32">
        <f t="shared" si="113"/>
        <v>0</v>
      </c>
      <c r="AA268">
        <f>step3_validation[[#This Row],[AI_FAC1]]</f>
        <v>9</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2</v>
      </c>
      <c r="AF268">
        <f>step3_validation[[#This Row],[AI_FAC2]]</f>
        <v>8</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2</v>
      </c>
      <c r="AK268">
        <f>step3_validation[[#This Row],[AI_TRU1]]</f>
        <v>6</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0</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6</v>
      </c>
      <c r="AV268" t="str">
        <f t="shared" si="126"/>
        <v>Neutral</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0</v>
      </c>
      <c r="AZ268">
        <f>step3_validation[[#This Row],[AI_TRU4]]</f>
        <v>7</v>
      </c>
      <c r="BA268" t="str">
        <f t="shared" si="129"/>
        <v>Neutral</v>
      </c>
      <c r="BB268">
        <f>survey_responses[[#This Row],[Tôi thấy Nhà nước đã giải thích rõ ràng, minh bạch về lý do và mục tiêu của việc sửa đổi thuế lần này. - HUMAN-TRU4]]</f>
        <v>7</v>
      </c>
      <c r="BC268" t="str">
        <f t="shared" si="130"/>
        <v>Neutral</v>
      </c>
      <c r="BD268" s="32">
        <f t="shared" si="131"/>
        <v>0</v>
      </c>
      <c r="BE268">
        <f>step3_validation[[#This Row],[AI_OUT1]]</f>
        <v>8</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1</v>
      </c>
    </row>
    <row r="269" spans="1:61" x14ac:dyDescent="0.45">
      <c r="A269" s="30">
        <f>step3_validation[[#This Row],[Persona_ID]]</f>
        <v>268</v>
      </c>
      <c r="B269" s="31">
        <f>step3_validation[[#This Row],[Used_Seed]]</f>
        <v>2258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24.038339925455372</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9</v>
      </c>
      <c r="R269" t="str">
        <f t="shared" si="108"/>
        <v>Support</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2</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8</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1</v>
      </c>
      <c r="AK269">
        <f>step3_validation[[#This Row],[AI_TRU1]]</f>
        <v>7</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0</v>
      </c>
      <c r="AP269">
        <f>step3_validation[[#This Row],[AI_TRU2]]</f>
        <v>9</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2</v>
      </c>
      <c r="AU269">
        <f>step3_validation[[#This Row],[AI_TRU3]]</f>
        <v>8</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1</v>
      </c>
      <c r="AZ269">
        <f>step3_validation[[#This Row],[AI_TRU4]]</f>
        <v>7</v>
      </c>
      <c r="BA269" t="str">
        <f t="shared" si="129"/>
        <v>Neutral</v>
      </c>
      <c r="BB269">
        <f>survey_responses[[#This Row],[Tôi thấy Nhà nước đã giải thích rõ ràng, minh bạch về lý do và mục tiêu của việc sửa đổi thuế lần này. - HUMAN-TRU4]]</f>
        <v>7</v>
      </c>
      <c r="BC269" t="str">
        <f t="shared" si="130"/>
        <v>Neutral</v>
      </c>
      <c r="BD269" s="32">
        <f t="shared" si="131"/>
        <v>0</v>
      </c>
      <c r="BE269">
        <f>step3_validation[[#This Row],[AI_OUT1]]</f>
        <v>9</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2</v>
      </c>
    </row>
    <row r="270" spans="1:61" x14ac:dyDescent="0.45">
      <c r="A270" s="30">
        <f>step3_validation[[#This Row],[Persona_ID]]</f>
        <v>269</v>
      </c>
      <c r="B270" s="31">
        <f>step3_validation[[#This Row],[Used_Seed]]</f>
        <v>2259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88.673723159444748</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9</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4</v>
      </c>
      <c r="AA270">
        <f>step3_validation[[#This Row],[AI_FAC1]]</f>
        <v>7</v>
      </c>
      <c r="AB270" t="str">
        <f t="shared" si="114"/>
        <v>Neutral</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5</v>
      </c>
      <c r="AF270">
        <f>step3_validation[[#This Row],[AI_FAC2]]</f>
        <v>9</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3</v>
      </c>
      <c r="AK270">
        <f>step3_validation[[#This Row],[AI_TRU1]]</f>
        <v>8</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5</v>
      </c>
      <c r="AP270">
        <f>step3_validation[[#This Row],[AI_TRU2]]</f>
        <v>9</v>
      </c>
      <c r="AQ270" t="str">
        <f t="shared" si="123"/>
        <v>Support</v>
      </c>
      <c r="AR270">
        <f>survey_responses[[#This Row],[Tôi thấy mức thuế tôi phải đóng theo phương án mới là công bằng (người thu nhập như tôi đóng mức này là hợp lý). - HUMAN-TRU2]]</f>
        <v>3</v>
      </c>
      <c r="AS270" t="str">
        <f t="shared" si="124"/>
        <v>Oppose</v>
      </c>
      <c r="AT270" s="32">
        <f t="shared" si="125"/>
        <v>6</v>
      </c>
      <c r="AU270">
        <f>step3_validation[[#This Row],[AI_TRU3]]</f>
        <v>7</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6</v>
      </c>
      <c r="AZ270">
        <f>step3_validation[[#This Row],[AI_TRU4]]</f>
        <v>6</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3</v>
      </c>
      <c r="BE270">
        <f>step3_validation[[#This Row],[AI_OUT1]]</f>
        <v>9</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8</v>
      </c>
    </row>
    <row r="271" spans="1:61" x14ac:dyDescent="0.45">
      <c r="A271" s="30">
        <f>step3_validation[[#This Row],[Persona_ID]]</f>
        <v>270</v>
      </c>
      <c r="B271" s="31">
        <f>step3_validation[[#This Row],[Used_Seed]]</f>
        <v>2260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49.263811221633972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1</v>
      </c>
      <c r="V271">
        <f>step3_validation[[#This Row],[AI_ENF2]]</f>
        <v>6</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2</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8</v>
      </c>
      <c r="AL271" t="str">
        <f t="shared" si="120"/>
        <v>Support</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5</v>
      </c>
      <c r="AP271">
        <f>step3_validation[[#This Row],[AI_TRU2]]</f>
        <v>9</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2">
        <f t="shared" si="125"/>
        <v>8</v>
      </c>
      <c r="AU271">
        <f>step3_validation[[#This Row],[AI_TRU3]]</f>
        <v>8</v>
      </c>
      <c r="AV271" t="str">
        <f t="shared" si="126"/>
        <v>Support</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0</v>
      </c>
      <c r="AZ271">
        <f>step3_validation[[#This Row],[AI_TRU4]]</f>
        <v>9</v>
      </c>
      <c r="BA271" t="str">
        <f t="shared" si="129"/>
        <v>Support</v>
      </c>
      <c r="BB271">
        <f>survey_responses[[#This Row],[Tôi thấy Nhà nước đã giải thích rõ ràng, minh bạch về lý do và mục tiêu của việc sửa đổi thuế lần này. - HUMAN-TRU4]]</f>
        <v>6</v>
      </c>
      <c r="BC271" t="str">
        <f t="shared" si="130"/>
        <v>Neutral</v>
      </c>
      <c r="BD271" s="32">
        <f t="shared" si="131"/>
        <v>3</v>
      </c>
      <c r="BE271">
        <f>step3_validation[[#This Row],[AI_OUT1]]</f>
        <v>9</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2</v>
      </c>
    </row>
    <row r="272" spans="1:61" x14ac:dyDescent="0.45">
      <c r="A272" s="30">
        <f>step3_validation[[#This Row],[Persona_ID]]</f>
        <v>271</v>
      </c>
      <c r="B272" s="31">
        <f>step3_validation[[#This Row],[Used_Seed]]</f>
        <v>2261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61.79431873802563</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6</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1</v>
      </c>
      <c r="V272">
        <f>step3_validation[[#This Row],[AI_ENF2]]</f>
        <v>7</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0</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9</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2</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2</v>
      </c>
      <c r="AU272">
        <f>step3_validation[[#This Row],[AI_TRU3]]</f>
        <v>9</v>
      </c>
      <c r="AV272" t="str">
        <f t="shared" si="126"/>
        <v>Support</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4</v>
      </c>
      <c r="AZ272">
        <f>step3_validation[[#This Row],[AI_TRU4]]</f>
        <v>8</v>
      </c>
      <c r="BA272" t="str">
        <f t="shared" si="129"/>
        <v>Support</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9</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3</v>
      </c>
    </row>
    <row r="273" spans="1:61" x14ac:dyDescent="0.45">
      <c r="A273" s="30">
        <f>step3_validation[[#This Row],[Persona_ID]]</f>
        <v>272</v>
      </c>
      <c r="B273" s="31">
        <f>step3_validation[[#This Row],[Used_Seed]]</f>
        <v>2262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43.208028220020061</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6</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9</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7</v>
      </c>
      <c r="AF273">
        <f>step3_validation[[#This Row],[AI_FAC2]]</f>
        <v>10</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4</v>
      </c>
      <c r="AK273">
        <f>step3_validation[[#This Row],[AI_TRU1]]</f>
        <v>8</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2</v>
      </c>
      <c r="AP273">
        <f>step3_validation[[#This Row],[AI_TRU2]]</f>
        <v>9</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3</v>
      </c>
      <c r="AU273">
        <f>step3_validation[[#This Row],[AI_TRU3]]</f>
        <v>8</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3</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2263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83.192467403288546</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6</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3</v>
      </c>
      <c r="V274">
        <f>step3_validation[[#This Row],[AI_ENF2]]</f>
        <v>8</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5</v>
      </c>
      <c r="AA274">
        <f>step3_validation[[#This Row],[AI_FAC1]]</f>
        <v>9</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8</v>
      </c>
      <c r="AF274">
        <f>step3_validation[[#This Row],[AI_FAC2]]</f>
        <v>9</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3</v>
      </c>
      <c r="AK274">
        <f>step3_validation[[#This Row],[AI_TRU1]]</f>
        <v>8</v>
      </c>
      <c r="AL274" t="str">
        <f t="shared" si="120"/>
        <v>Support</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7</v>
      </c>
      <c r="AP274">
        <f>step3_validation[[#This Row],[AI_TRU2]]</f>
        <v>7</v>
      </c>
      <c r="AQ274" t="str">
        <f t="shared" si="123"/>
        <v>Neutral</v>
      </c>
      <c r="AR274">
        <f>survey_responses[[#This Row],[Tôi thấy mức thuế tôi phải đóng theo phương án mới là công bằng (người thu nhập như tôi đóng mức này là hợp lý). - HUMAN-TRU2]]</f>
        <v>1</v>
      </c>
      <c r="AS274" t="str">
        <f t="shared" si="124"/>
        <v>Oppose</v>
      </c>
      <c r="AT274" s="32">
        <f t="shared" si="125"/>
        <v>6</v>
      </c>
      <c r="AU274">
        <f>step3_validation[[#This Row],[AI_TRU3]]</f>
        <v>8</v>
      </c>
      <c r="AV274" t="str">
        <f t="shared" si="126"/>
        <v>Support</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7</v>
      </c>
      <c r="AZ274">
        <f>step3_validation[[#This Row],[AI_TRU4]]</f>
        <v>9</v>
      </c>
      <c r="BA274" t="str">
        <f t="shared" si="129"/>
        <v>Support</v>
      </c>
      <c r="BB274">
        <f>survey_responses[[#This Row],[Tôi thấy Nhà nước đã giải thích rõ ràng, minh bạch về lý do và mục tiêu của việc sửa đổi thuế lần này. - HUMAN-TRU4]]</f>
        <v>1</v>
      </c>
      <c r="BC274" t="str">
        <f t="shared" si="130"/>
        <v>Oppose</v>
      </c>
      <c r="BD274" s="32">
        <f t="shared" si="131"/>
        <v>8</v>
      </c>
      <c r="BE274">
        <f>step3_validation[[#This Row],[AI_OUT1]]</f>
        <v>10</v>
      </c>
      <c r="BF274" t="str">
        <f t="shared" si="132"/>
        <v>Support</v>
      </c>
      <c r="BG274">
        <f>survey_responses[[#This Row],[Sau khi xem xét các quyền lợi và nghĩa vụ, bạn có ủng hộ và tuân thủ chính sách mới hiện nay? - HUMAN-OUT1]]</f>
        <v>1</v>
      </c>
      <c r="BH274" t="str">
        <f t="shared" si="133"/>
        <v>Oppose</v>
      </c>
      <c r="BI274" s="32">
        <f t="shared" si="134"/>
        <v>9</v>
      </c>
    </row>
    <row r="275" spans="1:61" x14ac:dyDescent="0.45">
      <c r="A275" s="30">
        <f>step3_validation[[#This Row],[Persona_ID]]</f>
        <v>274</v>
      </c>
      <c r="B275" s="31">
        <f>step3_validation[[#This Row],[Used_Seed]]</f>
        <v>2264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64.31641483786585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6</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0</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8</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2">
        <f t="shared" si="125"/>
        <v>2</v>
      </c>
      <c r="AU275">
        <f>step3_validation[[#This Row],[AI_TRU3]]</f>
        <v>7</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1</v>
      </c>
      <c r="AZ275">
        <f>step3_validation[[#This Row],[AI_TRU4]]</f>
        <v>6</v>
      </c>
      <c r="BA275" t="str">
        <f t="shared" si="129"/>
        <v>Neutral</v>
      </c>
      <c r="BB275">
        <f>survey_responses[[#This Row],[Tôi thấy Nhà nước đã giải thích rõ ràng, minh bạch về lý do và mục tiêu của việc sửa đổi thuế lần này. - HUMAN-TRU4]]</f>
        <v>6</v>
      </c>
      <c r="BC275" t="str">
        <f t="shared" si="130"/>
        <v>Neutral</v>
      </c>
      <c r="BD275" s="32">
        <f t="shared" si="131"/>
        <v>0</v>
      </c>
      <c r="BE275">
        <f>step3_validation[[#This Row],[AI_OUT1]]</f>
        <v>8</v>
      </c>
      <c r="BF275" t="str">
        <f t="shared" si="132"/>
        <v>Support</v>
      </c>
      <c r="BG275">
        <f>survey_responses[[#This Row],[Sau khi xem xét các quyền lợi và nghĩa vụ, bạn có ủng hộ và tuân thủ chính sách mới hiện nay? - HUMAN-OUT1]]</f>
        <v>6</v>
      </c>
      <c r="BH275" t="str">
        <f t="shared" si="133"/>
        <v>Neutral</v>
      </c>
      <c r="BI275" s="32">
        <f t="shared" si="134"/>
        <v>2</v>
      </c>
    </row>
    <row r="276" spans="1:61" x14ac:dyDescent="0.45">
      <c r="A276" s="30">
        <f>step3_validation[[#This Row],[Persona_ID]]</f>
        <v>275</v>
      </c>
      <c r="B276" s="31">
        <f>step3_validation[[#This Row],[Used_Seed]]</f>
        <v>2265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56.468503536521119</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8</v>
      </c>
      <c r="W276" t="str">
        <f t="shared" si="111"/>
        <v>Support</v>
      </c>
      <c r="X276">
        <f>survey_responses[[#This Row],[Tôi tin rằng Nhà nước, cơ quan thuế có đủ khả năng và công nghệ để phát hiện, xử lý nghiêm các hành vi trốn thuế. - HUMAN-ENF2]]</f>
        <v>9</v>
      </c>
      <c r="Y276" t="str">
        <f t="shared" si="112"/>
        <v>Support</v>
      </c>
      <c r="Z276" s="32">
        <f t="shared" si="113"/>
        <v>1</v>
      </c>
      <c r="AA276">
        <f>step3_validation[[#This Row],[AI_FAC1]]</f>
        <v>9</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4</v>
      </c>
      <c r="AF276">
        <f>step3_validation[[#This Row],[AI_FAC2]]</f>
        <v>9</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2</v>
      </c>
      <c r="AK276">
        <f>step3_validation[[#This Row],[AI_TRU1]]</f>
        <v>8</v>
      </c>
      <c r="AL276" t="str">
        <f t="shared" si="120"/>
        <v>Support</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2</v>
      </c>
      <c r="AP276">
        <f>step3_validation[[#This Row],[AI_TRU2]]</f>
        <v>8</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2">
        <f t="shared" si="125"/>
        <v>1</v>
      </c>
      <c r="AU276">
        <f>step3_validation[[#This Row],[AI_TRU3]]</f>
        <v>7</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0</v>
      </c>
      <c r="AZ276">
        <f>step3_validation[[#This Row],[AI_TRU4]]</f>
        <v>8</v>
      </c>
      <c r="BA276" t="str">
        <f t="shared" si="129"/>
        <v>Support</v>
      </c>
      <c r="BB276">
        <f>survey_responses[[#This Row],[Tôi thấy Nhà nước đã giải thích rõ ràng, minh bạch về lý do và mục tiêu của việc sửa đổi thuế lần này. - HUMAN-TRU4]]</f>
        <v>7</v>
      </c>
      <c r="BC276" t="str">
        <f t="shared" si="130"/>
        <v>Neutral</v>
      </c>
      <c r="BD276" s="32">
        <f t="shared" si="131"/>
        <v>1</v>
      </c>
      <c r="BE276">
        <f>step3_validation[[#This Row],[AI_OUT1]]</f>
        <v>9</v>
      </c>
      <c r="BF276" t="str">
        <f t="shared" si="132"/>
        <v>Support</v>
      </c>
      <c r="BG276">
        <f>survey_responses[[#This Row],[Sau khi xem xét các quyền lợi và nghĩa vụ, bạn có ủng hộ và tuân thủ chính sách mới hiện nay? - HUMAN-OUT1]]</f>
        <v>7</v>
      </c>
      <c r="BH276" t="str">
        <f t="shared" si="133"/>
        <v>Neutral</v>
      </c>
      <c r="BI276" s="32">
        <f t="shared" si="134"/>
        <v>2</v>
      </c>
    </row>
    <row r="277" spans="1:61" x14ac:dyDescent="0.45">
      <c r="A277" s="30">
        <f>step3_validation[[#This Row],[Persona_ID]]</f>
        <v>276</v>
      </c>
      <c r="B277" s="31">
        <f>step3_validation[[#This Row],[Used_Seed]]</f>
        <v>2266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44.310110739472506</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6</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0</v>
      </c>
      <c r="V277">
        <f>step3_validation[[#This Row],[AI_ENF2]]</f>
        <v>7</v>
      </c>
      <c r="W277" t="str">
        <f t="shared" si="111"/>
        <v>Neutral</v>
      </c>
      <c r="X277">
        <f>survey_responses[[#This Row],[Tôi tin rằng Nhà nước, cơ quan thuế có đủ khả năng và công nghệ để phát hiện, xử lý nghiêm các hành vi trốn thuế. - HUMAN-ENF2]]</f>
        <v>6</v>
      </c>
      <c r="Y277" t="str">
        <f t="shared" si="112"/>
        <v>Neutral</v>
      </c>
      <c r="Z277" s="32">
        <f t="shared" si="113"/>
        <v>1</v>
      </c>
      <c r="AA277">
        <f>step3_validation[[#This Row],[AI_FAC1]]</f>
        <v>9</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6</v>
      </c>
      <c r="AF277">
        <f>step3_validation[[#This Row],[AI_FAC2]]</f>
        <v>8</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1</v>
      </c>
      <c r="AK277">
        <f>step3_validation[[#This Row],[AI_TRU1]]</f>
        <v>7</v>
      </c>
      <c r="AL277" t="str">
        <f t="shared" si="120"/>
        <v>Neutral</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0</v>
      </c>
      <c r="AP277">
        <f>step3_validation[[#This Row],[AI_TRU2]]</f>
        <v>8</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1</v>
      </c>
      <c r="AU277">
        <f>step3_validation[[#This Row],[AI_TRU3]]</f>
        <v>9</v>
      </c>
      <c r="AV277" t="str">
        <f t="shared" si="126"/>
        <v>Support</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4</v>
      </c>
      <c r="AZ277">
        <f>step3_validation[[#This Row],[AI_TRU4]]</f>
        <v>7</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0</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2267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89.620343369473275</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1</v>
      </c>
      <c r="V278">
        <f>step3_validation[[#This Row],[AI_ENF2]]</f>
        <v>8</v>
      </c>
      <c r="W278" t="str">
        <f t="shared" si="111"/>
        <v>Support</v>
      </c>
      <c r="X278">
        <f>survey_responses[[#This Row],[Tôi tin rằng Nhà nước, cơ quan thuế có đủ khả năng và công nghệ để phát hiện, xử lý nghiêm các hành vi trốn thuế. - HUMAN-ENF2]]</f>
        <v>8</v>
      </c>
      <c r="Y278" t="str">
        <f t="shared" si="112"/>
        <v>Support</v>
      </c>
      <c r="Z278" s="32">
        <f t="shared" si="113"/>
        <v>0</v>
      </c>
      <c r="AA278">
        <f>step3_validation[[#This Row],[AI_FAC1]]</f>
        <v>9</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3</v>
      </c>
      <c r="AF278">
        <f>step3_validation[[#This Row],[AI_FAC2]]</f>
        <v>9</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2</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9</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5</v>
      </c>
      <c r="AU278">
        <f>step3_validation[[#This Row],[AI_TRU3]]</f>
        <v>8</v>
      </c>
      <c r="AV278" t="str">
        <f t="shared" si="126"/>
        <v>Support</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3</v>
      </c>
      <c r="AZ278">
        <f>step3_validation[[#This Row],[AI_TRU4]]</f>
        <v>7</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2</v>
      </c>
      <c r="BE278">
        <f>step3_validation[[#This Row],[AI_OUT1]]</f>
        <v>9</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4</v>
      </c>
    </row>
    <row r="279" spans="1:61" x14ac:dyDescent="0.45">
      <c r="A279" s="30">
        <f>step3_validation[[#This Row],[Persona_ID]]</f>
        <v>278</v>
      </c>
      <c r="B279" s="31">
        <f>step3_validation[[#This Row],[Used_Seed]]</f>
        <v>2268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63.192631952157875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1</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9</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2</v>
      </c>
      <c r="AK279">
        <f>step3_validation[[#This Row],[AI_TRU1]]</f>
        <v>8</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2</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3</v>
      </c>
      <c r="AU279">
        <f>step3_validation[[#This Row],[AI_TRU3]]</f>
        <v>8</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2</v>
      </c>
      <c r="AZ279">
        <f>step3_validation[[#This Row],[AI_TRU4]]</f>
        <v>9</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2">
        <f t="shared" si="131"/>
        <v>3</v>
      </c>
      <c r="BE279">
        <f>step3_validation[[#This Row],[AI_OUT1]]</f>
        <v>8</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2</v>
      </c>
    </row>
    <row r="280" spans="1:61" x14ac:dyDescent="0.45">
      <c r="A280" s="30">
        <f>step3_validation[[#This Row],[Persona_ID]]</f>
        <v>279</v>
      </c>
      <c r="B280" s="31">
        <f>step3_validation[[#This Row],[Used_Seed]]</f>
        <v>2269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76.618853313804934</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9</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3</v>
      </c>
      <c r="V280">
        <f>step3_validation[[#This Row],[AI_ENF2]]</f>
        <v>8</v>
      </c>
      <c r="W280" t="str">
        <f t="shared" si="111"/>
        <v>Support</v>
      </c>
      <c r="X280">
        <f>survey_responses[[#This Row],[Tôi tin rằng Nhà nước, cơ quan thuế có đủ khả năng và công nghệ để phát hiện, xử lý nghiêm các hành vi trốn thuế. - HUMAN-ENF2]]</f>
        <v>7</v>
      </c>
      <c r="Y280" t="str">
        <f t="shared" si="112"/>
        <v>Neutral</v>
      </c>
      <c r="Z280" s="32">
        <f t="shared" si="113"/>
        <v>1</v>
      </c>
      <c r="AA280">
        <f>step3_validation[[#This Row],[AI_FAC1]]</f>
        <v>9</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4</v>
      </c>
      <c r="AF280">
        <f>step3_validation[[#This Row],[AI_FAC2]]</f>
        <v>8</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0</v>
      </c>
      <c r="AK280">
        <f>step3_validation[[#This Row],[AI_TRU1]]</f>
        <v>9</v>
      </c>
      <c r="AL280" t="str">
        <f t="shared" si="120"/>
        <v>Support</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3</v>
      </c>
      <c r="AP280">
        <f>step3_validation[[#This Row],[AI_TRU2]]</f>
        <v>8</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5</v>
      </c>
      <c r="AU280">
        <f>step3_validation[[#This Row],[AI_TRU3]]</f>
        <v>9</v>
      </c>
      <c r="AV280" t="str">
        <f t="shared" si="126"/>
        <v>Support</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3</v>
      </c>
      <c r="AZ280">
        <f>step3_validation[[#This Row],[AI_TRU4]]</f>
        <v>8</v>
      </c>
      <c r="BA280" t="str">
        <f t="shared" si="129"/>
        <v>Support</v>
      </c>
      <c r="BB280">
        <f>survey_responses[[#This Row],[Tôi thấy Nhà nước đã giải thích rõ ràng, minh bạch về lý do và mục tiêu của việc sửa đổi thuế lần này. - HUMAN-TRU4]]</f>
        <v>8</v>
      </c>
      <c r="BC280" t="str">
        <f t="shared" si="130"/>
        <v>Support</v>
      </c>
      <c r="BD280" s="32">
        <f t="shared" si="131"/>
        <v>0</v>
      </c>
      <c r="BE280">
        <f>step3_validation[[#This Row],[AI_OUT1]]</f>
        <v>9</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3</v>
      </c>
    </row>
    <row r="281" spans="1:61" x14ac:dyDescent="0.45">
      <c r="A281" s="30">
        <f>step3_validation[[#This Row],[Persona_ID]]</f>
        <v>280</v>
      </c>
      <c r="B281" s="31">
        <f>step3_validation[[#This Row],[Used_Seed]]</f>
        <v>2270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71.148209333214581</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t="str">
        <f t="shared" si="108"/>
        <v>Neutral</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3</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9</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3</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9</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7</v>
      </c>
      <c r="AU281">
        <f>step3_validation[[#This Row],[AI_TRU3]]</f>
        <v>7</v>
      </c>
      <c r="AV281" t="str">
        <f t="shared" si="126"/>
        <v>Neutral</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6</v>
      </c>
      <c r="AZ281">
        <f>step3_validation[[#This Row],[AI_TRU4]]</f>
        <v>8</v>
      </c>
      <c r="BA281" t="str">
        <f t="shared" si="129"/>
        <v>Support</v>
      </c>
      <c r="BB281">
        <f>survey_responses[[#This Row],[Tôi thấy Nhà nước đã giải thích rõ ràng, minh bạch về lý do và mục tiêu của việc sửa đổi thuế lần này. - HUMAN-TRU4]]</f>
        <v>5</v>
      </c>
      <c r="BC281" t="str">
        <f t="shared" si="130"/>
        <v>Neutral</v>
      </c>
      <c r="BD281" s="32">
        <f t="shared" si="131"/>
        <v>3</v>
      </c>
      <c r="BE281">
        <f>step3_validation[[#This Row],[AI_OUT1]]</f>
        <v>9</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5</v>
      </c>
    </row>
    <row r="282" spans="1:61" x14ac:dyDescent="0.45">
      <c r="A282" s="30">
        <f>step3_validation[[#This Row],[Persona_ID]]</f>
        <v>281</v>
      </c>
      <c r="B282" s="31">
        <f>step3_validation[[#This Row],[Used_Seed]]</f>
        <v>2271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90.3755892969847</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9</v>
      </c>
      <c r="R282" t="str">
        <f t="shared" si="108"/>
        <v>Support</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3</v>
      </c>
      <c r="V282">
        <f>step3_validation[[#This Row],[AI_ENF2]]</f>
        <v>8</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1</v>
      </c>
      <c r="AA282">
        <f>step3_validation[[#This Row],[AI_FAC1]]</f>
        <v>9</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5</v>
      </c>
      <c r="AF282">
        <f>step3_validation[[#This Row],[AI_FAC2]]</f>
        <v>8</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0</v>
      </c>
      <c r="AK282">
        <f>step3_validation[[#This Row],[AI_TRU1]]</f>
        <v>9</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3</v>
      </c>
      <c r="AP282">
        <f>step3_validation[[#This Row],[AI_TRU2]]</f>
        <v>8</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2</v>
      </c>
      <c r="AU282">
        <f>step3_validation[[#This Row],[AI_TRU3]]</f>
        <v>9</v>
      </c>
      <c r="AV282" t="str">
        <f t="shared" si="126"/>
        <v>Support</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4</v>
      </c>
      <c r="AZ282">
        <f>step3_validation[[#This Row],[AI_TRU4]]</f>
        <v>8</v>
      </c>
      <c r="BA282" t="str">
        <f t="shared" si="129"/>
        <v>Support</v>
      </c>
      <c r="BB282">
        <f>survey_responses[[#This Row],[Tôi thấy Nhà nước đã giải thích rõ ràng, minh bạch về lý do và mục tiêu của việc sửa đổi thuế lần này. - HUMAN-TRU4]]</f>
        <v>7</v>
      </c>
      <c r="BC282" t="str">
        <f t="shared" si="130"/>
        <v>Neutral</v>
      </c>
      <c r="BD282" s="32">
        <f t="shared" si="131"/>
        <v>1</v>
      </c>
      <c r="BE282">
        <f>step3_validation[[#This Row],[AI_OUT1]]</f>
        <v>9</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3</v>
      </c>
    </row>
    <row r="283" spans="1:61" x14ac:dyDescent="0.45">
      <c r="A283" s="30">
        <f>step3_validation[[#This Row],[Persona_ID]]</f>
        <v>282</v>
      </c>
      <c r="B283" s="31">
        <f>step3_validation[[#This Row],[Used_Seed]]</f>
        <v>2272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209.08226298441062</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6</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2</v>
      </c>
      <c r="V283">
        <f>step3_validation[[#This Row],[AI_ENF2]]</f>
        <v>7</v>
      </c>
      <c r="W283" t="str">
        <f t="shared" si="111"/>
        <v>Neutral</v>
      </c>
      <c r="X283">
        <f>survey_responses[[#This Row],[Tôi tin rằng Nhà nước, cơ quan thuế có đủ khả năng và công nghệ để phát hiện, xử lý nghiêm các hành vi trốn thuế. - HUMAN-ENF2]]</f>
        <v>8</v>
      </c>
      <c r="Y283" t="str">
        <f t="shared" si="112"/>
        <v>Support</v>
      </c>
      <c r="Z283" s="32">
        <f t="shared" si="113"/>
        <v>1</v>
      </c>
      <c r="AA283">
        <f>step3_validation[[#This Row],[AI_FAC1]]</f>
        <v>8</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1</v>
      </c>
      <c r="AF283">
        <f>step3_validation[[#This Row],[AI_FAC2]]</f>
        <v>9</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0</v>
      </c>
      <c r="AK283">
        <f>step3_validation[[#This Row],[AI_TRU1]]</f>
        <v>8</v>
      </c>
      <c r="AL283" t="str">
        <f t="shared" si="120"/>
        <v>Support</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1</v>
      </c>
      <c r="AP283">
        <f>step3_validation[[#This Row],[AI_TRU2]]</f>
        <v>9</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2">
        <f t="shared" si="125"/>
        <v>1</v>
      </c>
      <c r="AU283">
        <f>step3_validation[[#This Row],[AI_TRU3]]</f>
        <v>8</v>
      </c>
      <c r="AV283" t="str">
        <f t="shared" si="126"/>
        <v>Support</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0</v>
      </c>
      <c r="AZ283">
        <f>step3_validation[[#This Row],[AI_TRU4]]</f>
        <v>7</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1</v>
      </c>
      <c r="BE283">
        <f>step3_validation[[#This Row],[AI_OUT1]]</f>
        <v>9</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2</v>
      </c>
    </row>
    <row r="284" spans="1:61" x14ac:dyDescent="0.45">
      <c r="A284" s="30">
        <f>step3_validation[[#This Row],[Persona_ID]]</f>
        <v>283</v>
      </c>
      <c r="B284" s="31">
        <f>step3_validation[[#This Row],[Used_Seed]]</f>
        <v>2273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57.282489933770037</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2</v>
      </c>
      <c r="V284">
        <f>step3_validation[[#This Row],[AI_ENF2]]</f>
        <v>8</v>
      </c>
      <c r="W284" t="str">
        <f t="shared" si="111"/>
        <v>Support</v>
      </c>
      <c r="X284">
        <f>survey_responses[[#This Row],[Tôi tin rằng Nhà nước, cơ quan thuế có đủ khả năng và công nghệ để phát hiện, xử lý nghiêm các hành vi trốn thuế. - HUMAN-ENF2]]</f>
        <v>5</v>
      </c>
      <c r="Y284" t="str">
        <f t="shared" si="112"/>
        <v>Neutral</v>
      </c>
      <c r="Z284" s="32">
        <f t="shared" si="113"/>
        <v>3</v>
      </c>
      <c r="AA284">
        <f>step3_validation[[#This Row],[AI_FAC1]]</f>
        <v>9</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7</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7</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2</v>
      </c>
      <c r="AZ284">
        <f>step3_validation[[#This Row],[AI_TRU4]]</f>
        <v>8</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2">
        <f t="shared" si="131"/>
        <v>3</v>
      </c>
      <c r="BE284">
        <f>step3_validation[[#This Row],[AI_OUT1]]</f>
        <v>9</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5</v>
      </c>
    </row>
    <row r="285" spans="1:61" x14ac:dyDescent="0.45">
      <c r="A285" s="30">
        <f>step3_validation[[#This Row],[Persona_ID]]</f>
        <v>284</v>
      </c>
      <c r="B285" s="31">
        <f>step3_validation[[#This Row],[Used_Seed]]</f>
        <v>2274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63.393929452753142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9</v>
      </c>
      <c r="R285" t="str">
        <f t="shared" si="108"/>
        <v>Support</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2</v>
      </c>
      <c r="V285">
        <f>step3_validation[[#This Row],[AI_ENF2]]</f>
        <v>8</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9</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4</v>
      </c>
      <c r="AF285">
        <f>step3_validation[[#This Row],[AI_FAC2]]</f>
        <v>8</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1</v>
      </c>
      <c r="AK285">
        <f>step3_validation[[#This Row],[AI_TRU1]]</f>
        <v>9</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4</v>
      </c>
      <c r="AP285">
        <f>step3_validation[[#This Row],[AI_TRU2]]</f>
        <v>8</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2">
        <f t="shared" si="125"/>
        <v>2</v>
      </c>
      <c r="AU285">
        <f>step3_validation[[#This Row],[AI_TRU3]]</f>
        <v>9</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4</v>
      </c>
      <c r="AZ285">
        <f>step3_validation[[#This Row],[AI_TRU4]]</f>
        <v>8</v>
      </c>
      <c r="BA285" t="str">
        <f t="shared" si="129"/>
        <v>Support</v>
      </c>
      <c r="BB285">
        <f>survey_responses[[#This Row],[Tôi thấy Nhà nước đã giải thích rõ ràng, minh bạch về lý do và mục tiêu của việc sửa đổi thuế lần này. - HUMAN-TRU4]]</f>
        <v>7</v>
      </c>
      <c r="BC285" t="str">
        <f t="shared" si="130"/>
        <v>Neutral</v>
      </c>
      <c r="BD285" s="32">
        <f t="shared" si="131"/>
        <v>1</v>
      </c>
      <c r="BE285">
        <f>step3_validation[[#This Row],[AI_OUT1]]</f>
        <v>9</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3</v>
      </c>
    </row>
    <row r="286" spans="1:61" x14ac:dyDescent="0.45">
      <c r="A286" s="30">
        <f>step3_validation[[#This Row],[Persona_ID]]</f>
        <v>285</v>
      </c>
      <c r="B286" s="31">
        <f>step3_validation[[#This Row],[Used_Seed]]</f>
        <v>2275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98.175095707980162</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9</v>
      </c>
      <c r="R286" t="str">
        <f t="shared" si="108"/>
        <v>Support</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2</v>
      </c>
      <c r="V286">
        <f>step3_validation[[#This Row],[AI_ENF2]]</f>
        <v>8</v>
      </c>
      <c r="W286" t="str">
        <f t="shared" si="111"/>
        <v>Support</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9</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4</v>
      </c>
      <c r="AF286">
        <f>step3_validation[[#This Row],[AI_FAC2]]</f>
        <v>10</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2</v>
      </c>
      <c r="AK286">
        <f>step3_validation[[#This Row],[AI_TRU1]]</f>
        <v>9</v>
      </c>
      <c r="AL286" t="str">
        <f t="shared" si="120"/>
        <v>Support</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3</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9</v>
      </c>
      <c r="AV286" t="str">
        <f t="shared" si="126"/>
        <v>Support</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3</v>
      </c>
      <c r="AZ286">
        <f>step3_validation[[#This Row],[AI_TRU4]]</f>
        <v>8</v>
      </c>
      <c r="BA286" t="str">
        <f t="shared" si="129"/>
        <v>Support</v>
      </c>
      <c r="BB286">
        <f>survey_responses[[#This Row],[Tôi thấy Nhà nước đã giải thích rõ ràng, minh bạch về lý do và mục tiêu của việc sửa đổi thuế lần này. - HUMAN-TRU4]]</f>
        <v>7</v>
      </c>
      <c r="BC286" t="str">
        <f t="shared" si="130"/>
        <v>Neutral</v>
      </c>
      <c r="BD286" s="32">
        <f t="shared" si="131"/>
        <v>1</v>
      </c>
      <c r="BE286">
        <f>step3_validation[[#This Row],[AI_OUT1]]</f>
        <v>10</v>
      </c>
      <c r="BF286" t="str">
        <f t="shared" si="132"/>
        <v>Support</v>
      </c>
      <c r="BG286">
        <f>survey_responses[[#This Row],[Sau khi xem xét các quyền lợi và nghĩa vụ, bạn có ủng hộ và tuân thủ chính sách mới hiện nay? - HUMAN-OUT1]]</f>
        <v>7</v>
      </c>
      <c r="BH286" t="str">
        <f t="shared" si="133"/>
        <v>Neutral</v>
      </c>
      <c r="BI286" s="32">
        <f t="shared" si="134"/>
        <v>3</v>
      </c>
    </row>
    <row r="287" spans="1:61" x14ac:dyDescent="0.45">
      <c r="A287" s="30">
        <f>step3_validation[[#This Row],[Persona_ID]]</f>
        <v>286</v>
      </c>
      <c r="B287" s="31">
        <f>step3_validation[[#This Row],[Used_Seed]]</f>
        <v>2276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37.978933802969514</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6</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2</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8</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6</v>
      </c>
      <c r="AF287">
        <f>step3_validation[[#This Row],[AI_FAC2]]</f>
        <v>9</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1</v>
      </c>
      <c r="AK287">
        <f>step3_validation[[#This Row],[AI_TRU1]]</f>
        <v>8</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3</v>
      </c>
      <c r="AP287">
        <f>step3_validation[[#This Row],[AI_TRU2]]</f>
        <v>7</v>
      </c>
      <c r="AQ287" t="str">
        <f t="shared" si="123"/>
        <v>Neutral</v>
      </c>
      <c r="AR287">
        <f>survey_responses[[#This Row],[Tôi thấy mức thuế tôi phải đóng theo phương án mới là công bằng (người thu nhập như tôi đóng mức này là hợp lý). - HUMAN-TRU2]]</f>
        <v>5</v>
      </c>
      <c r="AS287" t="str">
        <f t="shared" si="124"/>
        <v>Neutral</v>
      </c>
      <c r="AT287" s="32">
        <f t="shared" si="125"/>
        <v>2</v>
      </c>
      <c r="AU287">
        <f>step3_validation[[#This Row],[AI_TRU3]]</f>
        <v>8</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4</v>
      </c>
      <c r="AZ287">
        <f>step3_validation[[#This Row],[AI_TRU4]]</f>
        <v>6</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0</v>
      </c>
      <c r="BE287">
        <f>step3_validation[[#This Row],[AI_OUT1]]</f>
        <v>9</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4</v>
      </c>
    </row>
    <row r="288" spans="1:61" x14ac:dyDescent="0.45">
      <c r="A288" s="30">
        <f>step3_validation[[#This Row],[Persona_ID]]</f>
        <v>287</v>
      </c>
      <c r="B288" s="31">
        <f>step3_validation[[#This Row],[Used_Seed]]</f>
        <v>2277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68.388741481585825</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8</v>
      </c>
      <c r="R288" t="str">
        <f t="shared" si="108"/>
        <v>Support</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2</v>
      </c>
      <c r="V288">
        <f>step3_validation[[#This Row],[AI_ENF2]]</f>
        <v>7</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2">
        <f t="shared" si="113"/>
        <v>3</v>
      </c>
      <c r="AA288">
        <f>step3_validation[[#This Row],[AI_FAC1]]</f>
        <v>9</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8</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1</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8</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1</v>
      </c>
      <c r="AZ288">
        <f>step3_validation[[#This Row],[AI_TRU4]]</f>
        <v>6</v>
      </c>
      <c r="BA288" t="str">
        <f t="shared" si="129"/>
        <v>Neutral</v>
      </c>
      <c r="BB288">
        <f>survey_responses[[#This Row],[Tôi thấy Nhà nước đã giải thích rõ ràng, minh bạch về lý do và mục tiêu của việc sửa đổi thuế lần này. - HUMAN-TRU4]]</f>
        <v>8</v>
      </c>
      <c r="BC288" t="str">
        <f t="shared" si="130"/>
        <v>Support</v>
      </c>
      <c r="BD288" s="32">
        <f t="shared" si="131"/>
        <v>2</v>
      </c>
      <c r="BE288">
        <f>step3_validation[[#This Row],[AI_OUT1]]</f>
        <v>9</v>
      </c>
      <c r="BF288" t="str">
        <f t="shared" si="132"/>
        <v>Support</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2278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28.964490430024476</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6</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2</v>
      </c>
      <c r="V289">
        <f>step3_validation[[#This Row],[AI_ENF2]]</f>
        <v>6</v>
      </c>
      <c r="W289" t="str">
        <f t="shared" si="111"/>
        <v>Neutral</v>
      </c>
      <c r="X289">
        <f>survey_responses[[#This Row],[Tôi tin rằng Nhà nước, cơ quan thuế có đủ khả năng và công nghệ để phát hiện, xử lý nghiêm các hành vi trốn thuế. - HUMAN-ENF2]]</f>
        <v>8</v>
      </c>
      <c r="Y289" t="str">
        <f t="shared" si="112"/>
        <v>Support</v>
      </c>
      <c r="Z289" s="32">
        <f t="shared" si="113"/>
        <v>2</v>
      </c>
      <c r="AA289">
        <f>step3_validation[[#This Row],[AI_FAC1]]</f>
        <v>9</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4</v>
      </c>
      <c r="AF289">
        <f>step3_validation[[#This Row],[AI_FAC2]]</f>
        <v>8</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1</v>
      </c>
      <c r="AK289">
        <f>step3_validation[[#This Row],[AI_TRU1]]</f>
        <v>7</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3</v>
      </c>
      <c r="AP289">
        <f>step3_validation[[#This Row],[AI_TRU2]]</f>
        <v>8</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2</v>
      </c>
      <c r="AU289">
        <f>step3_validation[[#This Row],[AI_TRU3]]</f>
        <v>6</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3</v>
      </c>
      <c r="AZ289">
        <f>step3_validation[[#This Row],[AI_TRU4]]</f>
        <v>7</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2">
        <f t="shared" si="131"/>
        <v>2</v>
      </c>
      <c r="BE289">
        <f>step3_validation[[#This Row],[AI_OUT1]]</f>
        <v>9</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1</v>
      </c>
    </row>
    <row r="290" spans="1:61" x14ac:dyDescent="0.45">
      <c r="A290" s="30">
        <f>step3_validation[[#This Row],[Persona_ID]]</f>
        <v>289</v>
      </c>
      <c r="B290" s="31">
        <f>step3_validation[[#This Row],[Used_Seed]]</f>
        <v>2279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27.839769059456074</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9</v>
      </c>
      <c r="R290" t="str">
        <f t="shared" si="108"/>
        <v>Support</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2</v>
      </c>
      <c r="V290">
        <f>step3_validation[[#This Row],[AI_ENF2]]</f>
        <v>8</v>
      </c>
      <c r="W290" t="str">
        <f t="shared" si="111"/>
        <v>Support</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9</v>
      </c>
      <c r="AB290" t="str">
        <f t="shared" si="114"/>
        <v>Support</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4</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7</v>
      </c>
      <c r="AL290" t="str">
        <f t="shared" si="120"/>
        <v>Neutral</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2</v>
      </c>
      <c r="AP290">
        <f>step3_validation[[#This Row],[AI_TRU2]]</f>
        <v>8</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3</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2</v>
      </c>
      <c r="AZ290">
        <f>step3_validation[[#This Row],[AI_TRU4]]</f>
        <v>8</v>
      </c>
      <c r="BA290" t="str">
        <f t="shared" si="129"/>
        <v>Support</v>
      </c>
      <c r="BB290">
        <f>survey_responses[[#This Row],[Tôi thấy Nhà nước đã giải thích rõ ràng, minh bạch về lý do và mục tiêu của việc sửa đổi thuế lần này. - HUMAN-TRU4]]</f>
        <v>5</v>
      </c>
      <c r="BC290" t="str">
        <f t="shared" si="130"/>
        <v>Neutral</v>
      </c>
      <c r="BD290" s="32">
        <f t="shared" si="131"/>
        <v>3</v>
      </c>
      <c r="BE290">
        <f>step3_validation[[#This Row],[AI_OUT1]]</f>
        <v>9</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3</v>
      </c>
    </row>
    <row r="291" spans="1:61" x14ac:dyDescent="0.45">
      <c r="A291" s="30">
        <f>step3_validation[[#This Row],[Persona_ID]]</f>
        <v>290</v>
      </c>
      <c r="B291" s="31">
        <f>step3_validation[[#This Row],[Used_Seed]]</f>
        <v>2280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37.322422703116146</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8</v>
      </c>
      <c r="R291" t="str">
        <f t="shared" si="108"/>
        <v>Support</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0</v>
      </c>
      <c r="V291">
        <f>step3_validation[[#This Row],[AI_ENF2]]</f>
        <v>7</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1</v>
      </c>
      <c r="AA291">
        <f>step3_validation[[#This Row],[AI_FAC1]]</f>
        <v>8</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0</v>
      </c>
      <c r="AF291">
        <f>step3_validation[[#This Row],[AI_FAC2]]</f>
        <v>9</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1</v>
      </c>
      <c r="AK291">
        <f>step3_validation[[#This Row],[AI_TRU1]]</f>
        <v>7</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1</v>
      </c>
      <c r="AP291">
        <f>step3_validation[[#This Row],[AI_TRU2]]</f>
        <v>9</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1</v>
      </c>
      <c r="AU291">
        <f>step3_validation[[#This Row],[AI_TRU3]]</f>
        <v>8</v>
      </c>
      <c r="AV291" t="str">
        <f t="shared" si="126"/>
        <v>Support</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0</v>
      </c>
      <c r="AZ291">
        <f>step3_validation[[#This Row],[AI_TRU4]]</f>
        <v>7</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1</v>
      </c>
      <c r="BE291">
        <f>step3_validation[[#This Row],[AI_OUT1]]</f>
        <v>9</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2281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53.096133340729381</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2</v>
      </c>
      <c r="V292">
        <f>step3_validation[[#This Row],[AI_ENF2]]</f>
        <v>7</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2">
        <f t="shared" si="113"/>
        <v>2</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6</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2</v>
      </c>
      <c r="AP292">
        <f>step3_validation[[#This Row],[AI_TRU2]]</f>
        <v>9</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1</v>
      </c>
      <c r="AU292">
        <f>step3_validation[[#This Row],[AI_TRU3]]</f>
        <v>7</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1</v>
      </c>
      <c r="AZ292">
        <f>step3_validation[[#This Row],[AI_TRU4]]</f>
        <v>6</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2</v>
      </c>
      <c r="BE292">
        <f>step3_validation[[#This Row],[AI_OUT1]]</f>
        <v>9</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2282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56.405672353240703</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6</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0</v>
      </c>
      <c r="V293">
        <f>step3_validation[[#This Row],[AI_ENF2]]</f>
        <v>7</v>
      </c>
      <c r="W293" t="str">
        <f t="shared" si="111"/>
        <v>Neutral</v>
      </c>
      <c r="X293">
        <f>survey_responses[[#This Row],[Tôi tin rằng Nhà nước, cơ quan thuế có đủ khả năng và công nghệ để phát hiện, xử lý nghiêm các hành vi trốn thuế. - HUMAN-ENF2]]</f>
        <v>6</v>
      </c>
      <c r="Y293" t="str">
        <f t="shared" si="112"/>
        <v>Neutral</v>
      </c>
      <c r="Z293" s="32">
        <f t="shared" si="113"/>
        <v>1</v>
      </c>
      <c r="AA293">
        <f>step3_validation[[#This Row],[AI_FAC1]]</f>
        <v>8</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7</v>
      </c>
      <c r="AF293">
        <f>step3_validation[[#This Row],[AI_FAC2]]</f>
        <v>9</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3</v>
      </c>
      <c r="AK293">
        <f>step3_validation[[#This Row],[AI_TRU1]]</f>
        <v>7</v>
      </c>
      <c r="AL293" t="str">
        <f t="shared" si="120"/>
        <v>Neutral</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2</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6</v>
      </c>
      <c r="AV293" t="str">
        <f t="shared" si="126"/>
        <v>Neutral</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1</v>
      </c>
      <c r="AZ293">
        <f>step3_validation[[#This Row],[AI_TRU4]]</f>
        <v>7</v>
      </c>
      <c r="BA293" t="str">
        <f t="shared" si="129"/>
        <v>Neutral</v>
      </c>
      <c r="BB293">
        <f>survey_responses[[#This Row],[Tôi thấy Nhà nước đã giải thích rõ ràng, minh bạch về lý do và mục tiêu của việc sửa đổi thuế lần này. - HUMAN-TRU4]]</f>
        <v>6</v>
      </c>
      <c r="BC293" t="str">
        <f t="shared" si="130"/>
        <v>Neutral</v>
      </c>
      <c r="BD293" s="32">
        <f t="shared" si="131"/>
        <v>1</v>
      </c>
      <c r="BE293">
        <f>step3_validation[[#This Row],[AI_OUT1]]</f>
        <v>9</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3</v>
      </c>
    </row>
    <row r="294" spans="1:61" x14ac:dyDescent="0.45">
      <c r="A294" s="30">
        <f>step3_validation[[#This Row],[Persona_ID]]</f>
        <v>293</v>
      </c>
      <c r="B294" s="31">
        <f>step3_validation[[#This Row],[Used_Seed]]</f>
        <v>2283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43.135282492584544</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0</v>
      </c>
      <c r="AA294">
        <f>step3_validation[[#This Row],[AI_FAC1]]</f>
        <v>7</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2</v>
      </c>
      <c r="AF294">
        <f>step3_validation[[#This Row],[AI_FAC2]]</f>
        <v>9</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8</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3</v>
      </c>
      <c r="AP294">
        <f>step3_validation[[#This Row],[AI_TRU2]]</f>
        <v>9</v>
      </c>
      <c r="AQ294" t="str">
        <f t="shared" si="123"/>
        <v>Support</v>
      </c>
      <c r="AR294">
        <f>survey_responses[[#This Row],[Tôi thấy mức thuế tôi phải đóng theo phương án mới là công bằng (người thu nhập như tôi đóng mức này là hợp lý). - HUMAN-TRU2]]</f>
        <v>6</v>
      </c>
      <c r="AS294" t="str">
        <f t="shared" si="124"/>
        <v>Neutral</v>
      </c>
      <c r="AT294" s="32">
        <f t="shared" si="125"/>
        <v>3</v>
      </c>
      <c r="AU294">
        <f>step3_validation[[#This Row],[AI_TRU3]]</f>
        <v>7</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2</v>
      </c>
      <c r="AZ294">
        <f>step3_validation[[#This Row],[AI_TRU4]]</f>
        <v>6</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0</v>
      </c>
      <c r="BE294">
        <f>step3_validation[[#This Row],[AI_OUT1]]</f>
        <v>9</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3</v>
      </c>
    </row>
    <row r="295" spans="1:61" x14ac:dyDescent="0.45">
      <c r="A295" s="30">
        <f>step3_validation[[#This Row],[Persona_ID]]</f>
        <v>294</v>
      </c>
      <c r="B295" s="31">
        <f>step3_validation[[#This Row],[Used_Seed]]</f>
        <v>2284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66.465718123118322</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1</v>
      </c>
      <c r="V295">
        <f>step3_validation[[#This Row],[AI_ENF2]]</f>
        <v>8</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2">
        <f t="shared" si="113"/>
        <v>2</v>
      </c>
      <c r="AA295">
        <f>step3_validation[[#This Row],[AI_FAC1]]</f>
        <v>9</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6</v>
      </c>
      <c r="AF295">
        <f>step3_validation[[#This Row],[AI_FAC2]]</f>
        <v>7</v>
      </c>
      <c r="AG295" t="str">
        <f t="shared" si="117"/>
        <v>Neutral</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0</v>
      </c>
      <c r="AK295">
        <f>step3_validation[[#This Row],[AI_TRU1]]</f>
        <v>8</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3</v>
      </c>
      <c r="AP295">
        <f>step3_validation[[#This Row],[AI_TRU2]]</f>
        <v>9</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3</v>
      </c>
      <c r="AU295">
        <f>step3_validation[[#This Row],[AI_TRU3]]</f>
        <v>8</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3</v>
      </c>
      <c r="AZ295">
        <f>step3_validation[[#This Row],[AI_TRU4]]</f>
        <v>7</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2</v>
      </c>
      <c r="BE295">
        <f>step3_validation[[#This Row],[AI_OUT1]]</f>
        <v>9</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3</v>
      </c>
    </row>
    <row r="296" spans="1:61" x14ac:dyDescent="0.45">
      <c r="A296" s="30">
        <f>step3_validation[[#This Row],[Persona_ID]]</f>
        <v>295</v>
      </c>
      <c r="B296" s="31">
        <f>step3_validation[[#This Row],[Used_Seed]]</f>
        <v>2285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24.929247288114333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7</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1</v>
      </c>
      <c r="V296">
        <f>step3_validation[[#This Row],[AI_ENF2]]</f>
        <v>8</v>
      </c>
      <c r="W296" t="str">
        <f t="shared" si="111"/>
        <v>Support</v>
      </c>
      <c r="X296">
        <f>survey_responses[[#This Row],[Tôi tin rằng Nhà nước, cơ quan thuế có đủ khả năng và công nghệ để phát hiện, xử lý nghiêm các hành vi trốn thuế. - HUMAN-ENF2]]</f>
        <v>9</v>
      </c>
      <c r="Y296" t="str">
        <f t="shared" si="112"/>
        <v>Support</v>
      </c>
      <c r="Z296" s="32">
        <f t="shared" si="113"/>
        <v>1</v>
      </c>
      <c r="AA296">
        <f>step3_validation[[#This Row],[AI_FAC1]]</f>
        <v>9</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0</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1</v>
      </c>
      <c r="AK296">
        <f>step3_validation[[#This Row],[AI_TRU1]]</f>
        <v>8</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0</v>
      </c>
      <c r="AP296">
        <f>step3_validation[[#This Row],[AI_TRU2]]</f>
        <v>9</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8</v>
      </c>
      <c r="AV296" t="str">
        <f t="shared" si="126"/>
        <v>Support</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1</v>
      </c>
      <c r="AZ296">
        <f>step3_validation[[#This Row],[AI_TRU4]]</f>
        <v>7</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3</v>
      </c>
      <c r="BE296">
        <f>step3_validation[[#This Row],[AI_OUT1]]</f>
        <v>9</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1</v>
      </c>
    </row>
    <row r="297" spans="1:61" x14ac:dyDescent="0.45">
      <c r="A297" s="30">
        <f>step3_validation[[#This Row],[Persona_ID]]</f>
        <v>296</v>
      </c>
      <c r="B297" s="31">
        <f>step3_validation[[#This Row],[Used_Seed]]</f>
        <v>2286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0</v>
      </c>
      <c r="AA297">
        <f>step3_validation[[#This Row],[AI_FAC1]]</f>
        <v>8</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2</v>
      </c>
      <c r="AF297">
        <f>step3_validation[[#This Row],[AI_FAC2]]</f>
        <v>9</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2</v>
      </c>
      <c r="AK297">
        <f>step3_validation[[#This Row],[AI_TRU1]]</f>
        <v>7</v>
      </c>
      <c r="AL297" t="str">
        <f t="shared" si="120"/>
        <v>Neutral</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0</v>
      </c>
      <c r="AP297">
        <f>step3_validation[[#This Row],[AI_TRU2]]</f>
        <v>8</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7</v>
      </c>
      <c r="AU297">
        <f>step3_validation[[#This Row],[AI_TRU3]]</f>
        <v>7</v>
      </c>
      <c r="AV297" t="str">
        <f t="shared" si="126"/>
        <v>Neutral</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2</v>
      </c>
      <c r="AZ297">
        <f>step3_validation[[#This Row],[AI_TRU4]]</f>
        <v>6</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1</v>
      </c>
      <c r="BE297">
        <f>step3_validation[[#This Row],[AI_OUT1]]</f>
        <v>8</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1</v>
      </c>
    </row>
    <row r="298" spans="1:61" x14ac:dyDescent="0.45">
      <c r="A298" s="30">
        <f>step3_validation[[#This Row],[Persona_ID]]</f>
        <v>297</v>
      </c>
      <c r="B298" s="31">
        <f>step3_validation[[#This Row],[Used_Seed]]</f>
        <v>2287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48.27742925304392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9</v>
      </c>
      <c r="R298" t="str">
        <f t="shared" si="108"/>
        <v>Support</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4</v>
      </c>
      <c r="V298">
        <f>step3_validation[[#This Row],[AI_ENF2]]</f>
        <v>9</v>
      </c>
      <c r="W298" t="str">
        <f t="shared" si="111"/>
        <v>Support</v>
      </c>
      <c r="X298">
        <f>survey_responses[[#This Row],[Tôi tin rằng Nhà nước, cơ quan thuế có đủ khả năng và công nghệ để phát hiện, xử lý nghiêm các hành vi trốn thuế. - HUMAN-ENF2]]</f>
        <v>10</v>
      </c>
      <c r="Y298" t="str">
        <f t="shared" si="112"/>
        <v>Support</v>
      </c>
      <c r="Z298" s="32">
        <f t="shared" si="113"/>
        <v>1</v>
      </c>
      <c r="AA298">
        <f>step3_validation[[#This Row],[AI_FAC1]]</f>
        <v>8</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3</v>
      </c>
      <c r="AF298">
        <f>step3_validation[[#This Row],[AI_FAC2]]</f>
        <v>9</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4</v>
      </c>
      <c r="AK298">
        <f>step3_validation[[#This Row],[AI_TRU1]]</f>
        <v>8</v>
      </c>
      <c r="AL298" t="str">
        <f t="shared" si="120"/>
        <v>Support</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6</v>
      </c>
      <c r="AP298">
        <f>step3_validation[[#This Row],[AI_TRU2]]</f>
        <v>8</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5</v>
      </c>
      <c r="AU298">
        <f>step3_validation[[#This Row],[AI_TRU3]]</f>
        <v>8</v>
      </c>
      <c r="AV298" t="str">
        <f t="shared" si="126"/>
        <v>Support</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6</v>
      </c>
      <c r="AZ298">
        <f>step3_validation[[#This Row],[AI_TRU4]]</f>
        <v>7</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2</v>
      </c>
      <c r="BE298">
        <f>step3_validation[[#This Row],[AI_OUT1]]</f>
        <v>8</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3</v>
      </c>
    </row>
    <row r="299" spans="1:61" x14ac:dyDescent="0.45">
      <c r="A299" s="30">
        <f>step3_validation[[#This Row],[Persona_ID]]</f>
        <v>298</v>
      </c>
      <c r="B299" s="31">
        <f>step3_validation[[#This Row],[Used_Seed]]</f>
        <v>2288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6</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1</v>
      </c>
      <c r="V299">
        <f>step3_validation[[#This Row],[AI_ENF2]]</f>
        <v>5</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0</v>
      </c>
      <c r="AA299">
        <f>step3_validation[[#This Row],[AI_FAC1]]</f>
        <v>9</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4</v>
      </c>
      <c r="AF299">
        <f>step3_validation[[#This Row],[AI_FAC2]]</f>
        <v>8</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2</v>
      </c>
      <c r="AK299">
        <f>step3_validation[[#This Row],[AI_TRU1]]</f>
        <v>7</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3</v>
      </c>
      <c r="AP299">
        <f>step3_validation[[#This Row],[AI_TRU2]]</f>
        <v>9</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2">
        <f t="shared" si="125"/>
        <v>4</v>
      </c>
      <c r="AU299">
        <f>step3_validation[[#This Row],[AI_TRU3]]</f>
        <v>7</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2</v>
      </c>
      <c r="AZ299">
        <f>step3_validation[[#This Row],[AI_TRU4]]</f>
        <v>6</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1</v>
      </c>
      <c r="BE299">
        <f>step3_validation[[#This Row],[AI_OUT1]]</f>
        <v>8</v>
      </c>
      <c r="BF299" t="str">
        <f t="shared" si="132"/>
        <v>Support</v>
      </c>
      <c r="BG299">
        <f>survey_responses[[#This Row],[Sau khi xem xét các quyền lợi và nghĩa vụ, bạn có ủng hộ và tuân thủ chính sách mới hiện nay? - HUMAN-OUT1]]</f>
        <v>5</v>
      </c>
      <c r="BH299" t="str">
        <f t="shared" si="133"/>
        <v>Neutral</v>
      </c>
      <c r="BI299" s="32">
        <f t="shared" si="134"/>
        <v>3</v>
      </c>
    </row>
    <row r="300" spans="1:61" x14ac:dyDescent="0.45">
      <c r="A300" s="30">
        <f>step3_validation[[#This Row],[Persona_ID]]</f>
        <v>299</v>
      </c>
      <c r="B300" s="31">
        <f>step3_validation[[#This Row],[Used_Seed]]</f>
        <v>2289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40.527526501639954</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8</v>
      </c>
      <c r="R300" t="str">
        <f t="shared" si="108"/>
        <v>Support</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2</v>
      </c>
      <c r="V300">
        <f>step3_validation[[#This Row],[AI_ENF2]]</f>
        <v>9</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1</v>
      </c>
      <c r="AA300">
        <f>step3_validation[[#This Row],[AI_FAC1]]</f>
        <v>8</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2</v>
      </c>
      <c r="AF300">
        <f>step3_validation[[#This Row],[AI_FAC2]]</f>
        <v>7</v>
      </c>
      <c r="AG300" t="str">
        <f t="shared" si="117"/>
        <v>Neutral</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3</v>
      </c>
      <c r="AK300">
        <f>step3_validation[[#This Row],[AI_TRU1]]</f>
        <v>8</v>
      </c>
      <c r="AL300" t="str">
        <f t="shared" si="120"/>
        <v>Support</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2</v>
      </c>
      <c r="AP300">
        <f>step3_validation[[#This Row],[AI_TRU2]]</f>
        <v>9</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2">
        <f t="shared" si="125"/>
        <v>1</v>
      </c>
      <c r="AU300">
        <f>step3_validation[[#This Row],[AI_TRU3]]</f>
        <v>8</v>
      </c>
      <c r="AV300" t="str">
        <f t="shared" si="126"/>
        <v>Support</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2</v>
      </c>
      <c r="AZ300">
        <f>step3_validation[[#This Row],[AI_TRU4]]</f>
        <v>7</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3</v>
      </c>
      <c r="BE300">
        <f>step3_validation[[#This Row],[AI_OUT1]]</f>
        <v>9</v>
      </c>
      <c r="BF300" t="str">
        <f t="shared" si="132"/>
        <v>Support</v>
      </c>
      <c r="BG300">
        <f>survey_responses[[#This Row],[Sau khi xem xét các quyền lợi và nghĩa vụ, bạn có ủng hộ và tuân thủ chính sách mới hiện nay? - HUMAN-OUT1]]</f>
        <v>10</v>
      </c>
      <c r="BH300" t="str">
        <f t="shared" si="133"/>
        <v>Support</v>
      </c>
      <c r="BI300" s="32">
        <f t="shared" si="134"/>
        <v>1</v>
      </c>
    </row>
    <row r="301" spans="1:61" x14ac:dyDescent="0.45">
      <c r="A301" s="30">
        <f>step3_validation[[#This Row],[Persona_ID]]</f>
        <v>300</v>
      </c>
      <c r="B301" s="31">
        <f>step3_validation[[#This Row],[Used_Seed]]</f>
        <v>2290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23.619644223184714</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2">
        <f t="shared" si="113"/>
        <v>1</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1</v>
      </c>
      <c r="AF301">
        <f>step3_validation[[#This Row],[AI_FAC2]]</f>
        <v>10</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0</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6</v>
      </c>
      <c r="AQ301" t="str">
        <f t="shared" si="123"/>
        <v>Neutral</v>
      </c>
      <c r="AR301">
        <f>survey_responses[[#This Row],[Tôi thấy mức thuế tôi phải đóng theo phương án mới là công bằng (người thu nhập như tôi đóng mức này là hợp lý). - HUMAN-TRU2]]</f>
        <v>8</v>
      </c>
      <c r="AS301" t="str">
        <f t="shared" si="124"/>
        <v>Support</v>
      </c>
      <c r="AT301" s="32">
        <f t="shared" si="125"/>
        <v>2</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8</v>
      </c>
      <c r="BA301" t="str">
        <f t="shared" si="129"/>
        <v>Support</v>
      </c>
      <c r="BB301">
        <f>survey_responses[[#This Row],[Tôi thấy Nhà nước đã giải thích rõ ràng, minh bạch về lý do và mục tiêu của việc sửa đổi thuế lần này. - HUMAN-TRU4]]</f>
        <v>9</v>
      </c>
      <c r="BC301" t="str">
        <f t="shared" si="130"/>
        <v>Support</v>
      </c>
      <c r="BD301" s="32">
        <f t="shared" si="131"/>
        <v>1</v>
      </c>
      <c r="BE301">
        <f>step3_validation[[#This Row],[AI_OUT1]]</f>
        <v>9</v>
      </c>
      <c r="BF301" t="str">
        <f t="shared" si="132"/>
        <v>Support</v>
      </c>
      <c r="BG301">
        <f>survey_responses[[#This Row],[Sau khi xem xét các quyền lợi và nghĩa vụ, bạn có ủng hộ và tuân thủ chính sách mới hiện nay? - HUMAN-OUT1]]</f>
        <v>9</v>
      </c>
      <c r="BH301" t="str">
        <f t="shared" si="133"/>
        <v>Support</v>
      </c>
      <c r="BI301" s="32">
        <f t="shared" si="134"/>
        <v>0</v>
      </c>
    </row>
    <row r="302" spans="1:61" x14ac:dyDescent="0.45">
      <c r="A302" s="30">
        <f>step3_validation[[#This Row],[Persona_ID]]</f>
        <v>301</v>
      </c>
      <c r="B302" s="31">
        <f>step3_validation[[#This Row],[Used_Seed]]</f>
        <v>2291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9</v>
      </c>
      <c r="R302" t="str">
        <f t="shared" si="108"/>
        <v>Support</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1</v>
      </c>
      <c r="V302">
        <f>step3_validation[[#This Row],[AI_ENF2]]</f>
        <v>8</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10</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5</v>
      </c>
      <c r="AK302">
        <f>step3_validation[[#This Row],[AI_TRU1]]</f>
        <v>8</v>
      </c>
      <c r="AL302" t="str">
        <f t="shared" si="120"/>
        <v>Support</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1</v>
      </c>
      <c r="AP302">
        <f>step3_validation[[#This Row],[AI_TRU2]]</f>
        <v>9</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2</v>
      </c>
      <c r="AU302">
        <f>step3_validation[[#This Row],[AI_TRU3]]</f>
        <v>8</v>
      </c>
      <c r="AV302" t="str">
        <f t="shared" si="126"/>
        <v>Support</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1</v>
      </c>
      <c r="AZ302">
        <f>step3_validation[[#This Row],[AI_TRU4]]</f>
        <v>9</v>
      </c>
      <c r="BA302" t="str">
        <f t="shared" si="129"/>
        <v>Support</v>
      </c>
      <c r="BB302">
        <f>survey_responses[[#This Row],[Tôi thấy Nhà nước đã giải thích rõ ràng, minh bạch về lý do và mục tiêu của việc sửa đổi thuế lần này. - HUMAN-TRU4]]</f>
        <v>6</v>
      </c>
      <c r="BC302" t="str">
        <f t="shared" si="130"/>
        <v>Neutral</v>
      </c>
      <c r="BD302" s="32">
        <f t="shared" si="131"/>
        <v>3</v>
      </c>
      <c r="BE302">
        <f>step3_validation[[#This Row],[AI_OUT1]]</f>
        <v>8</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1</v>
      </c>
    </row>
    <row r="303" spans="1:61" x14ac:dyDescent="0.45">
      <c r="A303" s="30">
        <f>step3_validation[[#This Row],[Persona_ID]]</f>
        <v>302</v>
      </c>
      <c r="B303" s="31">
        <f>step3_validation[[#This Row],[Used_Seed]]</f>
        <v>2292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25.452016522366868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0</v>
      </c>
      <c r="V303">
        <f>step3_validation[[#This Row],[AI_ENF2]]</f>
        <v>8</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5</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9</v>
      </c>
      <c r="AL303" t="str">
        <f t="shared" si="120"/>
        <v>Support</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2</v>
      </c>
      <c r="AP303">
        <f>step3_validation[[#This Row],[AI_TRU2]]</f>
        <v>8</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7</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2</v>
      </c>
      <c r="AZ303">
        <f>step3_validation[[#This Row],[AI_TRU4]]</f>
        <v>9</v>
      </c>
      <c r="BA303" t="str">
        <f t="shared" si="129"/>
        <v>Support</v>
      </c>
      <c r="BB303">
        <f>survey_responses[[#This Row],[Tôi thấy Nhà nước đã giải thích rõ ràng, minh bạch về lý do và mục tiêu của việc sửa đổi thuế lần này. - HUMAN-TRU4]]</f>
        <v>5</v>
      </c>
      <c r="BC303" t="str">
        <f t="shared" si="130"/>
        <v>Neutral</v>
      </c>
      <c r="BD303" s="32">
        <f t="shared" si="131"/>
        <v>4</v>
      </c>
      <c r="BE303">
        <f>step3_validation[[#This Row],[AI_OUT1]]</f>
        <v>8</v>
      </c>
      <c r="BF303" t="str">
        <f t="shared" si="132"/>
        <v>Support</v>
      </c>
      <c r="BG303">
        <f>survey_responses[[#This Row],[Sau khi xem xét các quyền lợi và nghĩa vụ, bạn có ủng hộ và tuân thủ chính sách mới hiện nay? - HUMAN-OUT1]]</f>
        <v>7</v>
      </c>
      <c r="BH303" t="str">
        <f t="shared" si="133"/>
        <v>Neutral</v>
      </c>
      <c r="BI303" s="32">
        <f t="shared" si="134"/>
        <v>1</v>
      </c>
    </row>
    <row r="304" spans="1:61" x14ac:dyDescent="0.45">
      <c r="A304" s="30">
        <f>step3_validation[[#This Row],[Persona_ID]]</f>
        <v>303</v>
      </c>
      <c r="B304" s="31">
        <f>step3_validation[[#This Row],[Used_Seed]]</f>
        <v>2293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24.634858690807217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6</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0</v>
      </c>
      <c r="V304">
        <f>step3_validation[[#This Row],[AI_ENF2]]</f>
        <v>5</v>
      </c>
      <c r="W304" t="str">
        <f t="shared" si="111"/>
        <v>Neutral</v>
      </c>
      <c r="X304">
        <f>survey_responses[[#This Row],[Tôi tin rằng Nhà nước, cơ quan thuế có đủ khả năng và công nghệ để phát hiện, xử lý nghiêm các hành vi trốn thuế. - HUMAN-ENF2]]</f>
        <v>10</v>
      </c>
      <c r="Y304" t="str">
        <f t="shared" si="112"/>
        <v>Support</v>
      </c>
      <c r="Z304" s="32">
        <f t="shared" si="113"/>
        <v>5</v>
      </c>
      <c r="AA304">
        <f>step3_validation[[#This Row],[AI_FAC1]]</f>
        <v>7</v>
      </c>
      <c r="AB304" t="str">
        <f t="shared" si="114"/>
        <v>Neutral</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2</v>
      </c>
      <c r="AF304">
        <f>step3_validation[[#This Row],[AI_FAC2]]</f>
        <v>8</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4</v>
      </c>
      <c r="AK304">
        <f>step3_validation[[#This Row],[AI_TRU1]]</f>
        <v>6</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3</v>
      </c>
      <c r="AP304">
        <f>step3_validation[[#This Row],[AI_TRU2]]</f>
        <v>8</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1</v>
      </c>
      <c r="AU304">
        <f>step3_validation[[#This Row],[AI_TRU3]]</f>
        <v>6</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2</v>
      </c>
      <c r="AZ304">
        <f>step3_validation[[#This Row],[AI_TRU4]]</f>
        <v>7</v>
      </c>
      <c r="BA304" t="str">
        <f t="shared" si="129"/>
        <v>Neutral</v>
      </c>
      <c r="BB304">
        <f>survey_responses[[#This Row],[Tôi thấy Nhà nước đã giải thích rõ ràng, minh bạch về lý do và mục tiêu của việc sửa đổi thuế lần này. - HUMAN-TRU4]]</f>
        <v>4</v>
      </c>
      <c r="BC304" t="str">
        <f t="shared" si="130"/>
        <v>Oppose</v>
      </c>
      <c r="BD304" s="32">
        <f t="shared" si="131"/>
        <v>3</v>
      </c>
      <c r="BE304">
        <f>step3_validation[[#This Row],[AI_OUT1]]</f>
        <v>9</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4</v>
      </c>
    </row>
    <row r="305" spans="1:61" x14ac:dyDescent="0.45">
      <c r="A305" s="30">
        <f>step3_validation[[#This Row],[Persona_ID]]</f>
        <v>304</v>
      </c>
      <c r="B305" s="31">
        <f>step3_validation[[#This Row],[Used_Seed]]</f>
        <v>2294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9</v>
      </c>
      <c r="R305" t="str">
        <f t="shared" si="108"/>
        <v>Support</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1</v>
      </c>
      <c r="V305">
        <f>step3_validation[[#This Row],[AI_ENF2]]</f>
        <v>8</v>
      </c>
      <c r="W305" t="str">
        <f t="shared" si="111"/>
        <v>Support</v>
      </c>
      <c r="X305">
        <f>survey_responses[[#This Row],[Tôi tin rằng Nhà nước, cơ quan thuế có đủ khả năng và công nghệ để phát hiện, xử lý nghiêm các hành vi trốn thuế. - HUMAN-ENF2]]</f>
        <v>10</v>
      </c>
      <c r="Y305" t="str">
        <f t="shared" si="112"/>
        <v>Support</v>
      </c>
      <c r="Z305" s="32">
        <f t="shared" si="113"/>
        <v>2</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1</v>
      </c>
      <c r="AF305">
        <f>step3_validation[[#This Row],[AI_FAC2]]</f>
        <v>8</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2</v>
      </c>
      <c r="AK305">
        <f>step3_validation[[#This Row],[AI_TRU1]]</f>
        <v>9</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1</v>
      </c>
      <c r="AP305">
        <f>step3_validation[[#This Row],[AI_TRU2]]</f>
        <v>9</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2">
        <f t="shared" si="125"/>
        <v>1</v>
      </c>
      <c r="AU305">
        <f>step3_validation[[#This Row],[AI_TRU3]]</f>
        <v>8</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2</v>
      </c>
      <c r="AZ305">
        <f>step3_validation[[#This Row],[AI_TRU4]]</f>
        <v>9</v>
      </c>
      <c r="BA305" t="str">
        <f t="shared" si="129"/>
        <v>Support</v>
      </c>
      <c r="BB305">
        <f>survey_responses[[#This Row],[Tôi thấy Nhà nước đã giải thích rõ ràng, minh bạch về lý do và mục tiêu của việc sửa đổi thuế lần này. - HUMAN-TRU4]]</f>
        <v>10</v>
      </c>
      <c r="BC305" t="str">
        <f t="shared" si="130"/>
        <v>Support</v>
      </c>
      <c r="BD305" s="32">
        <f t="shared" si="131"/>
        <v>1</v>
      </c>
      <c r="BE305">
        <f>step3_validation[[#This Row],[AI_OUT1]]</f>
        <v>9</v>
      </c>
      <c r="BF305" t="str">
        <f t="shared" si="132"/>
        <v>Support</v>
      </c>
      <c r="BG305">
        <f>survey_responses[[#This Row],[Sau khi xem xét các quyền lợi và nghĩa vụ, bạn có ủng hộ và tuân thủ chính sách mới hiện nay? - HUMAN-OUT1]]</f>
        <v>10</v>
      </c>
      <c r="BH305" t="str">
        <f t="shared" si="133"/>
        <v>Support</v>
      </c>
      <c r="BI305" s="32">
        <f t="shared" si="134"/>
        <v>1</v>
      </c>
    </row>
    <row r="306" spans="1:61" x14ac:dyDescent="0.45">
      <c r="A306" s="30">
        <f>step3_validation[[#This Row],[Persona_ID]]</f>
        <v>305</v>
      </c>
      <c r="B306" s="31">
        <f>step3_validation[[#This Row],[Used_Seed]]</f>
        <v>2295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39.284181945225868</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0</v>
      </c>
      <c r="V306">
        <f>step3_validation[[#This Row],[AI_ENF2]]</f>
        <v>8</v>
      </c>
      <c r="W306" t="str">
        <f t="shared" si="111"/>
        <v>Support</v>
      </c>
      <c r="X306">
        <f>survey_responses[[#This Row],[Tôi tin rằng Nhà nước, cơ quan thuế có đủ khả năng và công nghệ để phát hiện, xử lý nghiêm các hành vi trốn thuế. - HUMAN-ENF2]]</f>
        <v>9</v>
      </c>
      <c r="Y306" t="str">
        <f t="shared" si="112"/>
        <v>Support</v>
      </c>
      <c r="Z306" s="32">
        <f t="shared" si="113"/>
        <v>1</v>
      </c>
      <c r="AA306">
        <f>step3_validation[[#This Row],[AI_FAC1]]</f>
        <v>7</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9</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3</v>
      </c>
      <c r="AK306">
        <f>step3_validation[[#This Row],[AI_TRU1]]</f>
        <v>7</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2</v>
      </c>
      <c r="AP306">
        <f>step3_validation[[#This Row],[AI_TRU2]]</f>
        <v>9</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6</v>
      </c>
      <c r="AU306">
        <f>step3_validation[[#This Row],[AI_TRU3]]</f>
        <v>8</v>
      </c>
      <c r="AV306" t="str">
        <f t="shared" si="126"/>
        <v>Support</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1</v>
      </c>
      <c r="AZ306">
        <f>step3_validation[[#This Row],[AI_TRU4]]</f>
        <v>7</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4</v>
      </c>
      <c r="BE306">
        <f>step3_validation[[#This Row],[AI_OUT1]]</f>
        <v>9</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5</v>
      </c>
    </row>
    <row r="307" spans="1:61" x14ac:dyDescent="0.45">
      <c r="A307" s="30">
        <f>step3_validation[[#This Row],[Persona_ID]]</f>
        <v>306</v>
      </c>
      <c r="B307" s="31">
        <f>step3_validation[[#This Row],[Used_Seed]]</f>
        <v>2296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56.810136217068468</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t="str">
        <f t="shared" si="108"/>
        <v>Support</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5</v>
      </c>
      <c r="V307">
        <f>step3_validation[[#This Row],[AI_ENF2]]</f>
        <v>7</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1</v>
      </c>
      <c r="AA307">
        <f>step3_validation[[#This Row],[AI_FAC1]]</f>
        <v>9</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7</v>
      </c>
      <c r="AQ307" t="str">
        <f t="shared" si="123"/>
        <v>Neutral</v>
      </c>
      <c r="AR307">
        <f>survey_responses[[#This Row],[Tôi thấy mức thuế tôi phải đóng theo phương án mới là công bằng (người thu nhập như tôi đóng mức này là hợp lý). - HUMAN-TRU2]]</f>
        <v>3</v>
      </c>
      <c r="AS307" t="str">
        <f t="shared" si="124"/>
        <v>Oppose</v>
      </c>
      <c r="AT307" s="32">
        <f t="shared" si="125"/>
        <v>4</v>
      </c>
      <c r="AU307">
        <f>step3_validation[[#This Row],[AI_TRU3]]</f>
        <v>8</v>
      </c>
      <c r="AV307" t="str">
        <f t="shared" si="126"/>
        <v>Support</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1</v>
      </c>
      <c r="AZ307">
        <f>step3_validation[[#This Row],[AI_TRU4]]</f>
        <v>6</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1</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4</v>
      </c>
    </row>
    <row r="308" spans="1:61" x14ac:dyDescent="0.45">
      <c r="A308" s="30">
        <f>step3_validation[[#This Row],[Persona_ID]]</f>
        <v>307</v>
      </c>
      <c r="B308" s="31">
        <f>step3_validation[[#This Row],[Used_Seed]]</f>
        <v>2297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14.954634857941985</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4</v>
      </c>
      <c r="V308">
        <f>step3_validation[[#This Row],[AI_ENF2]]</f>
        <v>5</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3</v>
      </c>
      <c r="AA308">
        <f>step3_validation[[#This Row],[AI_FAC1]]</f>
        <v>9</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7</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7</v>
      </c>
      <c r="AK308">
        <f>step3_validation[[#This Row],[AI_TRU1]]</f>
        <v>7</v>
      </c>
      <c r="AL308" t="str">
        <f t="shared" si="120"/>
        <v>Neutral</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5</v>
      </c>
      <c r="AP308">
        <f>step3_validation[[#This Row],[AI_TRU2]]</f>
        <v>8</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6</v>
      </c>
      <c r="AU308">
        <f>step3_validation[[#This Row],[AI_TRU3]]</f>
        <v>9</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7</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5</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7</v>
      </c>
    </row>
    <row r="309" spans="1:61" x14ac:dyDescent="0.45">
      <c r="A309" s="30">
        <f>step3_validation[[#This Row],[Persona_ID]]</f>
        <v>308</v>
      </c>
      <c r="B309" s="31">
        <f>step3_validation[[#This Row],[Used_Seed]]</f>
        <v>2298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184.79089577465027</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3</v>
      </c>
      <c r="V309">
        <f>step3_validation[[#This Row],[AI_ENF2]]</f>
        <v>8</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2">
        <f t="shared" si="113"/>
        <v>0</v>
      </c>
      <c r="AA309">
        <f>step3_validation[[#This Row],[AI_FAC1]]</f>
        <v>9</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1</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8</v>
      </c>
      <c r="AL309" t="str">
        <f t="shared" si="120"/>
        <v>Support</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2</v>
      </c>
      <c r="AP309">
        <f>step3_validation[[#This Row],[AI_TRU2]]</f>
        <v>7</v>
      </c>
      <c r="AQ309" t="str">
        <f t="shared" si="123"/>
        <v>Neutral</v>
      </c>
      <c r="AR309">
        <f>survey_responses[[#This Row],[Tôi thấy mức thuế tôi phải đóng theo phương án mới là công bằng (người thu nhập như tôi đóng mức này là hợp lý). - HUMAN-TRU2]]</f>
        <v>10</v>
      </c>
      <c r="AS309" t="str">
        <f t="shared" si="124"/>
        <v>Support</v>
      </c>
      <c r="AT309" s="32">
        <f t="shared" si="125"/>
        <v>3</v>
      </c>
      <c r="AU309">
        <f>step3_validation[[#This Row],[AI_TRU3]]</f>
        <v>8</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2</v>
      </c>
      <c r="AZ309">
        <f>step3_validation[[#This Row],[AI_TRU4]]</f>
        <v>7</v>
      </c>
      <c r="BA309" t="str">
        <f t="shared" si="129"/>
        <v>Neutral</v>
      </c>
      <c r="BB309">
        <f>survey_responses[[#This Row],[Tôi thấy Nhà nước đã giải thích rõ ràng, minh bạch về lý do và mục tiêu của việc sửa đổi thuế lần này. - HUMAN-TRU4]]</f>
        <v>8</v>
      </c>
      <c r="BC309" t="str">
        <f t="shared" si="130"/>
        <v>Support</v>
      </c>
      <c r="BD309" s="32">
        <f t="shared" si="131"/>
        <v>1</v>
      </c>
      <c r="BE309">
        <f>step3_validation[[#This Row],[AI_OUT1]]</f>
        <v>9</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2299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50.676369719896847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6</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4</v>
      </c>
      <c r="V310">
        <f>step3_validation[[#This Row],[AI_ENF2]]</f>
        <v>7</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2">
        <f t="shared" si="113"/>
        <v>3</v>
      </c>
      <c r="AA310">
        <f>step3_validation[[#This Row],[AI_FAC1]]</f>
        <v>8</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2</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1</v>
      </c>
      <c r="AK310">
        <f>step3_validation[[#This Row],[AI_TRU1]]</f>
        <v>8</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2</v>
      </c>
      <c r="AP310">
        <f>step3_validation[[#This Row],[AI_TRU2]]</f>
        <v>9</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2">
        <f t="shared" si="125"/>
        <v>0</v>
      </c>
      <c r="AU310">
        <f>step3_validation[[#This Row],[AI_TRU3]]</f>
        <v>8</v>
      </c>
      <c r="AV310" t="str">
        <f t="shared" si="126"/>
        <v>Support</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1</v>
      </c>
      <c r="AZ310">
        <f>step3_validation[[#This Row],[AI_TRU4]]</f>
        <v>7</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3</v>
      </c>
      <c r="BE310">
        <f>step3_validation[[#This Row],[AI_OUT1]]</f>
        <v>9</v>
      </c>
      <c r="BF310" t="str">
        <f t="shared" si="132"/>
        <v>Support</v>
      </c>
      <c r="BG310">
        <f>survey_responses[[#This Row],[Sau khi xem xét các quyền lợi và nghĩa vụ, bạn có ủng hộ và tuân thủ chính sách mới hiện nay? - HUMAN-OUT1]]</f>
        <v>10</v>
      </c>
      <c r="BH310" t="str">
        <f t="shared" si="133"/>
        <v>Support</v>
      </c>
      <c r="BI310" s="32">
        <f t="shared" si="134"/>
        <v>1</v>
      </c>
    </row>
    <row r="311" spans="1:61" x14ac:dyDescent="0.45">
      <c r="A311" s="30">
        <f>step3_validation[[#This Row],[Persona_ID]]</f>
        <v>310</v>
      </c>
      <c r="B311" s="31">
        <f>step3_validation[[#This Row],[Used_Seed]]</f>
        <v>2300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21.771079265001994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6</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8</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3</v>
      </c>
      <c r="AF311">
        <f>step3_validation[[#This Row],[AI_FAC2]]</f>
        <v>9</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8</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1</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8</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2</v>
      </c>
    </row>
    <row r="312" spans="1:61" x14ac:dyDescent="0.45">
      <c r="A312" s="30">
        <f>step3_validation[[#This Row],[Persona_ID]]</f>
        <v>311</v>
      </c>
      <c r="B312" s="31">
        <f>step3_validation[[#This Row],[Used_Seed]]</f>
        <v>2301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15.690216748925257</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9</v>
      </c>
      <c r="R312" t="str">
        <f t="shared" si="108"/>
        <v>Support</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3</v>
      </c>
      <c r="V312">
        <f>step3_validation[[#This Row],[AI_ENF2]]</f>
        <v>8</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2">
        <f t="shared" si="113"/>
        <v>3</v>
      </c>
      <c r="AA312">
        <f>step3_validation[[#This Row],[AI_FAC1]]</f>
        <v>9</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5</v>
      </c>
      <c r="AF312">
        <f>step3_validation[[#This Row],[AI_FAC2]]</f>
        <v>10</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3</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9</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3</v>
      </c>
      <c r="AU312">
        <f>step3_validation[[#This Row],[AI_TRU3]]</f>
        <v>7</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1</v>
      </c>
      <c r="AZ312">
        <f>step3_validation[[#This Row],[AI_TRU4]]</f>
        <v>8</v>
      </c>
      <c r="BA312" t="str">
        <f t="shared" si="129"/>
        <v>Support</v>
      </c>
      <c r="BB312">
        <f>survey_responses[[#This Row],[Tôi thấy Nhà nước đã giải thích rõ ràng, minh bạch về lý do và mục tiêu của việc sửa đổi thuế lần này. - HUMAN-TRU4]]</f>
        <v>7</v>
      </c>
      <c r="BC312" t="str">
        <f t="shared" si="130"/>
        <v>Neutral</v>
      </c>
      <c r="BD312" s="32">
        <f t="shared" si="131"/>
        <v>1</v>
      </c>
      <c r="BE312">
        <f>step3_validation[[#This Row],[AI_OUT1]]</f>
        <v>9</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2</v>
      </c>
    </row>
    <row r="313" spans="1:61" x14ac:dyDescent="0.45">
      <c r="A313" s="30">
        <f>step3_validation[[#This Row],[Persona_ID]]</f>
        <v>312</v>
      </c>
      <c r="B313" s="31">
        <f>step3_validation[[#This Row],[Used_Seed]]</f>
        <v>2302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21.220638313442763</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2</v>
      </c>
      <c r="V313">
        <f>step3_validation[[#This Row],[AI_ENF2]]</f>
        <v>7</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2</v>
      </c>
      <c r="AA313">
        <f>step3_validation[[#This Row],[AI_FAC1]]</f>
        <v>9</v>
      </c>
      <c r="AB313" t="str">
        <f t="shared" si="114"/>
        <v>Support</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1</v>
      </c>
      <c r="AF313">
        <f>step3_validation[[#This Row],[AI_FAC2]]</f>
        <v>8</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2</v>
      </c>
      <c r="AK313">
        <f>step3_validation[[#This Row],[AI_TRU1]]</f>
        <v>7</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1</v>
      </c>
      <c r="AP313">
        <f>step3_validation[[#This Row],[AI_TRU2]]</f>
        <v>9</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0</v>
      </c>
      <c r="AU313">
        <f>step3_validation[[#This Row],[AI_TRU3]]</f>
        <v>6</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2</v>
      </c>
      <c r="AZ313">
        <f>step3_validation[[#This Row],[AI_TRU4]]</f>
        <v>8</v>
      </c>
      <c r="BA313" t="str">
        <f t="shared" si="129"/>
        <v>Support</v>
      </c>
      <c r="BB313">
        <f>survey_responses[[#This Row],[Tôi thấy Nhà nước đã giải thích rõ ràng, minh bạch về lý do và mục tiêu của việc sửa đổi thuế lần này. - HUMAN-TRU4]]</f>
        <v>8</v>
      </c>
      <c r="BC313" t="str">
        <f t="shared" si="130"/>
        <v>Support</v>
      </c>
      <c r="BD313" s="32">
        <f t="shared" si="131"/>
        <v>0</v>
      </c>
      <c r="BE313">
        <f>step3_validation[[#This Row],[AI_OUT1]]</f>
        <v>7</v>
      </c>
      <c r="BF313" t="str">
        <f t="shared" si="132"/>
        <v>Neutral</v>
      </c>
      <c r="BG313">
        <f>survey_responses[[#This Row],[Sau khi xem xét các quyền lợi và nghĩa vụ, bạn có ủng hộ và tuân thủ chính sách mới hiện nay? - HUMAN-OUT1]]</f>
        <v>10</v>
      </c>
      <c r="BH313" t="str">
        <f t="shared" si="133"/>
        <v>Support</v>
      </c>
      <c r="BI313" s="32">
        <f t="shared" si="134"/>
        <v>3</v>
      </c>
    </row>
    <row r="314" spans="1:61" x14ac:dyDescent="0.45">
      <c r="A314" s="30">
        <f>step3_validation[[#This Row],[Persona_ID]]</f>
        <v>313</v>
      </c>
      <c r="B314" s="31">
        <f>step3_validation[[#This Row],[Used_Seed]]</f>
        <v>2303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14.279434814435996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5</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1</v>
      </c>
      <c r="V314">
        <f>step3_validation[[#This Row],[AI_ENF2]]</f>
        <v>6</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0</v>
      </c>
      <c r="AA314">
        <f>step3_validation[[#This Row],[AI_FAC1]]</f>
        <v>7</v>
      </c>
      <c r="AB314" t="str">
        <f t="shared" si="114"/>
        <v>Neutral</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0</v>
      </c>
      <c r="AF314">
        <f>step3_validation[[#This Row],[AI_FAC2]]</f>
        <v>8</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1</v>
      </c>
      <c r="AK314">
        <f>step3_validation[[#This Row],[AI_TRU1]]</f>
        <v>6</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1</v>
      </c>
      <c r="AP314">
        <f>step3_validation[[#This Row],[AI_TRU2]]</f>
        <v>8</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0</v>
      </c>
      <c r="AU314">
        <f>step3_validation[[#This Row],[AI_TRU3]]</f>
        <v>7</v>
      </c>
      <c r="AV314" t="str">
        <f t="shared" si="126"/>
        <v>Neutral</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2</v>
      </c>
      <c r="AZ314">
        <f>step3_validation[[#This Row],[AI_TRU4]]</f>
        <v>6</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1</v>
      </c>
      <c r="BE314">
        <f>step3_validation[[#This Row],[AI_OUT1]]</f>
        <v>8</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0</v>
      </c>
    </row>
    <row r="315" spans="1:61" x14ac:dyDescent="0.45">
      <c r="A315" s="30">
        <f>step3_validation[[#This Row],[Persona_ID]]</f>
        <v>314</v>
      </c>
      <c r="B315" s="31">
        <f>step3_validation[[#This Row],[Used_Seed]]</f>
        <v>2304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16.669427799534606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0</v>
      </c>
      <c r="V315">
        <f>step3_validation[[#This Row],[AI_ENF2]]</f>
        <v>6</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2">
        <f t="shared" si="113"/>
        <v>2</v>
      </c>
      <c r="AA315">
        <f>step3_validation[[#This Row],[AI_FAC1]]</f>
        <v>8</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0</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8</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3</v>
      </c>
      <c r="AP315">
        <f>step3_validation[[#This Row],[AI_TRU2]]</f>
        <v>9</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1</v>
      </c>
      <c r="AU315">
        <f>step3_validation[[#This Row],[AI_TRU3]]</f>
        <v>8</v>
      </c>
      <c r="AV315" t="str">
        <f t="shared" si="126"/>
        <v>Support</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2</v>
      </c>
      <c r="AZ315">
        <f>step3_validation[[#This Row],[AI_TRU4]]</f>
        <v>7</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1</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2305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18.646241298108148</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8</v>
      </c>
      <c r="W316" t="str">
        <f t="shared" si="111"/>
        <v>Support</v>
      </c>
      <c r="X316">
        <f>survey_responses[[#This Row],[Tôi tin rằng Nhà nước, cơ quan thuế có đủ khả năng và công nghệ để phát hiện, xử lý nghiêm các hành vi trốn thuế. - HUMAN-ENF2]]</f>
        <v>5</v>
      </c>
      <c r="Y316" t="str">
        <f t="shared" si="112"/>
        <v>Neutral</v>
      </c>
      <c r="Z316" s="32">
        <f t="shared" si="113"/>
        <v>3</v>
      </c>
      <c r="AA316">
        <f>step3_validation[[#This Row],[AI_FAC1]]</f>
        <v>9</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4</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9</v>
      </c>
      <c r="AL316" t="str">
        <f t="shared" si="120"/>
        <v>Support</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4</v>
      </c>
      <c r="AP316">
        <f>step3_validation[[#This Row],[AI_TRU2]]</f>
        <v>9</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1</v>
      </c>
      <c r="AU316">
        <f>step3_validation[[#This Row],[AI_TRU3]]</f>
        <v>8</v>
      </c>
      <c r="AV316" t="str">
        <f t="shared" si="126"/>
        <v>Support</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3</v>
      </c>
      <c r="AZ316">
        <f>step3_validation[[#This Row],[AI_TRU4]]</f>
        <v>7</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1</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2306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30.586055792254186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6</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2</v>
      </c>
      <c r="AA317">
        <f>step3_validation[[#This Row],[AI_FAC1]]</f>
        <v>8</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3</v>
      </c>
      <c r="AF317">
        <f>step3_validation[[#This Row],[AI_FAC2]]</f>
        <v>7</v>
      </c>
      <c r="AG317" t="str">
        <f t="shared" si="117"/>
        <v>Neutral</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1</v>
      </c>
      <c r="AK317">
        <f>step3_validation[[#This Row],[AI_TRU1]]</f>
        <v>8</v>
      </c>
      <c r="AL317" t="str">
        <f t="shared" si="120"/>
        <v>Support</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2</v>
      </c>
      <c r="AP317">
        <f>step3_validation[[#This Row],[AI_TRU2]]</f>
        <v>9</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2</v>
      </c>
      <c r="AU317">
        <f>step3_validation[[#This Row],[AI_TRU3]]</f>
        <v>8</v>
      </c>
      <c r="AV317" t="str">
        <f t="shared" si="126"/>
        <v>Support</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2</v>
      </c>
      <c r="AZ317">
        <f>step3_validation[[#This Row],[AI_TRU4]]</f>
        <v>7</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0</v>
      </c>
      <c r="BE317">
        <f>step3_validation[[#This Row],[AI_OUT1]]</f>
        <v>9</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2</v>
      </c>
    </row>
    <row r="318" spans="1:61" x14ac:dyDescent="0.45">
      <c r="A318" s="30">
        <f>step3_validation[[#This Row],[Persona_ID]]</f>
        <v>317</v>
      </c>
      <c r="B318" s="31">
        <f>step3_validation[[#This Row],[Used_Seed]]</f>
        <v>2307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13.614504885833528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6</v>
      </c>
      <c r="R318" t="str">
        <f t="shared" si="108"/>
        <v>Neutral</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5</v>
      </c>
      <c r="W318" t="str">
        <f t="shared" si="111"/>
        <v>Neutral</v>
      </c>
      <c r="X318">
        <f>survey_responses[[#This Row],[Tôi tin rằng Nhà nước, cơ quan thuế có đủ khả năng và công nghệ để phát hiện, xử lý nghiêm các hành vi trốn thuế. - HUMAN-ENF2]]</f>
        <v>7</v>
      </c>
      <c r="Y318" t="str">
        <f t="shared" si="112"/>
        <v>Neutral</v>
      </c>
      <c r="Z318" s="32">
        <f t="shared" si="113"/>
        <v>2</v>
      </c>
      <c r="AA318">
        <f>step3_validation[[#This Row],[AI_FAC1]]</f>
        <v>8</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3</v>
      </c>
      <c r="AF318">
        <f>step3_validation[[#This Row],[AI_FAC2]]</f>
        <v>9</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7</v>
      </c>
      <c r="AL318" t="str">
        <f t="shared" si="120"/>
        <v>Neutral</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2</v>
      </c>
      <c r="AP318">
        <f>step3_validation[[#This Row],[AI_TRU2]]</f>
        <v>8</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0</v>
      </c>
      <c r="AU318">
        <f>step3_validation[[#This Row],[AI_TRU3]]</f>
        <v>7</v>
      </c>
      <c r="AV318" t="str">
        <f t="shared" si="126"/>
        <v>Neutral</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2</v>
      </c>
      <c r="AZ318">
        <f>step3_validation[[#This Row],[AI_TRU4]]</f>
        <v>6</v>
      </c>
      <c r="BA318" t="str">
        <f t="shared" si="129"/>
        <v>Neutral</v>
      </c>
      <c r="BB318">
        <f>survey_responses[[#This Row],[Tôi thấy Nhà nước đã giải thích rõ ràng, minh bạch về lý do và mục tiêu của việc sửa đổi thuế lần này. - HUMAN-TRU4]]</f>
        <v>7</v>
      </c>
      <c r="BC318" t="str">
        <f t="shared" si="130"/>
        <v>Neutral</v>
      </c>
      <c r="BD318" s="32">
        <f t="shared" si="131"/>
        <v>1</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2308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21.386217368159549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8</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2">
        <f t="shared" si="113"/>
        <v>4</v>
      </c>
      <c r="AA319">
        <f>step3_validation[[#This Row],[AI_FAC1]]</f>
        <v>9</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3</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8</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3</v>
      </c>
      <c r="AP319">
        <f>step3_validation[[#This Row],[AI_TRU2]]</f>
        <v>9</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9</v>
      </c>
      <c r="BA319" t="str">
        <f t="shared" si="129"/>
        <v>Support</v>
      </c>
      <c r="BB319">
        <f>survey_responses[[#This Row],[Tôi thấy Nhà nước đã giải thích rõ ràng, minh bạch về lý do và mục tiêu của việc sửa đổi thuế lần này. - HUMAN-TRU4]]</f>
        <v>5</v>
      </c>
      <c r="BC319" t="str">
        <f t="shared" si="130"/>
        <v>Neutral</v>
      </c>
      <c r="BD319" s="32">
        <f t="shared" si="131"/>
        <v>4</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2309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15.901916868626156</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t="str">
        <f t="shared" si="108"/>
        <v>Support</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8</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0</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10</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0</v>
      </c>
      <c r="AK320">
        <f>step3_validation[[#This Row],[AI_TRU1]]</f>
        <v>9</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0</v>
      </c>
      <c r="AP320">
        <f>step3_validation[[#This Row],[AI_TRU2]]</f>
        <v>9</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1</v>
      </c>
      <c r="AU320">
        <f>step3_validation[[#This Row],[AI_TRU3]]</f>
        <v>8</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0</v>
      </c>
      <c r="AZ320">
        <f>step3_validation[[#This Row],[AI_TRU4]]</f>
        <v>9</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2">
        <f t="shared" si="131"/>
        <v>1</v>
      </c>
      <c r="BE320">
        <f>step3_validation[[#This Row],[AI_OUT1]]</f>
        <v>10</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0</v>
      </c>
    </row>
    <row r="321" spans="1:61" x14ac:dyDescent="0.45">
      <c r="A321" s="30">
        <f>step3_validation[[#This Row],[Persona_ID]]</f>
        <v>320</v>
      </c>
      <c r="B321" s="31">
        <f>step3_validation[[#This Row],[Used_Seed]]</f>
        <v>2310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29.341342026175226</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7</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2</v>
      </c>
      <c r="AP321">
        <f>step3_validation[[#This Row],[AI_TRU2]]</f>
        <v>8</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2</v>
      </c>
      <c r="AU321">
        <f>step3_validation[[#This Row],[AI_TRU3]]</f>
        <v>7</v>
      </c>
      <c r="AV321" t="str">
        <f t="shared" si="126"/>
        <v>Neutral</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2</v>
      </c>
      <c r="AZ321">
        <f>step3_validation[[#This Row],[AI_TRU4]]</f>
        <v>8</v>
      </c>
      <c r="BA321" t="str">
        <f t="shared" si="129"/>
        <v>Support</v>
      </c>
      <c r="BB321">
        <f>survey_responses[[#This Row],[Tôi thấy Nhà nước đã giải thích rõ ràng, minh bạch về lý do và mục tiêu của việc sửa đổi thuế lần này. - HUMAN-TRU4]]</f>
        <v>7</v>
      </c>
      <c r="BC321" t="str">
        <f t="shared" si="130"/>
        <v>Neutral</v>
      </c>
      <c r="BD321" s="32">
        <f t="shared" si="131"/>
        <v>1</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2311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12.933171919818072</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2</v>
      </c>
      <c r="V322">
        <f>step3_validation[[#This Row],[AI_ENF2]]</f>
        <v>8</v>
      </c>
      <c r="W322" t="str">
        <f t="shared" si="111"/>
        <v>Support</v>
      </c>
      <c r="X322">
        <f>survey_responses[[#This Row],[Tôi tin rằng Nhà nước, cơ quan thuế có đủ khả năng và công nghệ để phát hiện, xử lý nghiêm các hành vi trốn thuế. - HUMAN-ENF2]]</f>
        <v>8</v>
      </c>
      <c r="Y322" t="str">
        <f t="shared" si="112"/>
        <v>Support</v>
      </c>
      <c r="Z322" s="32">
        <f t="shared" si="113"/>
        <v>0</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8</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1</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9</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0</v>
      </c>
      <c r="AU322">
        <f>step3_validation[[#This Row],[AI_TRU3]]</f>
        <v>7</v>
      </c>
      <c r="AV322" t="str">
        <f t="shared" si="126"/>
        <v>Neutral</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0</v>
      </c>
      <c r="AZ322">
        <f>step3_validation[[#This Row],[AI_TRU4]]</f>
        <v>8</v>
      </c>
      <c r="BA322" t="str">
        <f t="shared" si="129"/>
        <v>Support</v>
      </c>
      <c r="BB322">
        <f>survey_responses[[#This Row],[Tôi thấy Nhà nước đã giải thích rõ ràng, minh bạch về lý do và mục tiêu của việc sửa đổi thuế lần này. - HUMAN-TRU4]]</f>
        <v>9</v>
      </c>
      <c r="BC322" t="str">
        <f t="shared" si="130"/>
        <v>Support</v>
      </c>
      <c r="BD322" s="32">
        <f t="shared" si="131"/>
        <v>1</v>
      </c>
      <c r="BE322">
        <f>step3_validation[[#This Row],[AI_OUT1]]</f>
        <v>9</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0</v>
      </c>
    </row>
    <row r="323" spans="1:61" x14ac:dyDescent="0.45">
      <c r="A323" s="30">
        <f>step3_validation[[#This Row],[Persona_ID]]</f>
        <v>322</v>
      </c>
      <c r="B323" s="31">
        <f>step3_validation[[#This Row],[Used_Seed]]</f>
        <v>2312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26.840526521385101</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2</v>
      </c>
      <c r="V323">
        <f>step3_validation[[#This Row],[AI_ENF2]]</f>
        <v>7</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2</v>
      </c>
      <c r="AA323">
        <f>step3_validation[[#This Row],[AI_FAC1]]</f>
        <v>8</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3</v>
      </c>
      <c r="AF323">
        <f>step3_validation[[#This Row],[AI_FAC2]]</f>
        <v>6</v>
      </c>
      <c r="AG323" t="str">
        <f t="shared" ref="AG323:AG386" si="144">IF(AND(AF323&gt;=1,AF323&lt;5),"Oppose",IF(AND(AF323&gt;=5,AF323&lt;8),"Neutral",IF(AND(AF323&gt;=8,AF323&lt;=10),"Support","")))</f>
        <v>Neutral</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1</v>
      </c>
      <c r="AK323">
        <f>step3_validation[[#This Row],[AI_TRU1]]</f>
        <v>7</v>
      </c>
      <c r="AL323" t="str">
        <f t="shared" ref="AL323:AL386" si="147">IF(AND(AK323&gt;=1,AK323&lt;5),"Oppose",IF(AND(AK323&gt;=5,AK323&lt;8),"Neutral",IF(AND(AK323&gt;=8,AK323&lt;=10),"Support","")))</f>
        <v>Neutral</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2</v>
      </c>
      <c r="AP323">
        <f>step3_validation[[#This Row],[AI_TRU2]]</f>
        <v>8</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1</v>
      </c>
      <c r="AU323">
        <f>step3_validation[[#This Row],[AI_TRU3]]</f>
        <v>6</v>
      </c>
      <c r="AV323" t="str">
        <f t="shared" ref="AV323:AV386" si="153">IF(AND(AU323&gt;=1,AU323&lt;5),"Oppose",IF(AND(AU323&gt;=5,AU323&lt;8),"Neutral",IF(AND(AU323&gt;=8,AU323&lt;=10),"Support","")))</f>
        <v>Neutral</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1</v>
      </c>
      <c r="AZ323">
        <f>step3_validation[[#This Row],[AI_TRU4]]</f>
        <v>7</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2</v>
      </c>
      <c r="BE323">
        <f>step3_validation[[#This Row],[AI_OUT1]]</f>
        <v>8</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1</v>
      </c>
    </row>
    <row r="324" spans="1:61" x14ac:dyDescent="0.45">
      <c r="A324" s="30">
        <f>step3_validation[[#This Row],[Persona_ID]]</f>
        <v>323</v>
      </c>
      <c r="B324" s="31">
        <f>step3_validation[[#This Row],[Used_Seed]]</f>
        <v>2313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25.672394156601221</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0</v>
      </c>
      <c r="V324">
        <f>step3_validation[[#This Row],[AI_ENF2]]</f>
        <v>6</v>
      </c>
      <c r="W324" t="str">
        <f t="shared" si="138"/>
        <v>Neutral</v>
      </c>
      <c r="X324">
        <f>survey_responses[[#This Row],[Tôi tin rằng Nhà nước, cơ quan thuế có đủ khả năng và công nghệ để phát hiện, xử lý nghiêm các hành vi trốn thuế. - HUMAN-ENF2]]</f>
        <v>7</v>
      </c>
      <c r="Y324" t="str">
        <f t="shared" si="139"/>
        <v>Neutral</v>
      </c>
      <c r="Z324" s="32">
        <f t="shared" si="140"/>
        <v>1</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8</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0</v>
      </c>
      <c r="AK324">
        <f>step3_validation[[#This Row],[AI_TRU1]]</f>
        <v>9</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3</v>
      </c>
      <c r="AP324">
        <f>step3_validation[[#This Row],[AI_TRU2]]</f>
        <v>9</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2">
        <f t="shared" si="152"/>
        <v>2</v>
      </c>
      <c r="AU324">
        <f>step3_validation[[#This Row],[AI_TRU3]]</f>
        <v>8</v>
      </c>
      <c r="AV324" t="str">
        <f t="shared" si="153"/>
        <v>Support</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2</v>
      </c>
      <c r="AZ324">
        <f>step3_validation[[#This Row],[AI_TRU4]]</f>
        <v>7</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0</v>
      </c>
      <c r="BE324">
        <f>step3_validation[[#This Row],[AI_OUT1]]</f>
        <v>9</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2</v>
      </c>
    </row>
    <row r="325" spans="1:61" x14ac:dyDescent="0.45">
      <c r="A325" s="30">
        <f>step3_validation[[#This Row],[Persona_ID]]</f>
        <v>324</v>
      </c>
      <c r="B325" s="31">
        <f>step3_validation[[#This Row],[Used_Seed]]</f>
        <v>2314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8</v>
      </c>
      <c r="R325" t="str">
        <f t="shared" si="135"/>
        <v>Support</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1</v>
      </c>
      <c r="V325">
        <f>step3_validation[[#This Row],[AI_ENF2]]</f>
        <v>9</v>
      </c>
      <c r="W325" t="str">
        <f t="shared" si="138"/>
        <v>Support</v>
      </c>
      <c r="X325">
        <f>survey_responses[[#This Row],[Tôi tin rằng Nhà nước, cơ quan thuế có đủ khả năng và công nghệ để phát hiện, xử lý nghiêm các hành vi trốn thuế. - HUMAN-ENF2]]</f>
        <v>7</v>
      </c>
      <c r="Y325" t="str">
        <f t="shared" si="139"/>
        <v>Neutral</v>
      </c>
      <c r="Z325" s="32">
        <f t="shared" si="140"/>
        <v>2</v>
      </c>
      <c r="AA325">
        <f>step3_validation[[#This Row],[AI_FAC1]]</f>
        <v>8</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3</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8</v>
      </c>
      <c r="AL325" t="str">
        <f t="shared" si="147"/>
        <v>Support</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1</v>
      </c>
      <c r="AP325">
        <f>step3_validation[[#This Row],[AI_TRU2]]</f>
        <v>9</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2</v>
      </c>
      <c r="AU325">
        <f>step3_validation[[#This Row],[AI_TRU3]]</f>
        <v>8</v>
      </c>
      <c r="AV325" t="str">
        <f t="shared" si="153"/>
        <v>Support</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3</v>
      </c>
      <c r="AZ325">
        <f>step3_validation[[#This Row],[AI_TRU4]]</f>
        <v>8</v>
      </c>
      <c r="BA325" t="str">
        <f t="shared" si="156"/>
        <v>Support</v>
      </c>
      <c r="BB325">
        <f>survey_responses[[#This Row],[Tôi thấy Nhà nước đã giải thích rõ ràng, minh bạch về lý do và mục tiêu của việc sửa đổi thuế lần này. - HUMAN-TRU4]]</f>
        <v>5</v>
      </c>
      <c r="BC325" t="str">
        <f t="shared" si="157"/>
        <v>Neutral</v>
      </c>
      <c r="BD325" s="32">
        <f t="shared" si="158"/>
        <v>3</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2315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32.421696879686671</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6</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4</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6</v>
      </c>
      <c r="AA326">
        <f>step3_validation[[#This Row],[AI_FAC1]]</f>
        <v>9</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3</v>
      </c>
      <c r="AF326">
        <f>step3_validation[[#This Row],[AI_FAC2]]</f>
        <v>10</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3</v>
      </c>
      <c r="AK326">
        <f>step3_validation[[#This Row],[AI_TRU1]]</f>
        <v>7</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5</v>
      </c>
      <c r="AP326">
        <f>step3_validation[[#This Row],[AI_TRU2]]</f>
        <v>9</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4</v>
      </c>
      <c r="AU326">
        <f>step3_validation[[#This Row],[AI_TRU3]]</f>
        <v>8</v>
      </c>
      <c r="AV326" t="str">
        <f t="shared" si="153"/>
        <v>Support</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3</v>
      </c>
      <c r="AZ326">
        <f>step3_validation[[#This Row],[AI_TRU4]]</f>
        <v>9</v>
      </c>
      <c r="BA326" t="str">
        <f t="shared" si="156"/>
        <v>Support</v>
      </c>
      <c r="BB326">
        <f>survey_responses[[#This Row],[Tôi thấy Nhà nước đã giải thích rõ ràng, minh bạch về lý do và mục tiêu của việc sửa đổi thuế lần này. - HUMAN-TRU4]]</f>
        <v>6</v>
      </c>
      <c r="BC326" t="str">
        <f t="shared" si="157"/>
        <v>Neutral</v>
      </c>
      <c r="BD326" s="32">
        <f t="shared" si="158"/>
        <v>3</v>
      </c>
      <c r="BE326">
        <f>step3_validation[[#This Row],[AI_OUT1]]</f>
        <v>10</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5</v>
      </c>
    </row>
    <row r="327" spans="1:61" x14ac:dyDescent="0.45">
      <c r="A327" s="30">
        <f>step3_validation[[#This Row],[Persona_ID]]</f>
        <v>326</v>
      </c>
      <c r="B327" s="31">
        <f>step3_validation[[#This Row],[Used_Seed]]</f>
        <v>2316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66.599036760439176</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2</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9</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0</v>
      </c>
      <c r="AF327">
        <f>step3_validation[[#This Row],[AI_FAC2]]</f>
        <v>8</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2</v>
      </c>
      <c r="AK327">
        <f>step3_validation[[#This Row],[AI_TRU1]]</f>
        <v>7</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1</v>
      </c>
      <c r="AP327">
        <f>step3_validation[[#This Row],[AI_TRU2]]</f>
        <v>8</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2</v>
      </c>
      <c r="AU327">
        <f>step3_validation[[#This Row],[AI_TRU3]]</f>
        <v>7</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2</v>
      </c>
      <c r="AZ327">
        <f>step3_validation[[#This Row],[AI_TRU4]]</f>
        <v>6</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3</v>
      </c>
      <c r="BE327">
        <f>step3_validation[[#This Row],[AI_OUT1]]</f>
        <v>9</v>
      </c>
      <c r="BF327" t="str">
        <f t="shared" si="159"/>
        <v>Support</v>
      </c>
      <c r="BG327">
        <f>survey_responses[[#This Row],[Sau khi xem xét các quyền lợi và nghĩa vụ, bạn có ủng hộ và tuân thủ chính sách mới hiện nay? - HUMAN-OUT1]]</f>
        <v>10</v>
      </c>
      <c r="BH327" t="str">
        <f t="shared" si="160"/>
        <v>Support</v>
      </c>
      <c r="BI327" s="32">
        <f t="shared" si="161"/>
        <v>1</v>
      </c>
    </row>
    <row r="328" spans="1:61" x14ac:dyDescent="0.45">
      <c r="A328" s="30">
        <f>step3_validation[[#This Row],[Persona_ID]]</f>
        <v>327</v>
      </c>
      <c r="B328" s="31">
        <f>step3_validation[[#This Row],[Used_Seed]]</f>
        <v>2317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21.42524974191797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0</v>
      </c>
      <c r="V328">
        <f>step3_validation[[#This Row],[AI_ENF2]]</f>
        <v>6</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1</v>
      </c>
      <c r="AA328">
        <f>step3_validation[[#This Row],[AI_FAC1]]</f>
        <v>5</v>
      </c>
      <c r="AB328" t="str">
        <f t="shared" si="141"/>
        <v>Neutral</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6</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1</v>
      </c>
      <c r="AP328">
        <f>step3_validation[[#This Row],[AI_TRU2]]</f>
        <v>8</v>
      </c>
      <c r="AQ328" t="str">
        <f t="shared" si="150"/>
        <v>Support</v>
      </c>
      <c r="AR328">
        <f>survey_responses[[#This Row],[Tôi thấy mức thuế tôi phải đóng theo phương án mới là công bằng (người thu nhập như tôi đóng mức này là hợp lý). - HUMAN-TRU2]]</f>
        <v>8</v>
      </c>
      <c r="AS328" t="str">
        <f t="shared" si="151"/>
        <v>Support</v>
      </c>
      <c r="AT328" s="32">
        <f t="shared" si="152"/>
        <v>0</v>
      </c>
      <c r="AU328">
        <f>step3_validation[[#This Row],[AI_TRU3]]</f>
        <v>7</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2</v>
      </c>
      <c r="AZ328">
        <f>step3_validation[[#This Row],[AI_TRU4]]</f>
        <v>5</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2</v>
      </c>
      <c r="BE328">
        <f>step3_validation[[#This Row],[AI_OUT1]]</f>
        <v>9</v>
      </c>
      <c r="BF328" t="str">
        <f t="shared" si="159"/>
        <v>Support</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2318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90.960749809410544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1</v>
      </c>
      <c r="V329">
        <f>step3_validation[[#This Row],[AI_ENF2]]</f>
        <v>9</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1</v>
      </c>
      <c r="AA329">
        <f>step3_validation[[#This Row],[AI_FAC1]]</f>
        <v>8</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1</v>
      </c>
      <c r="AF329">
        <f>step3_validation[[#This Row],[AI_FAC2]]</f>
        <v>9</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0</v>
      </c>
      <c r="AK329">
        <f>step3_validation[[#This Row],[AI_TRU1]]</f>
        <v>9</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0</v>
      </c>
      <c r="AP329">
        <f>step3_validation[[#This Row],[AI_TRU2]]</f>
        <v>8</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0</v>
      </c>
      <c r="AU329">
        <f>step3_validation[[#This Row],[AI_TRU3]]</f>
        <v>8</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9</v>
      </c>
      <c r="BA329" t="str">
        <f t="shared" si="156"/>
        <v>Support</v>
      </c>
      <c r="BB329">
        <f>survey_responses[[#This Row],[Tôi thấy Nhà nước đã giải thích rõ ràng, minh bạch về lý do và mục tiêu của việc sửa đổi thuế lần này. - HUMAN-TRU4]]</f>
        <v>7</v>
      </c>
      <c r="BC329" t="str">
        <f t="shared" si="157"/>
        <v>Neutral</v>
      </c>
      <c r="BD329" s="32">
        <f t="shared" si="158"/>
        <v>2</v>
      </c>
      <c r="BE329">
        <f>step3_validation[[#This Row],[AI_OUT1]]</f>
        <v>10</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1</v>
      </c>
    </row>
    <row r="330" spans="1:61" x14ac:dyDescent="0.45">
      <c r="A330" s="30">
        <f>step3_validation[[#This Row],[Persona_ID]]</f>
        <v>329</v>
      </c>
      <c r="B330" s="31">
        <f>step3_validation[[#This Row],[Used_Seed]]</f>
        <v>2319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16.728174054891092</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1</v>
      </c>
      <c r="V330">
        <f>step3_validation[[#This Row],[AI_ENF2]]</f>
        <v>9</v>
      </c>
      <c r="W330" t="str">
        <f t="shared" si="138"/>
        <v>Support</v>
      </c>
      <c r="X330">
        <f>survey_responses[[#This Row],[Tôi tin rằng Nhà nước, cơ quan thuế có đủ khả năng và công nghệ để phát hiện, xử lý nghiêm các hành vi trốn thuế. - HUMAN-ENF2]]</f>
        <v>7</v>
      </c>
      <c r="Y330" t="str">
        <f t="shared" si="139"/>
        <v>Neutral</v>
      </c>
      <c r="Z330" s="32">
        <f t="shared" si="140"/>
        <v>2</v>
      </c>
      <c r="AA330">
        <f>step3_validation[[#This Row],[AI_FAC1]]</f>
        <v>9</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0</v>
      </c>
      <c r="AF330">
        <f>step3_validation[[#This Row],[AI_FAC2]]</f>
        <v>10</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1</v>
      </c>
      <c r="AK330">
        <f>step3_validation[[#This Row],[AI_TRU1]]</f>
        <v>9</v>
      </c>
      <c r="AL330" t="str">
        <f t="shared" si="147"/>
        <v>Support</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0</v>
      </c>
      <c r="AP330">
        <f>step3_validation[[#This Row],[AI_TRU2]]</f>
        <v>9</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0</v>
      </c>
      <c r="AU330">
        <f>step3_validation[[#This Row],[AI_TRU3]]</f>
        <v>8</v>
      </c>
      <c r="AV330" t="str">
        <f t="shared" si="153"/>
        <v>Support</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3</v>
      </c>
      <c r="AZ330">
        <f>step3_validation[[#This Row],[AI_TRU4]]</f>
        <v>9</v>
      </c>
      <c r="BA330" t="str">
        <f t="shared" si="156"/>
        <v>Support</v>
      </c>
      <c r="BB330">
        <f>survey_responses[[#This Row],[Tôi thấy Nhà nước đã giải thích rõ ràng, minh bạch về lý do và mục tiêu của việc sửa đổi thuế lần này. - HUMAN-TRU4]]</f>
        <v>6</v>
      </c>
      <c r="BC330" t="str">
        <f t="shared" si="157"/>
        <v>Neutral</v>
      </c>
      <c r="BD330" s="32">
        <f t="shared" si="158"/>
        <v>3</v>
      </c>
      <c r="BE330">
        <f>step3_validation[[#This Row],[AI_OUT1]]</f>
        <v>10</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1</v>
      </c>
    </row>
    <row r="331" spans="1:61" x14ac:dyDescent="0.45">
      <c r="A331" s="30">
        <f>step3_validation[[#This Row],[Persona_ID]]</f>
        <v>330</v>
      </c>
      <c r="B331" s="31">
        <f>step3_validation[[#This Row],[Used_Seed]]</f>
        <v>2320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12.050702345928158</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6</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3</v>
      </c>
      <c r="V331">
        <f>step3_validation[[#This Row],[AI_ENF2]]</f>
        <v>7</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4</v>
      </c>
      <c r="AA331">
        <f>step3_validation[[#This Row],[AI_FAC1]]</f>
        <v>8</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3</v>
      </c>
      <c r="AF331">
        <f>step3_validation[[#This Row],[AI_FAC2]]</f>
        <v>9</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3</v>
      </c>
      <c r="AK331">
        <f>step3_validation[[#This Row],[AI_TRU1]]</f>
        <v>7</v>
      </c>
      <c r="AL331" t="str">
        <f t="shared" si="147"/>
        <v>Neutral</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3</v>
      </c>
      <c r="AP331">
        <f>step3_validation[[#This Row],[AI_TRU2]]</f>
        <v>9</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2">
        <f t="shared" si="152"/>
        <v>4</v>
      </c>
      <c r="AU331">
        <f>step3_validation[[#This Row],[AI_TRU3]]</f>
        <v>7</v>
      </c>
      <c r="AV331" t="str">
        <f t="shared" si="153"/>
        <v>Neutral</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2</v>
      </c>
      <c r="AZ331">
        <f>step3_validation[[#This Row],[AI_TRU4]]</f>
        <v>8</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3</v>
      </c>
      <c r="BE331">
        <f>step3_validation[[#This Row],[AI_OUT1]]</f>
        <v>9</v>
      </c>
      <c r="BF331" t="str">
        <f t="shared" si="159"/>
        <v>Support</v>
      </c>
      <c r="BG331">
        <f>survey_responses[[#This Row],[Sau khi xem xét các quyền lợi và nghĩa vụ, bạn có ủng hộ và tuân thủ chính sách mới hiện nay? - HUMAN-OUT1]]</f>
        <v>5</v>
      </c>
      <c r="BH331" t="str">
        <f t="shared" si="160"/>
        <v>Neutral</v>
      </c>
      <c r="BI331" s="32">
        <f t="shared" si="161"/>
        <v>4</v>
      </c>
    </row>
    <row r="332" spans="1:61" x14ac:dyDescent="0.45">
      <c r="A332" s="30">
        <f>step3_validation[[#This Row],[Persona_ID]]</f>
        <v>331</v>
      </c>
      <c r="B332" s="31">
        <f>step3_validation[[#This Row],[Used_Seed]]</f>
        <v>2321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25.593949633815651</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7</v>
      </c>
      <c r="R332" t="str">
        <f t="shared" si="135"/>
        <v>Neutral</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3</v>
      </c>
      <c r="V332">
        <f>step3_validation[[#This Row],[AI_ENF2]]</f>
        <v>7</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3</v>
      </c>
      <c r="AA332">
        <f>step3_validation[[#This Row],[AI_FAC1]]</f>
        <v>9</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4</v>
      </c>
      <c r="AF332">
        <f>step3_validation[[#This Row],[AI_FAC2]]</f>
        <v>8</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2</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9</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4</v>
      </c>
      <c r="AU332">
        <f>step3_validation[[#This Row],[AI_TRU3]]</f>
        <v>8</v>
      </c>
      <c r="AV332" t="str">
        <f t="shared" si="153"/>
        <v>Support</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5</v>
      </c>
      <c r="AZ332">
        <f>step3_validation[[#This Row],[AI_TRU4]]</f>
        <v>7</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3</v>
      </c>
      <c r="BE332">
        <f>step3_validation[[#This Row],[AI_OUT1]]</f>
        <v>9</v>
      </c>
      <c r="BF332" t="str">
        <f t="shared" si="159"/>
        <v>Support</v>
      </c>
      <c r="BG332">
        <f>survey_responses[[#This Row],[Sau khi xem xét các quyền lợi và nghĩa vụ, bạn có ủng hộ và tuân thủ chính sách mới hiện nay? - HUMAN-OUT1]]</f>
        <v>5</v>
      </c>
      <c r="BH332" t="str">
        <f t="shared" si="160"/>
        <v>Neutral</v>
      </c>
      <c r="BI332" s="32">
        <f t="shared" si="161"/>
        <v>4</v>
      </c>
    </row>
    <row r="333" spans="1:61" x14ac:dyDescent="0.45">
      <c r="A333" s="30">
        <f>step3_validation[[#This Row],[Persona_ID]]</f>
        <v>332</v>
      </c>
      <c r="B333" s="31">
        <f>step3_validation[[#This Row],[Used_Seed]]</f>
        <v>2322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19.930764889106943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5</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2</v>
      </c>
      <c r="V333">
        <f>step3_validation[[#This Row],[AI_ENF2]]</f>
        <v>6</v>
      </c>
      <c r="W333" t="str">
        <f t="shared" si="138"/>
        <v>Neutral</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8</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1</v>
      </c>
      <c r="AF333">
        <f>step3_validation[[#This Row],[AI_FAC2]]</f>
        <v>9</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0</v>
      </c>
      <c r="AK333">
        <f>step3_validation[[#This Row],[AI_TRU1]]</f>
        <v>4</v>
      </c>
      <c r="AL333" t="str">
        <f t="shared" si="147"/>
        <v>Oppose</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4</v>
      </c>
      <c r="AP333">
        <f>step3_validation[[#This Row],[AI_TRU2]]</f>
        <v>7</v>
      </c>
      <c r="AQ333" t="str">
        <f t="shared" si="150"/>
        <v>Neutral</v>
      </c>
      <c r="AR333">
        <f>survey_responses[[#This Row],[Tôi thấy mức thuế tôi phải đóng theo phương án mới là công bằng (người thu nhập như tôi đóng mức này là hợp lý). - HUMAN-TRU2]]</f>
        <v>9</v>
      </c>
      <c r="AS333" t="str">
        <f t="shared" si="151"/>
        <v>Support</v>
      </c>
      <c r="AT333" s="32">
        <f t="shared" si="152"/>
        <v>2</v>
      </c>
      <c r="AU333">
        <f>step3_validation[[#This Row],[AI_TRU3]]</f>
        <v>5</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2</v>
      </c>
      <c r="AZ333">
        <f>step3_validation[[#This Row],[AI_TRU4]]</f>
        <v>8</v>
      </c>
      <c r="BA333" t="str">
        <f t="shared" si="156"/>
        <v>Support</v>
      </c>
      <c r="BB333">
        <f>survey_responses[[#This Row],[Tôi thấy Nhà nước đã giải thích rõ ràng, minh bạch về lý do và mục tiêu của việc sửa đổi thuế lần này. - HUMAN-TRU4]]</f>
        <v>9</v>
      </c>
      <c r="BC333" t="str">
        <f t="shared" si="157"/>
        <v>Support</v>
      </c>
      <c r="BD333" s="32">
        <f t="shared" si="158"/>
        <v>1</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0</v>
      </c>
    </row>
    <row r="334" spans="1:61" x14ac:dyDescent="0.45">
      <c r="A334" s="30">
        <f>step3_validation[[#This Row],[Persona_ID]]</f>
        <v>333</v>
      </c>
      <c r="B334" s="31">
        <f>step3_validation[[#This Row],[Used_Seed]]</f>
        <v>2323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71.918773550044762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9</v>
      </c>
      <c r="R334" t="str">
        <f t="shared" si="135"/>
        <v>Support</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3</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9</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8</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0</v>
      </c>
      <c r="AK334">
        <f>step3_validation[[#This Row],[AI_TRU1]]</f>
        <v>9</v>
      </c>
      <c r="AL334" t="str">
        <f t="shared" si="147"/>
        <v>Support</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3</v>
      </c>
      <c r="AP334">
        <f>step3_validation[[#This Row],[AI_TRU2]]</f>
        <v>8</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2">
        <f t="shared" si="152"/>
        <v>1</v>
      </c>
      <c r="AU334">
        <f>step3_validation[[#This Row],[AI_TRU3]]</f>
        <v>9</v>
      </c>
      <c r="AV334" t="str">
        <f t="shared" si="153"/>
        <v>Support</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3</v>
      </c>
      <c r="AZ334">
        <f>step3_validation[[#This Row],[AI_TRU4]]</f>
        <v>8</v>
      </c>
      <c r="BA334" t="str">
        <f t="shared" si="156"/>
        <v>Support</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9</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2</v>
      </c>
    </row>
    <row r="335" spans="1:61" x14ac:dyDescent="0.45">
      <c r="A335" s="30">
        <f>step3_validation[[#This Row],[Persona_ID]]</f>
        <v>334</v>
      </c>
      <c r="B335" s="31">
        <f>step3_validation[[#This Row],[Used_Seed]]</f>
        <v>2324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234.60689954896262</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4</v>
      </c>
      <c r="V335">
        <f>step3_validation[[#This Row],[AI_ENF2]]</f>
        <v>5</v>
      </c>
      <c r="W335" t="str">
        <f t="shared" si="138"/>
        <v>Neutral</v>
      </c>
      <c r="X335">
        <f>survey_responses[[#This Row],[Tôi tin rằng Nhà nước, cơ quan thuế có đủ khả năng và công nghệ để phát hiện, xử lý nghiêm các hành vi trốn thuế. - HUMAN-ENF2]]</f>
        <v>2</v>
      </c>
      <c r="Y335" t="str">
        <f t="shared" si="139"/>
        <v>Oppose</v>
      </c>
      <c r="Z335" s="32">
        <f t="shared" si="140"/>
        <v>3</v>
      </c>
      <c r="AA335">
        <f>step3_validation[[#This Row],[AI_FAC1]]</f>
        <v>8</v>
      </c>
      <c r="AB335" t="str">
        <f t="shared" si="141"/>
        <v>Support</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5</v>
      </c>
      <c r="AF335">
        <f>step3_validation[[#This Row],[AI_FAC2]]</f>
        <v>7</v>
      </c>
      <c r="AG335" t="str">
        <f t="shared" si="144"/>
        <v>Neutral</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2</v>
      </c>
      <c r="AK335">
        <f>step3_validation[[#This Row],[AI_TRU1]]</f>
        <v>9</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8</v>
      </c>
      <c r="AP335">
        <f>step3_validation[[#This Row],[AI_TRU2]]</f>
        <v>8</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7</v>
      </c>
      <c r="AU335">
        <f>step3_validation[[#This Row],[AI_TRU3]]</f>
        <v>7</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6</v>
      </c>
      <c r="AZ335">
        <f>step3_validation[[#This Row],[AI_TRU4]]</f>
        <v>6</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3</v>
      </c>
      <c r="BE335">
        <f>step3_validation[[#This Row],[AI_OUT1]]</f>
        <v>9</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8</v>
      </c>
    </row>
    <row r="336" spans="1:61" x14ac:dyDescent="0.45">
      <c r="A336" s="30">
        <f>step3_validation[[#This Row],[Persona_ID]]</f>
        <v>335</v>
      </c>
      <c r="B336" s="31">
        <f>step3_validation[[#This Row],[Used_Seed]]</f>
        <v>2325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16.434566267830931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9</v>
      </c>
      <c r="R336" t="str">
        <f t="shared" si="135"/>
        <v>Support</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2</v>
      </c>
      <c r="V336">
        <f>step3_validation[[#This Row],[AI_ENF2]]</f>
        <v>8</v>
      </c>
      <c r="W336" t="str">
        <f t="shared" si="138"/>
        <v>Support</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8</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0</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1</v>
      </c>
      <c r="AK336">
        <f>step3_validation[[#This Row],[AI_TRU1]]</f>
        <v>8</v>
      </c>
      <c r="AL336" t="str">
        <f t="shared" si="147"/>
        <v>Support</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1</v>
      </c>
      <c r="AP336">
        <f>step3_validation[[#This Row],[AI_TRU2]]</f>
        <v>9</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1</v>
      </c>
      <c r="AU336">
        <f>step3_validation[[#This Row],[AI_TRU3]]</f>
        <v>8</v>
      </c>
      <c r="AV336" t="str">
        <f t="shared" si="153"/>
        <v>Support</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0</v>
      </c>
      <c r="AZ336">
        <f>step3_validation[[#This Row],[AI_TRU4]]</f>
        <v>9</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1</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1</v>
      </c>
    </row>
    <row r="337" spans="1:61" x14ac:dyDescent="0.45">
      <c r="A337" s="30">
        <f>step3_validation[[#This Row],[Persona_ID]]</f>
        <v>336</v>
      </c>
      <c r="B337" s="31">
        <f>step3_validation[[#This Row],[Used_Seed]]</f>
        <v>2326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21.539914408558545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9</v>
      </c>
      <c r="R337" t="str">
        <f t="shared" si="135"/>
        <v>Support</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5</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9</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4</v>
      </c>
      <c r="AF337">
        <f>step3_validation[[#This Row],[AI_FAC2]]</f>
        <v>8</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2</v>
      </c>
      <c r="AK337">
        <f>step3_validation[[#This Row],[AI_TRU1]]</f>
        <v>9</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4</v>
      </c>
      <c r="AP337">
        <f>step3_validation[[#This Row],[AI_TRU2]]</f>
        <v>8</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2">
        <f t="shared" si="152"/>
        <v>2</v>
      </c>
      <c r="AU337">
        <f>step3_validation[[#This Row],[AI_TRU3]]</f>
        <v>9</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4</v>
      </c>
      <c r="AZ337">
        <f>step3_validation[[#This Row],[AI_TRU4]]</f>
        <v>8</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2">
        <f t="shared" si="158"/>
        <v>3</v>
      </c>
      <c r="BE337">
        <f>step3_validation[[#This Row],[AI_OUT1]]</f>
        <v>9</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3</v>
      </c>
    </row>
    <row r="338" spans="1:61" x14ac:dyDescent="0.45">
      <c r="A338" s="30">
        <f>step3_validation[[#This Row],[Persona_ID]]</f>
        <v>337</v>
      </c>
      <c r="B338" s="31">
        <f>step3_validation[[#This Row],[Used_Seed]]</f>
        <v>2327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28.625944835947372</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4</v>
      </c>
      <c r="R338" t="str">
        <f t="shared" si="135"/>
        <v>Oppose</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3</v>
      </c>
      <c r="V338">
        <f>step3_validation[[#This Row],[AI_ENF2]]</f>
        <v>5</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2">
        <f t="shared" si="140"/>
        <v>3</v>
      </c>
      <c r="AA338">
        <f>step3_validation[[#This Row],[AI_FAC1]]</f>
        <v>8</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1</v>
      </c>
      <c r="AF338">
        <f>step3_validation[[#This Row],[AI_FAC2]]</f>
        <v>7</v>
      </c>
      <c r="AG338" t="str">
        <f t="shared" si="144"/>
        <v>Neutral</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0</v>
      </c>
      <c r="AK338">
        <f>step3_validation[[#This Row],[AI_TRU1]]</f>
        <v>6</v>
      </c>
      <c r="AL338" t="str">
        <f t="shared" si="147"/>
        <v>Neutral</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0</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7</v>
      </c>
      <c r="AV338" t="str">
        <f t="shared" si="153"/>
        <v>Neutral</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1</v>
      </c>
      <c r="AZ338">
        <f>step3_validation[[#This Row],[AI_TRU4]]</f>
        <v>8</v>
      </c>
      <c r="BA338" t="str">
        <f t="shared" si="156"/>
        <v>Support</v>
      </c>
      <c r="BB338">
        <f>survey_responses[[#This Row],[Tôi thấy Nhà nước đã giải thích rõ ràng, minh bạch về lý do và mục tiêu của việc sửa đổi thuế lần này. - HUMAN-TRU4]]</f>
        <v>8</v>
      </c>
      <c r="BC338" t="str">
        <f t="shared" si="157"/>
        <v>Support</v>
      </c>
      <c r="BD338" s="32">
        <f t="shared" si="158"/>
        <v>0</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2328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16.758565311772529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7</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1</v>
      </c>
      <c r="AA339">
        <f>step3_validation[[#This Row],[AI_FAC1]]</f>
        <v>9</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0</v>
      </c>
      <c r="AF339">
        <f>step3_validation[[#This Row],[AI_FAC2]]</f>
        <v>8</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1</v>
      </c>
      <c r="AK339">
        <f>step3_validation[[#This Row],[AI_TRU1]]</f>
        <v>7</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1</v>
      </c>
      <c r="AP339">
        <f>step3_validation[[#This Row],[AI_TRU2]]</f>
        <v>6</v>
      </c>
      <c r="AQ339" t="str">
        <f t="shared" si="150"/>
        <v>Neutral</v>
      </c>
      <c r="AR339">
        <f>survey_responses[[#This Row],[Tôi thấy mức thuế tôi phải đóng theo phương án mới là công bằng (người thu nhập như tôi đóng mức này là hợp lý). - HUMAN-TRU2]]</f>
        <v>9</v>
      </c>
      <c r="AS339" t="str">
        <f t="shared" si="151"/>
        <v>Support</v>
      </c>
      <c r="AT339" s="32">
        <f t="shared" si="152"/>
        <v>3</v>
      </c>
      <c r="AU339">
        <f>step3_validation[[#This Row],[AI_TRU3]]</f>
        <v>8</v>
      </c>
      <c r="AV339" t="str">
        <f t="shared" si="153"/>
        <v>Support</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2</v>
      </c>
      <c r="AZ339">
        <f>step3_validation[[#This Row],[AI_TRU4]]</f>
        <v>7</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2</v>
      </c>
      <c r="BE339">
        <f>step3_validation[[#This Row],[AI_OUT1]]</f>
        <v>8</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2</v>
      </c>
    </row>
    <row r="340" spans="1:61" x14ac:dyDescent="0.45">
      <c r="A340" s="30">
        <f>step3_validation[[#This Row],[Persona_ID]]</f>
        <v>339</v>
      </c>
      <c r="B340" s="31">
        <f>step3_validation[[#This Row],[Used_Seed]]</f>
        <v>2329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14.632622679515956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0</v>
      </c>
      <c r="V340">
        <f>step3_validation[[#This Row],[AI_ENF2]]</f>
        <v>8</v>
      </c>
      <c r="W340" t="str">
        <f t="shared" si="138"/>
        <v>Support</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9</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1</v>
      </c>
      <c r="AF340">
        <f>step3_validation[[#This Row],[AI_FAC2]]</f>
        <v>10</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2</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9</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2</v>
      </c>
      <c r="AU340">
        <f>step3_validation[[#This Row],[AI_TRU3]]</f>
        <v>8</v>
      </c>
      <c r="AV340" t="str">
        <f t="shared" si="153"/>
        <v>Support</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2</v>
      </c>
      <c r="AZ340">
        <f>step3_validation[[#This Row],[AI_TRU4]]</f>
        <v>7</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1</v>
      </c>
      <c r="BE340">
        <f>step3_validation[[#This Row],[AI_OUT1]]</f>
        <v>9</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2</v>
      </c>
    </row>
    <row r="341" spans="1:61" x14ac:dyDescent="0.45">
      <c r="A341" s="30">
        <f>step3_validation[[#This Row],[Persona_ID]]</f>
        <v>340</v>
      </c>
      <c r="B341" s="31">
        <f>step3_validation[[#This Row],[Used_Seed]]</f>
        <v>2330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14.958310988785255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0</v>
      </c>
      <c r="V341">
        <f>step3_validation[[#This Row],[AI_ENF2]]</f>
        <v>7</v>
      </c>
      <c r="W341" t="str">
        <f t="shared" si="138"/>
        <v>Neutral</v>
      </c>
      <c r="X341">
        <f>survey_responses[[#This Row],[Tôi tin rằng Nhà nước, cơ quan thuế có đủ khả năng và công nghệ để phát hiện, xử lý nghiêm các hành vi trốn thuế. - HUMAN-ENF2]]</f>
        <v>8</v>
      </c>
      <c r="Y341" t="str">
        <f t="shared" si="139"/>
        <v>Support</v>
      </c>
      <c r="Z341" s="32">
        <f t="shared" si="140"/>
        <v>1</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8</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0</v>
      </c>
      <c r="AK341">
        <f>step3_validation[[#This Row],[AI_TRU1]]</f>
        <v>9</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4</v>
      </c>
      <c r="AP341">
        <f>step3_validation[[#This Row],[AI_TRU2]]</f>
        <v>8</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2">
        <f t="shared" si="152"/>
        <v>0</v>
      </c>
      <c r="AU341">
        <f>step3_validation[[#This Row],[AI_TRU3]]</f>
        <v>9</v>
      </c>
      <c r="AV341" t="str">
        <f t="shared" si="153"/>
        <v>Support</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4</v>
      </c>
      <c r="AZ341">
        <f>step3_validation[[#This Row],[AI_TRU4]]</f>
        <v>8</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2">
        <f t="shared" si="158"/>
        <v>0</v>
      </c>
      <c r="BE341">
        <f>step3_validation[[#This Row],[AI_OUT1]]</f>
        <v>9</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1</v>
      </c>
    </row>
    <row r="342" spans="1:61" x14ac:dyDescent="0.45">
      <c r="A342" s="30">
        <f>step3_validation[[#This Row],[Persona_ID]]</f>
        <v>341</v>
      </c>
      <c r="B342" s="31">
        <f>step3_validation[[#This Row],[Used_Seed]]</f>
        <v>2331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0</v>
      </c>
      <c r="V342">
        <f>step3_validation[[#This Row],[AI_ENF2]]</f>
        <v>9</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1</v>
      </c>
      <c r="AA342">
        <f>step3_validation[[#This Row],[AI_FAC1]]</f>
        <v>8</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0</v>
      </c>
      <c r="AF342">
        <f>step3_validation[[#This Row],[AI_FAC2]]</f>
        <v>9</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0</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0</v>
      </c>
      <c r="AP342">
        <f>step3_validation[[#This Row],[AI_TRU2]]</f>
        <v>9</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8</v>
      </c>
      <c r="AV342" t="str">
        <f t="shared" si="153"/>
        <v>Support</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9</v>
      </c>
      <c r="BA342" t="str">
        <f t="shared" si="156"/>
        <v>Support</v>
      </c>
      <c r="BB342">
        <f>survey_responses[[#This Row],[Tôi thấy Nhà nước đã giải thích rõ ràng, minh bạch về lý do và mục tiêu của việc sửa đổi thuế lần này. - HUMAN-TRU4]]</f>
        <v>7</v>
      </c>
      <c r="BC342" t="str">
        <f t="shared" si="157"/>
        <v>Neutral</v>
      </c>
      <c r="BD342" s="32">
        <f t="shared" si="158"/>
        <v>2</v>
      </c>
      <c r="BE342">
        <f>step3_validation[[#This Row],[AI_OUT1]]</f>
        <v>9</v>
      </c>
      <c r="BF342" t="str">
        <f t="shared" si="159"/>
        <v>Support</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2332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9</v>
      </c>
      <c r="AB343" t="str">
        <f t="shared" si="141"/>
        <v>Support</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3</v>
      </c>
      <c r="AF343">
        <f>step3_validation[[#This Row],[AI_FAC2]]</f>
        <v>8</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1</v>
      </c>
      <c r="AK343">
        <f>step3_validation[[#This Row],[AI_TRU1]]</f>
        <v>9</v>
      </c>
      <c r="AL343" t="str">
        <f t="shared" si="147"/>
        <v>Support</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4</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9</v>
      </c>
      <c r="AV343" t="str">
        <f t="shared" si="153"/>
        <v>Support</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3</v>
      </c>
      <c r="AZ343">
        <f>step3_validation[[#This Row],[AI_TRU4]]</f>
        <v>8</v>
      </c>
      <c r="BA343" t="str">
        <f t="shared" si="156"/>
        <v>Support</v>
      </c>
      <c r="BB343">
        <f>survey_responses[[#This Row],[Tôi thấy Nhà nước đã giải thích rõ ràng, minh bạch về lý do và mục tiêu của việc sửa đổi thuế lần này. - HUMAN-TRU4]]</f>
        <v>6</v>
      </c>
      <c r="BC343" t="str">
        <f t="shared" si="157"/>
        <v>Neutral</v>
      </c>
      <c r="BD343" s="32">
        <f t="shared" si="158"/>
        <v>2</v>
      </c>
      <c r="BE343">
        <f>step3_validation[[#This Row],[AI_OUT1]]</f>
        <v>9</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2</v>
      </c>
    </row>
    <row r="344" spans="1:61" x14ac:dyDescent="0.45">
      <c r="A344" s="30">
        <f>step3_validation[[#This Row],[Persona_ID]]</f>
        <v>343</v>
      </c>
      <c r="B344" s="31">
        <f>step3_validation[[#This Row],[Used_Seed]]</f>
        <v>2333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14.640203362523385</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8</v>
      </c>
      <c r="R344" t="str">
        <f t="shared" si="135"/>
        <v>Support</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9</v>
      </c>
      <c r="W344" t="str">
        <f t="shared" si="138"/>
        <v>Support</v>
      </c>
      <c r="X344">
        <f>survey_responses[[#This Row],[Tôi tin rằng Nhà nước, cơ quan thuế có đủ khả năng và công nghệ để phát hiện, xử lý nghiêm các hành vi trốn thuế. - HUMAN-ENF2]]</f>
        <v>7</v>
      </c>
      <c r="Y344" t="str">
        <f t="shared" si="139"/>
        <v>Neutral</v>
      </c>
      <c r="Z344" s="32">
        <f t="shared" si="140"/>
        <v>2</v>
      </c>
      <c r="AA344">
        <f>step3_validation[[#This Row],[AI_FAC1]]</f>
        <v>8</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0</v>
      </c>
      <c r="AF344">
        <f>step3_validation[[#This Row],[AI_FAC2]]</f>
        <v>9</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2</v>
      </c>
      <c r="AK344">
        <f>step3_validation[[#This Row],[AI_TRU1]]</f>
        <v>8</v>
      </c>
      <c r="AL344" t="str">
        <f t="shared" si="147"/>
        <v>Support</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0</v>
      </c>
      <c r="AP344">
        <f>step3_validation[[#This Row],[AI_TRU2]]</f>
        <v>9</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1</v>
      </c>
      <c r="AU344">
        <f>step3_validation[[#This Row],[AI_TRU3]]</f>
        <v>8</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0</v>
      </c>
      <c r="AZ344">
        <f>step3_validation[[#This Row],[AI_TRU4]]</f>
        <v>9</v>
      </c>
      <c r="BA344" t="str">
        <f t="shared" si="156"/>
        <v>Support</v>
      </c>
      <c r="BB344">
        <f>survey_responses[[#This Row],[Tôi thấy Nhà nước đã giải thích rõ ràng, minh bạch về lý do và mục tiêu của việc sửa đổi thuế lần này. - HUMAN-TRU4]]</f>
        <v>7</v>
      </c>
      <c r="BC344" t="str">
        <f t="shared" si="157"/>
        <v>Neutral</v>
      </c>
      <c r="BD344" s="32">
        <f t="shared" si="158"/>
        <v>2</v>
      </c>
      <c r="BE344">
        <f>step3_validation[[#This Row],[AI_OUT1]]</f>
        <v>9</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1</v>
      </c>
    </row>
    <row r="345" spans="1:61" x14ac:dyDescent="0.45">
      <c r="A345" s="30">
        <f>step3_validation[[#This Row],[Persona_ID]]</f>
        <v>344</v>
      </c>
      <c r="B345" s="31">
        <f>step3_validation[[#This Row],[Used_Seed]]</f>
        <v>2334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64.845851968529757</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0</v>
      </c>
      <c r="V345">
        <f>step3_validation[[#This Row],[AI_ENF2]]</f>
        <v>8</v>
      </c>
      <c r="W345" t="str">
        <f t="shared" si="138"/>
        <v>Support</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6</v>
      </c>
      <c r="AB345" t="str">
        <f t="shared" si="141"/>
        <v>Neutral</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1</v>
      </c>
      <c r="AF345">
        <f>step3_validation[[#This Row],[AI_FAC2]]</f>
        <v>9</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1</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8</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3</v>
      </c>
      <c r="AU345">
        <f>step3_validation[[#This Row],[AI_TRU3]]</f>
        <v>9</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4</v>
      </c>
      <c r="AZ345">
        <f>step3_validation[[#This Row],[AI_TRU4]]</f>
        <v>7</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9</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4</v>
      </c>
    </row>
    <row r="346" spans="1:61" x14ac:dyDescent="0.45">
      <c r="A346" s="30">
        <f>step3_validation[[#This Row],[Persona_ID]]</f>
        <v>345</v>
      </c>
      <c r="B346" s="31">
        <f>step3_validation[[#This Row],[Used_Seed]]</f>
        <v>2335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15.829406271752029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0</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6</v>
      </c>
      <c r="AB346" t="str">
        <f t="shared" si="141"/>
        <v>Neutral</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1</v>
      </c>
      <c r="AF346">
        <f>step3_validation[[#This Row],[AI_FAC2]]</f>
        <v>8</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0</v>
      </c>
      <c r="AK346">
        <f>step3_validation[[#This Row],[AI_TRU1]]</f>
        <v>6</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1</v>
      </c>
      <c r="AP346">
        <f>step3_validation[[#This Row],[AI_TRU2]]</f>
        <v>9</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2</v>
      </c>
      <c r="AU346">
        <f>step3_validation[[#This Row],[AI_TRU3]]</f>
        <v>6</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0</v>
      </c>
      <c r="AZ346">
        <f>step3_validation[[#This Row],[AI_TRU4]]</f>
        <v>7</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0</v>
      </c>
      <c r="BE346">
        <f>step3_validation[[#This Row],[AI_OUT1]]</f>
        <v>9</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2</v>
      </c>
    </row>
    <row r="347" spans="1:61" x14ac:dyDescent="0.45">
      <c r="A347" s="30">
        <f>step3_validation[[#This Row],[Persona_ID]]</f>
        <v>346</v>
      </c>
      <c r="B347" s="31">
        <f>step3_validation[[#This Row],[Used_Seed]]</f>
        <v>2336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25.519211290085583</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6</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3</v>
      </c>
      <c r="V347">
        <f>step3_validation[[#This Row],[AI_ENF2]]</f>
        <v>7</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1</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0</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9</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1</v>
      </c>
      <c r="AU347">
        <f>step3_validation[[#This Row],[AI_TRU3]]</f>
        <v>8</v>
      </c>
      <c r="AV347" t="str">
        <f t="shared" si="153"/>
        <v>Support</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9</v>
      </c>
      <c r="BA347" t="str">
        <f t="shared" si="156"/>
        <v>Support</v>
      </c>
      <c r="BB347">
        <f>survey_responses[[#This Row],[Tôi thấy Nhà nước đã giải thích rõ ràng, minh bạch về lý do và mục tiêu của việc sửa đổi thuế lần này. - HUMAN-TRU4]]</f>
        <v>7</v>
      </c>
      <c r="BC347" t="str">
        <f t="shared" si="157"/>
        <v>Neutral</v>
      </c>
      <c r="BD347" s="32">
        <f t="shared" si="158"/>
        <v>2</v>
      </c>
      <c r="BE347">
        <f>step3_validation[[#This Row],[AI_OUT1]]</f>
        <v>8</v>
      </c>
      <c r="BF347" t="str">
        <f t="shared" si="159"/>
        <v>Support</v>
      </c>
      <c r="BG347">
        <f>survey_responses[[#This Row],[Sau khi xem xét các quyền lợi và nghĩa vụ, bạn có ủng hộ và tuân thủ chính sách mới hiện nay? - HUMAN-OUT1]]</f>
        <v>8</v>
      </c>
      <c r="BH347" t="str">
        <f t="shared" si="160"/>
        <v>Support</v>
      </c>
      <c r="BI347" s="32">
        <f t="shared" si="161"/>
        <v>0</v>
      </c>
    </row>
    <row r="348" spans="1:61" x14ac:dyDescent="0.45">
      <c r="A348" s="30">
        <f>step3_validation[[#This Row],[Persona_ID]]</f>
        <v>347</v>
      </c>
      <c r="B348" s="31">
        <f>step3_validation[[#This Row],[Used_Seed]]</f>
        <v>2337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20.777676159732167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t="str">
        <f t="shared" si="135"/>
        <v>Support</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0</v>
      </c>
      <c r="V348">
        <f>step3_validation[[#This Row],[AI_ENF2]]</f>
        <v>9</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2">
        <f t="shared" si="140"/>
        <v>1</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7</v>
      </c>
      <c r="AL348" t="str">
        <f t="shared" si="147"/>
        <v>Neutral</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1</v>
      </c>
      <c r="AP348">
        <f>step3_validation[[#This Row],[AI_TRU2]]</f>
        <v>9</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8</v>
      </c>
      <c r="AV348" t="str">
        <f t="shared" si="153"/>
        <v>Support</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2</v>
      </c>
      <c r="AZ348">
        <f>step3_validation[[#This Row],[AI_TRU4]]</f>
        <v>7</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1</v>
      </c>
      <c r="BE348">
        <f>step3_validation[[#This Row],[AI_OUT1]]</f>
        <v>9</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1</v>
      </c>
    </row>
    <row r="349" spans="1:61" x14ac:dyDescent="0.45">
      <c r="A349" s="30">
        <f>step3_validation[[#This Row],[Persona_ID]]</f>
        <v>348</v>
      </c>
      <c r="B349" s="31">
        <f>step3_validation[[#This Row],[Used_Seed]]</f>
        <v>2338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18.653231668521222</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8</v>
      </c>
      <c r="W349" t="str">
        <f t="shared" si="138"/>
        <v>Support</v>
      </c>
      <c r="X349">
        <f>survey_responses[[#This Row],[Tôi tin rằng Nhà nước, cơ quan thuế có đủ khả năng và công nghệ để phát hiện, xử lý nghiêm các hành vi trốn thuế. - HUMAN-ENF2]]</f>
        <v>8</v>
      </c>
      <c r="Y349" t="str">
        <f t="shared" si="139"/>
        <v>Support</v>
      </c>
      <c r="Z349" s="32">
        <f t="shared" si="140"/>
        <v>0</v>
      </c>
      <c r="AA349">
        <f>step3_validation[[#This Row],[AI_FAC1]]</f>
        <v>9</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2</v>
      </c>
      <c r="AF349">
        <f>step3_validation[[#This Row],[AI_FAC2]]</f>
        <v>10</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3</v>
      </c>
      <c r="AK349">
        <f>step3_validation[[#This Row],[AI_TRU1]]</f>
        <v>7</v>
      </c>
      <c r="AL349" t="str">
        <f t="shared" si="147"/>
        <v>Neutral</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1</v>
      </c>
      <c r="AP349">
        <f>step3_validation[[#This Row],[AI_TRU2]]</f>
        <v>8</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2">
        <f t="shared" si="152"/>
        <v>1</v>
      </c>
      <c r="AU349">
        <f>step3_validation[[#This Row],[AI_TRU3]]</f>
        <v>6</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0</v>
      </c>
      <c r="AZ349">
        <f>step3_validation[[#This Row],[AI_TRU4]]</f>
        <v>9</v>
      </c>
      <c r="BA349" t="str">
        <f t="shared" si="156"/>
        <v>Support</v>
      </c>
      <c r="BB349">
        <f>survey_responses[[#This Row],[Tôi thấy Nhà nước đã giải thích rõ ràng, minh bạch về lý do và mục tiêu của việc sửa đổi thuế lần này. - HUMAN-TRU4]]</f>
        <v>6</v>
      </c>
      <c r="BC349" t="str">
        <f t="shared" si="157"/>
        <v>Neutral</v>
      </c>
      <c r="BD349" s="32">
        <f t="shared" si="158"/>
        <v>3</v>
      </c>
      <c r="BE349">
        <f>step3_validation[[#This Row],[AI_OUT1]]</f>
        <v>10</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3</v>
      </c>
    </row>
    <row r="350" spans="1:61" x14ac:dyDescent="0.45">
      <c r="A350" s="30">
        <f>step3_validation[[#This Row],[Persona_ID]]</f>
        <v>349</v>
      </c>
      <c r="B350" s="31">
        <f>step3_validation[[#This Row],[Used_Seed]]</f>
        <v>2339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20.35320858682794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8</v>
      </c>
      <c r="W350" t="str">
        <f t="shared" si="138"/>
        <v>Support</v>
      </c>
      <c r="X350">
        <f>survey_responses[[#This Row],[Tôi tin rằng Nhà nước, cơ quan thuế có đủ khả năng và công nghệ để phát hiện, xử lý nghiêm các hành vi trốn thuế. - HUMAN-ENF2]]</f>
        <v>4</v>
      </c>
      <c r="Y350" t="str">
        <f t="shared" si="139"/>
        <v>Oppose</v>
      </c>
      <c r="Z350" s="32">
        <f t="shared" si="140"/>
        <v>4</v>
      </c>
      <c r="AA350">
        <f>step3_validation[[#This Row],[AI_FAC1]]</f>
        <v>6</v>
      </c>
      <c r="AB350" t="str">
        <f t="shared" si="141"/>
        <v>Neutral</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1</v>
      </c>
      <c r="AF350">
        <f>step3_validation[[#This Row],[AI_FAC2]]</f>
        <v>9</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2</v>
      </c>
      <c r="AK350">
        <f>step3_validation[[#This Row],[AI_TRU1]]</f>
        <v>7</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2</v>
      </c>
      <c r="AP350">
        <f>step3_validation[[#This Row],[AI_TRU2]]</f>
        <v>8</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2">
        <f t="shared" si="152"/>
        <v>2</v>
      </c>
      <c r="AU350">
        <f>step3_validation[[#This Row],[AI_TRU3]]</f>
        <v>6</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0</v>
      </c>
      <c r="AZ350">
        <f>step3_validation[[#This Row],[AI_TRU4]]</f>
        <v>7</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8</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2</v>
      </c>
    </row>
    <row r="351" spans="1:61" x14ac:dyDescent="0.45">
      <c r="A351" s="30">
        <f>step3_validation[[#This Row],[Persona_ID]]</f>
        <v>350</v>
      </c>
      <c r="B351" s="31">
        <f>step3_validation[[#This Row],[Used_Seed]]</f>
        <v>2340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23.294302963266411</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0</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8</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0</v>
      </c>
      <c r="AF351">
        <f>step3_validation[[#This Row],[AI_FAC2]]</f>
        <v>9</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1</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0</v>
      </c>
      <c r="AP351">
        <f>step3_validation[[#This Row],[AI_TRU2]]</f>
        <v>8</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7</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1</v>
      </c>
      <c r="AZ351">
        <f>step3_validation[[#This Row],[AI_TRU4]]</f>
        <v>8</v>
      </c>
      <c r="BA351" t="str">
        <f t="shared" si="156"/>
        <v>Support</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9</v>
      </c>
      <c r="BF351" t="str">
        <f t="shared" si="159"/>
        <v>Support</v>
      </c>
      <c r="BG351">
        <f>survey_responses[[#This Row],[Sau khi xem xét các quyền lợi và nghĩa vụ, bạn có ủng hộ và tuân thủ chính sách mới hiện nay? - HUMAN-OUT1]]</f>
        <v>8</v>
      </c>
      <c r="BH351" t="str">
        <f t="shared" si="160"/>
        <v>Support</v>
      </c>
      <c r="BI351" s="32">
        <f t="shared" si="161"/>
        <v>1</v>
      </c>
    </row>
    <row r="352" spans="1:61" x14ac:dyDescent="0.45">
      <c r="A352" s="30">
        <f>step3_validation[[#This Row],[Persona_ID]]</f>
        <v>351</v>
      </c>
      <c r="B352" s="31">
        <f>step3_validation[[#This Row],[Used_Seed]]</f>
        <v>2341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41.23280230271429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7</v>
      </c>
      <c r="AB352" t="str">
        <f t="shared" si="141"/>
        <v>Neutral</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1</v>
      </c>
      <c r="AF352">
        <f>step3_validation[[#This Row],[AI_FAC2]]</f>
        <v>9</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2</v>
      </c>
      <c r="AK352">
        <f>step3_validation[[#This Row],[AI_TRU1]]</f>
        <v>8</v>
      </c>
      <c r="AL352" t="str">
        <f t="shared" si="147"/>
        <v>Support</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2</v>
      </c>
      <c r="AP352">
        <f>step3_validation[[#This Row],[AI_TRU2]]</f>
        <v>9</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2</v>
      </c>
      <c r="AU352">
        <f>step3_validation[[#This Row],[AI_TRU3]]</f>
        <v>7</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2</v>
      </c>
      <c r="AZ352">
        <f>step3_validation[[#This Row],[AI_TRU4]]</f>
        <v>8</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9</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2</v>
      </c>
    </row>
    <row r="353" spans="1:61" x14ac:dyDescent="0.45">
      <c r="A353" s="30">
        <f>step3_validation[[#This Row],[Persona_ID]]</f>
        <v>352</v>
      </c>
      <c r="B353" s="31">
        <f>step3_validation[[#This Row],[Used_Seed]]</f>
        <v>2342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29.307246409588465</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9</v>
      </c>
      <c r="R353" t="str">
        <f t="shared" si="135"/>
        <v>Support</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3</v>
      </c>
      <c r="V353">
        <f>step3_validation[[#This Row],[AI_ENF2]]</f>
        <v>8</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2</v>
      </c>
      <c r="AA353">
        <f>step3_validation[[#This Row],[AI_FAC1]]</f>
        <v>9</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1</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9</v>
      </c>
      <c r="AL353" t="str">
        <f t="shared" si="147"/>
        <v>Support</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2</v>
      </c>
      <c r="AP353">
        <f>step3_validation[[#This Row],[AI_TRU2]]</f>
        <v>8</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9</v>
      </c>
      <c r="AV353" t="str">
        <f t="shared" si="153"/>
        <v>Support</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4</v>
      </c>
      <c r="AZ353">
        <f>step3_validation[[#This Row],[AI_TRU4]]</f>
        <v>8</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2">
        <f t="shared" si="158"/>
        <v>2</v>
      </c>
      <c r="BE353">
        <f>step3_validation[[#This Row],[AI_OUT1]]</f>
        <v>7</v>
      </c>
      <c r="BF353" t="str">
        <f t="shared" si="159"/>
        <v>Neutral</v>
      </c>
      <c r="BG353">
        <f>survey_responses[[#This Row],[Sau khi xem xét các quyền lợi và nghĩa vụ, bạn có ủng hộ và tuân thủ chính sách mới hiện nay? - HUMAN-OUT1]]</f>
        <v>7</v>
      </c>
      <c r="BH353" t="str">
        <f t="shared" si="160"/>
        <v>Neutral</v>
      </c>
      <c r="BI353" s="32">
        <f t="shared" si="161"/>
        <v>0</v>
      </c>
    </row>
    <row r="354" spans="1:61" x14ac:dyDescent="0.45">
      <c r="A354" s="30">
        <f>step3_validation[[#This Row],[Persona_ID]]</f>
        <v>353</v>
      </c>
      <c r="B354" s="31">
        <f>step3_validation[[#This Row],[Used_Seed]]</f>
        <v>2343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84.90412737225077</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5</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2</v>
      </c>
      <c r="V354">
        <f>step3_validation[[#This Row],[AI_ENF2]]</f>
        <v>6</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8</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0</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8</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2</v>
      </c>
      <c r="AP354">
        <f>step3_validation[[#This Row],[AI_TRU2]]</f>
        <v>7</v>
      </c>
      <c r="AQ354" t="str">
        <f t="shared" si="150"/>
        <v>Neutral</v>
      </c>
      <c r="AR354">
        <f>survey_responses[[#This Row],[Tôi thấy mức thuế tôi phải đóng theo phương án mới là công bằng (người thu nhập như tôi đóng mức này là hợp lý). - HUMAN-TRU2]]</f>
        <v>7</v>
      </c>
      <c r="AS354" t="str">
        <f t="shared" si="151"/>
        <v>Neutral</v>
      </c>
      <c r="AT354" s="32">
        <f t="shared" si="152"/>
        <v>0</v>
      </c>
      <c r="AU354">
        <f>step3_validation[[#This Row],[AI_TRU3]]</f>
        <v>6</v>
      </c>
      <c r="AV354" t="str">
        <f t="shared" si="153"/>
        <v>Neutral</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1</v>
      </c>
      <c r="AZ354">
        <f>step3_validation[[#This Row],[AI_TRU4]]</f>
        <v>8</v>
      </c>
      <c r="BA354" t="str">
        <f t="shared" si="156"/>
        <v>Support</v>
      </c>
      <c r="BB354">
        <f>survey_responses[[#This Row],[Tôi thấy Nhà nước đã giải thích rõ ràng, minh bạch về lý do và mục tiêu của việc sửa đổi thuế lần này. - HUMAN-TRU4]]</f>
        <v>7</v>
      </c>
      <c r="BC354" t="str">
        <f t="shared" si="157"/>
        <v>Neutral</v>
      </c>
      <c r="BD354" s="32">
        <f t="shared" si="158"/>
        <v>1</v>
      </c>
      <c r="BE354">
        <f>step3_validation[[#This Row],[AI_OUT1]]</f>
        <v>9</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2</v>
      </c>
    </row>
    <row r="355" spans="1:61" x14ac:dyDescent="0.45">
      <c r="A355" s="30">
        <f>step3_validation[[#This Row],[Persona_ID]]</f>
        <v>354</v>
      </c>
      <c r="B355" s="31">
        <f>step3_validation[[#This Row],[Used_Seed]]</f>
        <v>2344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15.930593337444501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9</v>
      </c>
      <c r="R355" t="str">
        <f t="shared" si="135"/>
        <v>Support</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0</v>
      </c>
      <c r="V355">
        <f>step3_validation[[#This Row],[AI_ENF2]]</f>
        <v>8</v>
      </c>
      <c r="W355" t="str">
        <f t="shared" si="138"/>
        <v>Support</v>
      </c>
      <c r="X355">
        <f>survey_responses[[#This Row],[Tôi tin rằng Nhà nước, cơ quan thuế có đủ khả năng và công nghệ để phát hiện, xử lý nghiêm các hành vi trốn thuế. - HUMAN-ENF2]]</f>
        <v>9</v>
      </c>
      <c r="Y355" t="str">
        <f t="shared" si="139"/>
        <v>Support</v>
      </c>
      <c r="Z355" s="32">
        <f t="shared" si="140"/>
        <v>1</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8</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2</v>
      </c>
      <c r="AK355">
        <f>step3_validation[[#This Row],[AI_TRU1]]</f>
        <v>9</v>
      </c>
      <c r="AL355" t="str">
        <f t="shared" si="147"/>
        <v>Support</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0</v>
      </c>
      <c r="AP355">
        <f>step3_validation[[#This Row],[AI_TRU2]]</f>
        <v>8</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2">
        <f t="shared" si="152"/>
        <v>2</v>
      </c>
      <c r="AU355">
        <f>step3_validation[[#This Row],[AI_TRU3]]</f>
        <v>9</v>
      </c>
      <c r="AV355" t="str">
        <f t="shared" si="153"/>
        <v>Support</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1</v>
      </c>
      <c r="AZ355">
        <f>step3_validation[[#This Row],[AI_TRU4]]</f>
        <v>8</v>
      </c>
      <c r="BA355" t="str">
        <f t="shared" si="156"/>
        <v>Support</v>
      </c>
      <c r="BB355">
        <f>survey_responses[[#This Row],[Tôi thấy Nhà nước đã giải thích rõ ràng, minh bạch về lý do và mục tiêu của việc sửa đổi thuế lần này. - HUMAN-TRU4]]</f>
        <v>8</v>
      </c>
      <c r="BC355" t="str">
        <f t="shared" si="157"/>
        <v>Support</v>
      </c>
      <c r="BD355" s="32">
        <f t="shared" si="158"/>
        <v>0</v>
      </c>
      <c r="BE355">
        <f>step3_validation[[#This Row],[AI_OUT1]]</f>
        <v>9</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0</v>
      </c>
    </row>
    <row r="356" spans="1:61" x14ac:dyDescent="0.45">
      <c r="A356" s="30">
        <f>step3_validation[[#This Row],[Persona_ID]]</f>
        <v>355</v>
      </c>
      <c r="B356" s="31">
        <f>step3_validation[[#This Row],[Used_Seed]]</f>
        <v>2345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14.529106801505399</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6</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1</v>
      </c>
      <c r="V356">
        <f>step3_validation[[#This Row],[AI_ENF2]]</f>
        <v>7</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2">
        <f t="shared" si="140"/>
        <v>1</v>
      </c>
      <c r="AA356">
        <f>step3_validation[[#This Row],[AI_FAC1]]</f>
        <v>8</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0</v>
      </c>
      <c r="AF356">
        <f>step3_validation[[#This Row],[AI_FAC2]]</f>
        <v>9</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0</v>
      </c>
      <c r="AK356">
        <f>step3_validation[[#This Row],[AI_TRU1]]</f>
        <v>7</v>
      </c>
      <c r="AL356" t="str">
        <f t="shared" si="147"/>
        <v>Neutral</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1</v>
      </c>
      <c r="AP356">
        <f>step3_validation[[#This Row],[AI_TRU2]]</f>
        <v>9</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1</v>
      </c>
      <c r="AU356">
        <f>step3_validation[[#This Row],[AI_TRU3]]</f>
        <v>8</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0</v>
      </c>
      <c r="AZ356">
        <f>step3_validation[[#This Row],[AI_TRU4]]</f>
        <v>9</v>
      </c>
      <c r="BA356" t="str">
        <f t="shared" si="156"/>
        <v>Support</v>
      </c>
      <c r="BB356">
        <f>survey_responses[[#This Row],[Tôi thấy Nhà nước đã giải thích rõ ràng, minh bạch về lý do và mục tiêu của việc sửa đổi thuế lần này. - HUMAN-TRU4]]</f>
        <v>8</v>
      </c>
      <c r="BC356" t="str">
        <f t="shared" si="157"/>
        <v>Support</v>
      </c>
      <c r="BD356" s="32">
        <f t="shared" si="158"/>
        <v>1</v>
      </c>
      <c r="BE356">
        <f>step3_validation[[#This Row],[AI_OUT1]]</f>
        <v>10</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1</v>
      </c>
    </row>
    <row r="357" spans="1:61" x14ac:dyDescent="0.45">
      <c r="A357" s="30">
        <f>step3_validation[[#This Row],[Persona_ID]]</f>
        <v>356</v>
      </c>
      <c r="B357" s="31">
        <f>step3_validation[[#This Row],[Used_Seed]]</f>
        <v>2346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13.29466550493764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0</v>
      </c>
      <c r="V357">
        <f>step3_validation[[#This Row],[AI_ENF2]]</f>
        <v>6</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8</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0</v>
      </c>
      <c r="AF357">
        <f>step3_validation[[#This Row],[AI_FAC2]]</f>
        <v>7</v>
      </c>
      <c r="AG357" t="str">
        <f t="shared" si="144"/>
        <v>Neutral</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3</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1</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1</v>
      </c>
      <c r="AU357">
        <f>step3_validation[[#This Row],[AI_TRU3]]</f>
        <v>8</v>
      </c>
      <c r="AV357" t="str">
        <f t="shared" si="153"/>
        <v>Support</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0</v>
      </c>
      <c r="AZ357">
        <f>step3_validation[[#This Row],[AI_TRU4]]</f>
        <v>9</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2">
        <f t="shared" si="158"/>
        <v>1</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2347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25.004337059616322</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6</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3</v>
      </c>
      <c r="V358">
        <f>step3_validation[[#This Row],[AI_ENF2]]</f>
        <v>7</v>
      </c>
      <c r="W358" t="str">
        <f t="shared" si="138"/>
        <v>Neutral</v>
      </c>
      <c r="X358">
        <f>survey_responses[[#This Row],[Tôi tin rằng Nhà nước, cơ quan thuế có đủ khả năng và công nghệ để phát hiện, xử lý nghiêm các hành vi trốn thuế. - HUMAN-ENF2]]</f>
        <v>9</v>
      </c>
      <c r="Y358" t="str">
        <f t="shared" si="139"/>
        <v>Support</v>
      </c>
      <c r="Z358" s="32">
        <f t="shared" si="140"/>
        <v>2</v>
      </c>
      <c r="AA358">
        <f>step3_validation[[#This Row],[AI_FAC1]]</f>
        <v>8</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0</v>
      </c>
      <c r="AF358">
        <f>step3_validation[[#This Row],[AI_FAC2]]</f>
        <v>9</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0</v>
      </c>
      <c r="AK358">
        <f>step3_validation[[#This Row],[AI_TRU1]]</f>
        <v>8</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0</v>
      </c>
      <c r="AP358">
        <f>step3_validation[[#This Row],[AI_TRU2]]</f>
        <v>9</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1</v>
      </c>
      <c r="AU358">
        <f>step3_validation[[#This Row],[AI_TRU3]]</f>
        <v>8</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1</v>
      </c>
      <c r="AZ358">
        <f>step3_validation[[#This Row],[AI_TRU4]]</f>
        <v>7</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0</v>
      </c>
      <c r="BE358">
        <f>step3_validation[[#This Row],[AI_OUT1]]</f>
        <v>9</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2348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13.343862758706214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7</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0</v>
      </c>
      <c r="AA359">
        <f>step3_validation[[#This Row],[AI_FAC1]]</f>
        <v>8</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1</v>
      </c>
      <c r="AF359">
        <f>step3_validation[[#This Row],[AI_FAC2]]</f>
        <v>9</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1</v>
      </c>
      <c r="AK359">
        <f>step3_validation[[#This Row],[AI_TRU1]]</f>
        <v>8</v>
      </c>
      <c r="AL359" t="str">
        <f t="shared" si="147"/>
        <v>Support</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1</v>
      </c>
      <c r="AP359">
        <f>step3_validation[[#This Row],[AI_TRU2]]</f>
        <v>7</v>
      </c>
      <c r="AQ359" t="str">
        <f t="shared" si="150"/>
        <v>Neutral</v>
      </c>
      <c r="AR359">
        <f>survey_responses[[#This Row],[Tôi thấy mức thuế tôi phải đóng theo phương án mới là công bằng (người thu nhập như tôi đóng mức này là hợp lý). - HUMAN-TRU2]]</f>
        <v>9</v>
      </c>
      <c r="AS359" t="str">
        <f t="shared" si="151"/>
        <v>Support</v>
      </c>
      <c r="AT359" s="32">
        <f t="shared" si="152"/>
        <v>2</v>
      </c>
      <c r="AU359">
        <f>step3_validation[[#This Row],[AI_TRU3]]</f>
        <v>6</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2</v>
      </c>
      <c r="AZ359">
        <f>step3_validation[[#This Row],[AI_TRU4]]</f>
        <v>7</v>
      </c>
      <c r="BA359" t="str">
        <f t="shared" si="156"/>
        <v>Neutral</v>
      </c>
      <c r="BB359">
        <f>survey_responses[[#This Row],[Tôi thấy Nhà nước đã giải thích rõ ràng, minh bạch về lý do và mục tiêu của việc sửa đổi thuế lần này. - HUMAN-TRU4]]</f>
        <v>8</v>
      </c>
      <c r="BC359" t="str">
        <f t="shared" si="157"/>
        <v>Support</v>
      </c>
      <c r="BD359" s="32">
        <f t="shared" si="158"/>
        <v>1</v>
      </c>
      <c r="BE359">
        <f>step3_validation[[#This Row],[AI_OUT1]]</f>
        <v>8</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0</v>
      </c>
    </row>
    <row r="360" spans="1:61" x14ac:dyDescent="0.45">
      <c r="A360" s="30">
        <f>step3_validation[[#This Row],[Persona_ID]]</f>
        <v>359</v>
      </c>
      <c r="B360" s="31">
        <f>step3_validation[[#This Row],[Used_Seed]]</f>
        <v>2349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18.804621973749335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6</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2</v>
      </c>
      <c r="V360">
        <f>step3_validation[[#This Row],[AI_ENF2]]</f>
        <v>7</v>
      </c>
      <c r="W360" t="str">
        <f t="shared" si="138"/>
        <v>Neutral</v>
      </c>
      <c r="X360">
        <f>survey_responses[[#This Row],[Tôi tin rằng Nhà nước, cơ quan thuế có đủ khả năng và công nghệ để phát hiện, xử lý nghiêm các hành vi trốn thuế. - HUMAN-ENF2]]</f>
        <v>5</v>
      </c>
      <c r="Y360" t="str">
        <f t="shared" si="139"/>
        <v>Neutral</v>
      </c>
      <c r="Z360" s="32">
        <f t="shared" si="140"/>
        <v>2</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10</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3</v>
      </c>
      <c r="AK360">
        <f>step3_validation[[#This Row],[AI_TRU1]]</f>
        <v>8</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1</v>
      </c>
      <c r="AP360">
        <f>step3_validation[[#This Row],[AI_TRU2]]</f>
        <v>9</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3</v>
      </c>
      <c r="AU360">
        <f>step3_validation[[#This Row],[AI_TRU3]]</f>
        <v>8</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4</v>
      </c>
      <c r="AZ360">
        <f>step3_validation[[#This Row],[AI_TRU4]]</f>
        <v>7</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1</v>
      </c>
      <c r="BE360">
        <f>step3_validation[[#This Row],[AI_OUT1]]</f>
        <v>9</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2</v>
      </c>
    </row>
    <row r="361" spans="1:61" x14ac:dyDescent="0.45">
      <c r="A361" s="30">
        <f>step3_validation[[#This Row],[Persona_ID]]</f>
        <v>360</v>
      </c>
      <c r="B361" s="31">
        <f>step3_validation[[#This Row],[Used_Seed]]</f>
        <v>2350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21.424811989680624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6</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3</v>
      </c>
      <c r="V361">
        <f>step3_validation[[#This Row],[AI_ENF2]]</f>
        <v>6</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2">
        <f t="shared" si="140"/>
        <v>2</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9</v>
      </c>
      <c r="AL361" t="str">
        <f t="shared" si="147"/>
        <v>Support</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2</v>
      </c>
      <c r="AP361">
        <f>step3_validation[[#This Row],[AI_TRU2]]</f>
        <v>9</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2</v>
      </c>
      <c r="AU361">
        <f>step3_validation[[#This Row],[AI_TRU3]]</f>
        <v>8</v>
      </c>
      <c r="AV361" t="str">
        <f t="shared" si="153"/>
        <v>Support</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2</v>
      </c>
      <c r="AZ361">
        <f>step3_validation[[#This Row],[AI_TRU4]]</f>
        <v>9</v>
      </c>
      <c r="BA361" t="str">
        <f t="shared" si="156"/>
        <v>Support</v>
      </c>
      <c r="BB361">
        <f>survey_responses[[#This Row],[Tôi thấy Nhà nước đã giải thích rõ ràng, minh bạch về lý do và mục tiêu của việc sửa đổi thuế lần này. - HUMAN-TRU4]]</f>
        <v>7</v>
      </c>
      <c r="BC361" t="str">
        <f t="shared" si="157"/>
        <v>Neutral</v>
      </c>
      <c r="BD361" s="32">
        <f t="shared" si="158"/>
        <v>2</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2351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0</v>
      </c>
      <c r="V362">
        <f>step3_validation[[#This Row],[AI_ENF2]]</f>
        <v>6</v>
      </c>
      <c r="W362" t="str">
        <f t="shared" si="138"/>
        <v>Neutral</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8</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0</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0</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2">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9</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1</v>
      </c>
    </row>
    <row r="363" spans="1:61" x14ac:dyDescent="0.45">
      <c r="A363" s="30">
        <f>step3_validation[[#This Row],[Persona_ID]]</f>
        <v>362</v>
      </c>
      <c r="B363" s="31">
        <f>step3_validation[[#This Row],[Used_Seed]]</f>
        <v>2352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15.250439861908996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8</v>
      </c>
      <c r="R363" t="str">
        <f t="shared" si="135"/>
        <v>Support</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5</v>
      </c>
      <c r="V363">
        <f>step3_validation[[#This Row],[AI_ENF2]]</f>
        <v>9</v>
      </c>
      <c r="W363" t="str">
        <f t="shared" si="138"/>
        <v>Support</v>
      </c>
      <c r="X363">
        <f>survey_responses[[#This Row],[Tôi tin rằng Nhà nước, cơ quan thuế có đủ khả năng và công nghệ để phát hiện, xử lý nghiêm các hành vi trốn thuế. - HUMAN-ENF2]]</f>
        <v>3</v>
      </c>
      <c r="Y363" t="str">
        <f t="shared" si="139"/>
        <v>Oppose</v>
      </c>
      <c r="Z363" s="32">
        <f t="shared" si="140"/>
        <v>6</v>
      </c>
      <c r="AA363">
        <f>step3_validation[[#This Row],[AI_FAC1]]</f>
        <v>9</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4</v>
      </c>
      <c r="AF363">
        <f>step3_validation[[#This Row],[AI_FAC2]]</f>
        <v>8</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2</v>
      </c>
      <c r="AK363">
        <f>step3_validation[[#This Row],[AI_TRU1]]</f>
        <v>9</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4</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9</v>
      </c>
      <c r="AV363" t="str">
        <f t="shared" si="153"/>
        <v>Support</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5</v>
      </c>
      <c r="AZ363">
        <f>step3_validation[[#This Row],[AI_TRU4]]</f>
        <v>8</v>
      </c>
      <c r="BA363" t="str">
        <f t="shared" si="156"/>
        <v>Support</v>
      </c>
      <c r="BB363">
        <f>survey_responses[[#This Row],[Tôi thấy Nhà nước đã giải thích rõ ràng, minh bạch về lý do và mục tiêu của việc sửa đổi thuế lần này. - HUMAN-TRU4]]</f>
        <v>6</v>
      </c>
      <c r="BC363" t="str">
        <f t="shared" si="157"/>
        <v>Neutral</v>
      </c>
      <c r="BD363" s="32">
        <f t="shared" si="158"/>
        <v>2</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3</v>
      </c>
    </row>
    <row r="364" spans="1:61" x14ac:dyDescent="0.45">
      <c r="A364" s="30">
        <f>step3_validation[[#This Row],[Persona_ID]]</f>
        <v>363</v>
      </c>
      <c r="B364" s="31">
        <f>step3_validation[[#This Row],[Used_Seed]]</f>
        <v>2353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29.363439304212196</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6</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2</v>
      </c>
      <c r="AA364">
        <f>step3_validation[[#This Row],[AI_FAC1]]</f>
        <v>8</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3</v>
      </c>
      <c r="AF364">
        <f>step3_validation[[#This Row],[AI_FAC2]]</f>
        <v>9</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2</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2</v>
      </c>
      <c r="AP364">
        <f>step3_validation[[#This Row],[AI_TRU2]]</f>
        <v>9</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1</v>
      </c>
      <c r="AU364">
        <f>step3_validation[[#This Row],[AI_TRU3]]</f>
        <v>7</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2</v>
      </c>
      <c r="AZ364">
        <f>step3_validation[[#This Row],[AI_TRU4]]</f>
        <v>8</v>
      </c>
      <c r="BA364" t="str">
        <f t="shared" si="156"/>
        <v>Support</v>
      </c>
      <c r="BB364">
        <f>survey_responses[[#This Row],[Tôi thấy Nhà nước đã giải thích rõ ràng, minh bạch về lý do và mục tiêu của việc sửa đổi thuế lần này. - HUMAN-TRU4]]</f>
        <v>7</v>
      </c>
      <c r="BC364" t="str">
        <f t="shared" si="157"/>
        <v>Neutral</v>
      </c>
      <c r="BD364" s="32">
        <f t="shared" si="158"/>
        <v>1</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2354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18.725084011725549</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2</v>
      </c>
      <c r="V365">
        <f>step3_validation[[#This Row],[AI_ENF2]]</f>
        <v>7</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2</v>
      </c>
      <c r="AA365">
        <f>step3_validation[[#This Row],[AI_FAC1]]</f>
        <v>9</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4</v>
      </c>
      <c r="AF365">
        <f>step3_validation[[#This Row],[AI_FAC2]]</f>
        <v>8</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1</v>
      </c>
      <c r="AK365">
        <f>step3_validation[[#This Row],[AI_TRU1]]</f>
        <v>9</v>
      </c>
      <c r="AL365" t="str">
        <f t="shared" si="147"/>
        <v>Support</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4</v>
      </c>
      <c r="AP365">
        <f>step3_validation[[#This Row],[AI_TRU2]]</f>
        <v>8</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9</v>
      </c>
      <c r="AV365" t="str">
        <f t="shared" si="153"/>
        <v>Support</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4</v>
      </c>
      <c r="AZ365">
        <f>step3_validation[[#This Row],[AI_TRU4]]</f>
        <v>7</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1</v>
      </c>
      <c r="BE365">
        <f>step3_validation[[#This Row],[AI_OUT1]]</f>
        <v>9</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2</v>
      </c>
    </row>
    <row r="366" spans="1:61" x14ac:dyDescent="0.45">
      <c r="A366" s="30">
        <f>step3_validation[[#This Row],[Persona_ID]]</f>
        <v>365</v>
      </c>
      <c r="B366" s="31">
        <f>step3_validation[[#This Row],[Used_Seed]]</f>
        <v>2355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39.830690095258355</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7</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2</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6</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3</v>
      </c>
      <c r="AP366">
        <f>step3_validation[[#This Row],[AI_TRU2]]</f>
        <v>8</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1</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8</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2356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51.45867378392812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6</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1</v>
      </c>
      <c r="V367">
        <f>step3_validation[[#This Row],[AI_ENF2]]</f>
        <v>7</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2">
        <f t="shared" si="140"/>
        <v>1</v>
      </c>
      <c r="AA367">
        <f>step3_validation[[#This Row],[AI_FAC1]]</f>
        <v>8</v>
      </c>
      <c r="AB367" t="str">
        <f t="shared" si="141"/>
        <v>Support</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0</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8</v>
      </c>
      <c r="AL367" t="str">
        <f t="shared" si="147"/>
        <v>Support</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3</v>
      </c>
      <c r="AP367">
        <f>step3_validation[[#This Row],[AI_TRU2]]</f>
        <v>9</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2">
        <f t="shared" si="152"/>
        <v>3</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9</v>
      </c>
      <c r="BA367" t="str">
        <f t="shared" si="156"/>
        <v>Support</v>
      </c>
      <c r="BB367">
        <f>survey_responses[[#This Row],[Tôi thấy Nhà nước đã giải thích rõ ràng, minh bạch về lý do và mục tiêu của việc sửa đổi thuế lần này. - HUMAN-TRU4]]</f>
        <v>6</v>
      </c>
      <c r="BC367" t="str">
        <f t="shared" si="157"/>
        <v>Neutral</v>
      </c>
      <c r="BD367" s="32">
        <f t="shared" si="158"/>
        <v>3</v>
      </c>
      <c r="BE367">
        <f>step3_validation[[#This Row],[AI_OUT1]]</f>
        <v>8</v>
      </c>
      <c r="BF367" t="str">
        <f t="shared" si="159"/>
        <v>Support</v>
      </c>
      <c r="BG367">
        <f>survey_responses[[#This Row],[Sau khi xem xét các quyền lợi và nghĩa vụ, bạn có ủng hộ và tuân thủ chính sách mới hiện nay? - HUMAN-OUT1]]</f>
        <v>6</v>
      </c>
      <c r="BH367" t="str">
        <f t="shared" si="160"/>
        <v>Neutral</v>
      </c>
      <c r="BI367" s="32">
        <f t="shared" si="161"/>
        <v>2</v>
      </c>
    </row>
    <row r="368" spans="1:61" x14ac:dyDescent="0.45">
      <c r="A368" s="30">
        <f>step3_validation[[#This Row],[Persona_ID]]</f>
        <v>367</v>
      </c>
      <c r="B368" s="31">
        <f>step3_validation[[#This Row],[Used_Seed]]</f>
        <v>2357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12.963323804232729</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6</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2</v>
      </c>
      <c r="V368">
        <f>step3_validation[[#This Row],[AI_ENF2]]</f>
        <v>7</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2</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8</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0</v>
      </c>
      <c r="AK368">
        <f>step3_validation[[#This Row],[AI_TRU1]]</f>
        <v>9</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0</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9</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1</v>
      </c>
      <c r="AZ368">
        <f>step3_validation[[#This Row],[AI_TRU4]]</f>
        <v>8</v>
      </c>
      <c r="BA368" t="str">
        <f t="shared" si="156"/>
        <v>Support</v>
      </c>
      <c r="BB368">
        <f>survey_responses[[#This Row],[Tôi thấy Nhà nước đã giải thích rõ ràng, minh bạch về lý do và mục tiêu của việc sửa đổi thuế lần này. - HUMAN-TRU4]]</f>
        <v>9</v>
      </c>
      <c r="BC368" t="str">
        <f t="shared" si="157"/>
        <v>Support</v>
      </c>
      <c r="BD368" s="32">
        <f t="shared" si="158"/>
        <v>1</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2358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29.994046877652671</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1</v>
      </c>
      <c r="V369">
        <f>step3_validation[[#This Row],[AI_ENF2]]</f>
        <v>5</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2</v>
      </c>
      <c r="AA369">
        <f>step3_validation[[#This Row],[AI_FAC1]]</f>
        <v>8</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0</v>
      </c>
      <c r="AF369">
        <f>step3_validation[[#This Row],[AI_FAC2]]</f>
        <v>9</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7</v>
      </c>
      <c r="AL369" t="str">
        <f t="shared" si="147"/>
        <v>Neutral</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1</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7</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0</v>
      </c>
      <c r="BE369">
        <f>step3_validation[[#This Row],[AI_OUT1]]</f>
        <v>9</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1</v>
      </c>
    </row>
    <row r="370" spans="1:61" x14ac:dyDescent="0.45">
      <c r="A370" s="30">
        <f>step3_validation[[#This Row],[Persona_ID]]</f>
        <v>369</v>
      </c>
      <c r="B370" s="31">
        <f>step3_validation[[#This Row],[Used_Seed]]</f>
        <v>2359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12.136423705738206</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8</v>
      </c>
      <c r="R370" t="str">
        <f t="shared" si="135"/>
        <v>Support</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2</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2">
        <f t="shared" si="140"/>
        <v>2</v>
      </c>
      <c r="AA370">
        <f>step3_validation[[#This Row],[AI_FAC1]]</f>
        <v>9</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8</v>
      </c>
      <c r="AL370" t="str">
        <f t="shared" si="147"/>
        <v>Support</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0</v>
      </c>
      <c r="AP370">
        <f>step3_validation[[#This Row],[AI_TRU2]]</f>
        <v>9</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2">
        <f t="shared" si="152"/>
        <v>1</v>
      </c>
      <c r="AU370">
        <f>step3_validation[[#This Row],[AI_TRU3]]</f>
        <v>8</v>
      </c>
      <c r="AV370" t="str">
        <f t="shared" si="153"/>
        <v>Support</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3</v>
      </c>
      <c r="AZ370">
        <f>step3_validation[[#This Row],[AI_TRU4]]</f>
        <v>9</v>
      </c>
      <c r="BA370" t="str">
        <f t="shared" si="156"/>
        <v>Support</v>
      </c>
      <c r="BB370">
        <f>survey_responses[[#This Row],[Tôi thấy Nhà nước đã giải thích rõ ràng, minh bạch về lý do và mục tiêu của việc sửa đổi thuế lần này. - HUMAN-TRU4]]</f>
        <v>7</v>
      </c>
      <c r="BC370" t="str">
        <f t="shared" si="157"/>
        <v>Neutral</v>
      </c>
      <c r="BD370" s="32">
        <f t="shared" si="158"/>
        <v>2</v>
      </c>
      <c r="BE370">
        <f>step3_validation[[#This Row],[AI_OUT1]]</f>
        <v>9</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2360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20.792196320437082</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6</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0</v>
      </c>
      <c r="V371">
        <f>step3_validation[[#This Row],[AI_ENF2]]</f>
        <v>6</v>
      </c>
      <c r="W371" t="str">
        <f t="shared" si="138"/>
        <v>Neutral</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7</v>
      </c>
      <c r="AB371" t="str">
        <f t="shared" si="141"/>
        <v>Neutral</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0</v>
      </c>
      <c r="AF371">
        <f>step3_validation[[#This Row],[AI_FAC2]]</f>
        <v>8</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1</v>
      </c>
      <c r="AK371">
        <f>step3_validation[[#This Row],[AI_TRU1]]</f>
        <v>0</v>
      </c>
      <c r="AL371" t="str">
        <f t="shared" si="147"/>
        <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7</v>
      </c>
      <c r="AP371">
        <f>step3_validation[[#This Row],[AI_TRU2]]</f>
        <v>0</v>
      </c>
      <c r="AQ371" t="str">
        <f t="shared" si="150"/>
        <v/>
      </c>
      <c r="AR371">
        <f>survey_responses[[#This Row],[Tôi thấy mức thuế tôi phải đóng theo phương án mới là công bằng (người thu nhập như tôi đóng mức này là hợp lý). - HUMAN-TRU2]]</f>
        <v>9</v>
      </c>
      <c r="AS371" t="str">
        <f t="shared" si="151"/>
        <v>Support</v>
      </c>
      <c r="AT371" s="32">
        <f t="shared" si="152"/>
        <v>9</v>
      </c>
      <c r="AU371">
        <f>step3_validation[[#This Row],[AI_TRU3]]</f>
        <v>0</v>
      </c>
      <c r="AV371" t="str">
        <f t="shared" si="153"/>
        <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9</v>
      </c>
      <c r="AZ371">
        <f>step3_validation[[#This Row],[AI_TRU4]]</f>
        <v>0</v>
      </c>
      <c r="BA371" t="str">
        <f t="shared" si="156"/>
        <v/>
      </c>
      <c r="BB371">
        <f>survey_responses[[#This Row],[Tôi thấy Nhà nước đã giải thích rõ ràng, minh bạch về lý do và mục tiêu của việc sửa đổi thuế lần này. - HUMAN-TRU4]]</f>
        <v>9</v>
      </c>
      <c r="BC371" t="str">
        <f t="shared" si="157"/>
        <v>Support</v>
      </c>
      <c r="BD371" s="32">
        <f t="shared" si="158"/>
        <v>9</v>
      </c>
      <c r="BE371">
        <f>step3_validation[[#This Row],[AI_OUT1]]</f>
        <v>0</v>
      </c>
      <c r="BF371" t="str">
        <f t="shared" si="159"/>
        <v/>
      </c>
      <c r="BG371">
        <f>survey_responses[[#This Row],[Sau khi xem xét các quyền lợi và nghĩa vụ, bạn có ủng hộ và tuân thủ chính sách mới hiện nay? - HUMAN-OUT1]]</f>
        <v>9</v>
      </c>
      <c r="BH371" t="str">
        <f t="shared" si="160"/>
        <v>Support</v>
      </c>
      <c r="BI371" s="32">
        <f t="shared" si="161"/>
        <v>9</v>
      </c>
    </row>
    <row r="372" spans="1:61" x14ac:dyDescent="0.45">
      <c r="A372" s="30">
        <f>step3_validation[[#This Row],[Persona_ID]]</f>
        <v>371</v>
      </c>
      <c r="B372" s="31">
        <f>step3_validation[[#This Row],[Used_Seed]]</f>
        <v>2361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64.658827631072882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6</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2</v>
      </c>
      <c r="V372">
        <f>step3_validation[[#This Row],[AI_ENF2]]</f>
        <v>7</v>
      </c>
      <c r="W372" t="str">
        <f t="shared" si="138"/>
        <v>Neutral</v>
      </c>
      <c r="X372">
        <f>survey_responses[[#This Row],[Tôi tin rằng Nhà nước, cơ quan thuế có đủ khả năng và công nghệ để phát hiện, xử lý nghiêm các hành vi trốn thuế. - HUMAN-ENF2]]</f>
        <v>4</v>
      </c>
      <c r="Y372" t="str">
        <f t="shared" si="139"/>
        <v>Oppose</v>
      </c>
      <c r="Z372" s="32">
        <f t="shared" si="140"/>
        <v>3</v>
      </c>
      <c r="AA372">
        <f>step3_validation[[#This Row],[AI_FAC1]]</f>
        <v>9</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4</v>
      </c>
      <c r="AF372">
        <f>step3_validation[[#This Row],[AI_FAC2]]</f>
        <v>8</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3</v>
      </c>
      <c r="AK372">
        <f>step3_validation[[#This Row],[AI_TRU1]]</f>
        <v>6</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1</v>
      </c>
      <c r="AP372">
        <f>step3_validation[[#This Row],[AI_TRU2]]</f>
        <v>9</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5</v>
      </c>
      <c r="AU372">
        <f>step3_validation[[#This Row],[AI_TRU3]]</f>
        <v>7</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2</v>
      </c>
      <c r="AZ372">
        <f>step3_validation[[#This Row],[AI_TRU4]]</f>
        <v>8</v>
      </c>
      <c r="BA372" t="str">
        <f t="shared" si="156"/>
        <v>Support</v>
      </c>
      <c r="BB372">
        <f>survey_responses[[#This Row],[Tôi thấy Nhà nước đã giải thích rõ ràng, minh bạch về lý do và mục tiêu của việc sửa đổi thuế lần này. - HUMAN-TRU4]]</f>
        <v>6</v>
      </c>
      <c r="BC372" t="str">
        <f t="shared" si="157"/>
        <v>Neutral</v>
      </c>
      <c r="BD372" s="32">
        <f t="shared" si="158"/>
        <v>2</v>
      </c>
      <c r="BE372">
        <f>step3_validation[[#This Row],[AI_OUT1]]</f>
        <v>9</v>
      </c>
      <c r="BF372" t="str">
        <f t="shared" si="159"/>
        <v>Support</v>
      </c>
      <c r="BG372">
        <f>survey_responses[[#This Row],[Sau khi xem xét các quyền lợi và nghĩa vụ, bạn có ủng hộ và tuân thủ chính sách mới hiện nay? - HUMAN-OUT1]]</f>
        <v>5</v>
      </c>
      <c r="BH372" t="str">
        <f t="shared" si="160"/>
        <v>Neutral</v>
      </c>
      <c r="BI372" s="32">
        <f t="shared" si="161"/>
        <v>4</v>
      </c>
    </row>
    <row r="373" spans="1:61" x14ac:dyDescent="0.45">
      <c r="A373" s="30">
        <f>step3_validation[[#This Row],[Persona_ID]]</f>
        <v>372</v>
      </c>
      <c r="B373" s="31">
        <f>step3_validation[[#This Row],[Used_Seed]]</f>
        <v>2362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38.305383857010327</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8</v>
      </c>
      <c r="R373" t="str">
        <f t="shared" si="135"/>
        <v>Support</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2</v>
      </c>
      <c r="V373">
        <f>step3_validation[[#This Row],[AI_ENF2]]</f>
        <v>9</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2">
        <f t="shared" si="140"/>
        <v>3</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8</v>
      </c>
      <c r="AL373" t="str">
        <f t="shared" si="147"/>
        <v>Support</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2</v>
      </c>
      <c r="AP373">
        <f>step3_validation[[#This Row],[AI_TRU2]]</f>
        <v>9</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2</v>
      </c>
      <c r="AU373">
        <f>step3_validation[[#This Row],[AI_TRU3]]</f>
        <v>8</v>
      </c>
      <c r="AV373" t="str">
        <f t="shared" si="153"/>
        <v>Support</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3</v>
      </c>
      <c r="AZ373">
        <f>step3_validation[[#This Row],[AI_TRU4]]</f>
        <v>9</v>
      </c>
      <c r="BA373" t="str">
        <f t="shared" si="156"/>
        <v>Support</v>
      </c>
      <c r="BB373">
        <f>survey_responses[[#This Row],[Tôi thấy Nhà nước đã giải thích rõ ràng, minh bạch về lý do và mục tiêu của việc sửa đổi thuế lần này. - HUMAN-TRU4]]</f>
        <v>6</v>
      </c>
      <c r="BC373" t="str">
        <f t="shared" si="157"/>
        <v>Neutral</v>
      </c>
      <c r="BD373" s="32">
        <f t="shared" si="158"/>
        <v>3</v>
      </c>
      <c r="BE373">
        <f>step3_validation[[#This Row],[AI_OUT1]]</f>
        <v>9</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3</v>
      </c>
    </row>
    <row r="374" spans="1:61" x14ac:dyDescent="0.45">
      <c r="A374" s="30">
        <f>step3_validation[[#This Row],[Persona_ID]]</f>
        <v>373</v>
      </c>
      <c r="B374" s="31">
        <f>step3_validation[[#This Row],[Used_Seed]]</f>
        <v>2363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75.716250671386007</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6</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2</v>
      </c>
      <c r="V374">
        <f>step3_validation[[#This Row],[AI_ENF2]]</f>
        <v>7</v>
      </c>
      <c r="W374" t="str">
        <f t="shared" si="138"/>
        <v>Neutral</v>
      </c>
      <c r="X374">
        <f>survey_responses[[#This Row],[Tôi tin rằng Nhà nước, cơ quan thuế có đủ khả năng và công nghệ để phát hiện, xử lý nghiêm các hành vi trốn thuế. - HUMAN-ENF2]]</f>
        <v>8</v>
      </c>
      <c r="Y374" t="str">
        <f t="shared" si="139"/>
        <v>Support</v>
      </c>
      <c r="Z374" s="32">
        <f t="shared" si="140"/>
        <v>1</v>
      </c>
      <c r="AA374">
        <f>step3_validation[[#This Row],[AI_FAC1]]</f>
        <v>8</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1</v>
      </c>
      <c r="AF374">
        <f>step3_validation[[#This Row],[AI_FAC2]]</f>
        <v>9</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0</v>
      </c>
      <c r="AK374">
        <f>step3_validation[[#This Row],[AI_TRU1]]</f>
        <v>8</v>
      </c>
      <c r="AL374" t="str">
        <f t="shared" si="147"/>
        <v>Support</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3</v>
      </c>
      <c r="AP374">
        <f>step3_validation[[#This Row],[AI_TRU2]]</f>
        <v>9</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2">
        <f t="shared" si="152"/>
        <v>4</v>
      </c>
      <c r="AU374">
        <f>step3_validation[[#This Row],[AI_TRU3]]</f>
        <v>8</v>
      </c>
      <c r="AV374" t="str">
        <f t="shared" si="153"/>
        <v>Support</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3</v>
      </c>
      <c r="AZ374">
        <f>step3_validation[[#This Row],[AI_TRU4]]</f>
        <v>7</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9</v>
      </c>
      <c r="BF374" t="str">
        <f t="shared" si="159"/>
        <v>Support</v>
      </c>
      <c r="BG374">
        <f>survey_responses[[#This Row],[Sau khi xem xét các quyền lợi và nghĩa vụ, bạn có ủng hộ và tuân thủ chính sách mới hiện nay? - HUMAN-OUT1]]</f>
        <v>5</v>
      </c>
      <c r="BH374" t="str">
        <f t="shared" si="160"/>
        <v>Neutral</v>
      </c>
      <c r="BI374" s="32">
        <f t="shared" si="161"/>
        <v>4</v>
      </c>
    </row>
    <row r="375" spans="1:61" x14ac:dyDescent="0.45">
      <c r="A375" s="30">
        <f>step3_validation[[#This Row],[Persona_ID]]</f>
        <v>374</v>
      </c>
      <c r="B375" s="31">
        <f>step3_validation[[#This Row],[Used_Seed]]</f>
        <v>2364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46.286492782535312</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1</v>
      </c>
      <c r="V375">
        <f>step3_validation[[#This Row],[AI_ENF2]]</f>
        <v>8</v>
      </c>
      <c r="W375" t="str">
        <f t="shared" si="138"/>
        <v>Support</v>
      </c>
      <c r="X375">
        <f>survey_responses[[#This Row],[Tôi tin rằng Nhà nước, cơ quan thuế có đủ khả năng và công nghệ để phát hiện, xử lý nghiêm các hành vi trốn thuế. - HUMAN-ENF2]]</f>
        <v>6</v>
      </c>
      <c r="Y375" t="str">
        <f t="shared" si="139"/>
        <v>Neutral</v>
      </c>
      <c r="Z375" s="32">
        <f t="shared" si="140"/>
        <v>2</v>
      </c>
      <c r="AA375">
        <f>step3_validation[[#This Row],[AI_FAC1]]</f>
        <v>9</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2</v>
      </c>
      <c r="AF375">
        <f>step3_validation[[#This Row],[AI_FAC2]]</f>
        <v>9</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2</v>
      </c>
      <c r="AK375">
        <f>step3_validation[[#This Row],[AI_TRU1]]</f>
        <v>8</v>
      </c>
      <c r="AL375" t="str">
        <f t="shared" si="147"/>
        <v>Support</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2</v>
      </c>
      <c r="AP375">
        <f>step3_validation[[#This Row],[AI_TRU2]]</f>
        <v>8</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2">
        <f t="shared" si="152"/>
        <v>2</v>
      </c>
      <c r="AU375">
        <f>step3_validation[[#This Row],[AI_TRU3]]</f>
        <v>9</v>
      </c>
      <c r="AV375" t="str">
        <f t="shared" si="153"/>
        <v>Support</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3</v>
      </c>
      <c r="AZ375">
        <f>step3_validation[[#This Row],[AI_TRU4]]</f>
        <v>8</v>
      </c>
      <c r="BA375" t="str">
        <f t="shared" si="156"/>
        <v>Support</v>
      </c>
      <c r="BB375">
        <f>survey_responses[[#This Row],[Tôi thấy Nhà nước đã giải thích rõ ràng, minh bạch về lý do và mục tiêu của việc sửa đổi thuế lần này. - HUMAN-TRU4]]</f>
        <v>6</v>
      </c>
      <c r="BC375" t="str">
        <f t="shared" si="157"/>
        <v>Neutral</v>
      </c>
      <c r="BD375" s="32">
        <f t="shared" si="158"/>
        <v>2</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3</v>
      </c>
    </row>
    <row r="376" spans="1:61" x14ac:dyDescent="0.45">
      <c r="A376" s="30">
        <f>step3_validation[[#This Row],[Persona_ID]]</f>
        <v>375</v>
      </c>
      <c r="B376" s="31">
        <f>step3_validation[[#This Row],[Used_Seed]]</f>
        <v>2365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61.904998155702714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1</v>
      </c>
      <c r="V376">
        <f>step3_validation[[#This Row],[AI_ENF2]]</f>
        <v>8</v>
      </c>
      <c r="W376" t="str">
        <f t="shared" si="138"/>
        <v>Support</v>
      </c>
      <c r="X376">
        <f>survey_responses[[#This Row],[Tôi tin rằng Nhà nước, cơ quan thuế có đủ khả năng và công nghệ để phát hiện, xử lý nghiêm các hành vi trốn thuế. - HUMAN-ENF2]]</f>
        <v>8</v>
      </c>
      <c r="Y376" t="str">
        <f t="shared" si="139"/>
        <v>Support</v>
      </c>
      <c r="Z376" s="32">
        <f t="shared" si="140"/>
        <v>0</v>
      </c>
      <c r="AA376">
        <f>step3_validation[[#This Row],[AI_FAC1]]</f>
        <v>9</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1</v>
      </c>
      <c r="AF376">
        <f>step3_validation[[#This Row],[AI_FAC2]]</f>
        <v>9</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8</v>
      </c>
      <c r="AL376" t="str">
        <f t="shared" si="147"/>
        <v>Support</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1</v>
      </c>
      <c r="AP376">
        <f>step3_validation[[#This Row],[AI_TRU2]]</f>
        <v>9</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3</v>
      </c>
      <c r="AU376">
        <f>step3_validation[[#This Row],[AI_TRU3]]</f>
        <v>8</v>
      </c>
      <c r="AV376" t="str">
        <f t="shared" si="153"/>
        <v>Support</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2</v>
      </c>
      <c r="AZ376">
        <f>step3_validation[[#This Row],[AI_TRU4]]</f>
        <v>7</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2</v>
      </c>
      <c r="BE376">
        <f>step3_validation[[#This Row],[AI_OUT1]]</f>
        <v>9</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2</v>
      </c>
    </row>
    <row r="377" spans="1:61" x14ac:dyDescent="0.45">
      <c r="A377" s="30">
        <f>step3_validation[[#This Row],[Persona_ID]]</f>
        <v>376</v>
      </c>
      <c r="B377" s="31">
        <f>step3_validation[[#This Row],[Used_Seed]]</f>
        <v>2366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18.071519810931775</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8</v>
      </c>
      <c r="R377" t="str">
        <f t="shared" si="135"/>
        <v>Support</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2</v>
      </c>
      <c r="V377">
        <f>step3_validation[[#This Row],[AI_ENF2]]</f>
        <v>9</v>
      </c>
      <c r="W377" t="str">
        <f t="shared" si="138"/>
        <v>Support</v>
      </c>
      <c r="X377">
        <f>survey_responses[[#This Row],[Tôi tin rằng Nhà nước, cơ quan thuế có đủ khả năng và công nghệ để phát hiện, xử lý nghiêm các hành vi trốn thuế. - HUMAN-ENF2]]</f>
        <v>6</v>
      </c>
      <c r="Y377" t="str">
        <f t="shared" si="139"/>
        <v>Neutral</v>
      </c>
      <c r="Z377" s="32">
        <f t="shared" si="140"/>
        <v>3</v>
      </c>
      <c r="AA377">
        <f>step3_validation[[#This Row],[AI_FAC1]]</f>
        <v>8</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3</v>
      </c>
      <c r="AF377">
        <f>step3_validation[[#This Row],[AI_FAC2]]</f>
        <v>9</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2</v>
      </c>
      <c r="AK377">
        <f>step3_validation[[#This Row],[AI_TRU1]]</f>
        <v>8</v>
      </c>
      <c r="AL377" t="str">
        <f t="shared" si="147"/>
        <v>Support</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2</v>
      </c>
      <c r="AP377">
        <f>step3_validation[[#This Row],[AI_TRU2]]</f>
        <v>9</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2</v>
      </c>
      <c r="AU377">
        <f>step3_validation[[#This Row],[AI_TRU3]]</f>
        <v>8</v>
      </c>
      <c r="AV377" t="str">
        <f t="shared" si="153"/>
        <v>Support</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3</v>
      </c>
      <c r="AZ377">
        <f>step3_validation[[#This Row],[AI_TRU4]]</f>
        <v>8</v>
      </c>
      <c r="BA377" t="str">
        <f t="shared" si="156"/>
        <v>Support</v>
      </c>
      <c r="BB377">
        <f>survey_responses[[#This Row],[Tôi thấy Nhà nước đã giải thích rõ ràng, minh bạch về lý do và mục tiêu của việc sửa đổi thuế lần này. - HUMAN-TRU4]]</f>
        <v>6</v>
      </c>
      <c r="BC377" t="str">
        <f t="shared" si="157"/>
        <v>Neutral</v>
      </c>
      <c r="BD377" s="32">
        <f t="shared" si="158"/>
        <v>2</v>
      </c>
      <c r="BE377">
        <f>step3_validation[[#This Row],[AI_OUT1]]</f>
        <v>9</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2</v>
      </c>
    </row>
    <row r="378" spans="1:61" x14ac:dyDescent="0.45">
      <c r="A378" s="30">
        <f>step3_validation[[#This Row],[Persona_ID]]</f>
        <v>377</v>
      </c>
      <c r="B378" s="31">
        <f>step3_validation[[#This Row],[Used_Seed]]</f>
        <v>2367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13.102010482953537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8</v>
      </c>
      <c r="R378" t="str">
        <f t="shared" si="135"/>
        <v>Support</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1</v>
      </c>
      <c r="V378">
        <f>step3_validation[[#This Row],[AI_ENF2]]</f>
        <v>9</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1</v>
      </c>
      <c r="AA378">
        <f>step3_validation[[#This Row],[AI_FAC1]]</f>
        <v>7</v>
      </c>
      <c r="AB378" t="str">
        <f t="shared" si="141"/>
        <v>Neutral</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0</v>
      </c>
      <c r="AF378">
        <f>step3_validation[[#This Row],[AI_FAC2]]</f>
        <v>9</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2</v>
      </c>
      <c r="AK378">
        <f>step3_validation[[#This Row],[AI_TRU1]]</f>
        <v>8</v>
      </c>
      <c r="AL378" t="str">
        <f t="shared" si="147"/>
        <v>Support</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0</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0</v>
      </c>
      <c r="AU378">
        <f>step3_validation[[#This Row],[AI_TRU3]]</f>
        <v>7</v>
      </c>
      <c r="AV378" t="str">
        <f t="shared" si="153"/>
        <v>Neutral</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0</v>
      </c>
      <c r="AZ378">
        <f>step3_validation[[#This Row],[AI_TRU4]]</f>
        <v>8</v>
      </c>
      <c r="BA378" t="str">
        <f t="shared" si="156"/>
        <v>Support</v>
      </c>
      <c r="BB378">
        <f>survey_responses[[#This Row],[Tôi thấy Nhà nước đã giải thích rõ ràng, minh bạch về lý do và mục tiêu của việc sửa đổi thuế lần này. - HUMAN-TRU4]]</f>
        <v>7</v>
      </c>
      <c r="BC378" t="str">
        <f t="shared" si="157"/>
        <v>Neutral</v>
      </c>
      <c r="BD378" s="32">
        <f t="shared" si="158"/>
        <v>1</v>
      </c>
      <c r="BE378">
        <f>step3_validation[[#This Row],[AI_OUT1]]</f>
        <v>9</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1</v>
      </c>
    </row>
    <row r="379" spans="1:61" x14ac:dyDescent="0.45">
      <c r="A379" s="30">
        <f>step3_validation[[#This Row],[Persona_ID]]</f>
        <v>378</v>
      </c>
      <c r="B379" s="31">
        <f>step3_validation[[#This Row],[Used_Seed]]</f>
        <v>2368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21.345968841037703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1</v>
      </c>
      <c r="V379">
        <f>step3_validation[[#This Row],[AI_ENF2]]</f>
        <v>8</v>
      </c>
      <c r="W379" t="str">
        <f t="shared" si="138"/>
        <v>Support</v>
      </c>
      <c r="X379">
        <f>survey_responses[[#This Row],[Tôi tin rằng Nhà nước, cơ quan thuế có đủ khả năng và công nghệ để phát hiện, xử lý nghiêm các hành vi trốn thuế. - HUMAN-ENF2]]</f>
        <v>7</v>
      </c>
      <c r="Y379" t="str">
        <f t="shared" si="139"/>
        <v>Neutral</v>
      </c>
      <c r="Z379" s="32">
        <f t="shared" si="140"/>
        <v>1</v>
      </c>
      <c r="AA379">
        <f>step3_validation[[#This Row],[AI_FAC1]]</f>
        <v>7</v>
      </c>
      <c r="AB379" t="str">
        <f t="shared" si="141"/>
        <v>Neutral</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2</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7</v>
      </c>
      <c r="AL379" t="str">
        <f t="shared" si="147"/>
        <v>Neutral</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0</v>
      </c>
      <c r="AP379">
        <f>step3_validation[[#This Row],[AI_TRU2]]</f>
        <v>8</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1</v>
      </c>
      <c r="AU379">
        <f>step3_validation[[#This Row],[AI_TRU3]]</f>
        <v>7</v>
      </c>
      <c r="AV379" t="str">
        <f t="shared" si="153"/>
        <v>Neutral</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0</v>
      </c>
      <c r="AZ379">
        <f>step3_validation[[#This Row],[AI_TRU4]]</f>
        <v>8</v>
      </c>
      <c r="BA379" t="str">
        <f t="shared" si="156"/>
        <v>Support</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9</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2369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13.086150560138417</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2</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0</v>
      </c>
      <c r="AF380">
        <f>step3_validation[[#This Row],[AI_FAC2]]</f>
        <v>9</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0</v>
      </c>
      <c r="AK380">
        <f>step3_validation[[#This Row],[AI_TRU1]]</f>
        <v>7</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0</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0</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0</v>
      </c>
    </row>
    <row r="381" spans="1:61" x14ac:dyDescent="0.45">
      <c r="A381" s="30">
        <f>step3_validation[[#This Row],[Persona_ID]]</f>
        <v>380</v>
      </c>
      <c r="B381" s="31">
        <f>step3_validation[[#This Row],[Used_Seed]]</f>
        <v>2370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19.891782772163314</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9</v>
      </c>
      <c r="R381" t="str">
        <f t="shared" si="135"/>
        <v>Support</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8</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0</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8</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0</v>
      </c>
      <c r="AK381">
        <f>step3_validation[[#This Row],[AI_TRU1]]</f>
        <v>9</v>
      </c>
      <c r="AL381" t="str">
        <f t="shared" si="147"/>
        <v>Support</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3</v>
      </c>
      <c r="AP381">
        <f>step3_validation[[#This Row],[AI_TRU2]]</f>
        <v>9</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0</v>
      </c>
      <c r="AU381">
        <f>step3_validation[[#This Row],[AI_TRU3]]</f>
        <v>9</v>
      </c>
      <c r="AV381" t="str">
        <f t="shared" si="153"/>
        <v>Support</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4</v>
      </c>
      <c r="AZ381">
        <f>step3_validation[[#This Row],[AI_TRU4]]</f>
        <v>9</v>
      </c>
      <c r="BA381" t="str">
        <f t="shared" si="156"/>
        <v>Support</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9</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1</v>
      </c>
    </row>
    <row r="382" spans="1:61" x14ac:dyDescent="0.45">
      <c r="A382" s="30">
        <f>step3_validation[[#This Row],[Persona_ID]]</f>
        <v>381</v>
      </c>
      <c r="B382" s="31">
        <f>step3_validation[[#This Row],[Used_Seed]]</f>
        <v>2371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14.038254947353952</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t="str">
        <f t="shared" si="135"/>
        <v>Support</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1</v>
      </c>
      <c r="V382">
        <f>step3_validation[[#This Row],[AI_ENF2]]</f>
        <v>9</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2">
        <f t="shared" si="140"/>
        <v>0</v>
      </c>
      <c r="AA382">
        <f>step3_validation[[#This Row],[AI_FAC1]]</f>
        <v>9</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1</v>
      </c>
      <c r="AF382">
        <f>step3_validation[[#This Row],[AI_FAC2]]</f>
        <v>10</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1</v>
      </c>
      <c r="AK382">
        <f>step3_validation[[#This Row],[AI_TRU1]]</f>
        <v>8</v>
      </c>
      <c r="AL382" t="str">
        <f t="shared" si="147"/>
        <v>Support</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0</v>
      </c>
      <c r="AP382">
        <f>step3_validation[[#This Row],[AI_TRU2]]</f>
        <v>9</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1</v>
      </c>
      <c r="AU382">
        <f>step3_validation[[#This Row],[AI_TRU3]]</f>
        <v>8</v>
      </c>
      <c r="AV382" t="str">
        <f t="shared" si="153"/>
        <v>Support</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0</v>
      </c>
      <c r="AZ382">
        <f>step3_validation[[#This Row],[AI_TRU4]]</f>
        <v>9</v>
      </c>
      <c r="BA382" t="str">
        <f t="shared" si="156"/>
        <v>Support</v>
      </c>
      <c r="BB382">
        <f>survey_responses[[#This Row],[Tôi thấy Nhà nước đã giải thích rõ ràng, minh bạch về lý do và mục tiêu của việc sửa đổi thuế lần này. - HUMAN-TRU4]]</f>
        <v>8</v>
      </c>
      <c r="BC382" t="str">
        <f t="shared" si="157"/>
        <v>Support</v>
      </c>
      <c r="BD382" s="32">
        <f t="shared" si="158"/>
        <v>1</v>
      </c>
      <c r="BE382">
        <f>step3_validation[[#This Row],[AI_OUT1]]</f>
        <v>9</v>
      </c>
      <c r="BF382" t="str">
        <f t="shared" si="159"/>
        <v>Support</v>
      </c>
      <c r="BG382">
        <f>survey_responses[[#This Row],[Sau khi xem xét các quyền lợi và nghĩa vụ, bạn có ủng hộ và tuân thủ chính sách mới hiện nay? - HUMAN-OUT1]]</f>
        <v>10</v>
      </c>
      <c r="BH382" t="str">
        <f t="shared" si="160"/>
        <v>Support</v>
      </c>
      <c r="BI382" s="32">
        <f t="shared" si="161"/>
        <v>1</v>
      </c>
    </row>
    <row r="383" spans="1:61" x14ac:dyDescent="0.45">
      <c r="A383" s="30">
        <f>step3_validation[[#This Row],[Persona_ID]]</f>
        <v>382</v>
      </c>
      <c r="B383" s="31">
        <f>step3_validation[[#This Row],[Used_Seed]]</f>
        <v>2372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21.567787991110219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8</v>
      </c>
      <c r="R383" t="str">
        <f t="shared" si="135"/>
        <v>Support</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3</v>
      </c>
      <c r="V383">
        <f>step3_validation[[#This Row],[AI_ENF2]]</f>
        <v>7</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2</v>
      </c>
      <c r="AA383">
        <f>step3_validation[[#This Row],[AI_FAC1]]</f>
        <v>6</v>
      </c>
      <c r="AB383" t="str">
        <f t="shared" si="141"/>
        <v>Neutral</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2</v>
      </c>
      <c r="AF383">
        <f>step3_validation[[#This Row],[AI_FAC2]]</f>
        <v>9</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1</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9</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1</v>
      </c>
      <c r="AU383">
        <f>step3_validation[[#This Row],[AI_TRU3]]</f>
        <v>6</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2</v>
      </c>
      <c r="AZ383">
        <f>step3_validation[[#This Row],[AI_TRU4]]</f>
        <v>7</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2</v>
      </c>
      <c r="BE383">
        <f>step3_validation[[#This Row],[AI_OUT1]]</f>
        <v>9</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2</v>
      </c>
    </row>
    <row r="384" spans="1:61" x14ac:dyDescent="0.45">
      <c r="A384" s="30">
        <f>step3_validation[[#This Row],[Persona_ID]]</f>
        <v>383</v>
      </c>
      <c r="B384" s="31">
        <f>step3_validation[[#This Row],[Used_Seed]]</f>
        <v>2373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86.583662625862345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6</v>
      </c>
      <c r="W384" t="str">
        <f t="shared" si="138"/>
        <v>Neutral</v>
      </c>
      <c r="X384">
        <f>survey_responses[[#This Row],[Tôi tin rằng Nhà nước, cơ quan thuế có đủ khả năng và công nghệ để phát hiện, xử lý nghiêm các hành vi trốn thuế. - HUMAN-ENF2]]</f>
        <v>1</v>
      </c>
      <c r="Y384" t="str">
        <f t="shared" si="139"/>
        <v>Oppose</v>
      </c>
      <c r="Z384" s="32">
        <f t="shared" si="140"/>
        <v>5</v>
      </c>
      <c r="AA384">
        <f>step3_validation[[#This Row],[AI_FAC1]]</f>
        <v>8</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4</v>
      </c>
      <c r="AF384">
        <f>step3_validation[[#This Row],[AI_FAC2]]</f>
        <v>9</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4</v>
      </c>
      <c r="AK384">
        <f>step3_validation[[#This Row],[AI_TRU1]]</f>
        <v>7</v>
      </c>
      <c r="AL384" t="str">
        <f t="shared" si="147"/>
        <v>Neutral</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2</v>
      </c>
      <c r="AP384">
        <f>step3_validation[[#This Row],[AI_TRU2]]</f>
        <v>8</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4</v>
      </c>
      <c r="AU384">
        <f>step3_validation[[#This Row],[AI_TRU3]]</f>
        <v>7</v>
      </c>
      <c r="AV384" t="str">
        <f t="shared" si="153"/>
        <v>Neutral</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3</v>
      </c>
      <c r="AZ384">
        <f>step3_validation[[#This Row],[AI_TRU4]]</f>
        <v>6</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1</v>
      </c>
      <c r="BE384">
        <f>step3_validation[[#This Row],[AI_OUT1]]</f>
        <v>9</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6</v>
      </c>
    </row>
    <row r="385" spans="1:61" x14ac:dyDescent="0.45">
      <c r="A385" s="30">
        <f>step3_validation[[#This Row],[Persona_ID]]</f>
        <v>384</v>
      </c>
      <c r="B385" s="31">
        <f>step3_validation[[#This Row],[Used_Seed]]</f>
        <v>2374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3</v>
      </c>
      <c r="R385" t="str">
        <f t="shared" si="135"/>
        <v>Oppose</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4</v>
      </c>
      <c r="V385">
        <f>step3_validation[[#This Row],[AI_ENF2]]</f>
        <v>3</v>
      </c>
      <c r="W385" t="str">
        <f t="shared" si="138"/>
        <v>Oppose</v>
      </c>
      <c r="X385">
        <f>survey_responses[[#This Row],[Tôi tin rằng Nhà nước, cơ quan thuế có đủ khả năng và công nghệ để phát hiện, xử lý nghiêm các hành vi trốn thuế. - HUMAN-ENF2]]</f>
        <v>7</v>
      </c>
      <c r="Y385" t="str">
        <f t="shared" si="139"/>
        <v>Neutral</v>
      </c>
      <c r="Z385" s="32">
        <f t="shared" si="140"/>
        <v>4</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6</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2</v>
      </c>
      <c r="AP385">
        <f>step3_validation[[#This Row],[AI_TRU2]]</f>
        <v>7</v>
      </c>
      <c r="AQ385" t="str">
        <f t="shared" si="150"/>
        <v>Neutral</v>
      </c>
      <c r="AR385">
        <f>survey_responses[[#This Row],[Tôi thấy mức thuế tôi phải đóng theo phương án mới là công bằng (người thu nhập như tôi đóng mức này là hợp lý). - HUMAN-TRU2]]</f>
        <v>10</v>
      </c>
      <c r="AS385" t="str">
        <f t="shared" si="151"/>
        <v>Support</v>
      </c>
      <c r="AT385" s="32">
        <f t="shared" si="152"/>
        <v>3</v>
      </c>
      <c r="AU385">
        <f>step3_validation[[#This Row],[AI_TRU3]]</f>
        <v>6</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2</v>
      </c>
      <c r="AZ385">
        <f>step3_validation[[#This Row],[AI_TRU4]]</f>
        <v>8</v>
      </c>
      <c r="BA385" t="str">
        <f t="shared" si="156"/>
        <v>Support</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7</v>
      </c>
      <c r="BF385" t="str">
        <f t="shared" si="159"/>
        <v>Neutral</v>
      </c>
      <c r="BG385">
        <f>survey_responses[[#This Row],[Sau khi xem xét các quyền lợi và nghĩa vụ, bạn có ủng hộ và tuân thủ chính sách mới hiện nay? - HUMAN-OUT1]]</f>
        <v>10</v>
      </c>
      <c r="BH385" t="str">
        <f t="shared" si="160"/>
        <v>Support</v>
      </c>
      <c r="BI385" s="32">
        <f t="shared" si="161"/>
        <v>3</v>
      </c>
    </row>
    <row r="386" spans="1:61" x14ac:dyDescent="0.45">
      <c r="A386" s="30">
        <f>step3_validation[[#This Row],[Persona_ID]]</f>
        <v>385</v>
      </c>
      <c r="B386" s="31">
        <f>step3_validation[[#This Row],[Used_Seed]]</f>
        <v>2375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35.124308822432177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3</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9</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3</v>
      </c>
      <c r="AK386">
        <f>step3_validation[[#This Row],[AI_TRU1]]</f>
        <v>7</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3</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4</v>
      </c>
      <c r="AU386">
        <f>step3_validation[[#This Row],[AI_TRU3]]</f>
        <v>7</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3</v>
      </c>
      <c r="AZ386">
        <f>step3_validation[[#This Row],[AI_TRU4]]</f>
        <v>8</v>
      </c>
      <c r="BA386" t="str">
        <f t="shared" si="156"/>
        <v>Support</v>
      </c>
      <c r="BB386">
        <f>survey_responses[[#This Row],[Tôi thấy Nhà nước đã giải thích rõ ràng, minh bạch về lý do và mục tiêu của việc sửa đổi thuế lần này. - HUMAN-TRU4]]</f>
        <v>5</v>
      </c>
      <c r="BC386" t="str">
        <f t="shared" si="157"/>
        <v>Neutral</v>
      </c>
      <c r="BD386" s="32">
        <f t="shared" si="158"/>
        <v>3</v>
      </c>
      <c r="BE386">
        <f>step3_validation[[#This Row],[AI_OUT1]]</f>
        <v>9</v>
      </c>
      <c r="BF386" t="str">
        <f t="shared" si="159"/>
        <v>Support</v>
      </c>
      <c r="BG386">
        <f>survey_responses[[#This Row],[Sau khi xem xét các quyền lợi và nghĩa vụ, bạn có ủng hộ và tuân thủ chính sách mới hiện nay? - HUMAN-OUT1]]</f>
        <v>5</v>
      </c>
      <c r="BH386" t="str">
        <f t="shared" si="160"/>
        <v>Neutral</v>
      </c>
      <c r="BI386" s="32">
        <f t="shared" si="161"/>
        <v>4</v>
      </c>
    </row>
    <row r="387" spans="1:61" x14ac:dyDescent="0.45">
      <c r="A387" s="30">
        <f>step3_validation[[#This Row],[Persona_ID]]</f>
        <v>386</v>
      </c>
      <c r="B387" s="31">
        <f>step3_validation[[#This Row],[Used_Seed]]</f>
        <v>2376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29.241842720020962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8</v>
      </c>
      <c r="W387" t="str">
        <f t="shared" ref="W387:W404" si="165">IF(AND(V387&gt;=1,V387&lt;5),"Oppose",IF(AND(V387&gt;=5,V387&lt;8),"Neutral",IF(AND(V387&gt;=8,V387&lt;=10),"Support","")))</f>
        <v>Support</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0</v>
      </c>
      <c r="AA387">
        <f>step3_validation[[#This Row],[AI_FAC1]]</f>
        <v>9</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0</v>
      </c>
      <c r="AF387">
        <f>step3_validation[[#This Row],[AI_FAC2]]</f>
        <v>10</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2</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8</v>
      </c>
      <c r="BA387" t="str">
        <f t="shared" ref="BA387:BA404" si="183">IF(AND(AZ387&gt;=1,AZ387&lt;5),"Oppose",IF(AND(AZ387&gt;=5,AZ387&lt;8),"Neutral",IF(AND(AZ387&gt;=8,AZ387&lt;=10),"Support","")))</f>
        <v>Support</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9</v>
      </c>
      <c r="BF387" t="str">
        <f t="shared" ref="BF387:BF404" si="186">IF(AND(BE387&gt;=1,BE387&lt;5),"Oppose",IF(AND(BE387&gt;=5,BE387&lt;8),"Neutral",IF(AND(BE387&gt;=8,BE387&lt;=10),"Support","")))</f>
        <v>Support</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2377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52.847932292906329</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10</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5</v>
      </c>
      <c r="AK388">
        <f>step3_validation[[#This Row],[AI_TRU1]]</f>
        <v>9</v>
      </c>
      <c r="AL388" t="str">
        <f t="shared" si="174"/>
        <v>Support</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4</v>
      </c>
      <c r="AP388">
        <f>step3_validation[[#This Row],[AI_TRU2]]</f>
        <v>9</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4</v>
      </c>
      <c r="AU388">
        <f>step3_validation[[#This Row],[AI_TRU3]]</f>
        <v>9</v>
      </c>
      <c r="AV388" t="str">
        <f t="shared" si="180"/>
        <v>Support</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4</v>
      </c>
      <c r="AZ388">
        <f>step3_validation[[#This Row],[AI_TRU4]]</f>
        <v>8</v>
      </c>
      <c r="BA388" t="str">
        <f t="shared" si="183"/>
        <v>Support</v>
      </c>
      <c r="BB388">
        <f>survey_responses[[#This Row],[Tôi thấy Nhà nước đã giải thích rõ ràng, minh bạch về lý do và mục tiêu của việc sửa đổi thuế lần này. - HUMAN-TRU4]]</f>
        <v>5</v>
      </c>
      <c r="BC388" t="str">
        <f t="shared" si="184"/>
        <v>Neutral</v>
      </c>
      <c r="BD388" s="32">
        <f t="shared" si="185"/>
        <v>3</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4</v>
      </c>
    </row>
    <row r="389" spans="1:61" x14ac:dyDescent="0.45">
      <c r="A389" s="30">
        <f>step3_validation[[#This Row],[Persona_ID]]</f>
        <v>388</v>
      </c>
      <c r="B389" s="31">
        <f>step3_validation[[#This Row],[Used_Seed]]</f>
        <v>2378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12.676222042255832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7</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0</v>
      </c>
      <c r="V389">
        <f>step3_validation[[#This Row],[AI_ENF2]]</f>
        <v>7</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0</v>
      </c>
      <c r="AA389">
        <f>step3_validation[[#This Row],[AI_FAC1]]</f>
        <v>8</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3</v>
      </c>
      <c r="AF389">
        <f>step3_validation[[#This Row],[AI_FAC2]]</f>
        <v>7</v>
      </c>
      <c r="AG389" t="str">
        <f t="shared" si="171"/>
        <v>Neutral</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1</v>
      </c>
      <c r="AK389">
        <f>step3_validation[[#This Row],[AI_TRU1]]</f>
        <v>9</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3</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0</v>
      </c>
      <c r="AU389">
        <f>step3_validation[[#This Row],[AI_TRU3]]</f>
        <v>9</v>
      </c>
      <c r="AV389" t="str">
        <f t="shared" si="180"/>
        <v>Support</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4</v>
      </c>
      <c r="AZ389">
        <f>step3_validation[[#This Row],[AI_TRU4]]</f>
        <v>8</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2">
        <f t="shared" si="185"/>
        <v>3</v>
      </c>
      <c r="BE389">
        <f>step3_validation[[#This Row],[AI_OUT1]]</f>
        <v>9</v>
      </c>
      <c r="BF389" t="str">
        <f t="shared" si="186"/>
        <v>Support</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2379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20.136205359719021</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9</v>
      </c>
      <c r="R390" t="str">
        <f t="shared" si="162"/>
        <v>Support</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3</v>
      </c>
      <c r="V390">
        <f>step3_validation[[#This Row],[AI_ENF2]]</f>
        <v>9</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1</v>
      </c>
      <c r="AA390">
        <f>step3_validation[[#This Row],[AI_FAC1]]</f>
        <v>8</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1</v>
      </c>
      <c r="AF390">
        <f>step3_validation[[#This Row],[AI_FAC2]]</f>
        <v>9</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1</v>
      </c>
      <c r="AK390">
        <f>step3_validation[[#This Row],[AI_TRU1]]</f>
        <v>8</v>
      </c>
      <c r="AL390" t="str">
        <f t="shared" si="174"/>
        <v>Support</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2</v>
      </c>
      <c r="AP390">
        <f>step3_validation[[#This Row],[AI_TRU2]]</f>
        <v>9</v>
      </c>
      <c r="AQ390" t="str">
        <f t="shared" si="177"/>
        <v>Support</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8</v>
      </c>
      <c r="AV390" t="str">
        <f t="shared" si="180"/>
        <v>Support</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3</v>
      </c>
      <c r="AZ390">
        <f>step3_validation[[#This Row],[AI_TRU4]]</f>
        <v>9</v>
      </c>
      <c r="BA390" t="str">
        <f t="shared" si="183"/>
        <v>Support</v>
      </c>
      <c r="BB390">
        <f>survey_responses[[#This Row],[Tôi thấy Nhà nước đã giải thích rõ ràng, minh bạch về lý do và mục tiêu của việc sửa đổi thuế lần này. - HUMAN-TRU4]]</f>
        <v>5</v>
      </c>
      <c r="BC390" t="str">
        <f t="shared" si="184"/>
        <v>Neutral</v>
      </c>
      <c r="BD390" s="32">
        <f t="shared" si="185"/>
        <v>4</v>
      </c>
      <c r="BE390">
        <f>step3_validation[[#This Row],[AI_OUT1]]</f>
        <v>8</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0</v>
      </c>
    </row>
    <row r="391" spans="1:61" x14ac:dyDescent="0.45">
      <c r="A391" s="30">
        <f>step3_validation[[#This Row],[Persona_ID]]</f>
        <v>390</v>
      </c>
      <c r="B391" s="31">
        <f>step3_validation[[#This Row],[Used_Seed]]</f>
        <v>2380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34.459279784677925</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5</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5</v>
      </c>
      <c r="V391">
        <f>step3_validation[[#This Row],[AI_ENF2]]</f>
        <v>7</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3</v>
      </c>
      <c r="AA391">
        <f>step3_validation[[#This Row],[AI_FAC1]]</f>
        <v>6</v>
      </c>
      <c r="AB391" t="str">
        <f t="shared" si="168"/>
        <v>Neutral</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1</v>
      </c>
      <c r="AF391">
        <f>step3_validation[[#This Row],[AI_FAC2]]</f>
        <v>8</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1</v>
      </c>
      <c r="AK391">
        <f>step3_validation[[#This Row],[AI_TRU1]]</f>
        <v>7</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0</v>
      </c>
      <c r="AP391">
        <f>step3_validation[[#This Row],[AI_TRU2]]</f>
        <v>8</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0</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9</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2381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15.101688341676548</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9</v>
      </c>
      <c r="R392" t="str">
        <f t="shared" si="162"/>
        <v>Support</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5</v>
      </c>
      <c r="V392">
        <f>step3_validation[[#This Row],[AI_ENF2]]</f>
        <v>8</v>
      </c>
      <c r="W392" t="str">
        <f t="shared" si="165"/>
        <v>Support</v>
      </c>
      <c r="X392">
        <f>survey_responses[[#This Row],[Tôi tin rằng Nhà nước, cơ quan thuế có đủ khả năng và công nghệ để phát hiện, xử lý nghiêm các hành vi trốn thuế. - HUMAN-ENF2]]</f>
        <v>5</v>
      </c>
      <c r="Y392" t="str">
        <f t="shared" si="166"/>
        <v>Neutral</v>
      </c>
      <c r="Z392" s="32">
        <f t="shared" si="167"/>
        <v>3</v>
      </c>
      <c r="AA392">
        <f>step3_validation[[#This Row],[AI_FAC1]]</f>
        <v>9</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2</v>
      </c>
      <c r="AF392">
        <f>step3_validation[[#This Row],[AI_FAC2]]</f>
        <v>9</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2</v>
      </c>
      <c r="AK392">
        <f>step3_validation[[#This Row],[AI_TRU1]]</f>
        <v>8</v>
      </c>
      <c r="AL392" t="str">
        <f t="shared" si="174"/>
        <v>Support</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3</v>
      </c>
      <c r="AP392">
        <f>step3_validation[[#This Row],[AI_TRU2]]</f>
        <v>9</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2</v>
      </c>
      <c r="AU392">
        <f>step3_validation[[#This Row],[AI_TRU3]]</f>
        <v>8</v>
      </c>
      <c r="AV392" t="str">
        <f t="shared" si="180"/>
        <v>Support</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3</v>
      </c>
      <c r="AZ392">
        <f>step3_validation[[#This Row],[AI_TRU4]]</f>
        <v>9</v>
      </c>
      <c r="BA392" t="str">
        <f t="shared" si="183"/>
        <v>Support</v>
      </c>
      <c r="BB392">
        <f>survey_responses[[#This Row],[Tôi thấy Nhà nước đã giải thích rõ ràng, minh bạch về lý do và mục tiêu của việc sửa đổi thuế lần này. - HUMAN-TRU4]]</f>
        <v>5</v>
      </c>
      <c r="BC392" t="str">
        <f t="shared" si="184"/>
        <v>Neutral</v>
      </c>
      <c r="BD392" s="32">
        <f t="shared" si="185"/>
        <v>4</v>
      </c>
      <c r="BE392">
        <f>step3_validation[[#This Row],[AI_OUT1]]</f>
        <v>10</v>
      </c>
      <c r="BF392" t="str">
        <f t="shared" si="186"/>
        <v>Support</v>
      </c>
      <c r="BG392">
        <f>survey_responses[[#This Row],[Sau khi xem xét các quyền lợi và nghĩa vụ, bạn có ủng hộ và tuân thủ chính sách mới hiện nay? - HUMAN-OUT1]]</f>
        <v>7</v>
      </c>
      <c r="BH392" t="str">
        <f t="shared" si="187"/>
        <v>Neutral</v>
      </c>
      <c r="BI392" s="32">
        <f t="shared" si="188"/>
        <v>3</v>
      </c>
    </row>
    <row r="393" spans="1:61" x14ac:dyDescent="0.45">
      <c r="A393" s="30">
        <f>step3_validation[[#This Row],[Persona_ID]]</f>
        <v>392</v>
      </c>
      <c r="B393" s="31">
        <f>step3_validation[[#This Row],[Used_Seed]]</f>
        <v>2382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153.63499539382221</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5</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5</v>
      </c>
      <c r="AA393">
        <f>step3_validation[[#This Row],[AI_FAC1]]</f>
        <v>6</v>
      </c>
      <c r="AB393" t="str">
        <f t="shared" si="168"/>
        <v>Neutral</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3</v>
      </c>
      <c r="AF393">
        <f>step3_validation[[#This Row],[AI_FAC2]]</f>
        <v>9</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3</v>
      </c>
      <c r="AK393">
        <f>step3_validation[[#This Row],[AI_TRU1]]</f>
        <v>7</v>
      </c>
      <c r="AL393" t="str">
        <f t="shared" si="174"/>
        <v>Neutral</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2</v>
      </c>
      <c r="AP393">
        <f>step3_validation[[#This Row],[AI_TRU2]]</f>
        <v>8</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2">
        <f t="shared" si="179"/>
        <v>3</v>
      </c>
      <c r="AU393">
        <f>step3_validation[[#This Row],[AI_TRU3]]</f>
        <v>7</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2</v>
      </c>
      <c r="AZ393">
        <f>step3_validation[[#This Row],[AI_TRU4]]</f>
        <v>8</v>
      </c>
      <c r="BA393" t="str">
        <f t="shared" si="183"/>
        <v>Support</v>
      </c>
      <c r="BB393">
        <f>survey_responses[[#This Row],[Tôi thấy Nhà nước đã giải thích rõ ràng, minh bạch về lý do và mục tiêu của việc sửa đổi thuế lần này. - HUMAN-TRU4]]</f>
        <v>5</v>
      </c>
      <c r="BC393" t="str">
        <f t="shared" si="184"/>
        <v>Neutral</v>
      </c>
      <c r="BD393" s="32">
        <f t="shared" si="185"/>
        <v>3</v>
      </c>
      <c r="BE393">
        <f>step3_validation[[#This Row],[AI_OUT1]]</f>
        <v>9</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4</v>
      </c>
    </row>
    <row r="394" spans="1:61" x14ac:dyDescent="0.45">
      <c r="A394" s="30">
        <f>step3_validation[[#This Row],[Persona_ID]]</f>
        <v>393</v>
      </c>
      <c r="B394" s="31">
        <f>step3_validation[[#This Row],[Used_Seed]]</f>
        <v>2383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26.366368373254399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0</v>
      </c>
      <c r="V394">
        <f>step3_validation[[#This Row],[AI_ENF2]]</f>
        <v>6</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9</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4</v>
      </c>
      <c r="AF394">
        <f>step3_validation[[#This Row],[AI_FAC2]]</f>
        <v>8</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0</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9</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2</v>
      </c>
      <c r="AU394">
        <f>step3_validation[[#This Row],[AI_TRU3]]</f>
        <v>6</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1</v>
      </c>
      <c r="AZ394">
        <f>step3_validation[[#This Row],[AI_TRU4]]</f>
        <v>7</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2</v>
      </c>
    </row>
    <row r="395" spans="1:61" x14ac:dyDescent="0.45">
      <c r="A395" s="30">
        <f>step3_validation[[#This Row],[Persona_ID]]</f>
        <v>394</v>
      </c>
      <c r="B395" s="31">
        <f>step3_validation[[#This Row],[Used_Seed]]</f>
        <v>2384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6</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3</v>
      </c>
      <c r="V395">
        <f>step3_validation[[#This Row],[AI_ENF2]]</f>
        <v>6</v>
      </c>
      <c r="W395" t="str">
        <f t="shared" si="165"/>
        <v>Neutral</v>
      </c>
      <c r="X395">
        <f>survey_responses[[#This Row],[Tôi tin rằng Nhà nước, cơ quan thuế có đủ khả năng và công nghệ để phát hiện, xử lý nghiêm các hành vi trốn thuế. - HUMAN-ENF2]]</f>
        <v>9</v>
      </c>
      <c r="Y395" t="str">
        <f t="shared" si="166"/>
        <v>Support</v>
      </c>
      <c r="Z395" s="32">
        <f t="shared" si="167"/>
        <v>3</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1</v>
      </c>
      <c r="AF395">
        <f>step3_validation[[#This Row],[AI_FAC2]]</f>
        <v>9</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2</v>
      </c>
      <c r="AK395">
        <f>step3_validation[[#This Row],[AI_TRU1]]</f>
        <v>7</v>
      </c>
      <c r="AL395" t="str">
        <f t="shared" si="174"/>
        <v>Neutral</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1</v>
      </c>
      <c r="AP395">
        <f>step3_validation[[#This Row],[AI_TRU2]]</f>
        <v>8</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2</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9</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1</v>
      </c>
    </row>
    <row r="396" spans="1:61" x14ac:dyDescent="0.45">
      <c r="A396" s="30">
        <f>step3_validation[[#This Row],[Persona_ID]]</f>
        <v>395</v>
      </c>
      <c r="B396" s="31">
        <f>step3_validation[[#This Row],[Used_Seed]]</f>
        <v>2385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37.18922022252984</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0</v>
      </c>
      <c r="V396">
        <f>step3_validation[[#This Row],[AI_ENF2]]</f>
        <v>8</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9</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4</v>
      </c>
      <c r="AF396">
        <f>step3_validation[[#This Row],[AI_FAC2]]</f>
        <v>9</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2</v>
      </c>
      <c r="AK396">
        <f>step3_validation[[#This Row],[AI_TRU1]]</f>
        <v>8</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3</v>
      </c>
      <c r="AP396">
        <f>step3_validation[[#This Row],[AI_TRU2]]</f>
        <v>9</v>
      </c>
      <c r="AQ396" t="str">
        <f t="shared" si="177"/>
        <v>Support</v>
      </c>
      <c r="AR396">
        <f>survey_responses[[#This Row],[Tôi thấy mức thuế tôi phải đóng theo phương án mới là công bằng (người thu nhập như tôi đóng mức này là hợp lý). - HUMAN-TRU2]]</f>
        <v>6</v>
      </c>
      <c r="AS396" t="str">
        <f t="shared" si="178"/>
        <v>Neutral</v>
      </c>
      <c r="AT396" s="32">
        <f t="shared" si="179"/>
        <v>3</v>
      </c>
      <c r="AU396">
        <f>step3_validation[[#This Row],[AI_TRU3]]</f>
        <v>8</v>
      </c>
      <c r="AV396" t="str">
        <f t="shared" si="180"/>
        <v>Support</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3</v>
      </c>
      <c r="AZ396">
        <f>step3_validation[[#This Row],[AI_TRU4]]</f>
        <v>9</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2">
        <f t="shared" si="185"/>
        <v>3</v>
      </c>
      <c r="BE396">
        <f>step3_validation[[#This Row],[AI_OUT1]]</f>
        <v>9</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3</v>
      </c>
    </row>
    <row r="397" spans="1:61" x14ac:dyDescent="0.45">
      <c r="A397" s="30">
        <f>step3_validation[[#This Row],[Persona_ID]]</f>
        <v>396</v>
      </c>
      <c r="B397" s="31">
        <f>step3_validation[[#This Row],[Used_Seed]]</f>
        <v>2386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25.669016257260886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8</v>
      </c>
      <c r="R397" t="str">
        <f t="shared" si="162"/>
        <v>Support</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6</v>
      </c>
      <c r="V397">
        <f>step3_validation[[#This Row],[AI_ENF2]]</f>
        <v>7</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5</v>
      </c>
      <c r="AA397">
        <f>step3_validation[[#This Row],[AI_FAC1]]</f>
        <v>8</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4</v>
      </c>
      <c r="AF397">
        <f>step3_validation[[#This Row],[AI_FAC2]]</f>
        <v>9</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4</v>
      </c>
      <c r="AK397">
        <f>step3_validation[[#This Row],[AI_TRU1]]</f>
        <v>7</v>
      </c>
      <c r="AL397" t="str">
        <f t="shared" si="174"/>
        <v>Neutral</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2</v>
      </c>
      <c r="AP397">
        <f>step3_validation[[#This Row],[AI_TRU2]]</f>
        <v>9</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6</v>
      </c>
      <c r="AU397">
        <f>step3_validation[[#This Row],[AI_TRU3]]</f>
        <v>8</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3</v>
      </c>
      <c r="AZ397">
        <f>step3_validation[[#This Row],[AI_TRU4]]</f>
        <v>7</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2</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4</v>
      </c>
    </row>
    <row r="398" spans="1:61" x14ac:dyDescent="0.45">
      <c r="A398" s="30">
        <f>step3_validation[[#This Row],[Persona_ID]]</f>
        <v>397</v>
      </c>
      <c r="B398" s="31">
        <f>step3_validation[[#This Row],[Used_Seed]]</f>
        <v>2387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27.270332931984399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6</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2</v>
      </c>
      <c r="V398">
        <f>step3_validation[[#This Row],[AI_ENF2]]</f>
        <v>6</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2</v>
      </c>
      <c r="AA398">
        <f>step3_validation[[#This Row],[AI_FAC1]]</f>
        <v>8</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9</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2</v>
      </c>
      <c r="AK398">
        <f>step3_validation[[#This Row],[AI_TRU1]]</f>
        <v>7</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0</v>
      </c>
      <c r="AP398">
        <f>step3_validation[[#This Row],[AI_TRU2]]</f>
        <v>9</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8</v>
      </c>
      <c r="AV398" t="str">
        <f t="shared" si="180"/>
        <v>Support</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1</v>
      </c>
      <c r="AZ398">
        <f>step3_validation[[#This Row],[AI_TRU4]]</f>
        <v>7</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1</v>
      </c>
      <c r="BE398">
        <f>step3_validation[[#This Row],[AI_OUT1]]</f>
        <v>9</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2388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6</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2">
        <f t="shared" si="167"/>
        <v>3</v>
      </c>
      <c r="AA399">
        <f>step3_validation[[#This Row],[AI_FAC1]]</f>
        <v>8</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0</v>
      </c>
      <c r="AF399">
        <f>step3_validation[[#This Row],[AI_FAC2]]</f>
        <v>9</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0</v>
      </c>
      <c r="AK399">
        <f>step3_validation[[#This Row],[AI_TRU1]]</f>
        <v>8</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1</v>
      </c>
      <c r="AP399">
        <f>step3_validation[[#This Row],[AI_TRU2]]</f>
        <v>9</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0</v>
      </c>
      <c r="AU399">
        <f>step3_validation[[#This Row],[AI_TRU3]]</f>
        <v>8</v>
      </c>
      <c r="AV399" t="str">
        <f t="shared" si="180"/>
        <v>Support</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0</v>
      </c>
      <c r="AZ399">
        <f>step3_validation[[#This Row],[AI_TRU4]]</f>
        <v>9</v>
      </c>
      <c r="BA399" t="str">
        <f t="shared" si="183"/>
        <v>Support</v>
      </c>
      <c r="BB399">
        <f>survey_responses[[#This Row],[Tôi thấy Nhà nước đã giải thích rõ ràng, minh bạch về lý do và mục tiêu của việc sửa đổi thuế lần này. - HUMAN-TRU4]]</f>
        <v>8</v>
      </c>
      <c r="BC399" t="str">
        <f t="shared" si="184"/>
        <v>Support</v>
      </c>
      <c r="BD399" s="32">
        <f t="shared" si="185"/>
        <v>1</v>
      </c>
      <c r="BE399">
        <f>step3_validation[[#This Row],[AI_OUT1]]</f>
        <v>9</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1</v>
      </c>
    </row>
    <row r="400" spans="1:61" x14ac:dyDescent="0.45">
      <c r="A400" s="30">
        <f>step3_validation[[#This Row],[Persona_ID]]</f>
        <v>399</v>
      </c>
      <c r="B400" s="31">
        <f>step3_validation[[#This Row],[Used_Seed]]</f>
        <v>2389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27.74387359222391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0</v>
      </c>
      <c r="V400">
        <f>step3_validation[[#This Row],[AI_ENF2]]</f>
        <v>8</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9</v>
      </c>
      <c r="AB400" t="str">
        <f t="shared" si="168"/>
        <v>Support</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4</v>
      </c>
      <c r="AF400">
        <f>step3_validation[[#This Row],[AI_FAC2]]</f>
        <v>8</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0</v>
      </c>
      <c r="AK400">
        <f>step3_validation[[#This Row],[AI_TRU1]]</f>
        <v>7</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0</v>
      </c>
      <c r="AP400">
        <f>step3_validation[[#This Row],[AI_TRU2]]</f>
        <v>8</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0</v>
      </c>
      <c r="AU400">
        <f>step3_validation[[#This Row],[AI_TRU3]]</f>
        <v>6</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0</v>
      </c>
      <c r="AZ400">
        <f>step3_validation[[#This Row],[AI_TRU4]]</f>
        <v>8</v>
      </c>
      <c r="BA400" t="str">
        <f t="shared" si="183"/>
        <v>Support</v>
      </c>
      <c r="BB400">
        <f>survey_responses[[#This Row],[Tôi thấy Nhà nước đã giải thích rõ ràng, minh bạch về lý do và mục tiêu của việc sửa đổi thuế lần này. - HUMAN-TRU4]]</f>
        <v>6</v>
      </c>
      <c r="BC400" t="str">
        <f t="shared" si="184"/>
        <v>Neutral</v>
      </c>
      <c r="BD400" s="32">
        <f t="shared" si="185"/>
        <v>2</v>
      </c>
      <c r="BE400">
        <f>step3_validation[[#This Row],[AI_OUT1]]</f>
        <v>7</v>
      </c>
      <c r="BF400" t="str">
        <f t="shared" si="186"/>
        <v>Neutral</v>
      </c>
      <c r="BG400">
        <f>survey_responses[[#This Row],[Sau khi xem xét các quyền lợi và nghĩa vụ, bạn có ủng hộ và tuân thủ chính sách mới hiện nay? - HUMAN-OUT1]]</f>
        <v>8</v>
      </c>
      <c r="BH400" t="str">
        <f t="shared" si="187"/>
        <v>Support</v>
      </c>
      <c r="BI400" s="32">
        <f t="shared" si="188"/>
        <v>1</v>
      </c>
    </row>
    <row r="401" spans="1:61" x14ac:dyDescent="0.45">
      <c r="A401" s="30">
        <f>step3_validation[[#This Row],[Persona_ID]]</f>
        <v>400</v>
      </c>
      <c r="B401" s="31">
        <f>step3_validation[[#This Row],[Used_Seed]]</f>
        <v>2390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38.514138274483862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6</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3</v>
      </c>
      <c r="AA401">
        <f>step3_validation[[#This Row],[AI_FAC1]]</f>
        <v>9</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1</v>
      </c>
      <c r="AF401">
        <f>step3_validation[[#This Row],[AI_FAC2]]</f>
        <v>8</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0</v>
      </c>
      <c r="AK401">
        <f>step3_validation[[#This Row],[AI_TRU1]]</f>
        <v>7</v>
      </c>
      <c r="AL401" t="str">
        <f t="shared" si="174"/>
        <v>Neutral</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0</v>
      </c>
      <c r="AP401">
        <f>step3_validation[[#This Row],[AI_TRU2]]</f>
        <v>8</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1</v>
      </c>
      <c r="AU401">
        <f>step3_validation[[#This Row],[AI_TRU3]]</f>
        <v>6</v>
      </c>
      <c r="AV401" t="str">
        <f t="shared" si="180"/>
        <v>Neutral</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7</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0</v>
      </c>
      <c r="BE401">
        <f>step3_validation[[#This Row],[AI_OUT1]]</f>
        <v>8</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0</v>
      </c>
    </row>
    <row r="402" spans="1:61" x14ac:dyDescent="0.45">
      <c r="A402" s="30">
        <f>step3_validation[[#This Row],[Persona_ID]]</f>
        <v>401</v>
      </c>
      <c r="B402" s="31">
        <f>step3_validation[[#This Row],[Used_Seed]]</f>
        <v>2391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16.079860024526425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3</v>
      </c>
      <c r="V402">
        <f>step3_validation[[#This Row],[AI_ENF2]]</f>
        <v>8</v>
      </c>
      <c r="W402" t="str">
        <f t="shared" si="165"/>
        <v>Support</v>
      </c>
      <c r="X402">
        <f>survey_responses[[#This Row],[Tôi tin rằng Nhà nước, cơ quan thuế có đủ khả năng và công nghệ để phát hiện, xử lý nghiêm các hành vi trốn thuế. - HUMAN-ENF2]]</f>
        <v>4</v>
      </c>
      <c r="Y402" t="str">
        <f t="shared" si="166"/>
        <v>Oppose</v>
      </c>
      <c r="Z402" s="32">
        <f t="shared" si="167"/>
        <v>4</v>
      </c>
      <c r="AA402">
        <f>step3_validation[[#This Row],[AI_FAC1]]</f>
        <v>9</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6</v>
      </c>
      <c r="AF402">
        <f>step3_validation[[#This Row],[AI_FAC2]]</f>
        <v>10</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5</v>
      </c>
      <c r="AK402">
        <f>step3_validation[[#This Row],[AI_TRU1]]</f>
        <v>6</v>
      </c>
      <c r="AL402" t="str">
        <f t="shared" si="174"/>
        <v>Neutral</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1</v>
      </c>
      <c r="AP402">
        <f>step3_validation[[#This Row],[AI_TRU2]]</f>
        <v>9</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7</v>
      </c>
      <c r="AU402">
        <f>step3_validation[[#This Row],[AI_TRU3]]</f>
        <v>7</v>
      </c>
      <c r="AV402" t="str">
        <f t="shared" si="180"/>
        <v>Neutral</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5</v>
      </c>
      <c r="AZ402">
        <f>step3_validation[[#This Row],[AI_TRU4]]</f>
        <v>8</v>
      </c>
      <c r="BA402" t="str">
        <f t="shared" si="183"/>
        <v>Support</v>
      </c>
      <c r="BB402">
        <f>survey_responses[[#This Row],[Tôi thấy Nhà nước đã giải thích rõ ràng, minh bạch về lý do và mục tiêu của việc sửa đổi thuế lần này. - HUMAN-TRU4]]</f>
        <v>5</v>
      </c>
      <c r="BC402" t="str">
        <f t="shared" si="184"/>
        <v>Neutral</v>
      </c>
      <c r="BD402" s="32">
        <f t="shared" si="185"/>
        <v>3</v>
      </c>
      <c r="BE402">
        <f>step3_validation[[#This Row],[AI_OUT1]]</f>
        <v>9</v>
      </c>
      <c r="BF402" t="str">
        <f t="shared" si="186"/>
        <v>Support</v>
      </c>
      <c r="BG402">
        <f>survey_responses[[#This Row],[Sau khi xem xét các quyền lợi và nghĩa vụ, bạn có ủng hộ và tuân thủ chính sách mới hiện nay? - HUMAN-OUT1]]</f>
        <v>2</v>
      </c>
      <c r="BH402" t="str">
        <f t="shared" si="187"/>
        <v>Oppose</v>
      </c>
      <c r="BI402" s="32">
        <f t="shared" si="188"/>
        <v>7</v>
      </c>
    </row>
    <row r="403" spans="1:61" x14ac:dyDescent="0.45">
      <c r="A403" s="30">
        <f>step3_validation[[#This Row],[Persona_ID]]</f>
        <v>402</v>
      </c>
      <c r="B403" s="31">
        <f>step3_validation[[#This Row],[Used_Seed]]</f>
        <v>2392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246.83245577454321</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8</v>
      </c>
      <c r="R403" t="str">
        <f t="shared" si="162"/>
        <v>Support</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1</v>
      </c>
      <c r="V403">
        <f>step3_validation[[#This Row],[AI_ENF2]]</f>
        <v>7</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0</v>
      </c>
      <c r="AA403">
        <f>step3_validation[[#This Row],[AI_FAC1]]</f>
        <v>9</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5</v>
      </c>
      <c r="AF403">
        <f>step3_validation[[#This Row],[AI_FAC2]]</f>
        <v>9</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3</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9</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5</v>
      </c>
      <c r="AU403">
        <f>step3_validation[[#This Row],[AI_TRU3]]</f>
        <v>8</v>
      </c>
      <c r="AV403" t="str">
        <f t="shared" si="180"/>
        <v>Support</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3</v>
      </c>
      <c r="AZ403">
        <f>step3_validation[[#This Row],[AI_TRU4]]</f>
        <v>7</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2</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4</v>
      </c>
    </row>
    <row r="404" spans="1:61" x14ac:dyDescent="0.45">
      <c r="A404" s="30">
        <f>step3_validation[[#This Row],[Persona_ID]]</f>
        <v>403</v>
      </c>
      <c r="B404" s="31">
        <f>step3_validation[[#This Row],[Used_Seed]]</f>
        <v>2393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23.605855353203044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8</v>
      </c>
      <c r="R404" t="str">
        <f t="shared" si="162"/>
        <v>Support</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1</v>
      </c>
      <c r="V404">
        <f>step3_validation[[#This Row],[AI_ENF2]]</f>
        <v>9</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2</v>
      </c>
      <c r="AA404">
        <f>step3_validation[[#This Row],[AI_FAC1]]</f>
        <v>7</v>
      </c>
      <c r="AB404" t="str">
        <f t="shared" si="168"/>
        <v>Neutral</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0</v>
      </c>
      <c r="AF404">
        <f>step3_validation[[#This Row],[AI_FAC2]]</f>
        <v>9</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8</v>
      </c>
      <c r="AL404" t="str">
        <f t="shared" si="174"/>
        <v>Support</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1</v>
      </c>
      <c r="AP404">
        <f>step3_validation[[#This Row],[AI_TRU2]]</f>
        <v>9</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2</v>
      </c>
      <c r="AU404">
        <f>step3_validation[[#This Row],[AI_TRU3]]</f>
        <v>8</v>
      </c>
      <c r="AV404" t="str">
        <f t="shared" si="180"/>
        <v>Support</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1</v>
      </c>
      <c r="AZ404">
        <f>step3_validation[[#This Row],[AI_TRU4]]</f>
        <v>9</v>
      </c>
      <c r="BA404" t="str">
        <f t="shared" si="183"/>
        <v>Support</v>
      </c>
      <c r="BB404">
        <f>survey_responses[[#This Row],[Tôi thấy Nhà nước đã giải thích rõ ràng, minh bạch về lý do và mục tiêu của việc sửa đổi thuế lần này. - HUMAN-TRU4]]</f>
        <v>7</v>
      </c>
      <c r="BC404" t="str">
        <f t="shared" si="184"/>
        <v>Neutral</v>
      </c>
      <c r="BD404" s="32">
        <f t="shared" si="185"/>
        <v>2</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1.8808933002481389</v>
      </c>
      <c r="Z405">
        <f>AVERAGE(Z2:Z404)</f>
        <v>1.8734491315136477</v>
      </c>
      <c r="AE405">
        <f>AVERAGE(AE2:AE404)</f>
        <v>2.5483870967741935</v>
      </c>
      <c r="AJ405">
        <f>AVERAGE(AJ2:AJ404)</f>
        <v>1.9131513647642679</v>
      </c>
      <c r="AO405">
        <f>AVERAGE(AO2:AO404)</f>
        <v>2.1091811414392061</v>
      </c>
      <c r="AT405">
        <f>AVERAGE(AT2:AT404)</f>
        <v>2.4565756823821339</v>
      </c>
      <c r="AY405">
        <f>AVERAGE(AY2:AY404)</f>
        <v>2.4516129032258065</v>
      </c>
      <c r="BD405">
        <f>AVERAGE(BD2:BD404)</f>
        <v>1.935483870967742</v>
      </c>
      <c r="BI405">
        <f>AVERAGE(BI2:BI404)</f>
        <v>2.2605459057071959</v>
      </c>
    </row>
    <row r="406" spans="1:61" x14ac:dyDescent="0.45">
      <c r="Q406" t="s">
        <v>1</v>
      </c>
      <c r="R406">
        <f>COUNTIF($R$2:$R$404,"Oppose")</f>
        <v>6</v>
      </c>
      <c r="S406" t="s">
        <v>1</v>
      </c>
      <c r="T406">
        <f>COUNTIF($T$2:$T$404,"Oppose")</f>
        <v>55</v>
      </c>
      <c r="V406" t="s">
        <v>1</v>
      </c>
      <c r="W406">
        <f>COUNTIF($W$2:$W$404,"Oppose")</f>
        <v>5</v>
      </c>
      <c r="X406" t="s">
        <v>1</v>
      </c>
      <c r="Y406">
        <f>COUNTIF($Y$2:$Y$404,"Oppose")</f>
        <v>45</v>
      </c>
      <c r="AA406" t="s">
        <v>1</v>
      </c>
      <c r="AB406">
        <f>COUNTIF($AB$2:$AB$404,"Oppose")</f>
        <v>0</v>
      </c>
      <c r="AC406" t="s">
        <v>1</v>
      </c>
      <c r="AD406">
        <f>COUNTIF($AD$2:$AD$404,"Oppose")</f>
        <v>83</v>
      </c>
      <c r="AF406" t="s">
        <v>1</v>
      </c>
      <c r="AG406">
        <f>COUNTIF($AG$2:$AG$404,"Oppose")</f>
        <v>0</v>
      </c>
      <c r="AH406" t="s">
        <v>1</v>
      </c>
      <c r="AI406">
        <f>COUNTIF($AI$2:$AI$404,"Oppose")</f>
        <v>21</v>
      </c>
      <c r="AK406" t="s">
        <v>1</v>
      </c>
      <c r="AL406">
        <f>COUNTIF($AL$2:$AL$404,"Oppose")</f>
        <v>1</v>
      </c>
      <c r="AM406" t="s">
        <v>1</v>
      </c>
      <c r="AN406">
        <f>COUNTIF($AN$2:$AN$404,"Oppose")</f>
        <v>57</v>
      </c>
      <c r="AP406" t="s">
        <v>1</v>
      </c>
      <c r="AQ406">
        <f>COUNTIF($AQ$2:$AQ$404,"Oppose")</f>
        <v>0</v>
      </c>
      <c r="AR406" t="s">
        <v>1</v>
      </c>
      <c r="AS406">
        <f>COUNTIF($AS$2:$AS$404,"Oppose")</f>
        <v>70</v>
      </c>
      <c r="AU406" t="s">
        <v>1</v>
      </c>
      <c r="AV406">
        <f>COUNTIF($AV$2:$AV$404,"Oppose")</f>
        <v>0</v>
      </c>
      <c r="AW406" t="s">
        <v>1</v>
      </c>
      <c r="AX406">
        <f>COUNTIF($AX$2:$AX$404,"Oppose")</f>
        <v>72</v>
      </c>
      <c r="AZ406" t="s">
        <v>1</v>
      </c>
      <c r="BA406">
        <f>COUNTIF($BA$2:$BA$404,"Oppose")</f>
        <v>0</v>
      </c>
      <c r="BB406" t="s">
        <v>1</v>
      </c>
      <c r="BC406">
        <f>COUNTIF($BC$2:$BC$404,"Oppose")</f>
        <v>46</v>
      </c>
      <c r="BE406" t="s">
        <v>1</v>
      </c>
      <c r="BF406">
        <f>COUNTIF($BF$2:$BF$404,"Oppose")</f>
        <v>0</v>
      </c>
      <c r="BG406" t="s">
        <v>1</v>
      </c>
      <c r="BH406">
        <f>COUNTIF($BH$2:$BH$404,"Oppose")</f>
        <v>35</v>
      </c>
    </row>
    <row r="407" spans="1:61" x14ac:dyDescent="0.45">
      <c r="Q407" t="s">
        <v>2</v>
      </c>
      <c r="R407">
        <f>COUNTIF($R$2:$R$404,"Neutral")</f>
        <v>266</v>
      </c>
      <c r="S407" t="s">
        <v>2</v>
      </c>
      <c r="T407">
        <f>COUNTIF($T$2:$T$404,"Neutral")</f>
        <v>180</v>
      </c>
      <c r="V407" t="s">
        <v>2</v>
      </c>
      <c r="W407">
        <f>COUNTIF($W$2:$W$404,"Neutral")</f>
        <v>214</v>
      </c>
      <c r="X407" t="s">
        <v>2</v>
      </c>
      <c r="Y407">
        <f>COUNTIF($Y$2:$Y$404,"Neutral")</f>
        <v>166</v>
      </c>
      <c r="AA407" t="s">
        <v>2</v>
      </c>
      <c r="AB407">
        <f>COUNTIF($AB$2:$AB$404,"Neutral")</f>
        <v>74</v>
      </c>
      <c r="AC407" t="s">
        <v>2</v>
      </c>
      <c r="AD407">
        <f>COUNTIF($AD$2:$AD$404,"Neutral")</f>
        <v>177</v>
      </c>
      <c r="AF407" t="s">
        <v>2</v>
      </c>
      <c r="AG407">
        <f>COUNTIF($AG$2:$AG$404,"Neutral")</f>
        <v>17</v>
      </c>
      <c r="AH407" t="s">
        <v>2</v>
      </c>
      <c r="AI407">
        <f>COUNTIF($AI$2:$AI$404,"Neutral")</f>
        <v>185</v>
      </c>
      <c r="AK407" t="s">
        <v>2</v>
      </c>
      <c r="AL407">
        <f>COUNTIF($AL$2:$AL$404,"Neutral")</f>
        <v>176</v>
      </c>
      <c r="AM407" t="s">
        <v>2</v>
      </c>
      <c r="AN407">
        <f>COUNTIF($AN$2:$AN$404,"Neutral")</f>
        <v>218</v>
      </c>
      <c r="AP407" t="s">
        <v>2</v>
      </c>
      <c r="AQ407">
        <f>COUNTIF($AQ$2:$AQ$404,"Neutral")</f>
        <v>17</v>
      </c>
      <c r="AR407" t="s">
        <v>2</v>
      </c>
      <c r="AS407">
        <f>COUNTIF($AS$2:$AS$404,"Neutral")</f>
        <v>178</v>
      </c>
      <c r="AU407" t="s">
        <v>2</v>
      </c>
      <c r="AV407">
        <f>COUNTIF($AV$2:$AV$404,"Neutral")</f>
        <v>163</v>
      </c>
      <c r="AW407" t="s">
        <v>2</v>
      </c>
      <c r="AX407">
        <f>COUNTIF($AX$2:$AX$404,"Neutral")</f>
        <v>217</v>
      </c>
      <c r="AZ407" t="s">
        <v>2</v>
      </c>
      <c r="BA407">
        <f>COUNTIF($BA$2:$BA$404,"Neutral")</f>
        <v>188</v>
      </c>
      <c r="BB407" t="s">
        <v>2</v>
      </c>
      <c r="BC407">
        <f>COUNTIF($BC$2:$BC$404,"Neutral")</f>
        <v>235</v>
      </c>
      <c r="BE407" t="s">
        <v>2</v>
      </c>
      <c r="BF407">
        <f>COUNTIF($BF$2:$BF$404,"Neutral")</f>
        <v>13</v>
      </c>
      <c r="BG407" t="s">
        <v>2</v>
      </c>
      <c r="BH407">
        <f>COUNTIF($BH$2:$BH$404,"Neutral")</f>
        <v>194</v>
      </c>
    </row>
    <row r="408" spans="1:61" x14ac:dyDescent="0.45">
      <c r="Q408" t="s">
        <v>3</v>
      </c>
      <c r="R408">
        <f>COUNTIF($R$2:$R$404,"Support")</f>
        <v>131</v>
      </c>
      <c r="S408" t="s">
        <v>3</v>
      </c>
      <c r="T408">
        <f>COUNTIF($T$2:$T$404,"Support")</f>
        <v>168</v>
      </c>
      <c r="V408" t="s">
        <v>3</v>
      </c>
      <c r="W408">
        <f>COUNTIF($W$2:$W$404,"Support")</f>
        <v>184</v>
      </c>
      <c r="X408" t="s">
        <v>3</v>
      </c>
      <c r="Y408">
        <f>COUNTIF($Y$2:$Y$404,"Support")</f>
        <v>192</v>
      </c>
      <c r="AA408" t="s">
        <v>3</v>
      </c>
      <c r="AB408">
        <f>COUNTIF($AB$2:$AB$404,"Support")</f>
        <v>329</v>
      </c>
      <c r="AC408" t="s">
        <v>3</v>
      </c>
      <c r="AD408">
        <f>COUNTIF($AD$2:$AD$404,"Support")</f>
        <v>143</v>
      </c>
      <c r="AF408" t="s">
        <v>3</v>
      </c>
      <c r="AG408">
        <f>COUNTIF($AG$2:$AG$404,"Support")</f>
        <v>386</v>
      </c>
      <c r="AH408" t="s">
        <v>3</v>
      </c>
      <c r="AI408">
        <f>COUNTIF($AI$2:$AI$404,"Support")</f>
        <v>197</v>
      </c>
      <c r="AK408" t="s">
        <v>3</v>
      </c>
      <c r="AL408">
        <f>COUNTIF($AL$2:$AL$404,"Support")</f>
        <v>225</v>
      </c>
      <c r="AM408" t="s">
        <v>3</v>
      </c>
      <c r="AN408">
        <f>COUNTIF($AN$2:$AN$404,"Support")</f>
        <v>128</v>
      </c>
      <c r="AP408" t="s">
        <v>3</v>
      </c>
      <c r="AQ408">
        <f>COUNTIF($AQ$2:$AQ$404,"Support")</f>
        <v>385</v>
      </c>
      <c r="AR408" t="s">
        <v>3</v>
      </c>
      <c r="AS408">
        <f>COUNTIF($AS$2:$AS$404,"Support")</f>
        <v>155</v>
      </c>
      <c r="AU408" t="s">
        <v>3</v>
      </c>
      <c r="AV408">
        <f>COUNTIF($AV$2:$AV$404,"Support")</f>
        <v>239</v>
      </c>
      <c r="AW408" t="s">
        <v>3</v>
      </c>
      <c r="AX408">
        <f>COUNTIF($AX$2:$AX$404,"Support")</f>
        <v>114</v>
      </c>
      <c r="AZ408" t="s">
        <v>3</v>
      </c>
      <c r="BA408">
        <f>COUNTIF($BA$2:$BA$404,"Support")</f>
        <v>214</v>
      </c>
      <c r="BB408" t="s">
        <v>3</v>
      </c>
      <c r="BC408">
        <f>COUNTIF($BC$2:$BC$404,"Support")</f>
        <v>122</v>
      </c>
      <c r="BE408" t="s">
        <v>3</v>
      </c>
      <c r="BF408">
        <f>COUNTIF($BF$2:$BF$404,"Support")</f>
        <v>389</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402</v>
      </c>
      <c r="AN409">
        <f>SUM(AN406:AN408)</f>
        <v>403</v>
      </c>
      <c r="AQ409">
        <f>SUM(AQ406:AQ408)</f>
        <v>402</v>
      </c>
      <c r="AS409">
        <f>SUM(AS406:AS408)</f>
        <v>403</v>
      </c>
      <c r="AV409">
        <f>SUM(AV406:AV408)</f>
        <v>402</v>
      </c>
      <c r="AX409">
        <f>SUM(AX406:AX408)</f>
        <v>403</v>
      </c>
      <c r="BA409">
        <f>SUM(BA406:BA408)</f>
        <v>402</v>
      </c>
      <c r="BC409">
        <f>SUM(BC406:BC408)</f>
        <v>403</v>
      </c>
      <c r="BF409">
        <f>SUM(BF406:BF408)</f>
        <v>402</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56B3-4301-4BDB-8555-EADDFD44B655}">
  <dimension ref="A1:BI405"/>
  <sheetViews>
    <sheetView topLeftCell="AP375" workbookViewId="0">
      <selection activeCell="BD2" sqref="BD2:BD404"/>
    </sheetView>
  </sheetViews>
  <sheetFormatPr defaultRowHeight="14.25" x14ac:dyDescent="0.45"/>
  <cols>
    <col min="1" max="16"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224</v>
      </c>
      <c r="S1" s="21" t="s">
        <v>126</v>
      </c>
      <c r="T1" s="21" t="s">
        <v>225</v>
      </c>
      <c r="U1" s="22" t="s">
        <v>48</v>
      </c>
      <c r="V1" s="22" t="s">
        <v>226</v>
      </c>
      <c r="W1" s="22" t="s">
        <v>131</v>
      </c>
      <c r="X1" s="22" t="s">
        <v>227</v>
      </c>
      <c r="Y1" s="18" t="s">
        <v>241</v>
      </c>
      <c r="Z1" s="20" t="s">
        <v>242</v>
      </c>
      <c r="AA1" s="21" t="s">
        <v>51</v>
      </c>
      <c r="AB1" s="21" t="s">
        <v>228</v>
      </c>
      <c r="AC1" s="21" t="s">
        <v>135</v>
      </c>
      <c r="AD1" s="21" t="s">
        <v>229</v>
      </c>
      <c r="AE1" s="22" t="s">
        <v>54</v>
      </c>
      <c r="AF1" s="22" t="s">
        <v>230</v>
      </c>
      <c r="AG1" s="22" t="s">
        <v>139</v>
      </c>
      <c r="AH1" s="22" t="s">
        <v>231</v>
      </c>
      <c r="AI1" s="18" t="s">
        <v>243</v>
      </c>
      <c r="AJ1" s="22" t="s">
        <v>244</v>
      </c>
      <c r="AK1" s="21" t="s">
        <v>57</v>
      </c>
      <c r="AL1" s="21" t="s">
        <v>232</v>
      </c>
      <c r="AM1" s="21" t="s">
        <v>143</v>
      </c>
      <c r="AN1" s="21" t="s">
        <v>233</v>
      </c>
      <c r="AO1" s="22" t="s">
        <v>60</v>
      </c>
      <c r="AP1" s="22" t="s">
        <v>234</v>
      </c>
      <c r="AQ1" s="22" t="s">
        <v>147</v>
      </c>
      <c r="AR1" s="22" t="s">
        <v>235</v>
      </c>
      <c r="AS1" s="21" t="s">
        <v>63</v>
      </c>
      <c r="AT1" s="21" t="s">
        <v>236</v>
      </c>
      <c r="AU1" s="21" t="s">
        <v>151</v>
      </c>
      <c r="AV1" s="21" t="s">
        <v>237</v>
      </c>
      <c r="AW1" s="22" t="s">
        <v>66</v>
      </c>
      <c r="AX1" s="22" t="s">
        <v>238</v>
      </c>
      <c r="AY1" s="22" t="s">
        <v>155</v>
      </c>
      <c r="AZ1" s="22" t="s">
        <v>156</v>
      </c>
      <c r="BA1" s="21" t="s">
        <v>245</v>
      </c>
      <c r="BB1" s="22" t="s">
        <v>246</v>
      </c>
      <c r="BC1" s="22" t="s">
        <v>247</v>
      </c>
      <c r="BD1" s="22" t="s">
        <v>248</v>
      </c>
      <c r="BE1" s="21" t="s">
        <v>69</v>
      </c>
      <c r="BF1" s="21" t="s">
        <v>239</v>
      </c>
      <c r="BG1" s="21" t="s">
        <v>159</v>
      </c>
      <c r="BH1" s="21" t="s">
        <v>240</v>
      </c>
      <c r="BI1" s="21" t="s">
        <v>161</v>
      </c>
    </row>
    <row r="2" spans="1:61" x14ac:dyDescent="0.45">
      <c r="A2" s="30">
        <f>step3_validation[[#This Row],[Persona_ID]]</f>
        <v>1</v>
      </c>
      <c r="B2" s="31">
        <f>step3_validation[[#This Row],[Used_Seed]]</f>
        <v>1991</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16.029544063938452</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8</v>
      </c>
      <c r="R2">
        <f>(Q2-1)/9</f>
        <v>0.77777777777777779</v>
      </c>
      <c r="S2">
        <f>survey_responses[[#This Row],[Tôi tin rằng với các quy định quản lý thuế hiện nay, hành vi gian lận hoặc trốn thuế sẽ dễ dàng bị phát hiện và xử lý nghiêm. - HUMAN-ENF1]]</f>
        <v>10</v>
      </c>
      <c r="T2">
        <f>(S2-1)/9</f>
        <v>1</v>
      </c>
      <c r="U2">
        <f>step3_validation[[#This Row],[AI_ENF2]]</f>
        <v>9</v>
      </c>
      <c r="V2">
        <f>(U2-1)/9</f>
        <v>0.88888888888888884</v>
      </c>
      <c r="W2">
        <f>survey_responses[[#This Row],[Tôi tin rằng Nhà nước, cơ quan thuế có đủ khả năng và công nghệ để phát hiện, xử lý nghiêm các hành vi trốn thuế. - HUMAN-ENF2]]</f>
        <v>8</v>
      </c>
      <c r="X2">
        <f>(W2-1)/9</f>
        <v>0.77777777777777779</v>
      </c>
      <c r="Y2" s="32">
        <f>AVERAGE(R2,V2)</f>
        <v>0.83333333333333326</v>
      </c>
      <c r="Z2" s="32">
        <f>AVERAGE(T2,X2)</f>
        <v>0.88888888888888884</v>
      </c>
      <c r="AA2">
        <f>step3_validation[[#This Row],[AI_FAC1]]</f>
        <v>7</v>
      </c>
      <c r="AB2">
        <f>(AA2-1)/9</f>
        <v>0.66666666666666663</v>
      </c>
      <c r="AC2">
        <f>survey_responses[[#This Row],[Các thủ tục khai báo thuế VÀ/HOẶC quy trình làm việc với cơ quan thuế đơn giản, tiện lợi, nhanh chóng hơn so với trước đây. - HUMAN-FAC1]]</f>
        <v>5</v>
      </c>
      <c r="AD2">
        <f>(AC2-1)/9</f>
        <v>0.44444444444444442</v>
      </c>
      <c r="AE2">
        <f>step3_validation[[#This Row],[AI_FAC2]]</f>
        <v>9</v>
      </c>
      <c r="AF2">
        <f>(AE2-1)/9</f>
        <v>0.88888888888888884</v>
      </c>
      <c r="AG2">
        <f>survey_responses[[#This Row],[So với trước đây, tôi thấy cách tính thuế và các bậc thuế trong phương án mới đơn giản, dễ hiểu và dễ thực hiện hơn. - HUMAN-FAC2]]</f>
        <v>5</v>
      </c>
      <c r="AH2">
        <f>(AG2-1)/9</f>
        <v>0.44444444444444442</v>
      </c>
      <c r="AI2" s="32">
        <f>AVERAGE(AB2,AF2)</f>
        <v>0.77777777777777768</v>
      </c>
      <c r="AJ2" s="32">
        <f>AVERAGE(AD2,AH2)</f>
        <v>0.44444444444444442</v>
      </c>
      <c r="AK2">
        <f>step3_validation[[#This Row],[AI_TRU1]]</f>
        <v>8</v>
      </c>
      <c r="AL2">
        <f>(AK2-1)/9</f>
        <v>0.77777777777777779</v>
      </c>
      <c r="AM2">
        <f>survey_responses[[#This Row],[Tôi tin rằng Nhà nước, cơ quan thuế sẽ thực thi chính sách mới một cách khách quan, công tâm và đối xử bình đẳng với mọi người nộp thuế.  - HUMAN-TRU1]]</f>
        <v>10</v>
      </c>
      <c r="AN2">
        <f>(AM2-1)/9</f>
        <v>1</v>
      </c>
      <c r="AO2">
        <f>step3_validation[[#This Row],[AI_TRU2]]</f>
        <v>9</v>
      </c>
      <c r="AP2">
        <f>(AO2-1)/9</f>
        <v>0.88888888888888884</v>
      </c>
      <c r="AQ2">
        <f>survey_responses[[#This Row],[Tôi thấy mức thuế tôi phải đóng theo phương án mới là công bằng (người thu nhập như tôi đóng mức này là hợp lý). - HUMAN-TRU2]]</f>
        <v>10</v>
      </c>
      <c r="AR2">
        <f>(AQ2-1)/9</f>
        <v>1</v>
      </c>
      <c r="AS2">
        <f>step3_validation[[#This Row],[AI_TRU3]]</f>
        <v>8</v>
      </c>
      <c r="AT2">
        <f>(AS2-1)/9</f>
        <v>0.77777777777777779</v>
      </c>
      <c r="AU2">
        <f>survey_responses[[#This Row],[Tôi tin tưởng số tiền thuế tôi đóng sẽ được Nhà nước sử dụng hiệu quả để cải thiện dịch vụ công (y tế, đường xá...). - HUMAN-TRU3]]</f>
        <v>10</v>
      </c>
      <c r="AV2">
        <f>(AU2-1)/9</f>
        <v>1</v>
      </c>
      <c r="AW2">
        <f>step3_validation[[#This Row],[AI_TRU4]]</f>
        <v>9</v>
      </c>
      <c r="AX2">
        <f>(AW2-1)/9</f>
        <v>0.88888888888888884</v>
      </c>
      <c r="AY2">
        <f>survey_responses[[#This Row],[Tôi thấy Nhà nước đã giải thích rõ ràng, minh bạch về lý do và mục tiêu của việc sửa đổi thuế lần này. - HUMAN-TRU4]]</f>
        <v>10</v>
      </c>
      <c r="AZ2">
        <f>(AY2-1)/9</f>
        <v>1</v>
      </c>
      <c r="BA2" s="32">
        <f>AVERAGE(AL2,AP2,AT2,AX2)</f>
        <v>0.83333333333333326</v>
      </c>
      <c r="BB2" s="32">
        <f>AVERAGE(AN2,AR2,AV2,AZ2)</f>
        <v>1</v>
      </c>
      <c r="BC2" s="7">
        <f>(Y2+AI2+BA2)/3</f>
        <v>0.81481481481481477</v>
      </c>
      <c r="BD2" s="7">
        <f>(Z2+AJ2+BB2)/3</f>
        <v>0.77777777777777768</v>
      </c>
      <c r="BE2">
        <f>step3_validation[[#This Row],[AI_OUT1]]</f>
        <v>10</v>
      </c>
      <c r="BF2">
        <f>(BE2-1)/9</f>
        <v>1</v>
      </c>
      <c r="BG2">
        <f>survey_responses[[#This Row],[Sau khi xem xét các quyền lợi và nghĩa vụ, bạn có ủng hộ và tuân thủ chính sách mới hiện nay? - HUMAN-OUT1]]</f>
        <v>10</v>
      </c>
      <c r="BH2">
        <f>(BG2-1)/9</f>
        <v>1</v>
      </c>
      <c r="BI2" s="32">
        <f>ABS(BG2-BE2)</f>
        <v>0</v>
      </c>
    </row>
    <row r="3" spans="1:61" x14ac:dyDescent="0.45">
      <c r="A3" s="30">
        <f>step3_validation[[#This Row],[Persona_ID]]</f>
        <v>2</v>
      </c>
      <c r="B3" s="31">
        <f>step3_validation[[#This Row],[Used_Seed]]</f>
        <v>1992</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12.77596048017443</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8</v>
      </c>
      <c r="R3">
        <f t="shared" ref="R3:R66" si="0">(Q3-1)/9</f>
        <v>0.77777777777777779</v>
      </c>
      <c r="S3">
        <f>survey_responses[[#This Row],[Tôi tin rằng với các quy định quản lý thuế hiện nay, hành vi gian lận hoặc trốn thuế sẽ dễ dàng bị phát hiện và xử lý nghiêm. - HUMAN-ENF1]]</f>
        <v>8</v>
      </c>
      <c r="T3">
        <f t="shared" ref="T3:T66" si="1">(S3-1)/9</f>
        <v>0.77777777777777779</v>
      </c>
      <c r="U3">
        <f>step3_validation[[#This Row],[AI_ENF2]]</f>
        <v>7</v>
      </c>
      <c r="V3">
        <f t="shared" ref="V3:V66" si="2">(U3-1)/9</f>
        <v>0.66666666666666663</v>
      </c>
      <c r="W3">
        <f>survey_responses[[#This Row],[Tôi tin rằng Nhà nước, cơ quan thuế có đủ khả năng và công nghệ để phát hiện, xử lý nghiêm các hành vi trốn thuế. - HUMAN-ENF2]]</f>
        <v>8</v>
      </c>
      <c r="X3">
        <f t="shared" ref="X3:X66" si="3">(W3-1)/9</f>
        <v>0.77777777777777779</v>
      </c>
      <c r="Y3" s="32">
        <f t="shared" ref="Y3:Y66" si="4">AVERAGE(R3,V3)</f>
        <v>0.72222222222222221</v>
      </c>
      <c r="Z3" s="32">
        <f t="shared" ref="Z3:Z66" si="5">AVERAGE(T3,X3)</f>
        <v>0.77777777777777779</v>
      </c>
      <c r="AA3">
        <f>step3_validation[[#This Row],[AI_FAC1]]</f>
        <v>9</v>
      </c>
      <c r="AB3">
        <f t="shared" ref="AB3:AB66" si="6">(AA3-1)/9</f>
        <v>0.88888888888888884</v>
      </c>
      <c r="AC3">
        <f>survey_responses[[#This Row],[Các thủ tục khai báo thuế VÀ/HOẶC quy trình làm việc với cơ quan thuế đơn giản, tiện lợi, nhanh chóng hơn so với trước đây. - HUMAN-FAC1]]</f>
        <v>6</v>
      </c>
      <c r="AD3">
        <f t="shared" ref="AD3:AD66" si="7">(AC3-1)/9</f>
        <v>0.55555555555555558</v>
      </c>
      <c r="AE3">
        <f>step3_validation[[#This Row],[AI_FAC2]]</f>
        <v>10</v>
      </c>
      <c r="AF3">
        <f t="shared" ref="AF3:AF66" si="8">(AE3-1)/9</f>
        <v>1</v>
      </c>
      <c r="AG3">
        <f>survey_responses[[#This Row],[So với trước đây, tôi thấy cách tính thuế và các bậc thuế trong phương án mới đơn giản, dễ hiểu và dễ thực hiện hơn. - HUMAN-FAC2]]</f>
        <v>9</v>
      </c>
      <c r="AH3">
        <f t="shared" ref="AH3:AH66" si="9">(AG3-1)/9</f>
        <v>0.88888888888888884</v>
      </c>
      <c r="AI3" s="32">
        <f t="shared" ref="AI3:AI66" si="10">AVERAGE(AB3,AF3)</f>
        <v>0.94444444444444442</v>
      </c>
      <c r="AJ3" s="32">
        <f t="shared" ref="AJ3:AJ66" si="11">AVERAGE(AD3,AH3)</f>
        <v>0.72222222222222221</v>
      </c>
      <c r="AK3">
        <f>step3_validation[[#This Row],[AI_TRU1]]</f>
        <v>8</v>
      </c>
      <c r="AL3">
        <f t="shared" ref="AL3:AL66" si="12">(AK3-1)/9</f>
        <v>0.77777777777777779</v>
      </c>
      <c r="AM3">
        <f>survey_responses[[#This Row],[Tôi tin rằng Nhà nước, cơ quan thuế sẽ thực thi chính sách mới một cách khách quan, công tâm và đối xử bình đẳng với mọi người nộp thuế.  - HUMAN-TRU1]]</f>
        <v>10</v>
      </c>
      <c r="AN3">
        <f t="shared" ref="AN3:AN66" si="13">(AM3-1)/9</f>
        <v>1</v>
      </c>
      <c r="AO3">
        <f>step3_validation[[#This Row],[AI_TRU2]]</f>
        <v>9</v>
      </c>
      <c r="AP3">
        <f t="shared" ref="AP3:AP66" si="14">(AO3-1)/9</f>
        <v>0.88888888888888884</v>
      </c>
      <c r="AQ3">
        <f>survey_responses[[#This Row],[Tôi thấy mức thuế tôi phải đóng theo phương án mới là công bằng (người thu nhập như tôi đóng mức này là hợp lý). - HUMAN-TRU2]]</f>
        <v>9</v>
      </c>
      <c r="AR3">
        <f t="shared" ref="AR3:AR66" si="15">(AQ3-1)/9</f>
        <v>0.88888888888888884</v>
      </c>
      <c r="AS3">
        <f>step3_validation[[#This Row],[AI_TRU3]]</f>
        <v>8</v>
      </c>
      <c r="AT3">
        <f t="shared" ref="AT3:AT66" si="16">(AS3-1)/9</f>
        <v>0.77777777777777779</v>
      </c>
      <c r="AU3">
        <f>survey_responses[[#This Row],[Tôi tin tưởng số tiền thuế tôi đóng sẽ được Nhà nước sử dụng hiệu quả để cải thiện dịch vụ công (y tế, đường xá...). - HUMAN-TRU3]]</f>
        <v>8</v>
      </c>
      <c r="AV3">
        <f t="shared" ref="AV3:AV66" si="17">(AU3-1)/9</f>
        <v>0.77777777777777779</v>
      </c>
      <c r="AW3">
        <f>step3_validation[[#This Row],[AI_TRU4]]</f>
        <v>9</v>
      </c>
      <c r="AX3">
        <f t="shared" ref="AX3:AX66" si="18">(AW3-1)/9</f>
        <v>0.88888888888888884</v>
      </c>
      <c r="AY3">
        <f>survey_responses[[#This Row],[Tôi thấy Nhà nước đã giải thích rõ ràng, minh bạch về lý do và mục tiêu của việc sửa đổi thuế lần này. - HUMAN-TRU4]]</f>
        <v>9</v>
      </c>
      <c r="AZ3">
        <f t="shared" ref="AZ3:AZ66" si="19">(AY3-1)/9</f>
        <v>0.88888888888888884</v>
      </c>
      <c r="BA3" s="32">
        <f t="shared" ref="BA3:BA66" si="20">AVERAGE(AL3,AP3,AT3,AX3)</f>
        <v>0.83333333333333326</v>
      </c>
      <c r="BB3" s="32">
        <f t="shared" ref="BB3:BB66" si="21">AVERAGE(AN3,AR3,AV3,AZ3)</f>
        <v>0.88888888888888884</v>
      </c>
      <c r="BC3" s="7">
        <f t="shared" ref="BC3:BC66" si="22">(Y3+AI3+BA3)/3</f>
        <v>0.83333333333333337</v>
      </c>
      <c r="BD3" s="7">
        <f t="shared" ref="BD3:BD66" si="23">(Z3+AJ3+BB3)/3</f>
        <v>0.79629629629629628</v>
      </c>
      <c r="BE3">
        <f>step3_validation[[#This Row],[AI_OUT1]]</f>
        <v>9</v>
      </c>
      <c r="BF3">
        <f t="shared" ref="BF3:BF66" si="24">(BE3-1)/9</f>
        <v>0.88888888888888884</v>
      </c>
      <c r="BG3">
        <f>survey_responses[[#This Row],[Sau khi xem xét các quyền lợi và nghĩa vụ, bạn có ủng hộ và tuân thủ chính sách mới hiện nay? - HUMAN-OUT1]]</f>
        <v>10</v>
      </c>
      <c r="BH3">
        <f t="shared" ref="BH3:BH66" si="25">(BG3-1)/9</f>
        <v>1</v>
      </c>
      <c r="BI3" s="32">
        <f t="shared" ref="BI3:BI66" si="26">ABS(BG3-BE3)</f>
        <v>1</v>
      </c>
    </row>
    <row r="4" spans="1:61" x14ac:dyDescent="0.45">
      <c r="A4" s="30">
        <f>step3_validation[[#This Row],[Persona_ID]]</f>
        <v>3</v>
      </c>
      <c r="B4" s="31">
        <f>step3_validation[[#This Row],[Used_Seed]]</f>
        <v>1993</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61.547531975843718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6</v>
      </c>
      <c r="R4">
        <f t="shared" si="0"/>
        <v>0.55555555555555558</v>
      </c>
      <c r="S4">
        <f>survey_responses[[#This Row],[Tôi tin rằng với các quy định quản lý thuế hiện nay, hành vi gian lận hoặc trốn thuế sẽ dễ dàng bị phát hiện và xử lý nghiêm. - HUMAN-ENF1]]</f>
        <v>6</v>
      </c>
      <c r="T4">
        <f t="shared" si="1"/>
        <v>0.55555555555555558</v>
      </c>
      <c r="U4">
        <f>step3_validation[[#This Row],[AI_ENF2]]</f>
        <v>8</v>
      </c>
      <c r="V4">
        <f t="shared" si="2"/>
        <v>0.77777777777777779</v>
      </c>
      <c r="W4">
        <f>survey_responses[[#This Row],[Tôi tin rằng Nhà nước, cơ quan thuế có đủ khả năng và công nghệ để phát hiện, xử lý nghiêm các hành vi trốn thuế. - HUMAN-ENF2]]</f>
        <v>5</v>
      </c>
      <c r="X4">
        <f t="shared" si="3"/>
        <v>0.44444444444444442</v>
      </c>
      <c r="Y4" s="32">
        <f t="shared" si="4"/>
        <v>0.66666666666666674</v>
      </c>
      <c r="Z4" s="32">
        <f t="shared" si="5"/>
        <v>0.5</v>
      </c>
      <c r="AA4">
        <f>step3_validation[[#This Row],[AI_FAC1]]</f>
        <v>9</v>
      </c>
      <c r="AB4">
        <f t="shared" si="6"/>
        <v>0.88888888888888884</v>
      </c>
      <c r="AC4">
        <f>survey_responses[[#This Row],[Các thủ tục khai báo thuế VÀ/HOẶC quy trình làm việc với cơ quan thuế đơn giản, tiện lợi, nhanh chóng hơn so với trước đây. - HUMAN-FAC1]]</f>
        <v>4</v>
      </c>
      <c r="AD4">
        <f t="shared" si="7"/>
        <v>0.33333333333333331</v>
      </c>
      <c r="AE4">
        <f>step3_validation[[#This Row],[AI_FAC2]]</f>
        <v>9</v>
      </c>
      <c r="AF4">
        <f t="shared" si="8"/>
        <v>0.88888888888888884</v>
      </c>
      <c r="AG4">
        <f>survey_responses[[#This Row],[So với trước đây, tôi thấy cách tính thuế và các bậc thuế trong phương án mới đơn giản, dễ hiểu và dễ thực hiện hơn. - HUMAN-FAC2]]</f>
        <v>5</v>
      </c>
      <c r="AH4">
        <f t="shared" si="9"/>
        <v>0.44444444444444442</v>
      </c>
      <c r="AI4" s="32">
        <f t="shared" si="10"/>
        <v>0.88888888888888884</v>
      </c>
      <c r="AJ4" s="32">
        <f t="shared" si="11"/>
        <v>0.38888888888888884</v>
      </c>
      <c r="AK4">
        <f>step3_validation[[#This Row],[AI_TRU1]]</f>
        <v>8</v>
      </c>
      <c r="AL4">
        <f t="shared" si="12"/>
        <v>0.77777777777777779</v>
      </c>
      <c r="AM4">
        <f>survey_responses[[#This Row],[Tôi tin rằng Nhà nước, cơ quan thuế sẽ thực thi chính sách mới một cách khách quan, công tâm và đối xử bình đẳng với mọi người nộp thuế.  - HUMAN-TRU1]]</f>
        <v>4</v>
      </c>
      <c r="AN4">
        <f t="shared" si="13"/>
        <v>0.33333333333333331</v>
      </c>
      <c r="AO4">
        <f>step3_validation[[#This Row],[AI_TRU2]]</f>
        <v>9</v>
      </c>
      <c r="AP4">
        <f t="shared" si="14"/>
        <v>0.88888888888888884</v>
      </c>
      <c r="AQ4">
        <f>survey_responses[[#This Row],[Tôi thấy mức thuế tôi phải đóng theo phương án mới là công bằng (người thu nhập như tôi đóng mức này là hợp lý). - HUMAN-TRU2]]</f>
        <v>4</v>
      </c>
      <c r="AR4">
        <f t="shared" si="15"/>
        <v>0.33333333333333331</v>
      </c>
      <c r="AS4">
        <f>step3_validation[[#This Row],[AI_TRU3]]</f>
        <v>8</v>
      </c>
      <c r="AT4">
        <f t="shared" si="16"/>
        <v>0.77777777777777779</v>
      </c>
      <c r="AU4">
        <f>survey_responses[[#This Row],[Tôi tin tưởng số tiền thuế tôi đóng sẽ được Nhà nước sử dụng hiệu quả để cải thiện dịch vụ công (y tế, đường xá...). - HUMAN-TRU3]]</f>
        <v>4</v>
      </c>
      <c r="AV4">
        <f t="shared" si="17"/>
        <v>0.33333333333333331</v>
      </c>
      <c r="AW4">
        <f>step3_validation[[#This Row],[AI_TRU4]]</f>
        <v>9</v>
      </c>
      <c r="AX4">
        <f t="shared" si="18"/>
        <v>0.88888888888888884</v>
      </c>
      <c r="AY4">
        <f>survey_responses[[#This Row],[Tôi thấy Nhà nước đã giải thích rõ ràng, minh bạch về lý do và mục tiêu của việc sửa đổi thuế lần này. - HUMAN-TRU4]]</f>
        <v>10</v>
      </c>
      <c r="AZ4">
        <f t="shared" si="19"/>
        <v>1</v>
      </c>
      <c r="BA4" s="32">
        <f t="shared" si="20"/>
        <v>0.83333333333333326</v>
      </c>
      <c r="BB4" s="32">
        <f t="shared" si="21"/>
        <v>0.5</v>
      </c>
      <c r="BC4" s="7">
        <f t="shared" si="22"/>
        <v>0.79629629629629628</v>
      </c>
      <c r="BD4" s="7">
        <f t="shared" si="23"/>
        <v>0.46296296296296297</v>
      </c>
      <c r="BE4">
        <f>step3_validation[[#This Row],[AI_OUT1]]</f>
        <v>9</v>
      </c>
      <c r="BF4">
        <f t="shared" si="24"/>
        <v>0.88888888888888884</v>
      </c>
      <c r="BG4">
        <f>survey_responses[[#This Row],[Sau khi xem xét các quyền lợi và nghĩa vụ, bạn có ủng hộ và tuân thủ chính sách mới hiện nay? - HUMAN-OUT1]]</f>
        <v>4</v>
      </c>
      <c r="BH4">
        <f t="shared" si="25"/>
        <v>0.33333333333333331</v>
      </c>
      <c r="BI4" s="32">
        <f t="shared" si="26"/>
        <v>5</v>
      </c>
    </row>
    <row r="5" spans="1:61" x14ac:dyDescent="0.45">
      <c r="A5" s="30">
        <f>step3_validation[[#This Row],[Persona_ID]]</f>
        <v>4</v>
      </c>
      <c r="B5" s="31">
        <f>step3_validation[[#This Row],[Used_Seed]]</f>
        <v>1994</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f t="shared" si="0"/>
        <v>0.66666666666666663</v>
      </c>
      <c r="S5">
        <f>survey_responses[[#This Row],[Tôi tin rằng với các quy định quản lý thuế hiện nay, hành vi gian lận hoặc trốn thuế sẽ dễ dàng bị phát hiện và xử lý nghiêm. - HUMAN-ENF1]]</f>
        <v>10</v>
      </c>
      <c r="T5">
        <f t="shared" si="1"/>
        <v>1</v>
      </c>
      <c r="U5">
        <f>step3_validation[[#This Row],[AI_ENF2]]</f>
        <v>6</v>
      </c>
      <c r="V5">
        <f t="shared" si="2"/>
        <v>0.55555555555555558</v>
      </c>
      <c r="W5">
        <f>survey_responses[[#This Row],[Tôi tin rằng Nhà nước, cơ quan thuế có đủ khả năng và công nghệ để phát hiện, xử lý nghiêm các hành vi trốn thuế. - HUMAN-ENF2]]</f>
        <v>10</v>
      </c>
      <c r="X5">
        <f t="shared" si="3"/>
        <v>1</v>
      </c>
      <c r="Y5" s="32">
        <f t="shared" si="4"/>
        <v>0.61111111111111116</v>
      </c>
      <c r="Z5" s="32">
        <f t="shared" si="5"/>
        <v>1</v>
      </c>
      <c r="AA5">
        <f>step3_validation[[#This Row],[AI_FAC1]]</f>
        <v>7</v>
      </c>
      <c r="AB5">
        <f t="shared" si="6"/>
        <v>0.66666666666666663</v>
      </c>
      <c r="AC5">
        <f>survey_responses[[#This Row],[Các thủ tục khai báo thuế VÀ/HOẶC quy trình làm việc với cơ quan thuế đơn giản, tiện lợi, nhanh chóng hơn so với trước đây. - HUMAN-FAC1]]</f>
        <v>8</v>
      </c>
      <c r="AD5">
        <f t="shared" si="7"/>
        <v>0.77777777777777779</v>
      </c>
      <c r="AE5">
        <f>step3_validation[[#This Row],[AI_FAC2]]</f>
        <v>9</v>
      </c>
      <c r="AF5">
        <f t="shared" si="8"/>
        <v>0.88888888888888884</v>
      </c>
      <c r="AG5">
        <f>survey_responses[[#This Row],[So với trước đây, tôi thấy cách tính thuế và các bậc thuế trong phương án mới đơn giản, dễ hiểu và dễ thực hiện hơn. - HUMAN-FAC2]]</f>
        <v>9</v>
      </c>
      <c r="AH5">
        <f t="shared" si="9"/>
        <v>0.88888888888888884</v>
      </c>
      <c r="AI5" s="32">
        <f t="shared" si="10"/>
        <v>0.77777777777777768</v>
      </c>
      <c r="AJ5" s="32">
        <f t="shared" si="11"/>
        <v>0.83333333333333326</v>
      </c>
      <c r="AK5">
        <f>step3_validation[[#This Row],[AI_TRU1]]</f>
        <v>8</v>
      </c>
      <c r="AL5">
        <f t="shared" si="12"/>
        <v>0.77777777777777779</v>
      </c>
      <c r="AM5">
        <f>survey_responses[[#This Row],[Tôi tin rằng Nhà nước, cơ quan thuế sẽ thực thi chính sách mới một cách khách quan, công tâm và đối xử bình đẳng với mọi người nộp thuế.  - HUMAN-TRU1]]</f>
        <v>9</v>
      </c>
      <c r="AN5">
        <f t="shared" si="13"/>
        <v>0.88888888888888884</v>
      </c>
      <c r="AO5">
        <f>step3_validation[[#This Row],[AI_TRU2]]</f>
        <v>9</v>
      </c>
      <c r="AP5">
        <f t="shared" si="14"/>
        <v>0.88888888888888884</v>
      </c>
      <c r="AQ5">
        <f>survey_responses[[#This Row],[Tôi thấy mức thuế tôi phải đóng theo phương án mới là công bằng (người thu nhập như tôi đóng mức này là hợp lý). - HUMAN-TRU2]]</f>
        <v>7</v>
      </c>
      <c r="AR5">
        <f t="shared" si="15"/>
        <v>0.66666666666666663</v>
      </c>
      <c r="AS5">
        <f>step3_validation[[#This Row],[AI_TRU3]]</f>
        <v>8</v>
      </c>
      <c r="AT5">
        <f t="shared" si="16"/>
        <v>0.77777777777777779</v>
      </c>
      <c r="AU5">
        <f>survey_responses[[#This Row],[Tôi tin tưởng số tiền thuế tôi đóng sẽ được Nhà nước sử dụng hiệu quả để cải thiện dịch vụ công (y tế, đường xá...). - HUMAN-TRU3]]</f>
        <v>10</v>
      </c>
      <c r="AV5">
        <f t="shared" si="17"/>
        <v>1</v>
      </c>
      <c r="AW5">
        <f>step3_validation[[#This Row],[AI_TRU4]]</f>
        <v>9</v>
      </c>
      <c r="AX5">
        <f t="shared" si="18"/>
        <v>0.88888888888888884</v>
      </c>
      <c r="AY5">
        <f>survey_responses[[#This Row],[Tôi thấy Nhà nước đã giải thích rõ ràng, minh bạch về lý do và mục tiêu của việc sửa đổi thuế lần này. - HUMAN-TRU4]]</f>
        <v>7</v>
      </c>
      <c r="AZ5">
        <f t="shared" si="19"/>
        <v>0.66666666666666663</v>
      </c>
      <c r="BA5" s="32">
        <f t="shared" si="20"/>
        <v>0.83333333333333326</v>
      </c>
      <c r="BB5" s="32">
        <f t="shared" si="21"/>
        <v>0.80555555555555547</v>
      </c>
      <c r="BC5" s="7">
        <f t="shared" si="22"/>
        <v>0.74074074074074081</v>
      </c>
      <c r="BD5" s="7">
        <f t="shared" si="23"/>
        <v>0.87962962962962965</v>
      </c>
      <c r="BE5">
        <f>step3_validation[[#This Row],[AI_OUT1]]</f>
        <v>8</v>
      </c>
      <c r="BF5">
        <f t="shared" si="24"/>
        <v>0.77777777777777779</v>
      </c>
      <c r="BG5">
        <f>survey_responses[[#This Row],[Sau khi xem xét các quyền lợi và nghĩa vụ, bạn có ủng hộ và tuân thủ chính sách mới hiện nay? - HUMAN-OUT1]]</f>
        <v>10</v>
      </c>
      <c r="BH5">
        <f t="shared" si="25"/>
        <v>1</v>
      </c>
      <c r="BI5" s="32">
        <f t="shared" si="26"/>
        <v>2</v>
      </c>
    </row>
    <row r="6" spans="1:61" x14ac:dyDescent="0.45">
      <c r="A6" s="30">
        <f>step3_validation[[#This Row],[Persona_ID]]</f>
        <v>5</v>
      </c>
      <c r="B6" s="31">
        <f>step3_validation[[#This Row],[Used_Seed]]</f>
        <v>1995</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7</v>
      </c>
      <c r="R6">
        <f t="shared" si="0"/>
        <v>0.66666666666666663</v>
      </c>
      <c r="S6">
        <f>survey_responses[[#This Row],[Tôi tin rằng với các quy định quản lý thuế hiện nay, hành vi gian lận hoặc trốn thuế sẽ dễ dàng bị phát hiện và xử lý nghiêm. - HUMAN-ENF1]]</f>
        <v>9</v>
      </c>
      <c r="T6">
        <f t="shared" si="1"/>
        <v>0.88888888888888884</v>
      </c>
      <c r="U6">
        <f>step3_validation[[#This Row],[AI_ENF2]]</f>
        <v>6</v>
      </c>
      <c r="V6">
        <f t="shared" si="2"/>
        <v>0.55555555555555558</v>
      </c>
      <c r="W6">
        <f>survey_responses[[#This Row],[Tôi tin rằng Nhà nước, cơ quan thuế có đủ khả năng và công nghệ để phát hiện, xử lý nghiêm các hành vi trốn thuế. - HUMAN-ENF2]]</f>
        <v>9</v>
      </c>
      <c r="X6">
        <f t="shared" si="3"/>
        <v>0.88888888888888884</v>
      </c>
      <c r="Y6" s="32">
        <f t="shared" si="4"/>
        <v>0.61111111111111116</v>
      </c>
      <c r="Z6" s="32">
        <f t="shared" si="5"/>
        <v>0.88888888888888884</v>
      </c>
      <c r="AA6">
        <f>step3_validation[[#This Row],[AI_FAC1]]</f>
        <v>8</v>
      </c>
      <c r="AB6">
        <f t="shared" si="6"/>
        <v>0.77777777777777779</v>
      </c>
      <c r="AC6">
        <f>survey_responses[[#This Row],[Các thủ tục khai báo thuế VÀ/HOẶC quy trình làm việc với cơ quan thuế đơn giản, tiện lợi, nhanh chóng hơn so với trước đây. - HUMAN-FAC1]]</f>
        <v>10</v>
      </c>
      <c r="AD6">
        <f t="shared" si="7"/>
        <v>1</v>
      </c>
      <c r="AE6">
        <f>step3_validation[[#This Row],[AI_FAC2]]</f>
        <v>9</v>
      </c>
      <c r="AF6">
        <f t="shared" si="8"/>
        <v>0.88888888888888884</v>
      </c>
      <c r="AG6">
        <f>survey_responses[[#This Row],[So với trước đây, tôi thấy cách tính thuế và các bậc thuế trong phương án mới đơn giản, dễ hiểu và dễ thực hiện hơn. - HUMAN-FAC2]]</f>
        <v>9</v>
      </c>
      <c r="AH6">
        <f t="shared" si="9"/>
        <v>0.88888888888888884</v>
      </c>
      <c r="AI6" s="32">
        <f t="shared" si="10"/>
        <v>0.83333333333333326</v>
      </c>
      <c r="AJ6" s="32">
        <f t="shared" si="11"/>
        <v>0.94444444444444442</v>
      </c>
      <c r="AK6">
        <f>step3_validation[[#This Row],[AI_TRU1]]</f>
        <v>8</v>
      </c>
      <c r="AL6">
        <f t="shared" si="12"/>
        <v>0.77777777777777779</v>
      </c>
      <c r="AM6">
        <f>survey_responses[[#This Row],[Tôi tin rằng Nhà nước, cơ quan thuế sẽ thực thi chính sách mới một cách khách quan, công tâm và đối xử bình đẳng với mọi người nộp thuế.  - HUMAN-TRU1]]</f>
        <v>9</v>
      </c>
      <c r="AN6">
        <f t="shared" si="13"/>
        <v>0.88888888888888884</v>
      </c>
      <c r="AO6">
        <f>step3_validation[[#This Row],[AI_TRU2]]</f>
        <v>9</v>
      </c>
      <c r="AP6">
        <f t="shared" si="14"/>
        <v>0.88888888888888884</v>
      </c>
      <c r="AQ6">
        <f>survey_responses[[#This Row],[Tôi thấy mức thuế tôi phải đóng theo phương án mới là công bằng (người thu nhập như tôi đóng mức này là hợp lý). - HUMAN-TRU2]]</f>
        <v>9</v>
      </c>
      <c r="AR6">
        <f t="shared" si="15"/>
        <v>0.88888888888888884</v>
      </c>
      <c r="AS6">
        <f>step3_validation[[#This Row],[AI_TRU3]]</f>
        <v>8</v>
      </c>
      <c r="AT6">
        <f t="shared" si="16"/>
        <v>0.77777777777777779</v>
      </c>
      <c r="AU6">
        <f>survey_responses[[#This Row],[Tôi tin tưởng số tiền thuế tôi đóng sẽ được Nhà nước sử dụng hiệu quả để cải thiện dịch vụ công (y tế, đường xá...). - HUMAN-TRU3]]</f>
        <v>9</v>
      </c>
      <c r="AV6">
        <f t="shared" si="17"/>
        <v>0.88888888888888884</v>
      </c>
      <c r="AW6">
        <f>step3_validation[[#This Row],[AI_TRU4]]</f>
        <v>7</v>
      </c>
      <c r="AX6">
        <f t="shared" si="18"/>
        <v>0.66666666666666663</v>
      </c>
      <c r="AY6">
        <f>survey_responses[[#This Row],[Tôi thấy Nhà nước đã giải thích rõ ràng, minh bạch về lý do và mục tiêu của việc sửa đổi thuế lần này. - HUMAN-TRU4]]</f>
        <v>9</v>
      </c>
      <c r="AZ6">
        <f t="shared" si="19"/>
        <v>0.88888888888888884</v>
      </c>
      <c r="BA6" s="32">
        <f t="shared" si="20"/>
        <v>0.77777777777777768</v>
      </c>
      <c r="BB6" s="32">
        <f t="shared" si="21"/>
        <v>0.88888888888888884</v>
      </c>
      <c r="BC6" s="7">
        <f t="shared" si="22"/>
        <v>0.74074074074074081</v>
      </c>
      <c r="BD6" s="7">
        <f t="shared" si="23"/>
        <v>0.90740740740740744</v>
      </c>
      <c r="BE6">
        <f>step3_validation[[#This Row],[AI_OUT1]]</f>
        <v>9</v>
      </c>
      <c r="BF6">
        <f t="shared" si="24"/>
        <v>0.88888888888888884</v>
      </c>
      <c r="BG6">
        <f>survey_responses[[#This Row],[Sau khi xem xét các quyền lợi và nghĩa vụ, bạn có ủng hộ và tuân thủ chính sách mới hiện nay? - HUMAN-OUT1]]</f>
        <v>9</v>
      </c>
      <c r="BH6">
        <f t="shared" si="25"/>
        <v>0.88888888888888884</v>
      </c>
      <c r="BI6" s="32">
        <f t="shared" si="26"/>
        <v>0</v>
      </c>
    </row>
    <row r="7" spans="1:61" x14ac:dyDescent="0.45">
      <c r="A7" s="30">
        <f>step3_validation[[#This Row],[Persona_ID]]</f>
        <v>6</v>
      </c>
      <c r="B7" s="31">
        <f>step3_validation[[#This Row],[Used_Seed]]</f>
        <v>1996</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92.750176336270357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5</v>
      </c>
      <c r="R7">
        <f t="shared" si="0"/>
        <v>0.44444444444444442</v>
      </c>
      <c r="S7">
        <f>survey_responses[[#This Row],[Tôi tin rằng với các quy định quản lý thuế hiện nay, hành vi gian lận hoặc trốn thuế sẽ dễ dàng bị phát hiện và xử lý nghiêm. - HUMAN-ENF1]]</f>
        <v>8</v>
      </c>
      <c r="T7">
        <f t="shared" si="1"/>
        <v>0.77777777777777779</v>
      </c>
      <c r="U7">
        <f>step3_validation[[#This Row],[AI_ENF2]]</f>
        <v>6</v>
      </c>
      <c r="V7">
        <f t="shared" si="2"/>
        <v>0.55555555555555558</v>
      </c>
      <c r="W7">
        <f>survey_responses[[#This Row],[Tôi tin rằng Nhà nước, cơ quan thuế có đủ khả năng và công nghệ để phát hiện, xử lý nghiêm các hành vi trốn thuế. - HUMAN-ENF2]]</f>
        <v>8</v>
      </c>
      <c r="X7">
        <f t="shared" si="3"/>
        <v>0.77777777777777779</v>
      </c>
      <c r="Y7" s="32">
        <f t="shared" si="4"/>
        <v>0.5</v>
      </c>
      <c r="Z7" s="32">
        <f t="shared" si="5"/>
        <v>0.77777777777777779</v>
      </c>
      <c r="AA7">
        <f>step3_validation[[#This Row],[AI_FAC1]]</f>
        <v>7</v>
      </c>
      <c r="AB7">
        <f t="shared" si="6"/>
        <v>0.66666666666666663</v>
      </c>
      <c r="AC7">
        <f>survey_responses[[#This Row],[Các thủ tục khai báo thuế VÀ/HOẶC quy trình làm việc với cơ quan thuế đơn giản, tiện lợi, nhanh chóng hơn so với trước đây. - HUMAN-FAC1]]</f>
        <v>5</v>
      </c>
      <c r="AD7">
        <f t="shared" si="7"/>
        <v>0.44444444444444442</v>
      </c>
      <c r="AE7">
        <f>step3_validation[[#This Row],[AI_FAC2]]</f>
        <v>8</v>
      </c>
      <c r="AF7">
        <f t="shared" si="8"/>
        <v>0.77777777777777779</v>
      </c>
      <c r="AG7">
        <f>survey_responses[[#This Row],[So với trước đây, tôi thấy cách tính thuế và các bậc thuế trong phương án mới đơn giản, dễ hiểu và dễ thực hiện hơn. - HUMAN-FAC2]]</f>
        <v>8</v>
      </c>
      <c r="AH7">
        <f t="shared" si="9"/>
        <v>0.77777777777777779</v>
      </c>
      <c r="AI7" s="32">
        <f t="shared" si="10"/>
        <v>0.72222222222222221</v>
      </c>
      <c r="AJ7" s="32">
        <f t="shared" si="11"/>
        <v>0.61111111111111116</v>
      </c>
      <c r="AK7">
        <f>step3_validation[[#This Row],[AI_TRU1]]</f>
        <v>7</v>
      </c>
      <c r="AL7">
        <f t="shared" si="12"/>
        <v>0.66666666666666663</v>
      </c>
      <c r="AM7">
        <f>survey_responses[[#This Row],[Tôi tin rằng Nhà nước, cơ quan thuế sẽ thực thi chính sách mới một cách khách quan, công tâm và đối xử bình đẳng với mọi người nộp thuế.  - HUMAN-TRU1]]</f>
        <v>6</v>
      </c>
      <c r="AN7">
        <f t="shared" si="13"/>
        <v>0.55555555555555558</v>
      </c>
      <c r="AO7">
        <f>step3_validation[[#This Row],[AI_TRU2]]</f>
        <v>9</v>
      </c>
      <c r="AP7">
        <f t="shared" si="14"/>
        <v>0.88888888888888884</v>
      </c>
      <c r="AQ7">
        <f>survey_responses[[#This Row],[Tôi thấy mức thuế tôi phải đóng theo phương án mới là công bằng (người thu nhập như tôi đóng mức này là hợp lý). - HUMAN-TRU2]]</f>
        <v>6</v>
      </c>
      <c r="AR7">
        <f t="shared" si="15"/>
        <v>0.55555555555555558</v>
      </c>
      <c r="AS7">
        <f>step3_validation[[#This Row],[AI_TRU3]]</f>
        <v>8</v>
      </c>
      <c r="AT7">
        <f t="shared" si="16"/>
        <v>0.77777777777777779</v>
      </c>
      <c r="AU7">
        <f>survey_responses[[#This Row],[Tôi tin tưởng số tiền thuế tôi đóng sẽ được Nhà nước sử dụng hiệu quả để cải thiện dịch vụ công (y tế, đường xá...). - HUMAN-TRU3]]</f>
        <v>4</v>
      </c>
      <c r="AV7">
        <f t="shared" si="17"/>
        <v>0.33333333333333331</v>
      </c>
      <c r="AW7">
        <f>step3_validation[[#This Row],[AI_TRU4]]</f>
        <v>7</v>
      </c>
      <c r="AX7">
        <f t="shared" si="18"/>
        <v>0.66666666666666663</v>
      </c>
      <c r="AY7">
        <f>survey_responses[[#This Row],[Tôi thấy Nhà nước đã giải thích rõ ràng, minh bạch về lý do và mục tiêu của việc sửa đổi thuế lần này. - HUMAN-TRU4]]</f>
        <v>5</v>
      </c>
      <c r="AZ7">
        <f t="shared" si="19"/>
        <v>0.44444444444444442</v>
      </c>
      <c r="BA7" s="32">
        <f t="shared" si="20"/>
        <v>0.74999999999999989</v>
      </c>
      <c r="BB7" s="32">
        <f t="shared" si="21"/>
        <v>0.47222222222222221</v>
      </c>
      <c r="BC7" s="7">
        <f t="shared" si="22"/>
        <v>0.65740740740740744</v>
      </c>
      <c r="BD7" s="7">
        <f t="shared" si="23"/>
        <v>0.62037037037037035</v>
      </c>
      <c r="BE7">
        <f>step3_validation[[#This Row],[AI_OUT1]]</f>
        <v>9</v>
      </c>
      <c r="BF7">
        <f t="shared" si="24"/>
        <v>0.88888888888888884</v>
      </c>
      <c r="BG7">
        <f>survey_responses[[#This Row],[Sau khi xem xét các quyền lợi và nghĩa vụ, bạn có ủng hộ và tuân thủ chính sách mới hiện nay? - HUMAN-OUT1]]</f>
        <v>6</v>
      </c>
      <c r="BH7">
        <f t="shared" si="25"/>
        <v>0.55555555555555558</v>
      </c>
      <c r="BI7" s="32">
        <f t="shared" si="26"/>
        <v>3</v>
      </c>
    </row>
    <row r="8" spans="1:61" x14ac:dyDescent="0.45">
      <c r="A8" s="30">
        <f>step3_validation[[#This Row],[Persona_ID]]</f>
        <v>7</v>
      </c>
      <c r="B8" s="31">
        <f>step3_validation[[#This Row],[Used_Seed]]</f>
        <v>1997</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20.750694249558155</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8</v>
      </c>
      <c r="R8">
        <f t="shared" si="0"/>
        <v>0.77777777777777779</v>
      </c>
      <c r="S8">
        <f>survey_responses[[#This Row],[Tôi tin rằng với các quy định quản lý thuế hiện nay, hành vi gian lận hoặc trốn thuế sẽ dễ dàng bị phát hiện và xử lý nghiêm. - HUMAN-ENF1]]</f>
        <v>5</v>
      </c>
      <c r="T8">
        <f t="shared" si="1"/>
        <v>0.44444444444444442</v>
      </c>
      <c r="U8">
        <f>step3_validation[[#This Row],[AI_ENF2]]</f>
        <v>9</v>
      </c>
      <c r="V8">
        <f t="shared" si="2"/>
        <v>0.88888888888888884</v>
      </c>
      <c r="W8">
        <f>survey_responses[[#This Row],[Tôi tin rằng Nhà nước, cơ quan thuế có đủ khả năng và công nghệ để phát hiện, xử lý nghiêm các hành vi trốn thuế. - HUMAN-ENF2]]</f>
        <v>4</v>
      </c>
      <c r="X8">
        <f t="shared" si="3"/>
        <v>0.33333333333333331</v>
      </c>
      <c r="Y8" s="32">
        <f t="shared" si="4"/>
        <v>0.83333333333333326</v>
      </c>
      <c r="Z8" s="32">
        <f t="shared" si="5"/>
        <v>0.38888888888888884</v>
      </c>
      <c r="AA8">
        <f>step3_validation[[#This Row],[AI_FAC1]]</f>
        <v>7</v>
      </c>
      <c r="AB8">
        <f t="shared" si="6"/>
        <v>0.66666666666666663</v>
      </c>
      <c r="AC8">
        <f>survey_responses[[#This Row],[Các thủ tục khai báo thuế VÀ/HOẶC quy trình làm việc với cơ quan thuế đơn giản, tiện lợi, nhanh chóng hơn so với trước đây. - HUMAN-FAC1]]</f>
        <v>4</v>
      </c>
      <c r="AD8">
        <f t="shared" si="7"/>
        <v>0.33333333333333331</v>
      </c>
      <c r="AE8">
        <f>step3_validation[[#This Row],[AI_FAC2]]</f>
        <v>9</v>
      </c>
      <c r="AF8">
        <f t="shared" si="8"/>
        <v>0.88888888888888884</v>
      </c>
      <c r="AG8">
        <f>survey_responses[[#This Row],[So với trước đây, tôi thấy cách tính thuế và các bậc thuế trong phương án mới đơn giản, dễ hiểu và dễ thực hiện hơn. - HUMAN-FAC2]]</f>
        <v>6</v>
      </c>
      <c r="AH8">
        <f t="shared" si="9"/>
        <v>0.55555555555555558</v>
      </c>
      <c r="AI8" s="32">
        <f t="shared" si="10"/>
        <v>0.77777777777777768</v>
      </c>
      <c r="AJ8" s="32">
        <f t="shared" si="11"/>
        <v>0.44444444444444442</v>
      </c>
      <c r="AK8">
        <f>step3_validation[[#This Row],[AI_TRU1]]</f>
        <v>8</v>
      </c>
      <c r="AL8">
        <f t="shared" si="12"/>
        <v>0.77777777777777779</v>
      </c>
      <c r="AM8">
        <f>survey_responses[[#This Row],[Tôi tin rằng Nhà nước, cơ quan thuế sẽ thực thi chính sách mới một cách khách quan, công tâm và đối xử bình đẳng với mọi người nộp thuế.  - HUMAN-TRU1]]</f>
        <v>6</v>
      </c>
      <c r="AN8">
        <f t="shared" si="13"/>
        <v>0.55555555555555558</v>
      </c>
      <c r="AO8">
        <f>step3_validation[[#This Row],[AI_TRU2]]</f>
        <v>9</v>
      </c>
      <c r="AP8">
        <f t="shared" si="14"/>
        <v>0.88888888888888884</v>
      </c>
      <c r="AQ8">
        <f>survey_responses[[#This Row],[Tôi thấy mức thuế tôi phải đóng theo phương án mới là công bằng (người thu nhập như tôi đóng mức này là hợp lý). - HUMAN-TRU2]]</f>
        <v>7</v>
      </c>
      <c r="AR8">
        <f t="shared" si="15"/>
        <v>0.66666666666666663</v>
      </c>
      <c r="AS8">
        <f>step3_validation[[#This Row],[AI_TRU3]]</f>
        <v>8</v>
      </c>
      <c r="AT8">
        <f t="shared" si="16"/>
        <v>0.77777777777777779</v>
      </c>
      <c r="AU8">
        <f>survey_responses[[#This Row],[Tôi tin tưởng số tiền thuế tôi đóng sẽ được Nhà nước sử dụng hiệu quả để cải thiện dịch vụ công (y tế, đường xá...). - HUMAN-TRU3]]</f>
        <v>2</v>
      </c>
      <c r="AV8">
        <f t="shared" si="17"/>
        <v>0.1111111111111111</v>
      </c>
      <c r="AW8">
        <f>step3_validation[[#This Row],[AI_TRU4]]</f>
        <v>8</v>
      </c>
      <c r="AX8">
        <f t="shared" si="18"/>
        <v>0.77777777777777779</v>
      </c>
      <c r="AY8">
        <f>survey_responses[[#This Row],[Tôi thấy Nhà nước đã giải thích rõ ràng, minh bạch về lý do và mục tiêu của việc sửa đổi thuế lần này. - HUMAN-TRU4]]</f>
        <v>4</v>
      </c>
      <c r="AZ8">
        <f t="shared" si="19"/>
        <v>0.33333333333333331</v>
      </c>
      <c r="BA8" s="32">
        <f t="shared" si="20"/>
        <v>0.80555555555555547</v>
      </c>
      <c r="BB8" s="32">
        <f t="shared" si="21"/>
        <v>0.41666666666666669</v>
      </c>
      <c r="BC8" s="7">
        <f t="shared" si="22"/>
        <v>0.80555555555555547</v>
      </c>
      <c r="BD8" s="7">
        <f t="shared" si="23"/>
        <v>0.41666666666666669</v>
      </c>
      <c r="BE8">
        <f>step3_validation[[#This Row],[AI_OUT1]]</f>
        <v>9</v>
      </c>
      <c r="BF8">
        <f t="shared" si="24"/>
        <v>0.88888888888888884</v>
      </c>
      <c r="BG8">
        <f>survey_responses[[#This Row],[Sau khi xem xét các quyền lợi và nghĩa vụ, bạn có ủng hộ và tuân thủ chính sách mới hiện nay? - HUMAN-OUT1]]</f>
        <v>4</v>
      </c>
      <c r="BH8">
        <f t="shared" si="25"/>
        <v>0.33333333333333331</v>
      </c>
      <c r="BI8" s="32">
        <f t="shared" si="26"/>
        <v>5</v>
      </c>
    </row>
    <row r="9" spans="1:61" x14ac:dyDescent="0.45">
      <c r="A9" s="30">
        <f>step3_validation[[#This Row],[Persona_ID]]</f>
        <v>8</v>
      </c>
      <c r="B9" s="31">
        <f>step3_validation[[#This Row],[Used_Seed]]</f>
        <v>1998</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f t="shared" si="0"/>
        <v>0.66666666666666663</v>
      </c>
      <c r="S9">
        <f>survey_responses[[#This Row],[Tôi tin rằng với các quy định quản lý thuế hiện nay, hành vi gian lận hoặc trốn thuế sẽ dễ dàng bị phát hiện và xử lý nghiêm. - HUMAN-ENF1]]</f>
        <v>1</v>
      </c>
      <c r="T9">
        <f t="shared" si="1"/>
        <v>0</v>
      </c>
      <c r="U9">
        <f>step3_validation[[#This Row],[AI_ENF2]]</f>
        <v>6</v>
      </c>
      <c r="V9">
        <f t="shared" si="2"/>
        <v>0.55555555555555558</v>
      </c>
      <c r="W9">
        <f>survey_responses[[#This Row],[Tôi tin rằng Nhà nước, cơ quan thuế có đủ khả năng và công nghệ để phát hiện, xử lý nghiêm các hành vi trốn thuế. - HUMAN-ENF2]]</f>
        <v>1</v>
      </c>
      <c r="X9">
        <f t="shared" si="3"/>
        <v>0</v>
      </c>
      <c r="Y9" s="32">
        <f t="shared" si="4"/>
        <v>0.61111111111111116</v>
      </c>
      <c r="Z9" s="32">
        <f t="shared" si="5"/>
        <v>0</v>
      </c>
      <c r="AA9">
        <f>step3_validation[[#This Row],[AI_FAC1]]</f>
        <v>8</v>
      </c>
      <c r="AB9">
        <f t="shared" si="6"/>
        <v>0.77777777777777779</v>
      </c>
      <c r="AC9">
        <f>survey_responses[[#This Row],[Các thủ tục khai báo thuế VÀ/HOẶC quy trình làm việc với cơ quan thuế đơn giản, tiện lợi, nhanh chóng hơn so với trước đây. - HUMAN-FAC1]]</f>
        <v>2</v>
      </c>
      <c r="AD9">
        <f t="shared" si="7"/>
        <v>0.1111111111111111</v>
      </c>
      <c r="AE9">
        <f>step3_validation[[#This Row],[AI_FAC2]]</f>
        <v>9</v>
      </c>
      <c r="AF9">
        <f t="shared" si="8"/>
        <v>0.88888888888888884</v>
      </c>
      <c r="AG9">
        <f>survey_responses[[#This Row],[So với trước đây, tôi thấy cách tính thuế và các bậc thuế trong phương án mới đơn giản, dễ hiểu và dễ thực hiện hơn. - HUMAN-FAC2]]</f>
        <v>3</v>
      </c>
      <c r="AH9">
        <f t="shared" si="9"/>
        <v>0.22222222222222221</v>
      </c>
      <c r="AI9" s="32">
        <f t="shared" si="10"/>
        <v>0.83333333333333326</v>
      </c>
      <c r="AJ9" s="32">
        <f t="shared" si="11"/>
        <v>0.16666666666666666</v>
      </c>
      <c r="AK9">
        <f>step3_validation[[#This Row],[AI_TRU1]]</f>
        <v>7</v>
      </c>
      <c r="AL9">
        <f t="shared" si="12"/>
        <v>0.66666666666666663</v>
      </c>
      <c r="AM9">
        <f>survey_responses[[#This Row],[Tôi tin rằng Nhà nước, cơ quan thuế sẽ thực thi chính sách mới một cách khách quan, công tâm và đối xử bình đẳng với mọi người nộp thuế.  - HUMAN-TRU1]]</f>
        <v>6</v>
      </c>
      <c r="AN9">
        <f t="shared" si="13"/>
        <v>0.55555555555555558</v>
      </c>
      <c r="AO9">
        <f>step3_validation[[#This Row],[AI_TRU2]]</f>
        <v>9</v>
      </c>
      <c r="AP9">
        <f t="shared" si="14"/>
        <v>0.88888888888888884</v>
      </c>
      <c r="AQ9">
        <f>survey_responses[[#This Row],[Tôi thấy mức thuế tôi phải đóng theo phương án mới là công bằng (người thu nhập như tôi đóng mức này là hợp lý). - HUMAN-TRU2]]</f>
        <v>2</v>
      </c>
      <c r="AR9">
        <f t="shared" si="15"/>
        <v>0.1111111111111111</v>
      </c>
      <c r="AS9">
        <f>step3_validation[[#This Row],[AI_TRU3]]</f>
        <v>7</v>
      </c>
      <c r="AT9">
        <f t="shared" si="16"/>
        <v>0.66666666666666663</v>
      </c>
      <c r="AU9">
        <f>survey_responses[[#This Row],[Tôi tin tưởng số tiền thuế tôi đóng sẽ được Nhà nước sử dụng hiệu quả để cải thiện dịch vụ công (y tế, đường xá...). - HUMAN-TRU3]]</f>
        <v>7</v>
      </c>
      <c r="AV9">
        <f t="shared" si="17"/>
        <v>0.66666666666666663</v>
      </c>
      <c r="AW9">
        <f>step3_validation[[#This Row],[AI_TRU4]]</f>
        <v>8</v>
      </c>
      <c r="AX9">
        <f t="shared" si="18"/>
        <v>0.77777777777777779</v>
      </c>
      <c r="AY9">
        <f>survey_responses[[#This Row],[Tôi thấy Nhà nước đã giải thích rõ ràng, minh bạch về lý do và mục tiêu của việc sửa đổi thuế lần này. - HUMAN-TRU4]]</f>
        <v>3</v>
      </c>
      <c r="AZ9">
        <f t="shared" si="19"/>
        <v>0.22222222222222221</v>
      </c>
      <c r="BA9" s="32">
        <f t="shared" si="20"/>
        <v>0.74999999999999989</v>
      </c>
      <c r="BB9" s="32">
        <f t="shared" si="21"/>
        <v>0.38888888888888895</v>
      </c>
      <c r="BC9" s="7">
        <f t="shared" si="22"/>
        <v>0.7314814814814814</v>
      </c>
      <c r="BD9" s="7">
        <f t="shared" si="23"/>
        <v>0.1851851851851852</v>
      </c>
      <c r="BE9">
        <f>step3_validation[[#This Row],[AI_OUT1]]</f>
        <v>7</v>
      </c>
      <c r="BF9">
        <f t="shared" si="24"/>
        <v>0.66666666666666663</v>
      </c>
      <c r="BG9">
        <f>survey_responses[[#This Row],[Sau khi xem xét các quyền lợi và nghĩa vụ, bạn có ủng hộ và tuân thủ chính sách mới hiện nay? - HUMAN-OUT1]]</f>
        <v>3</v>
      </c>
      <c r="BH9">
        <f t="shared" si="25"/>
        <v>0.22222222222222221</v>
      </c>
      <c r="BI9" s="32">
        <f t="shared" si="26"/>
        <v>4</v>
      </c>
    </row>
    <row r="10" spans="1:61" x14ac:dyDescent="0.45">
      <c r="A10" s="30">
        <f>step3_validation[[#This Row],[Persona_ID]]</f>
        <v>9</v>
      </c>
      <c r="B10" s="31">
        <f>step3_validation[[#This Row],[Used_Seed]]</f>
        <v>1999</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14.909375702254509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f t="shared" si="0"/>
        <v>0.55555555555555558</v>
      </c>
      <c r="S10">
        <f>survey_responses[[#This Row],[Tôi tin rằng với các quy định quản lý thuế hiện nay, hành vi gian lận hoặc trốn thuế sẽ dễ dàng bị phát hiện và xử lý nghiêm. - HUMAN-ENF1]]</f>
        <v>10</v>
      </c>
      <c r="T10">
        <f t="shared" si="1"/>
        <v>1</v>
      </c>
      <c r="U10">
        <f>step3_validation[[#This Row],[AI_ENF2]]</f>
        <v>7</v>
      </c>
      <c r="V10">
        <f t="shared" si="2"/>
        <v>0.66666666666666663</v>
      </c>
      <c r="W10">
        <f>survey_responses[[#This Row],[Tôi tin rằng Nhà nước, cơ quan thuế có đủ khả năng và công nghệ để phát hiện, xử lý nghiêm các hành vi trốn thuế. - HUMAN-ENF2]]</f>
        <v>10</v>
      </c>
      <c r="X10">
        <f t="shared" si="3"/>
        <v>1</v>
      </c>
      <c r="Y10" s="32">
        <f t="shared" si="4"/>
        <v>0.61111111111111116</v>
      </c>
      <c r="Z10" s="32">
        <f t="shared" si="5"/>
        <v>1</v>
      </c>
      <c r="AA10">
        <f>step3_validation[[#This Row],[AI_FAC1]]</f>
        <v>9</v>
      </c>
      <c r="AB10">
        <f t="shared" si="6"/>
        <v>0.88888888888888884</v>
      </c>
      <c r="AC10">
        <f>survey_responses[[#This Row],[Các thủ tục khai báo thuế VÀ/HOẶC quy trình làm việc với cơ quan thuế đơn giản, tiện lợi, nhanh chóng hơn so với trước đây. - HUMAN-FAC1]]</f>
        <v>8</v>
      </c>
      <c r="AD10">
        <f t="shared" si="7"/>
        <v>0.77777777777777779</v>
      </c>
      <c r="AE10">
        <f>step3_validation[[#This Row],[AI_FAC2]]</f>
        <v>8</v>
      </c>
      <c r="AF10">
        <f t="shared" si="8"/>
        <v>0.77777777777777779</v>
      </c>
      <c r="AG10">
        <f>survey_responses[[#This Row],[So với trước đây, tôi thấy cách tính thuế và các bậc thuế trong phương án mới đơn giản, dễ hiểu và dễ thực hiện hơn. - HUMAN-FAC2]]</f>
        <v>7</v>
      </c>
      <c r="AH10">
        <f t="shared" si="9"/>
        <v>0.66666666666666663</v>
      </c>
      <c r="AI10" s="32">
        <f t="shared" si="10"/>
        <v>0.83333333333333326</v>
      </c>
      <c r="AJ10" s="32">
        <f t="shared" si="11"/>
        <v>0.72222222222222221</v>
      </c>
      <c r="AK10">
        <f>step3_validation[[#This Row],[AI_TRU1]]</f>
        <v>9</v>
      </c>
      <c r="AL10">
        <f t="shared" si="12"/>
        <v>0.88888888888888884</v>
      </c>
      <c r="AM10">
        <f>survey_responses[[#This Row],[Tôi tin rằng Nhà nước, cơ quan thuế sẽ thực thi chính sách mới một cách khách quan, công tâm và đối xử bình đẳng với mọi người nộp thuế.  - HUMAN-TRU1]]</f>
        <v>7</v>
      </c>
      <c r="AN10">
        <f t="shared" si="13"/>
        <v>0.66666666666666663</v>
      </c>
      <c r="AO10">
        <f>step3_validation[[#This Row],[AI_TRU2]]</f>
        <v>8</v>
      </c>
      <c r="AP10">
        <f t="shared" si="14"/>
        <v>0.77777777777777779</v>
      </c>
      <c r="AQ10">
        <f>survey_responses[[#This Row],[Tôi thấy mức thuế tôi phải đóng theo phương án mới là công bằng (người thu nhập như tôi đóng mức này là hợp lý). - HUMAN-TRU2]]</f>
        <v>5</v>
      </c>
      <c r="AR10">
        <f t="shared" si="15"/>
        <v>0.44444444444444442</v>
      </c>
      <c r="AS10">
        <f>step3_validation[[#This Row],[AI_TRU3]]</f>
        <v>9</v>
      </c>
      <c r="AT10">
        <f t="shared" si="16"/>
        <v>0.88888888888888884</v>
      </c>
      <c r="AU10">
        <f>survey_responses[[#This Row],[Tôi tin tưởng số tiền thuế tôi đóng sẽ được Nhà nước sử dụng hiệu quả để cải thiện dịch vụ công (y tế, đường xá...). - HUMAN-TRU3]]</f>
        <v>5</v>
      </c>
      <c r="AV10">
        <f t="shared" si="17"/>
        <v>0.44444444444444442</v>
      </c>
      <c r="AW10">
        <f>step3_validation[[#This Row],[AI_TRU4]]</f>
        <v>8</v>
      </c>
      <c r="AX10">
        <f t="shared" si="18"/>
        <v>0.77777777777777779</v>
      </c>
      <c r="AY10">
        <f>survey_responses[[#This Row],[Tôi thấy Nhà nước đã giải thích rõ ràng, minh bạch về lý do và mục tiêu của việc sửa đổi thuế lần này. - HUMAN-TRU4]]</f>
        <v>9</v>
      </c>
      <c r="AZ10">
        <f t="shared" si="19"/>
        <v>0.88888888888888884</v>
      </c>
      <c r="BA10" s="32">
        <f t="shared" si="20"/>
        <v>0.83333333333333326</v>
      </c>
      <c r="BB10" s="32">
        <f t="shared" si="21"/>
        <v>0.61111111111111116</v>
      </c>
      <c r="BC10" s="7">
        <f t="shared" si="22"/>
        <v>0.75925925925925919</v>
      </c>
      <c r="BD10" s="7">
        <f t="shared" si="23"/>
        <v>0.77777777777777779</v>
      </c>
      <c r="BE10">
        <f>step3_validation[[#This Row],[AI_OUT1]]</f>
        <v>9</v>
      </c>
      <c r="BF10">
        <f t="shared" si="24"/>
        <v>0.88888888888888884</v>
      </c>
      <c r="BG10">
        <f>survey_responses[[#This Row],[Sau khi xem xét các quyền lợi và nghĩa vụ, bạn có ủng hộ và tuân thủ chính sách mới hiện nay? - HUMAN-OUT1]]</f>
        <v>8</v>
      </c>
      <c r="BH10">
        <f t="shared" si="25"/>
        <v>0.77777777777777779</v>
      </c>
      <c r="BI10" s="32">
        <f t="shared" si="26"/>
        <v>1</v>
      </c>
    </row>
    <row r="11" spans="1:61" x14ac:dyDescent="0.45">
      <c r="A11" s="30">
        <f>step3_validation[[#This Row],[Persona_ID]]</f>
        <v>10</v>
      </c>
      <c r="B11" s="31">
        <f>step3_validation[[#This Row],[Used_Seed]]</f>
        <v>2000</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20.300545275430544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f t="shared" si="0"/>
        <v>0.66666666666666663</v>
      </c>
      <c r="S11">
        <f>survey_responses[[#This Row],[Tôi tin rằng với các quy định quản lý thuế hiện nay, hành vi gian lận hoặc trốn thuế sẽ dễ dàng bị phát hiện và xử lý nghiêm. - HUMAN-ENF1]]</f>
        <v>7</v>
      </c>
      <c r="T11">
        <f t="shared" si="1"/>
        <v>0.66666666666666663</v>
      </c>
      <c r="U11">
        <f>step3_validation[[#This Row],[AI_ENF2]]</f>
        <v>6</v>
      </c>
      <c r="V11">
        <f t="shared" si="2"/>
        <v>0.55555555555555558</v>
      </c>
      <c r="W11">
        <f>survey_responses[[#This Row],[Tôi tin rằng Nhà nước, cơ quan thuế có đủ khả năng và công nghệ để phát hiện, xử lý nghiêm các hành vi trốn thuế. - HUMAN-ENF2]]</f>
        <v>10</v>
      </c>
      <c r="X11">
        <f t="shared" si="3"/>
        <v>1</v>
      </c>
      <c r="Y11" s="32">
        <f t="shared" si="4"/>
        <v>0.61111111111111116</v>
      </c>
      <c r="Z11" s="32">
        <f t="shared" si="5"/>
        <v>0.83333333333333326</v>
      </c>
      <c r="AA11">
        <f>step3_validation[[#This Row],[AI_FAC1]]</f>
        <v>9</v>
      </c>
      <c r="AB11">
        <f t="shared" si="6"/>
        <v>0.88888888888888884</v>
      </c>
      <c r="AC11">
        <f>survey_responses[[#This Row],[Các thủ tục khai báo thuế VÀ/HOẶC quy trình làm việc với cơ quan thuế đơn giản, tiện lợi, nhanh chóng hơn so với trước đây. - HUMAN-FAC1]]</f>
        <v>1</v>
      </c>
      <c r="AD11">
        <f t="shared" si="7"/>
        <v>0</v>
      </c>
      <c r="AE11">
        <f>step3_validation[[#This Row],[AI_FAC2]]</f>
        <v>8</v>
      </c>
      <c r="AF11">
        <f t="shared" si="8"/>
        <v>0.77777777777777779</v>
      </c>
      <c r="AG11">
        <f>survey_responses[[#This Row],[So với trước đây, tôi thấy cách tính thuế và các bậc thuế trong phương án mới đơn giản, dễ hiểu và dễ thực hiện hơn. - HUMAN-FAC2]]</f>
        <v>5</v>
      </c>
      <c r="AH11">
        <f t="shared" si="9"/>
        <v>0.44444444444444442</v>
      </c>
      <c r="AI11" s="32">
        <f t="shared" si="10"/>
        <v>0.83333333333333326</v>
      </c>
      <c r="AJ11" s="32">
        <f t="shared" si="11"/>
        <v>0.22222222222222221</v>
      </c>
      <c r="AK11">
        <f>step3_validation[[#This Row],[AI_TRU1]]</f>
        <v>7</v>
      </c>
      <c r="AL11">
        <f t="shared" si="12"/>
        <v>0.66666666666666663</v>
      </c>
      <c r="AM11">
        <f>survey_responses[[#This Row],[Tôi tin rằng Nhà nước, cơ quan thuế sẽ thực thi chính sách mới một cách khách quan, công tâm và đối xử bình đẳng với mọi người nộp thuế.  - HUMAN-TRU1]]</f>
        <v>8</v>
      </c>
      <c r="AN11">
        <f t="shared" si="13"/>
        <v>0.77777777777777779</v>
      </c>
      <c r="AO11">
        <f>step3_validation[[#This Row],[AI_TRU2]]</f>
        <v>8</v>
      </c>
      <c r="AP11">
        <f t="shared" si="14"/>
        <v>0.77777777777777779</v>
      </c>
      <c r="AQ11">
        <f>survey_responses[[#This Row],[Tôi thấy mức thuế tôi phải đóng theo phương án mới là công bằng (người thu nhập như tôi đóng mức này là hợp lý). - HUMAN-TRU2]]</f>
        <v>5</v>
      </c>
      <c r="AR11">
        <f t="shared" si="15"/>
        <v>0.44444444444444442</v>
      </c>
      <c r="AS11">
        <f>step3_validation[[#This Row],[AI_TRU3]]</f>
        <v>7</v>
      </c>
      <c r="AT11">
        <f t="shared" si="16"/>
        <v>0.66666666666666663</v>
      </c>
      <c r="AU11">
        <f>survey_responses[[#This Row],[Tôi tin tưởng số tiền thuế tôi đóng sẽ được Nhà nước sử dụng hiệu quả để cải thiện dịch vụ công (y tế, đường xá...). - HUMAN-TRU3]]</f>
        <v>5</v>
      </c>
      <c r="AV11">
        <f t="shared" si="17"/>
        <v>0.44444444444444442</v>
      </c>
      <c r="AW11">
        <f>step3_validation[[#This Row],[AI_TRU4]]</f>
        <v>6</v>
      </c>
      <c r="AX11">
        <f t="shared" si="18"/>
        <v>0.55555555555555558</v>
      </c>
      <c r="AY11">
        <f>survey_responses[[#This Row],[Tôi thấy Nhà nước đã giải thích rõ ràng, minh bạch về lý do và mục tiêu của việc sửa đổi thuế lần này. - HUMAN-TRU4]]</f>
        <v>5</v>
      </c>
      <c r="AZ11">
        <f t="shared" si="19"/>
        <v>0.44444444444444442</v>
      </c>
      <c r="BA11" s="32">
        <f t="shared" si="20"/>
        <v>0.66666666666666674</v>
      </c>
      <c r="BB11" s="32">
        <f t="shared" si="21"/>
        <v>0.52777777777777779</v>
      </c>
      <c r="BC11" s="7">
        <f t="shared" si="22"/>
        <v>0.70370370370370372</v>
      </c>
      <c r="BD11" s="7">
        <f t="shared" si="23"/>
        <v>0.52777777777777768</v>
      </c>
      <c r="BE11">
        <f>step3_validation[[#This Row],[AI_OUT1]]</f>
        <v>8</v>
      </c>
      <c r="BF11">
        <f t="shared" si="24"/>
        <v>0.77777777777777779</v>
      </c>
      <c r="BG11">
        <f>survey_responses[[#This Row],[Sau khi xem xét các quyền lợi và nghĩa vụ, bạn có ủng hộ và tuân thủ chính sách mới hiện nay? - HUMAN-OUT1]]</f>
        <v>10</v>
      </c>
      <c r="BH11">
        <f t="shared" si="25"/>
        <v>1</v>
      </c>
      <c r="BI11" s="32">
        <f t="shared" si="26"/>
        <v>2</v>
      </c>
    </row>
    <row r="12" spans="1:61" x14ac:dyDescent="0.45">
      <c r="A12" s="30">
        <f>step3_validation[[#This Row],[Persona_ID]]</f>
        <v>11</v>
      </c>
      <c r="B12" s="31">
        <f>step3_validation[[#This Row],[Used_Seed]]</f>
        <v>2001</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38.355047037430367</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f t="shared" si="0"/>
        <v>0.55555555555555558</v>
      </c>
      <c r="S12">
        <f>survey_responses[[#This Row],[Tôi tin rằng với các quy định quản lý thuế hiện nay, hành vi gian lận hoặc trốn thuế sẽ dễ dàng bị phát hiện và xử lý nghiêm. - HUMAN-ENF1]]</f>
        <v>10</v>
      </c>
      <c r="T12">
        <f t="shared" si="1"/>
        <v>1</v>
      </c>
      <c r="U12">
        <f>step3_validation[[#This Row],[AI_ENF2]]</f>
        <v>7</v>
      </c>
      <c r="V12">
        <f t="shared" si="2"/>
        <v>0.66666666666666663</v>
      </c>
      <c r="W12">
        <f>survey_responses[[#This Row],[Tôi tin rằng Nhà nước, cơ quan thuế có đủ khả năng và công nghệ để phát hiện, xử lý nghiêm các hành vi trốn thuế. - HUMAN-ENF2]]</f>
        <v>3</v>
      </c>
      <c r="X12">
        <f t="shared" si="3"/>
        <v>0.22222222222222221</v>
      </c>
      <c r="Y12" s="32">
        <f t="shared" si="4"/>
        <v>0.61111111111111116</v>
      </c>
      <c r="Z12" s="32">
        <f t="shared" si="5"/>
        <v>0.61111111111111116</v>
      </c>
      <c r="AA12">
        <f>step3_validation[[#This Row],[AI_FAC1]]</f>
        <v>9</v>
      </c>
      <c r="AB12">
        <f t="shared" si="6"/>
        <v>0.88888888888888884</v>
      </c>
      <c r="AC12">
        <f>survey_responses[[#This Row],[Các thủ tục khai báo thuế VÀ/HOẶC quy trình làm việc với cơ quan thuế đơn giản, tiện lợi, nhanh chóng hơn so với trước đây. - HUMAN-FAC1]]</f>
        <v>1</v>
      </c>
      <c r="AD12">
        <f t="shared" si="7"/>
        <v>0</v>
      </c>
      <c r="AE12">
        <f>step3_validation[[#This Row],[AI_FAC2]]</f>
        <v>8</v>
      </c>
      <c r="AF12">
        <f t="shared" si="8"/>
        <v>0.77777777777777779</v>
      </c>
      <c r="AG12">
        <f>survey_responses[[#This Row],[So với trước đây, tôi thấy cách tính thuế và các bậc thuế trong phương án mới đơn giản, dễ hiểu và dễ thực hiện hơn. - HUMAN-FAC2]]</f>
        <v>7</v>
      </c>
      <c r="AH12">
        <f t="shared" si="9"/>
        <v>0.66666666666666663</v>
      </c>
      <c r="AI12" s="32">
        <f t="shared" si="10"/>
        <v>0.83333333333333326</v>
      </c>
      <c r="AJ12" s="32">
        <f t="shared" si="11"/>
        <v>0.33333333333333331</v>
      </c>
      <c r="AK12">
        <f>step3_validation[[#This Row],[AI_TRU1]]</f>
        <v>7</v>
      </c>
      <c r="AL12">
        <f t="shared" si="12"/>
        <v>0.66666666666666663</v>
      </c>
      <c r="AM12">
        <f>survey_responses[[#This Row],[Tôi tin rằng Nhà nước, cơ quan thuế sẽ thực thi chính sách mới một cách khách quan, công tâm và đối xử bình đẳng với mọi người nộp thuế.  - HUMAN-TRU1]]</f>
        <v>1</v>
      </c>
      <c r="AN12">
        <f t="shared" si="13"/>
        <v>0</v>
      </c>
      <c r="AO12">
        <f>step3_validation[[#This Row],[AI_TRU2]]</f>
        <v>8</v>
      </c>
      <c r="AP12">
        <f t="shared" si="14"/>
        <v>0.77777777777777779</v>
      </c>
      <c r="AQ12">
        <f>survey_responses[[#This Row],[Tôi thấy mức thuế tôi phải đóng theo phương án mới là công bằng (người thu nhập như tôi đóng mức này là hợp lý). - HUMAN-TRU2]]</f>
        <v>5</v>
      </c>
      <c r="AR12">
        <f t="shared" si="15"/>
        <v>0.44444444444444442</v>
      </c>
      <c r="AS12">
        <f>step3_validation[[#This Row],[AI_TRU3]]</f>
        <v>7</v>
      </c>
      <c r="AT12">
        <f t="shared" si="16"/>
        <v>0.66666666666666663</v>
      </c>
      <c r="AU12">
        <f>survey_responses[[#This Row],[Tôi tin tưởng số tiền thuế tôi đóng sẽ được Nhà nước sử dụng hiệu quả để cải thiện dịch vụ công (y tế, đường xá...). - HUMAN-TRU3]]</f>
        <v>1</v>
      </c>
      <c r="AV12">
        <f t="shared" si="17"/>
        <v>0</v>
      </c>
      <c r="AW12">
        <f>step3_validation[[#This Row],[AI_TRU4]]</f>
        <v>6</v>
      </c>
      <c r="AX12">
        <f t="shared" si="18"/>
        <v>0.55555555555555558</v>
      </c>
      <c r="AY12">
        <f>survey_responses[[#This Row],[Tôi thấy Nhà nước đã giải thích rõ ràng, minh bạch về lý do và mục tiêu của việc sửa đổi thuế lần này. - HUMAN-TRU4]]</f>
        <v>8</v>
      </c>
      <c r="AZ12">
        <f t="shared" si="19"/>
        <v>0.77777777777777779</v>
      </c>
      <c r="BA12" s="32">
        <f t="shared" si="20"/>
        <v>0.66666666666666674</v>
      </c>
      <c r="BB12" s="32">
        <f t="shared" si="21"/>
        <v>0.30555555555555558</v>
      </c>
      <c r="BC12" s="7">
        <f t="shared" si="22"/>
        <v>0.70370370370370372</v>
      </c>
      <c r="BD12" s="7">
        <f t="shared" si="23"/>
        <v>0.41666666666666669</v>
      </c>
      <c r="BE12">
        <f>step3_validation[[#This Row],[AI_OUT1]]</f>
        <v>9</v>
      </c>
      <c r="BF12">
        <f t="shared" si="24"/>
        <v>0.88888888888888884</v>
      </c>
      <c r="BG12">
        <f>survey_responses[[#This Row],[Sau khi xem xét các quyền lợi và nghĩa vụ, bạn có ủng hộ và tuân thủ chính sách mới hiện nay? - HUMAN-OUT1]]</f>
        <v>6</v>
      </c>
      <c r="BH12">
        <f t="shared" si="25"/>
        <v>0.55555555555555558</v>
      </c>
      <c r="BI12" s="32">
        <f t="shared" si="26"/>
        <v>3</v>
      </c>
    </row>
    <row r="13" spans="1:61" x14ac:dyDescent="0.45">
      <c r="A13" s="30">
        <f>step3_validation[[#This Row],[Persona_ID]]</f>
        <v>12</v>
      </c>
      <c r="B13" s="31">
        <f>step3_validation[[#This Row],[Used_Seed]]</f>
        <v>2002</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7</v>
      </c>
      <c r="R13">
        <f t="shared" si="0"/>
        <v>0.66666666666666663</v>
      </c>
      <c r="S13">
        <f>survey_responses[[#This Row],[Tôi tin rằng với các quy định quản lý thuế hiện nay, hành vi gian lận hoặc trốn thuế sẽ dễ dàng bị phát hiện và xử lý nghiêm. - HUMAN-ENF1]]</f>
        <v>5</v>
      </c>
      <c r="T13">
        <f t="shared" si="1"/>
        <v>0.44444444444444442</v>
      </c>
      <c r="U13">
        <f>step3_validation[[#This Row],[AI_ENF2]]</f>
        <v>9</v>
      </c>
      <c r="V13">
        <f t="shared" si="2"/>
        <v>0.88888888888888884</v>
      </c>
      <c r="W13">
        <f>survey_responses[[#This Row],[Tôi tin rằng Nhà nước, cơ quan thuế có đủ khả năng và công nghệ để phát hiện, xử lý nghiêm các hành vi trốn thuế. - HUMAN-ENF2]]</f>
        <v>8</v>
      </c>
      <c r="X13">
        <f t="shared" si="3"/>
        <v>0.77777777777777779</v>
      </c>
      <c r="Y13" s="32">
        <f t="shared" si="4"/>
        <v>0.77777777777777768</v>
      </c>
      <c r="Z13" s="32">
        <f t="shared" si="5"/>
        <v>0.61111111111111116</v>
      </c>
      <c r="AA13">
        <f>step3_validation[[#This Row],[AI_FAC1]]</f>
        <v>8</v>
      </c>
      <c r="AB13">
        <f t="shared" si="6"/>
        <v>0.77777777777777779</v>
      </c>
      <c r="AC13">
        <f>survey_responses[[#This Row],[Các thủ tục khai báo thuế VÀ/HOẶC quy trình làm việc với cơ quan thuế đơn giản, tiện lợi, nhanh chóng hơn so với trước đây. - HUMAN-FAC1]]</f>
        <v>5</v>
      </c>
      <c r="AD13">
        <f t="shared" si="7"/>
        <v>0.44444444444444442</v>
      </c>
      <c r="AE13">
        <f>step3_validation[[#This Row],[AI_FAC2]]</f>
        <v>9</v>
      </c>
      <c r="AF13">
        <f t="shared" si="8"/>
        <v>0.88888888888888884</v>
      </c>
      <c r="AG13">
        <f>survey_responses[[#This Row],[So với trước đây, tôi thấy cách tính thuế và các bậc thuế trong phương án mới đơn giản, dễ hiểu và dễ thực hiện hơn. - HUMAN-FAC2]]</f>
        <v>5</v>
      </c>
      <c r="AH13">
        <f t="shared" si="9"/>
        <v>0.44444444444444442</v>
      </c>
      <c r="AI13" s="32">
        <f t="shared" si="10"/>
        <v>0.83333333333333326</v>
      </c>
      <c r="AJ13" s="32">
        <f t="shared" si="11"/>
        <v>0.44444444444444442</v>
      </c>
      <c r="AK13">
        <f>step3_validation[[#This Row],[AI_TRU1]]</f>
        <v>8</v>
      </c>
      <c r="AL13">
        <f t="shared" si="12"/>
        <v>0.77777777777777779</v>
      </c>
      <c r="AM13">
        <f>survey_responses[[#This Row],[Tôi tin rằng Nhà nước, cơ quan thuế sẽ thực thi chính sách mới một cách khách quan, công tâm và đối xử bình đẳng với mọi người nộp thuế.  - HUMAN-TRU1]]</f>
        <v>6</v>
      </c>
      <c r="AN13">
        <f t="shared" si="13"/>
        <v>0.55555555555555558</v>
      </c>
      <c r="AO13">
        <f>step3_validation[[#This Row],[AI_TRU2]]</f>
        <v>9</v>
      </c>
      <c r="AP13">
        <f t="shared" si="14"/>
        <v>0.88888888888888884</v>
      </c>
      <c r="AQ13">
        <f>survey_responses[[#This Row],[Tôi thấy mức thuế tôi phải đóng theo phương án mới là công bằng (người thu nhập như tôi đóng mức này là hợp lý). - HUMAN-TRU2]]</f>
        <v>5</v>
      </c>
      <c r="AR13">
        <f t="shared" si="15"/>
        <v>0.44444444444444442</v>
      </c>
      <c r="AS13">
        <f>step3_validation[[#This Row],[AI_TRU3]]</f>
        <v>8</v>
      </c>
      <c r="AT13">
        <f t="shared" si="16"/>
        <v>0.77777777777777779</v>
      </c>
      <c r="AU13">
        <f>survey_responses[[#This Row],[Tôi tin tưởng số tiền thuế tôi đóng sẽ được Nhà nước sử dụng hiệu quả để cải thiện dịch vụ công (y tế, đường xá...). - HUMAN-TRU3]]</f>
        <v>5</v>
      </c>
      <c r="AV13">
        <f t="shared" si="17"/>
        <v>0.44444444444444442</v>
      </c>
      <c r="AW13">
        <f>step3_validation[[#This Row],[AI_TRU4]]</f>
        <v>9</v>
      </c>
      <c r="AX13">
        <f t="shared" si="18"/>
        <v>0.88888888888888884</v>
      </c>
      <c r="AY13">
        <f>survey_responses[[#This Row],[Tôi thấy Nhà nước đã giải thích rõ ràng, minh bạch về lý do và mục tiêu của việc sửa đổi thuế lần này. - HUMAN-TRU4]]</f>
        <v>5</v>
      </c>
      <c r="AZ13">
        <f t="shared" si="19"/>
        <v>0.44444444444444442</v>
      </c>
      <c r="BA13" s="32">
        <f t="shared" si="20"/>
        <v>0.83333333333333326</v>
      </c>
      <c r="BB13" s="32">
        <f t="shared" si="21"/>
        <v>0.47222222222222221</v>
      </c>
      <c r="BC13" s="7">
        <f t="shared" si="22"/>
        <v>0.81481481481481477</v>
      </c>
      <c r="BD13" s="7">
        <f t="shared" si="23"/>
        <v>0.50925925925925919</v>
      </c>
      <c r="BE13">
        <f>step3_validation[[#This Row],[AI_OUT1]]</f>
        <v>9</v>
      </c>
      <c r="BF13">
        <f t="shared" si="24"/>
        <v>0.88888888888888884</v>
      </c>
      <c r="BG13">
        <f>survey_responses[[#This Row],[Sau khi xem xét các quyền lợi và nghĩa vụ, bạn có ủng hộ và tuân thủ chính sách mới hiện nay? - HUMAN-OUT1]]</f>
        <v>5</v>
      </c>
      <c r="BH13">
        <f t="shared" si="25"/>
        <v>0.44444444444444442</v>
      </c>
      <c r="BI13" s="32">
        <f t="shared" si="26"/>
        <v>4</v>
      </c>
    </row>
    <row r="14" spans="1:61" x14ac:dyDescent="0.45">
      <c r="A14" s="30">
        <f>step3_validation[[#This Row],[Persona_ID]]</f>
        <v>13</v>
      </c>
      <c r="B14" s="31">
        <f>step3_validation[[#This Row],[Used_Seed]]</f>
        <v>2003</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9</v>
      </c>
      <c r="R14">
        <f t="shared" si="0"/>
        <v>0.88888888888888884</v>
      </c>
      <c r="S14">
        <f>survey_responses[[#This Row],[Tôi tin rằng với các quy định quản lý thuế hiện nay, hành vi gian lận hoặc trốn thuế sẽ dễ dàng bị phát hiện và xử lý nghiêm. - HUMAN-ENF1]]</f>
        <v>8</v>
      </c>
      <c r="T14">
        <f t="shared" si="1"/>
        <v>0.77777777777777779</v>
      </c>
      <c r="U14">
        <f>step3_validation[[#This Row],[AI_ENF2]]</f>
        <v>8</v>
      </c>
      <c r="V14">
        <f t="shared" si="2"/>
        <v>0.77777777777777779</v>
      </c>
      <c r="W14">
        <f>survey_responses[[#This Row],[Tôi tin rằng Nhà nước, cơ quan thuế có đủ khả năng và công nghệ để phát hiện, xử lý nghiêm các hành vi trốn thuế. - HUMAN-ENF2]]</f>
        <v>7</v>
      </c>
      <c r="X14">
        <f t="shared" si="3"/>
        <v>0.66666666666666663</v>
      </c>
      <c r="Y14" s="32">
        <f t="shared" si="4"/>
        <v>0.83333333333333326</v>
      </c>
      <c r="Z14" s="32">
        <f t="shared" si="5"/>
        <v>0.72222222222222221</v>
      </c>
      <c r="AA14">
        <f>step3_validation[[#This Row],[AI_FAC1]]</f>
        <v>7</v>
      </c>
      <c r="AB14">
        <f t="shared" si="6"/>
        <v>0.66666666666666663</v>
      </c>
      <c r="AC14">
        <f>survey_responses[[#This Row],[Các thủ tục khai báo thuế VÀ/HOẶC quy trình làm việc với cơ quan thuế đơn giản, tiện lợi, nhanh chóng hơn so với trước đây. - HUMAN-FAC1]]</f>
        <v>7</v>
      </c>
      <c r="AD14">
        <f t="shared" si="7"/>
        <v>0.66666666666666663</v>
      </c>
      <c r="AE14">
        <f>step3_validation[[#This Row],[AI_FAC2]]</f>
        <v>8</v>
      </c>
      <c r="AF14">
        <f t="shared" si="8"/>
        <v>0.77777777777777779</v>
      </c>
      <c r="AG14">
        <f>survey_responses[[#This Row],[So với trước đây, tôi thấy cách tính thuế và các bậc thuế trong phương án mới đơn giản, dễ hiểu và dễ thực hiện hơn. - HUMAN-FAC2]]</f>
        <v>7</v>
      </c>
      <c r="AH14">
        <f t="shared" si="9"/>
        <v>0.66666666666666663</v>
      </c>
      <c r="AI14" s="32">
        <f t="shared" si="10"/>
        <v>0.72222222222222221</v>
      </c>
      <c r="AJ14" s="32">
        <f t="shared" si="11"/>
        <v>0.66666666666666663</v>
      </c>
      <c r="AK14">
        <f>step3_validation[[#This Row],[AI_TRU1]]</f>
        <v>9</v>
      </c>
      <c r="AL14">
        <f t="shared" si="12"/>
        <v>0.88888888888888884</v>
      </c>
      <c r="AM14">
        <f>survey_responses[[#This Row],[Tôi tin rằng Nhà nước, cơ quan thuế sẽ thực thi chính sách mới một cách khách quan, công tâm và đối xử bình đẳng với mọi người nộp thuế.  - HUMAN-TRU1]]</f>
        <v>7</v>
      </c>
      <c r="AN14">
        <f t="shared" si="13"/>
        <v>0.66666666666666663</v>
      </c>
      <c r="AO14">
        <f>step3_validation[[#This Row],[AI_TRU2]]</f>
        <v>8</v>
      </c>
      <c r="AP14">
        <f t="shared" si="14"/>
        <v>0.77777777777777779</v>
      </c>
      <c r="AQ14">
        <f>survey_responses[[#This Row],[Tôi thấy mức thuế tôi phải đóng theo phương án mới là công bằng (người thu nhập như tôi đóng mức này là hợp lý). - HUMAN-TRU2]]</f>
        <v>8</v>
      </c>
      <c r="AR14">
        <f t="shared" si="15"/>
        <v>0.77777777777777779</v>
      </c>
      <c r="AS14">
        <f>step3_validation[[#This Row],[AI_TRU3]]</f>
        <v>9</v>
      </c>
      <c r="AT14">
        <f t="shared" si="16"/>
        <v>0.88888888888888884</v>
      </c>
      <c r="AU14">
        <f>survey_responses[[#This Row],[Tôi tin tưởng số tiền thuế tôi đóng sẽ được Nhà nước sử dụng hiệu quả để cải thiện dịch vụ công (y tế, đường xá...). - HUMAN-TRU3]]</f>
        <v>7</v>
      </c>
      <c r="AV14">
        <f t="shared" si="17"/>
        <v>0.66666666666666663</v>
      </c>
      <c r="AW14">
        <f>step3_validation[[#This Row],[AI_TRU4]]</f>
        <v>8</v>
      </c>
      <c r="AX14">
        <f t="shared" si="18"/>
        <v>0.77777777777777779</v>
      </c>
      <c r="AY14">
        <f>survey_responses[[#This Row],[Tôi thấy Nhà nước đã giải thích rõ ràng, minh bạch về lý do và mục tiêu của việc sửa đổi thuế lần này. - HUMAN-TRU4]]</f>
        <v>7</v>
      </c>
      <c r="AZ14">
        <f t="shared" si="19"/>
        <v>0.66666666666666663</v>
      </c>
      <c r="BA14" s="32">
        <f t="shared" si="20"/>
        <v>0.83333333333333326</v>
      </c>
      <c r="BB14" s="32">
        <f t="shared" si="21"/>
        <v>0.69444444444444442</v>
      </c>
      <c r="BC14" s="7">
        <f t="shared" si="22"/>
        <v>0.79629629629629617</v>
      </c>
      <c r="BD14" s="7">
        <f t="shared" si="23"/>
        <v>0.69444444444444431</v>
      </c>
      <c r="BE14">
        <f>step3_validation[[#This Row],[AI_OUT1]]</f>
        <v>9</v>
      </c>
      <c r="BF14">
        <f t="shared" si="24"/>
        <v>0.88888888888888884</v>
      </c>
      <c r="BG14">
        <f>survey_responses[[#This Row],[Sau khi xem xét các quyền lợi và nghĩa vụ, bạn có ủng hộ và tuân thủ chính sách mới hiện nay? - HUMAN-OUT1]]</f>
        <v>7</v>
      </c>
      <c r="BH14">
        <f t="shared" si="25"/>
        <v>0.66666666666666663</v>
      </c>
      <c r="BI14" s="32">
        <f t="shared" si="26"/>
        <v>2</v>
      </c>
    </row>
    <row r="15" spans="1:61" x14ac:dyDescent="0.45">
      <c r="A15" s="30">
        <f>step3_validation[[#This Row],[Persona_ID]]</f>
        <v>14</v>
      </c>
      <c r="B15" s="31">
        <f>step3_validation[[#This Row],[Used_Seed]]</f>
        <v>2004</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20.560812066039318</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5</v>
      </c>
      <c r="R15">
        <f t="shared" si="0"/>
        <v>0.44444444444444442</v>
      </c>
      <c r="S15">
        <f>survey_responses[[#This Row],[Tôi tin rằng với các quy định quản lý thuế hiện nay, hành vi gian lận hoặc trốn thuế sẽ dễ dàng bị phát hiện và xử lý nghiêm. - HUMAN-ENF1]]</f>
        <v>10</v>
      </c>
      <c r="T15">
        <f t="shared" si="1"/>
        <v>1</v>
      </c>
      <c r="U15">
        <f>step3_validation[[#This Row],[AI_ENF2]]</f>
        <v>6</v>
      </c>
      <c r="V15">
        <f t="shared" si="2"/>
        <v>0.55555555555555558</v>
      </c>
      <c r="W15">
        <f>survey_responses[[#This Row],[Tôi tin rằng Nhà nước, cơ quan thuế có đủ khả năng và công nghệ để phát hiện, xử lý nghiêm các hành vi trốn thuế. - HUMAN-ENF2]]</f>
        <v>10</v>
      </c>
      <c r="X15">
        <f t="shared" si="3"/>
        <v>1</v>
      </c>
      <c r="Y15" s="32">
        <f t="shared" si="4"/>
        <v>0.5</v>
      </c>
      <c r="Z15" s="32">
        <f t="shared" si="5"/>
        <v>1</v>
      </c>
      <c r="AA15">
        <f>step3_validation[[#This Row],[AI_FAC1]]</f>
        <v>9</v>
      </c>
      <c r="AB15">
        <f t="shared" si="6"/>
        <v>0.88888888888888884</v>
      </c>
      <c r="AC15">
        <f>survey_responses[[#This Row],[Các thủ tục khai báo thuế VÀ/HOẶC quy trình làm việc với cơ quan thuế đơn giản, tiện lợi, nhanh chóng hơn so với trước đây. - HUMAN-FAC1]]</f>
        <v>8</v>
      </c>
      <c r="AD15">
        <f t="shared" si="7"/>
        <v>0.77777777777777779</v>
      </c>
      <c r="AE15">
        <f>step3_validation[[#This Row],[AI_FAC2]]</f>
        <v>8</v>
      </c>
      <c r="AF15">
        <f t="shared" si="8"/>
        <v>0.77777777777777779</v>
      </c>
      <c r="AG15">
        <f>survey_responses[[#This Row],[So với trước đây, tôi thấy cách tính thuế và các bậc thuế trong phương án mới đơn giản, dễ hiểu và dễ thực hiện hơn. - HUMAN-FAC2]]</f>
        <v>8</v>
      </c>
      <c r="AH15">
        <f t="shared" si="9"/>
        <v>0.77777777777777779</v>
      </c>
      <c r="AI15" s="32">
        <f t="shared" si="10"/>
        <v>0.83333333333333326</v>
      </c>
      <c r="AJ15" s="32">
        <f t="shared" si="11"/>
        <v>0.77777777777777779</v>
      </c>
      <c r="AK15">
        <f>step3_validation[[#This Row],[AI_TRU1]]</f>
        <v>7</v>
      </c>
      <c r="AL15">
        <f t="shared" si="12"/>
        <v>0.66666666666666663</v>
      </c>
      <c r="AM15">
        <f>survey_responses[[#This Row],[Tôi tin rằng Nhà nước, cơ quan thuế sẽ thực thi chính sách mới một cách khách quan, công tâm và đối xử bình đẳng với mọi người nộp thuế.  - HUMAN-TRU1]]</f>
        <v>8</v>
      </c>
      <c r="AN15">
        <f t="shared" si="13"/>
        <v>0.77777777777777779</v>
      </c>
      <c r="AO15">
        <f>step3_validation[[#This Row],[AI_TRU2]]</f>
        <v>9</v>
      </c>
      <c r="AP15">
        <f t="shared" si="14"/>
        <v>0.88888888888888884</v>
      </c>
      <c r="AQ15">
        <f>survey_responses[[#This Row],[Tôi thấy mức thuế tôi phải đóng theo phương án mới là công bằng (người thu nhập như tôi đóng mức này là hợp lý). - HUMAN-TRU2]]</f>
        <v>6</v>
      </c>
      <c r="AR15">
        <f t="shared" si="15"/>
        <v>0.55555555555555558</v>
      </c>
      <c r="AS15">
        <f>step3_validation[[#This Row],[AI_TRU3]]</f>
        <v>8</v>
      </c>
      <c r="AT15">
        <f t="shared" si="16"/>
        <v>0.77777777777777779</v>
      </c>
      <c r="AU15">
        <f>survey_responses[[#This Row],[Tôi tin tưởng số tiền thuế tôi đóng sẽ được Nhà nước sử dụng hiệu quả để cải thiện dịch vụ công (y tế, đường xá...). - HUMAN-TRU3]]</f>
        <v>6</v>
      </c>
      <c r="AV15">
        <f t="shared" si="17"/>
        <v>0.55555555555555558</v>
      </c>
      <c r="AW15">
        <f>step3_validation[[#This Row],[AI_TRU4]]</f>
        <v>9</v>
      </c>
      <c r="AX15">
        <f t="shared" si="18"/>
        <v>0.88888888888888884</v>
      </c>
      <c r="AY15">
        <f>survey_responses[[#This Row],[Tôi thấy Nhà nước đã giải thích rõ ràng, minh bạch về lý do và mục tiêu của việc sửa đổi thuế lần này. - HUMAN-TRU4]]</f>
        <v>5</v>
      </c>
      <c r="AZ15">
        <f t="shared" si="19"/>
        <v>0.44444444444444442</v>
      </c>
      <c r="BA15" s="32">
        <f t="shared" si="20"/>
        <v>0.80555555555555547</v>
      </c>
      <c r="BB15" s="32">
        <f t="shared" si="21"/>
        <v>0.58333333333333337</v>
      </c>
      <c r="BC15" s="7">
        <f t="shared" si="22"/>
        <v>0.71296296296296291</v>
      </c>
      <c r="BD15" s="7">
        <f t="shared" si="23"/>
        <v>0.78703703703703709</v>
      </c>
      <c r="BE15">
        <f>step3_validation[[#This Row],[AI_OUT1]]</f>
        <v>8</v>
      </c>
      <c r="BF15">
        <f t="shared" si="24"/>
        <v>0.77777777777777779</v>
      </c>
      <c r="BG15">
        <f>survey_responses[[#This Row],[Sau khi xem xét các quyền lợi và nghĩa vụ, bạn có ủng hộ và tuân thủ chính sách mới hiện nay? - HUMAN-OUT1]]</f>
        <v>5</v>
      </c>
      <c r="BH15">
        <f t="shared" si="25"/>
        <v>0.44444444444444442</v>
      </c>
      <c r="BI15" s="32">
        <f t="shared" si="26"/>
        <v>3</v>
      </c>
    </row>
    <row r="16" spans="1:61" x14ac:dyDescent="0.45">
      <c r="A16" s="30">
        <f>step3_validation[[#This Row],[Persona_ID]]</f>
        <v>15</v>
      </c>
      <c r="B16" s="31">
        <f>step3_validation[[#This Row],[Used_Seed]]</f>
        <v>2005</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42.766205033209218</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f t="shared" si="0"/>
        <v>0.66666666666666663</v>
      </c>
      <c r="S16">
        <f>survey_responses[[#This Row],[Tôi tin rằng với các quy định quản lý thuế hiện nay, hành vi gian lận hoặc trốn thuế sẽ dễ dàng bị phát hiện và xử lý nghiêm. - HUMAN-ENF1]]</f>
        <v>7</v>
      </c>
      <c r="T16">
        <f t="shared" si="1"/>
        <v>0.66666666666666663</v>
      </c>
      <c r="U16">
        <f>step3_validation[[#This Row],[AI_ENF2]]</f>
        <v>6</v>
      </c>
      <c r="V16">
        <f t="shared" si="2"/>
        <v>0.55555555555555558</v>
      </c>
      <c r="W16">
        <f>survey_responses[[#This Row],[Tôi tin rằng Nhà nước, cơ quan thuế có đủ khả năng và công nghệ để phát hiện, xử lý nghiêm các hành vi trốn thuế. - HUMAN-ENF2]]</f>
        <v>9</v>
      </c>
      <c r="X16">
        <f t="shared" si="3"/>
        <v>0.88888888888888884</v>
      </c>
      <c r="Y16" s="32">
        <f t="shared" si="4"/>
        <v>0.61111111111111116</v>
      </c>
      <c r="Z16" s="32">
        <f t="shared" si="5"/>
        <v>0.77777777777777768</v>
      </c>
      <c r="AA16">
        <f>step3_validation[[#This Row],[AI_FAC1]]</f>
        <v>8</v>
      </c>
      <c r="AB16">
        <f t="shared" si="6"/>
        <v>0.77777777777777779</v>
      </c>
      <c r="AC16">
        <f>survey_responses[[#This Row],[Các thủ tục khai báo thuế VÀ/HOẶC quy trình làm việc với cơ quan thuế đơn giản, tiện lợi, nhanh chóng hơn so với trước đây. - HUMAN-FAC1]]</f>
        <v>3</v>
      </c>
      <c r="AD16">
        <f t="shared" si="7"/>
        <v>0.22222222222222221</v>
      </c>
      <c r="AE16">
        <f>step3_validation[[#This Row],[AI_FAC2]]</f>
        <v>9</v>
      </c>
      <c r="AF16">
        <f t="shared" si="8"/>
        <v>0.88888888888888884</v>
      </c>
      <c r="AG16">
        <f>survey_responses[[#This Row],[So với trước đây, tôi thấy cách tính thuế và các bậc thuế trong phương án mới đơn giản, dễ hiểu và dễ thực hiện hơn. - HUMAN-FAC2]]</f>
        <v>6</v>
      </c>
      <c r="AH16">
        <f t="shared" si="9"/>
        <v>0.55555555555555558</v>
      </c>
      <c r="AI16" s="32">
        <f t="shared" si="10"/>
        <v>0.83333333333333326</v>
      </c>
      <c r="AJ16" s="32">
        <f t="shared" si="11"/>
        <v>0.3888888888888889</v>
      </c>
      <c r="AK16">
        <f>step3_validation[[#This Row],[AI_TRU1]]</f>
        <v>7</v>
      </c>
      <c r="AL16">
        <f t="shared" si="12"/>
        <v>0.66666666666666663</v>
      </c>
      <c r="AM16">
        <f>survey_responses[[#This Row],[Tôi tin rằng Nhà nước, cơ quan thuế sẽ thực thi chính sách mới một cách khách quan, công tâm và đối xử bình đẳng với mọi người nộp thuế.  - HUMAN-TRU1]]</f>
        <v>1</v>
      </c>
      <c r="AN16">
        <f t="shared" si="13"/>
        <v>0</v>
      </c>
      <c r="AO16">
        <f>step3_validation[[#This Row],[AI_TRU2]]</f>
        <v>8</v>
      </c>
      <c r="AP16">
        <f t="shared" si="14"/>
        <v>0.77777777777777779</v>
      </c>
      <c r="AQ16">
        <f>survey_responses[[#This Row],[Tôi thấy mức thuế tôi phải đóng theo phương án mới là công bằng (người thu nhập như tôi đóng mức này là hợp lý). - HUMAN-TRU2]]</f>
        <v>1</v>
      </c>
      <c r="AR16">
        <f t="shared" si="15"/>
        <v>0</v>
      </c>
      <c r="AS16">
        <f>step3_validation[[#This Row],[AI_TRU3]]</f>
        <v>6</v>
      </c>
      <c r="AT16">
        <f t="shared" si="16"/>
        <v>0.55555555555555558</v>
      </c>
      <c r="AU16">
        <f>survey_responses[[#This Row],[Tôi tin tưởng số tiền thuế tôi đóng sẽ được Nhà nước sử dụng hiệu quả để cải thiện dịch vụ công (y tế, đường xá...). - HUMAN-TRU3]]</f>
        <v>1</v>
      </c>
      <c r="AV16">
        <f t="shared" si="17"/>
        <v>0</v>
      </c>
      <c r="AW16">
        <f>step3_validation[[#This Row],[AI_TRU4]]</f>
        <v>5</v>
      </c>
      <c r="AX16">
        <f t="shared" si="18"/>
        <v>0.44444444444444442</v>
      </c>
      <c r="AY16">
        <f>survey_responses[[#This Row],[Tôi thấy Nhà nước đã giải thích rõ ràng, minh bạch về lý do và mục tiêu của việc sửa đổi thuế lần này. - HUMAN-TRU4]]</f>
        <v>1</v>
      </c>
      <c r="AZ16">
        <f t="shared" si="19"/>
        <v>0</v>
      </c>
      <c r="BA16" s="32">
        <f t="shared" si="20"/>
        <v>0.61111111111111116</v>
      </c>
      <c r="BB16" s="32">
        <f t="shared" si="21"/>
        <v>0</v>
      </c>
      <c r="BC16" s="7">
        <f t="shared" si="22"/>
        <v>0.68518518518518512</v>
      </c>
      <c r="BD16" s="7">
        <f t="shared" si="23"/>
        <v>0.38888888888888884</v>
      </c>
      <c r="BE16">
        <f>step3_validation[[#This Row],[AI_OUT1]]</f>
        <v>9</v>
      </c>
      <c r="BF16">
        <f t="shared" si="24"/>
        <v>0.88888888888888884</v>
      </c>
      <c r="BG16">
        <f>survey_responses[[#This Row],[Sau khi xem xét các quyền lợi và nghĩa vụ, bạn có ủng hộ và tuân thủ chính sách mới hiện nay? - HUMAN-OUT1]]</f>
        <v>1</v>
      </c>
      <c r="BH16">
        <f t="shared" si="25"/>
        <v>0</v>
      </c>
      <c r="BI16" s="32">
        <f t="shared" si="26"/>
        <v>8</v>
      </c>
    </row>
    <row r="17" spans="1:61" x14ac:dyDescent="0.45">
      <c r="A17" s="30">
        <f>step3_validation[[#This Row],[Persona_ID]]</f>
        <v>16</v>
      </c>
      <c r="B17" s="31">
        <f>step3_validation[[#This Row],[Used_Seed]]</f>
        <v>2006</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97.031267340930881</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7</v>
      </c>
      <c r="R17">
        <f t="shared" si="0"/>
        <v>0.66666666666666663</v>
      </c>
      <c r="S17">
        <f>survey_responses[[#This Row],[Tôi tin rằng với các quy định quản lý thuế hiện nay, hành vi gian lận hoặc trốn thuế sẽ dễ dàng bị phát hiện và xử lý nghiêm. - HUMAN-ENF1]]</f>
        <v>8</v>
      </c>
      <c r="T17">
        <f t="shared" si="1"/>
        <v>0.77777777777777779</v>
      </c>
      <c r="U17">
        <f>step3_validation[[#This Row],[AI_ENF2]]</f>
        <v>6</v>
      </c>
      <c r="V17">
        <f t="shared" si="2"/>
        <v>0.55555555555555558</v>
      </c>
      <c r="W17">
        <f>survey_responses[[#This Row],[Tôi tin rằng Nhà nước, cơ quan thuế có đủ khả năng và công nghệ để phát hiện, xử lý nghiêm các hành vi trốn thuế. - HUMAN-ENF2]]</f>
        <v>8</v>
      </c>
      <c r="X17">
        <f t="shared" si="3"/>
        <v>0.77777777777777779</v>
      </c>
      <c r="Y17" s="32">
        <f t="shared" si="4"/>
        <v>0.61111111111111116</v>
      </c>
      <c r="Z17" s="32">
        <f t="shared" si="5"/>
        <v>0.77777777777777779</v>
      </c>
      <c r="AA17">
        <f>step3_validation[[#This Row],[AI_FAC1]]</f>
        <v>9</v>
      </c>
      <c r="AB17">
        <f t="shared" si="6"/>
        <v>0.88888888888888884</v>
      </c>
      <c r="AC17">
        <f>survey_responses[[#This Row],[Các thủ tục khai báo thuế VÀ/HOẶC quy trình làm việc với cơ quan thuế đơn giản, tiện lợi, nhanh chóng hơn so với trước đây. - HUMAN-FAC1]]</f>
        <v>8</v>
      </c>
      <c r="AD17">
        <f t="shared" si="7"/>
        <v>0.77777777777777779</v>
      </c>
      <c r="AE17">
        <f>step3_validation[[#This Row],[AI_FAC2]]</f>
        <v>8</v>
      </c>
      <c r="AF17">
        <f t="shared" si="8"/>
        <v>0.77777777777777779</v>
      </c>
      <c r="AG17">
        <f>survey_responses[[#This Row],[So với trước đây, tôi thấy cách tính thuế và các bậc thuế trong phương án mới đơn giản, dễ hiểu và dễ thực hiện hơn. - HUMAN-FAC2]]</f>
        <v>9</v>
      </c>
      <c r="AH17">
        <f t="shared" si="9"/>
        <v>0.88888888888888884</v>
      </c>
      <c r="AI17" s="32">
        <f t="shared" si="10"/>
        <v>0.83333333333333326</v>
      </c>
      <c r="AJ17" s="32">
        <f t="shared" si="11"/>
        <v>0.83333333333333326</v>
      </c>
      <c r="AK17">
        <f>step3_validation[[#This Row],[AI_TRU1]]</f>
        <v>7</v>
      </c>
      <c r="AL17">
        <f t="shared" si="12"/>
        <v>0.66666666666666663</v>
      </c>
      <c r="AM17">
        <f>survey_responses[[#This Row],[Tôi tin rằng Nhà nước, cơ quan thuế sẽ thực thi chính sách mới một cách khách quan, công tâm và đối xử bình đẳng với mọi người nộp thuế.  - HUMAN-TRU1]]</f>
        <v>7</v>
      </c>
      <c r="AN17">
        <f t="shared" si="13"/>
        <v>0.66666666666666663</v>
      </c>
      <c r="AO17">
        <f>step3_validation[[#This Row],[AI_TRU2]]</f>
        <v>9</v>
      </c>
      <c r="AP17">
        <f t="shared" si="14"/>
        <v>0.88888888888888884</v>
      </c>
      <c r="AQ17">
        <f>survey_responses[[#This Row],[Tôi thấy mức thuế tôi phải đóng theo phương án mới là công bằng (người thu nhập như tôi đóng mức này là hợp lý). - HUMAN-TRU2]]</f>
        <v>7</v>
      </c>
      <c r="AR17">
        <f t="shared" si="15"/>
        <v>0.66666666666666663</v>
      </c>
      <c r="AS17">
        <f>step3_validation[[#This Row],[AI_TRU3]]</f>
        <v>7</v>
      </c>
      <c r="AT17">
        <f t="shared" si="16"/>
        <v>0.66666666666666663</v>
      </c>
      <c r="AU17">
        <f>survey_responses[[#This Row],[Tôi tin tưởng số tiền thuế tôi đóng sẽ được Nhà nước sử dụng hiệu quả để cải thiện dịch vụ công (y tế, đường xá...). - HUMAN-TRU3]]</f>
        <v>9</v>
      </c>
      <c r="AV17">
        <f t="shared" si="17"/>
        <v>0.88888888888888884</v>
      </c>
      <c r="AW17">
        <f>step3_validation[[#This Row],[AI_TRU4]]</f>
        <v>6</v>
      </c>
      <c r="AX17">
        <f t="shared" si="18"/>
        <v>0.55555555555555558</v>
      </c>
      <c r="AY17">
        <f>survey_responses[[#This Row],[Tôi thấy Nhà nước đã giải thích rõ ràng, minh bạch về lý do và mục tiêu của việc sửa đổi thuế lần này. - HUMAN-TRU4]]</f>
        <v>8</v>
      </c>
      <c r="AZ17">
        <f t="shared" si="19"/>
        <v>0.77777777777777779</v>
      </c>
      <c r="BA17" s="32">
        <f t="shared" si="20"/>
        <v>0.69444444444444442</v>
      </c>
      <c r="BB17" s="32">
        <f t="shared" si="21"/>
        <v>0.75</v>
      </c>
      <c r="BC17" s="7">
        <f t="shared" si="22"/>
        <v>0.71296296296296291</v>
      </c>
      <c r="BD17" s="7">
        <f t="shared" si="23"/>
        <v>0.78703703703703709</v>
      </c>
      <c r="BE17">
        <f>step3_validation[[#This Row],[AI_OUT1]]</f>
        <v>9</v>
      </c>
      <c r="BF17">
        <f t="shared" si="24"/>
        <v>0.88888888888888884</v>
      </c>
      <c r="BG17">
        <f>survey_responses[[#This Row],[Sau khi xem xét các quyền lợi và nghĩa vụ, bạn có ủng hộ và tuân thủ chính sách mới hiện nay? - HUMAN-OUT1]]</f>
        <v>7</v>
      </c>
      <c r="BH17">
        <f t="shared" si="25"/>
        <v>0.66666666666666663</v>
      </c>
      <c r="BI17" s="32">
        <f t="shared" si="26"/>
        <v>2</v>
      </c>
    </row>
    <row r="18" spans="1:61" x14ac:dyDescent="0.45">
      <c r="A18" s="30">
        <f>step3_validation[[#This Row],[Persona_ID]]</f>
        <v>17</v>
      </c>
      <c r="B18" s="31">
        <f>step3_validation[[#This Row],[Used_Seed]]</f>
        <v>2007</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21.039487527118101</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9</v>
      </c>
      <c r="R18">
        <f t="shared" si="0"/>
        <v>0.88888888888888884</v>
      </c>
      <c r="S18">
        <f>survey_responses[[#This Row],[Tôi tin rằng với các quy định quản lý thuế hiện nay, hành vi gian lận hoặc trốn thuế sẽ dễ dàng bị phát hiện và xử lý nghiêm. - HUMAN-ENF1]]</f>
        <v>6</v>
      </c>
      <c r="T18">
        <f t="shared" si="1"/>
        <v>0.55555555555555558</v>
      </c>
      <c r="U18">
        <f>step3_validation[[#This Row],[AI_ENF2]]</f>
        <v>8</v>
      </c>
      <c r="V18">
        <f t="shared" si="2"/>
        <v>0.77777777777777779</v>
      </c>
      <c r="W18">
        <f>survey_responses[[#This Row],[Tôi tin rằng Nhà nước, cơ quan thuế có đủ khả năng và công nghệ để phát hiện, xử lý nghiêm các hành vi trốn thuế. - HUMAN-ENF2]]</f>
        <v>7</v>
      </c>
      <c r="X18">
        <f t="shared" si="3"/>
        <v>0.66666666666666663</v>
      </c>
      <c r="Y18" s="32">
        <f t="shared" si="4"/>
        <v>0.83333333333333326</v>
      </c>
      <c r="Z18" s="32">
        <f t="shared" si="5"/>
        <v>0.61111111111111116</v>
      </c>
      <c r="AA18">
        <f>step3_validation[[#This Row],[AI_FAC1]]</f>
        <v>9</v>
      </c>
      <c r="AB18">
        <f t="shared" si="6"/>
        <v>0.88888888888888884</v>
      </c>
      <c r="AC18">
        <f>survey_responses[[#This Row],[Các thủ tục khai báo thuế VÀ/HOẶC quy trình làm việc với cơ quan thuế đơn giản, tiện lợi, nhanh chóng hơn so với trước đây. - HUMAN-FAC1]]</f>
        <v>5</v>
      </c>
      <c r="AD18">
        <f t="shared" si="7"/>
        <v>0.44444444444444442</v>
      </c>
      <c r="AE18">
        <f>step3_validation[[#This Row],[AI_FAC2]]</f>
        <v>8</v>
      </c>
      <c r="AF18">
        <f t="shared" si="8"/>
        <v>0.77777777777777779</v>
      </c>
      <c r="AG18">
        <f>survey_responses[[#This Row],[So với trước đây, tôi thấy cách tính thuế và các bậc thuế trong phương án mới đơn giản, dễ hiểu và dễ thực hiện hơn. - HUMAN-FAC2]]</f>
        <v>5</v>
      </c>
      <c r="AH18">
        <f t="shared" si="9"/>
        <v>0.44444444444444442</v>
      </c>
      <c r="AI18" s="32">
        <f t="shared" si="10"/>
        <v>0.83333333333333326</v>
      </c>
      <c r="AJ18" s="32">
        <f t="shared" si="11"/>
        <v>0.44444444444444442</v>
      </c>
      <c r="AK18">
        <f>step3_validation[[#This Row],[AI_TRU1]]</f>
        <v>7</v>
      </c>
      <c r="AL18">
        <f t="shared" si="12"/>
        <v>0.66666666666666663</v>
      </c>
      <c r="AM18">
        <f>survey_responses[[#This Row],[Tôi tin rằng Nhà nước, cơ quan thuế sẽ thực thi chính sách mới một cách khách quan, công tâm và đối xử bình đẳng với mọi người nộp thuế.  - HUMAN-TRU1]]</f>
        <v>6</v>
      </c>
      <c r="AN18">
        <f t="shared" si="13"/>
        <v>0.55555555555555558</v>
      </c>
      <c r="AO18">
        <f>step3_validation[[#This Row],[AI_TRU2]]</f>
        <v>9</v>
      </c>
      <c r="AP18">
        <f t="shared" si="14"/>
        <v>0.88888888888888884</v>
      </c>
      <c r="AQ18">
        <f>survey_responses[[#This Row],[Tôi thấy mức thuế tôi phải đóng theo phương án mới là công bằng (người thu nhập như tôi đóng mức này là hợp lý). - HUMAN-TRU2]]</f>
        <v>7</v>
      </c>
      <c r="AR18">
        <f t="shared" si="15"/>
        <v>0.66666666666666663</v>
      </c>
      <c r="AS18">
        <f>step3_validation[[#This Row],[AI_TRU3]]</f>
        <v>7</v>
      </c>
      <c r="AT18">
        <f t="shared" si="16"/>
        <v>0.66666666666666663</v>
      </c>
      <c r="AU18">
        <f>survey_responses[[#This Row],[Tôi tin tưởng số tiền thuế tôi đóng sẽ được Nhà nước sử dụng hiệu quả để cải thiện dịch vụ công (y tế, đường xá...). - HUMAN-TRU3]]</f>
        <v>3</v>
      </c>
      <c r="AV18">
        <f t="shared" si="17"/>
        <v>0.22222222222222221</v>
      </c>
      <c r="AW18">
        <f>step3_validation[[#This Row],[AI_TRU4]]</f>
        <v>8</v>
      </c>
      <c r="AX18">
        <f t="shared" si="18"/>
        <v>0.77777777777777779</v>
      </c>
      <c r="AY18">
        <f>survey_responses[[#This Row],[Tôi thấy Nhà nước đã giải thích rõ ràng, minh bạch về lý do và mục tiêu của việc sửa đổi thuế lần này. - HUMAN-TRU4]]</f>
        <v>4</v>
      </c>
      <c r="AZ18">
        <f t="shared" si="19"/>
        <v>0.33333333333333331</v>
      </c>
      <c r="BA18" s="32">
        <f t="shared" si="20"/>
        <v>0.74999999999999989</v>
      </c>
      <c r="BB18" s="32">
        <f t="shared" si="21"/>
        <v>0.44444444444444448</v>
      </c>
      <c r="BC18" s="7">
        <f t="shared" si="22"/>
        <v>0.80555555555555547</v>
      </c>
      <c r="BD18" s="7">
        <f t="shared" si="23"/>
        <v>0.5</v>
      </c>
      <c r="BE18">
        <f>step3_validation[[#This Row],[AI_OUT1]]</f>
        <v>9</v>
      </c>
      <c r="BF18">
        <f t="shared" si="24"/>
        <v>0.88888888888888884</v>
      </c>
      <c r="BG18">
        <f>survey_responses[[#This Row],[Sau khi xem xét các quyền lợi và nghĩa vụ, bạn có ủng hộ và tuân thủ chính sách mới hiện nay? - HUMAN-OUT1]]</f>
        <v>5</v>
      </c>
      <c r="BH18">
        <f t="shared" si="25"/>
        <v>0.44444444444444442</v>
      </c>
      <c r="BI18" s="32">
        <f t="shared" si="26"/>
        <v>4</v>
      </c>
    </row>
    <row r="19" spans="1:61" x14ac:dyDescent="0.45">
      <c r="A19" s="30">
        <f>step3_validation[[#This Row],[Persona_ID]]</f>
        <v>18</v>
      </c>
      <c r="B19" s="31">
        <f>step3_validation[[#This Row],[Used_Seed]]</f>
        <v>2008</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16.475787551693386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f t="shared" si="0"/>
        <v>0.77777777777777779</v>
      </c>
      <c r="S19">
        <f>survey_responses[[#This Row],[Tôi tin rằng với các quy định quản lý thuế hiện nay, hành vi gian lận hoặc trốn thuế sẽ dễ dàng bị phát hiện và xử lý nghiêm. - HUMAN-ENF1]]</f>
        <v>6</v>
      </c>
      <c r="T19">
        <f t="shared" si="1"/>
        <v>0.55555555555555558</v>
      </c>
      <c r="U19">
        <f>step3_validation[[#This Row],[AI_ENF2]]</f>
        <v>8</v>
      </c>
      <c r="V19">
        <f t="shared" si="2"/>
        <v>0.77777777777777779</v>
      </c>
      <c r="W19">
        <f>survey_responses[[#This Row],[Tôi tin rằng Nhà nước, cơ quan thuế có đủ khả năng và công nghệ để phát hiện, xử lý nghiêm các hành vi trốn thuế. - HUMAN-ENF2]]</f>
        <v>8</v>
      </c>
      <c r="X19">
        <f t="shared" si="3"/>
        <v>0.77777777777777779</v>
      </c>
      <c r="Y19" s="32">
        <f t="shared" si="4"/>
        <v>0.77777777777777779</v>
      </c>
      <c r="Z19" s="32">
        <f t="shared" si="5"/>
        <v>0.66666666666666674</v>
      </c>
      <c r="AA19">
        <f>step3_validation[[#This Row],[AI_FAC1]]</f>
        <v>9</v>
      </c>
      <c r="AB19">
        <f t="shared" si="6"/>
        <v>0.88888888888888884</v>
      </c>
      <c r="AC19">
        <f>survey_responses[[#This Row],[Các thủ tục khai báo thuế VÀ/HOẶC quy trình làm việc với cơ quan thuế đơn giản, tiện lợi, nhanh chóng hơn so với trước đây. - HUMAN-FAC1]]</f>
        <v>7</v>
      </c>
      <c r="AD19">
        <f t="shared" si="7"/>
        <v>0.66666666666666663</v>
      </c>
      <c r="AE19">
        <f>step3_validation[[#This Row],[AI_FAC2]]</f>
        <v>9</v>
      </c>
      <c r="AF19">
        <f t="shared" si="8"/>
        <v>0.88888888888888884</v>
      </c>
      <c r="AG19">
        <f>survey_responses[[#This Row],[So với trước đây, tôi thấy cách tính thuế và các bậc thuế trong phương án mới đơn giản, dễ hiểu và dễ thực hiện hơn. - HUMAN-FAC2]]</f>
        <v>8</v>
      </c>
      <c r="AH19">
        <f t="shared" si="9"/>
        <v>0.77777777777777779</v>
      </c>
      <c r="AI19" s="32">
        <f t="shared" si="10"/>
        <v>0.88888888888888884</v>
      </c>
      <c r="AJ19" s="32">
        <f t="shared" si="11"/>
        <v>0.72222222222222221</v>
      </c>
      <c r="AK19">
        <f>step3_validation[[#This Row],[AI_TRU1]]</f>
        <v>9</v>
      </c>
      <c r="AL19">
        <f t="shared" si="12"/>
        <v>0.88888888888888884</v>
      </c>
      <c r="AM19">
        <f>survey_responses[[#This Row],[Tôi tin rằng Nhà nước, cơ quan thuế sẽ thực thi chính sách mới một cách khách quan, công tâm và đối xử bình đẳng với mọi người nộp thuế.  - HUMAN-TRU1]]</f>
        <v>8</v>
      </c>
      <c r="AN19">
        <f t="shared" si="13"/>
        <v>0.77777777777777779</v>
      </c>
      <c r="AO19">
        <f>step3_validation[[#This Row],[AI_TRU2]]</f>
        <v>9</v>
      </c>
      <c r="AP19">
        <f t="shared" si="14"/>
        <v>0.88888888888888884</v>
      </c>
      <c r="AQ19">
        <f>survey_responses[[#This Row],[Tôi thấy mức thuế tôi phải đóng theo phương án mới là công bằng (người thu nhập như tôi đóng mức này là hợp lý). - HUMAN-TRU2]]</f>
        <v>7</v>
      </c>
      <c r="AR19">
        <f t="shared" si="15"/>
        <v>0.66666666666666663</v>
      </c>
      <c r="AS19">
        <f>step3_validation[[#This Row],[AI_TRU3]]</f>
        <v>9</v>
      </c>
      <c r="AT19">
        <f t="shared" si="16"/>
        <v>0.88888888888888884</v>
      </c>
      <c r="AU19">
        <f>survey_responses[[#This Row],[Tôi tin tưởng số tiền thuế tôi đóng sẽ được Nhà nước sử dụng hiệu quả để cải thiện dịch vụ công (y tế, đường xá...). - HUMAN-TRU3]]</f>
        <v>7</v>
      </c>
      <c r="AV19">
        <f t="shared" si="17"/>
        <v>0.66666666666666663</v>
      </c>
      <c r="AW19">
        <f>step3_validation[[#This Row],[AI_TRU4]]</f>
        <v>8</v>
      </c>
      <c r="AX19">
        <f t="shared" si="18"/>
        <v>0.77777777777777779</v>
      </c>
      <c r="AY19">
        <f>survey_responses[[#This Row],[Tôi thấy Nhà nước đã giải thích rõ ràng, minh bạch về lý do và mục tiêu của việc sửa đổi thuế lần này. - HUMAN-TRU4]]</f>
        <v>6</v>
      </c>
      <c r="AZ19">
        <f t="shared" si="19"/>
        <v>0.55555555555555558</v>
      </c>
      <c r="BA19" s="32">
        <f t="shared" si="20"/>
        <v>0.86111111111111105</v>
      </c>
      <c r="BB19" s="32">
        <f t="shared" si="21"/>
        <v>0.66666666666666674</v>
      </c>
      <c r="BC19" s="7">
        <f t="shared" si="22"/>
        <v>0.84259259259259256</v>
      </c>
      <c r="BD19" s="7">
        <f t="shared" si="23"/>
        <v>0.68518518518518512</v>
      </c>
      <c r="BE19">
        <f>step3_validation[[#This Row],[AI_OUT1]]</f>
        <v>9</v>
      </c>
      <c r="BF19">
        <f t="shared" si="24"/>
        <v>0.88888888888888884</v>
      </c>
      <c r="BG19">
        <f>survey_responses[[#This Row],[Sau khi xem xét các quyền lợi và nghĩa vụ, bạn có ủng hộ và tuân thủ chính sách mới hiện nay? - HUMAN-OUT1]]</f>
        <v>8</v>
      </c>
      <c r="BH19">
        <f t="shared" si="25"/>
        <v>0.77777777777777779</v>
      </c>
      <c r="BI19" s="32">
        <f t="shared" si="26"/>
        <v>1</v>
      </c>
    </row>
    <row r="20" spans="1:61" x14ac:dyDescent="0.45">
      <c r="A20" s="30">
        <f>step3_validation[[#This Row],[Persona_ID]]</f>
        <v>19</v>
      </c>
      <c r="B20" s="31">
        <f>step3_validation[[#This Row],[Used_Seed]]</f>
        <v>2009</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133.36974784496124</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f t="shared" si="0"/>
        <v>0.66666666666666663</v>
      </c>
      <c r="S20">
        <f>survey_responses[[#This Row],[Tôi tin rằng với các quy định quản lý thuế hiện nay, hành vi gian lận hoặc trốn thuế sẽ dễ dàng bị phát hiện và xử lý nghiêm. - HUMAN-ENF1]]</f>
        <v>10</v>
      </c>
      <c r="T20">
        <f t="shared" si="1"/>
        <v>1</v>
      </c>
      <c r="U20">
        <f>step3_validation[[#This Row],[AI_ENF2]]</f>
        <v>8</v>
      </c>
      <c r="V20">
        <f t="shared" si="2"/>
        <v>0.77777777777777779</v>
      </c>
      <c r="W20">
        <f>survey_responses[[#This Row],[Tôi tin rằng Nhà nước, cơ quan thuế có đủ khả năng và công nghệ để phát hiện, xử lý nghiêm các hành vi trốn thuế. - HUMAN-ENF2]]</f>
        <v>10</v>
      </c>
      <c r="X20">
        <f t="shared" si="3"/>
        <v>1</v>
      </c>
      <c r="Y20" s="32">
        <f t="shared" si="4"/>
        <v>0.72222222222222221</v>
      </c>
      <c r="Z20" s="32">
        <f t="shared" si="5"/>
        <v>1</v>
      </c>
      <c r="AA20">
        <f>step3_validation[[#This Row],[AI_FAC1]]</f>
        <v>9</v>
      </c>
      <c r="AB20">
        <f t="shared" si="6"/>
        <v>0.88888888888888884</v>
      </c>
      <c r="AC20">
        <f>survey_responses[[#This Row],[Các thủ tục khai báo thuế VÀ/HOẶC quy trình làm việc với cơ quan thuế đơn giản, tiện lợi, nhanh chóng hơn so với trước đây. - HUMAN-FAC1]]</f>
        <v>5</v>
      </c>
      <c r="AD20">
        <f t="shared" si="7"/>
        <v>0.44444444444444442</v>
      </c>
      <c r="AE20">
        <f>step3_validation[[#This Row],[AI_FAC2]]</f>
        <v>9</v>
      </c>
      <c r="AF20">
        <f t="shared" si="8"/>
        <v>0.88888888888888884</v>
      </c>
      <c r="AG20">
        <f>survey_responses[[#This Row],[So với trước đây, tôi thấy cách tính thuế và các bậc thuế trong phương án mới đơn giản, dễ hiểu và dễ thực hiện hơn. - HUMAN-FAC2]]</f>
        <v>5</v>
      </c>
      <c r="AH20">
        <f t="shared" si="9"/>
        <v>0.44444444444444442</v>
      </c>
      <c r="AI20" s="32">
        <f t="shared" si="10"/>
        <v>0.88888888888888884</v>
      </c>
      <c r="AJ20" s="32">
        <f t="shared" si="11"/>
        <v>0.44444444444444442</v>
      </c>
      <c r="AK20">
        <f>step3_validation[[#This Row],[AI_TRU1]]</f>
        <v>8</v>
      </c>
      <c r="AL20">
        <f t="shared" si="12"/>
        <v>0.77777777777777779</v>
      </c>
      <c r="AM20">
        <f>survey_responses[[#This Row],[Tôi tin rằng Nhà nước, cơ quan thuế sẽ thực thi chính sách mới một cách khách quan, công tâm và đối xử bình đẳng với mọi người nộp thuế.  - HUMAN-TRU1]]</f>
        <v>5</v>
      </c>
      <c r="AN20">
        <f t="shared" si="13"/>
        <v>0.44444444444444442</v>
      </c>
      <c r="AO20">
        <f>step3_validation[[#This Row],[AI_TRU2]]</f>
        <v>9</v>
      </c>
      <c r="AP20">
        <f t="shared" si="14"/>
        <v>0.88888888888888884</v>
      </c>
      <c r="AQ20">
        <f>survey_responses[[#This Row],[Tôi thấy mức thuế tôi phải đóng theo phương án mới là công bằng (người thu nhập như tôi đóng mức này là hợp lý). - HUMAN-TRU2]]</f>
        <v>3</v>
      </c>
      <c r="AR20">
        <f t="shared" si="15"/>
        <v>0.22222222222222221</v>
      </c>
      <c r="AS20">
        <f>step3_validation[[#This Row],[AI_TRU3]]</f>
        <v>8</v>
      </c>
      <c r="AT20">
        <f t="shared" si="16"/>
        <v>0.77777777777777779</v>
      </c>
      <c r="AU20">
        <f>survey_responses[[#This Row],[Tôi tin tưởng số tiền thuế tôi đóng sẽ được Nhà nước sử dụng hiệu quả để cải thiện dịch vụ công (y tế, đường xá...). - HUMAN-TRU3]]</f>
        <v>2</v>
      </c>
      <c r="AV20">
        <f t="shared" si="17"/>
        <v>0.1111111111111111</v>
      </c>
      <c r="AW20">
        <f>step3_validation[[#This Row],[AI_TRU4]]</f>
        <v>7</v>
      </c>
      <c r="AX20">
        <f t="shared" si="18"/>
        <v>0.66666666666666663</v>
      </c>
      <c r="AY20">
        <f>survey_responses[[#This Row],[Tôi thấy Nhà nước đã giải thích rõ ràng, minh bạch về lý do và mục tiêu của việc sửa đổi thuế lần này. - HUMAN-TRU4]]</f>
        <v>5</v>
      </c>
      <c r="AZ20">
        <f t="shared" si="19"/>
        <v>0.44444444444444442</v>
      </c>
      <c r="BA20" s="32">
        <f t="shared" si="20"/>
        <v>0.77777777777777768</v>
      </c>
      <c r="BB20" s="32">
        <f t="shared" si="21"/>
        <v>0.30555555555555552</v>
      </c>
      <c r="BC20" s="7">
        <f t="shared" si="22"/>
        <v>0.79629629629629628</v>
      </c>
      <c r="BD20" s="7">
        <f t="shared" si="23"/>
        <v>0.58333333333333337</v>
      </c>
      <c r="BE20">
        <f>step3_validation[[#This Row],[AI_OUT1]]</f>
        <v>9</v>
      </c>
      <c r="BF20">
        <f t="shared" si="24"/>
        <v>0.88888888888888884</v>
      </c>
      <c r="BG20">
        <f>survey_responses[[#This Row],[Sau khi xem xét các quyền lợi và nghĩa vụ, bạn có ủng hộ và tuân thủ chính sách mới hiện nay? - HUMAN-OUT1]]</f>
        <v>8</v>
      </c>
      <c r="BH20">
        <f t="shared" si="25"/>
        <v>0.77777777777777779</v>
      </c>
      <c r="BI20" s="32">
        <f t="shared" si="26"/>
        <v>1</v>
      </c>
    </row>
    <row r="21" spans="1:61" x14ac:dyDescent="0.45">
      <c r="A21" s="30">
        <f>step3_validation[[#This Row],[Persona_ID]]</f>
        <v>20</v>
      </c>
      <c r="B21" s="31">
        <f>step3_validation[[#This Row],[Used_Seed]]</f>
        <v>2010</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53.113316152974953</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5</v>
      </c>
      <c r="R21">
        <f t="shared" si="0"/>
        <v>0.44444444444444442</v>
      </c>
      <c r="S21">
        <f>survey_responses[[#This Row],[Tôi tin rằng với các quy định quản lý thuế hiện nay, hành vi gian lận hoặc trốn thuế sẽ dễ dàng bị phát hiện và xử lý nghiêm. - HUMAN-ENF1]]</f>
        <v>9</v>
      </c>
      <c r="T21">
        <f t="shared" si="1"/>
        <v>0.88888888888888884</v>
      </c>
      <c r="U21">
        <f>step3_validation[[#This Row],[AI_ENF2]]</f>
        <v>6</v>
      </c>
      <c r="V21">
        <f t="shared" si="2"/>
        <v>0.55555555555555558</v>
      </c>
      <c r="W21">
        <f>survey_responses[[#This Row],[Tôi tin rằng Nhà nước, cơ quan thuế có đủ khả năng và công nghệ để phát hiện, xử lý nghiêm các hành vi trốn thuế. - HUMAN-ENF2]]</f>
        <v>9</v>
      </c>
      <c r="X21">
        <f t="shared" si="3"/>
        <v>0.88888888888888884</v>
      </c>
      <c r="Y21" s="32">
        <f t="shared" si="4"/>
        <v>0.5</v>
      </c>
      <c r="Z21" s="32">
        <f t="shared" si="5"/>
        <v>0.88888888888888884</v>
      </c>
      <c r="AA21">
        <f>step3_validation[[#This Row],[AI_FAC1]]</f>
        <v>7</v>
      </c>
      <c r="AB21">
        <f t="shared" si="6"/>
        <v>0.66666666666666663</v>
      </c>
      <c r="AC21">
        <f>survey_responses[[#This Row],[Các thủ tục khai báo thuế VÀ/HOẶC quy trình làm việc với cơ quan thuế đơn giản, tiện lợi, nhanh chóng hơn so với trước đây. - HUMAN-FAC1]]</f>
        <v>7</v>
      </c>
      <c r="AD21">
        <f t="shared" si="7"/>
        <v>0.66666666666666663</v>
      </c>
      <c r="AE21">
        <f>step3_validation[[#This Row],[AI_FAC2]]</f>
        <v>8</v>
      </c>
      <c r="AF21">
        <f t="shared" si="8"/>
        <v>0.77777777777777779</v>
      </c>
      <c r="AG21">
        <f>survey_responses[[#This Row],[So với trước đây, tôi thấy cách tính thuế và các bậc thuế trong phương án mới đơn giản, dễ hiểu và dễ thực hiện hơn. - HUMAN-FAC2]]</f>
        <v>9</v>
      </c>
      <c r="AH21">
        <f t="shared" si="9"/>
        <v>0.88888888888888884</v>
      </c>
      <c r="AI21" s="32">
        <f t="shared" si="10"/>
        <v>0.72222222222222221</v>
      </c>
      <c r="AJ21" s="32">
        <f t="shared" si="11"/>
        <v>0.77777777777777768</v>
      </c>
      <c r="AK21">
        <f>step3_validation[[#This Row],[AI_TRU1]]</f>
        <v>7</v>
      </c>
      <c r="AL21">
        <f t="shared" si="12"/>
        <v>0.66666666666666663</v>
      </c>
      <c r="AM21">
        <f>survey_responses[[#This Row],[Tôi tin rằng Nhà nước, cơ quan thuế sẽ thực thi chính sách mới một cách khách quan, công tâm và đối xử bình đẳng với mọi người nộp thuế.  - HUMAN-TRU1]]</f>
        <v>7</v>
      </c>
      <c r="AN21">
        <f t="shared" si="13"/>
        <v>0.66666666666666663</v>
      </c>
      <c r="AO21">
        <f>step3_validation[[#This Row],[AI_TRU2]]</f>
        <v>9</v>
      </c>
      <c r="AP21">
        <f t="shared" si="14"/>
        <v>0.88888888888888884</v>
      </c>
      <c r="AQ21">
        <f>survey_responses[[#This Row],[Tôi thấy mức thuế tôi phải đóng theo phương án mới là công bằng (người thu nhập như tôi đóng mức này là hợp lý). - HUMAN-TRU2]]</f>
        <v>8</v>
      </c>
      <c r="AR21">
        <f t="shared" si="15"/>
        <v>0.77777777777777779</v>
      </c>
      <c r="AS21">
        <f>step3_validation[[#This Row],[AI_TRU3]]</f>
        <v>7</v>
      </c>
      <c r="AT21">
        <f t="shared" si="16"/>
        <v>0.66666666666666663</v>
      </c>
      <c r="AU21">
        <f>survey_responses[[#This Row],[Tôi tin tưởng số tiền thuế tôi đóng sẽ được Nhà nước sử dụng hiệu quả để cải thiện dịch vụ công (y tế, đường xá...). - HUMAN-TRU3]]</f>
        <v>5</v>
      </c>
      <c r="AV21">
        <f t="shared" si="17"/>
        <v>0.44444444444444442</v>
      </c>
      <c r="AW21">
        <f>step3_validation[[#This Row],[AI_TRU4]]</f>
        <v>6</v>
      </c>
      <c r="AX21">
        <f t="shared" si="18"/>
        <v>0.55555555555555558</v>
      </c>
      <c r="AY21">
        <f>survey_responses[[#This Row],[Tôi thấy Nhà nước đã giải thích rõ ràng, minh bạch về lý do và mục tiêu của việc sửa đổi thuế lần này. - HUMAN-TRU4]]</f>
        <v>5</v>
      </c>
      <c r="AZ21">
        <f t="shared" si="19"/>
        <v>0.44444444444444442</v>
      </c>
      <c r="BA21" s="32">
        <f t="shared" si="20"/>
        <v>0.69444444444444442</v>
      </c>
      <c r="BB21" s="32">
        <f t="shared" si="21"/>
        <v>0.58333333333333326</v>
      </c>
      <c r="BC21" s="7">
        <f t="shared" si="22"/>
        <v>0.63888888888888895</v>
      </c>
      <c r="BD21" s="7">
        <f t="shared" si="23"/>
        <v>0.75</v>
      </c>
      <c r="BE21">
        <f>step3_validation[[#This Row],[AI_OUT1]]</f>
        <v>8</v>
      </c>
      <c r="BF21">
        <f t="shared" si="24"/>
        <v>0.77777777777777779</v>
      </c>
      <c r="BG21">
        <f>survey_responses[[#This Row],[Sau khi xem xét các quyền lợi và nghĩa vụ, bạn có ủng hộ và tuân thủ chính sách mới hiện nay? - HUMAN-OUT1]]</f>
        <v>6</v>
      </c>
      <c r="BH21">
        <f t="shared" si="25"/>
        <v>0.55555555555555558</v>
      </c>
      <c r="BI21" s="32">
        <f t="shared" si="26"/>
        <v>2</v>
      </c>
    </row>
    <row r="22" spans="1:61" x14ac:dyDescent="0.45">
      <c r="A22" s="30">
        <f>step3_validation[[#This Row],[Persona_ID]]</f>
        <v>21</v>
      </c>
      <c r="B22" s="31">
        <f>step3_validation[[#This Row],[Used_Seed]]</f>
        <v>2011</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212.6300001360199</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7</v>
      </c>
      <c r="R22">
        <f t="shared" si="0"/>
        <v>0.66666666666666663</v>
      </c>
      <c r="S22">
        <f>survey_responses[[#This Row],[Tôi tin rằng với các quy định quản lý thuế hiện nay, hành vi gian lận hoặc trốn thuế sẽ dễ dàng bị phát hiện và xử lý nghiêm. - HUMAN-ENF1]]</f>
        <v>10</v>
      </c>
      <c r="T22">
        <f t="shared" si="1"/>
        <v>1</v>
      </c>
      <c r="U22">
        <f>step3_validation[[#This Row],[AI_ENF2]]</f>
        <v>8</v>
      </c>
      <c r="V22">
        <f t="shared" si="2"/>
        <v>0.77777777777777779</v>
      </c>
      <c r="W22">
        <f>survey_responses[[#This Row],[Tôi tin rằng Nhà nước, cơ quan thuế có đủ khả năng và công nghệ để phát hiện, xử lý nghiêm các hành vi trốn thuế. - HUMAN-ENF2]]</f>
        <v>10</v>
      </c>
      <c r="X22">
        <f t="shared" si="3"/>
        <v>1</v>
      </c>
      <c r="Y22" s="32">
        <f t="shared" si="4"/>
        <v>0.72222222222222221</v>
      </c>
      <c r="Z22" s="32">
        <f t="shared" si="5"/>
        <v>1</v>
      </c>
      <c r="AA22">
        <f>step3_validation[[#This Row],[AI_FAC1]]</f>
        <v>9</v>
      </c>
      <c r="AB22">
        <f t="shared" si="6"/>
        <v>0.88888888888888884</v>
      </c>
      <c r="AC22">
        <f>survey_responses[[#This Row],[Các thủ tục khai báo thuế VÀ/HOẶC quy trình làm việc với cơ quan thuế đơn giản, tiện lợi, nhanh chóng hơn so với trước đây. - HUMAN-FAC1]]</f>
        <v>8</v>
      </c>
      <c r="AD22">
        <f t="shared" si="7"/>
        <v>0.77777777777777779</v>
      </c>
      <c r="AE22">
        <f>step3_validation[[#This Row],[AI_FAC2]]</f>
        <v>9</v>
      </c>
      <c r="AF22">
        <f t="shared" si="8"/>
        <v>0.88888888888888884</v>
      </c>
      <c r="AG22">
        <f>survey_responses[[#This Row],[So với trước đây, tôi thấy cách tính thuế và các bậc thuế trong phương án mới đơn giản, dễ hiểu và dễ thực hiện hơn. - HUMAN-FAC2]]</f>
        <v>7</v>
      </c>
      <c r="AH22">
        <f t="shared" si="9"/>
        <v>0.66666666666666663</v>
      </c>
      <c r="AI22" s="32">
        <f t="shared" si="10"/>
        <v>0.88888888888888884</v>
      </c>
      <c r="AJ22" s="32">
        <f t="shared" si="11"/>
        <v>0.72222222222222221</v>
      </c>
      <c r="AK22">
        <f>step3_validation[[#This Row],[AI_TRU1]]</f>
        <v>7</v>
      </c>
      <c r="AL22">
        <f t="shared" si="12"/>
        <v>0.66666666666666663</v>
      </c>
      <c r="AM22">
        <f>survey_responses[[#This Row],[Tôi tin rằng Nhà nước, cơ quan thuế sẽ thực thi chính sách mới một cách khách quan, công tâm và đối xử bình đẳng với mọi người nộp thuế.  - HUMAN-TRU1]]</f>
        <v>7</v>
      </c>
      <c r="AN22">
        <f t="shared" si="13"/>
        <v>0.66666666666666663</v>
      </c>
      <c r="AO22">
        <f>step3_validation[[#This Row],[AI_TRU2]]</f>
        <v>8</v>
      </c>
      <c r="AP22">
        <f t="shared" si="14"/>
        <v>0.77777777777777779</v>
      </c>
      <c r="AQ22">
        <f>survey_responses[[#This Row],[Tôi thấy mức thuế tôi phải đóng theo phương án mới là công bằng (người thu nhập như tôi đóng mức này là hợp lý). - HUMAN-TRU2]]</f>
        <v>7</v>
      </c>
      <c r="AR22">
        <f t="shared" si="15"/>
        <v>0.66666666666666663</v>
      </c>
      <c r="AS22">
        <f>step3_validation[[#This Row],[AI_TRU3]]</f>
        <v>7</v>
      </c>
      <c r="AT22">
        <f t="shared" si="16"/>
        <v>0.66666666666666663</v>
      </c>
      <c r="AU22">
        <f>survey_responses[[#This Row],[Tôi tin tưởng số tiền thuế tôi đóng sẽ được Nhà nước sử dụng hiệu quả để cải thiện dịch vụ công (y tế, đường xá...). - HUMAN-TRU3]]</f>
        <v>2</v>
      </c>
      <c r="AV22">
        <f t="shared" si="17"/>
        <v>0.1111111111111111</v>
      </c>
      <c r="AW22">
        <f>step3_validation[[#This Row],[AI_TRU4]]</f>
        <v>8</v>
      </c>
      <c r="AX22">
        <f t="shared" si="18"/>
        <v>0.77777777777777779</v>
      </c>
      <c r="AY22">
        <f>survey_responses[[#This Row],[Tôi thấy Nhà nước đã giải thích rõ ràng, minh bạch về lý do và mục tiêu của việc sửa đổi thuế lần này. - HUMAN-TRU4]]</f>
        <v>3</v>
      </c>
      <c r="AZ22">
        <f t="shared" si="19"/>
        <v>0.22222222222222221</v>
      </c>
      <c r="BA22" s="32">
        <f t="shared" si="20"/>
        <v>0.72222222222222221</v>
      </c>
      <c r="BB22" s="32">
        <f t="shared" si="21"/>
        <v>0.41666666666666663</v>
      </c>
      <c r="BC22" s="7">
        <f t="shared" si="22"/>
        <v>0.77777777777777779</v>
      </c>
      <c r="BD22" s="7">
        <f t="shared" si="23"/>
        <v>0.71296296296296291</v>
      </c>
      <c r="BE22">
        <f>step3_validation[[#This Row],[AI_OUT1]]</f>
        <v>9</v>
      </c>
      <c r="BF22">
        <f t="shared" si="24"/>
        <v>0.88888888888888884</v>
      </c>
      <c r="BG22">
        <f>survey_responses[[#This Row],[Sau khi xem xét các quyền lợi và nghĩa vụ, bạn có ủng hộ và tuân thủ chính sách mới hiện nay? - HUMAN-OUT1]]</f>
        <v>3</v>
      </c>
      <c r="BH22">
        <f t="shared" si="25"/>
        <v>0.22222222222222221</v>
      </c>
      <c r="BI22" s="32">
        <f t="shared" si="26"/>
        <v>6</v>
      </c>
    </row>
    <row r="23" spans="1:61" x14ac:dyDescent="0.45">
      <c r="A23" s="30">
        <f>step3_validation[[#This Row],[Persona_ID]]</f>
        <v>22</v>
      </c>
      <c r="B23" s="31">
        <f>step3_validation[[#This Row],[Used_Seed]]</f>
        <v>2012</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13.189093971466985</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8</v>
      </c>
      <c r="R23">
        <f t="shared" si="0"/>
        <v>0.77777777777777779</v>
      </c>
      <c r="S23">
        <f>survey_responses[[#This Row],[Tôi tin rằng với các quy định quản lý thuế hiện nay, hành vi gian lận hoặc trốn thuế sẽ dễ dàng bị phát hiện và xử lý nghiêm. - HUMAN-ENF1]]</f>
        <v>8</v>
      </c>
      <c r="T23">
        <f t="shared" si="1"/>
        <v>0.77777777777777779</v>
      </c>
      <c r="U23">
        <f>step3_validation[[#This Row],[AI_ENF2]]</f>
        <v>7</v>
      </c>
      <c r="V23">
        <f t="shared" si="2"/>
        <v>0.66666666666666663</v>
      </c>
      <c r="W23">
        <f>survey_responses[[#This Row],[Tôi tin rằng Nhà nước, cơ quan thuế có đủ khả năng và công nghệ để phát hiện, xử lý nghiêm các hành vi trốn thuế. - HUMAN-ENF2]]</f>
        <v>8</v>
      </c>
      <c r="X23">
        <f t="shared" si="3"/>
        <v>0.77777777777777779</v>
      </c>
      <c r="Y23" s="32">
        <f t="shared" si="4"/>
        <v>0.72222222222222221</v>
      </c>
      <c r="Z23" s="32">
        <f t="shared" si="5"/>
        <v>0.77777777777777779</v>
      </c>
      <c r="AA23">
        <f>step3_validation[[#This Row],[AI_FAC1]]</f>
        <v>9</v>
      </c>
      <c r="AB23">
        <f t="shared" si="6"/>
        <v>0.88888888888888884</v>
      </c>
      <c r="AC23">
        <f>survey_responses[[#This Row],[Các thủ tục khai báo thuế VÀ/HOẶC quy trình làm việc với cơ quan thuế đơn giản, tiện lợi, nhanh chóng hơn so với trước đây. - HUMAN-FAC1]]</f>
        <v>5</v>
      </c>
      <c r="AD23">
        <f t="shared" si="7"/>
        <v>0.44444444444444442</v>
      </c>
      <c r="AE23">
        <f>step3_validation[[#This Row],[AI_FAC2]]</f>
        <v>10</v>
      </c>
      <c r="AF23">
        <f t="shared" si="8"/>
        <v>1</v>
      </c>
      <c r="AG23">
        <f>survey_responses[[#This Row],[So với trước đây, tôi thấy cách tính thuế và các bậc thuế trong phương án mới đơn giản, dễ hiểu và dễ thực hiện hơn. - HUMAN-FAC2]]</f>
        <v>8</v>
      </c>
      <c r="AH23">
        <f t="shared" si="9"/>
        <v>0.77777777777777779</v>
      </c>
      <c r="AI23" s="32">
        <f t="shared" si="10"/>
        <v>0.94444444444444442</v>
      </c>
      <c r="AJ23" s="32">
        <f t="shared" si="11"/>
        <v>0.61111111111111116</v>
      </c>
      <c r="AK23">
        <f>step3_validation[[#This Row],[AI_TRU1]]</f>
        <v>9</v>
      </c>
      <c r="AL23">
        <f t="shared" si="12"/>
        <v>0.88888888888888884</v>
      </c>
      <c r="AM23">
        <f>survey_responses[[#This Row],[Tôi tin rằng Nhà nước, cơ quan thuế sẽ thực thi chính sách mới một cách khách quan, công tâm và đối xử bình đẳng với mọi người nộp thuế.  - HUMAN-TRU1]]</f>
        <v>8</v>
      </c>
      <c r="AN23">
        <f t="shared" si="13"/>
        <v>0.77777777777777779</v>
      </c>
      <c r="AO23">
        <f>step3_validation[[#This Row],[AI_TRU2]]</f>
        <v>10</v>
      </c>
      <c r="AP23">
        <f t="shared" si="14"/>
        <v>1</v>
      </c>
      <c r="AQ23">
        <f>survey_responses[[#This Row],[Tôi thấy mức thuế tôi phải đóng theo phương án mới là công bằng (người thu nhập như tôi đóng mức này là hợp lý). - HUMAN-TRU2]]</f>
        <v>8</v>
      </c>
      <c r="AR23">
        <f t="shared" si="15"/>
        <v>0.77777777777777779</v>
      </c>
      <c r="AS23">
        <f>step3_validation[[#This Row],[AI_TRU3]]</f>
        <v>9</v>
      </c>
      <c r="AT23">
        <f t="shared" si="16"/>
        <v>0.88888888888888884</v>
      </c>
      <c r="AU23">
        <f>survey_responses[[#This Row],[Tôi tin tưởng số tiền thuế tôi đóng sẽ được Nhà nước sử dụng hiệu quả để cải thiện dịch vụ công (y tế, đường xá...). - HUMAN-TRU3]]</f>
        <v>8</v>
      </c>
      <c r="AV23">
        <f t="shared" si="17"/>
        <v>0.77777777777777779</v>
      </c>
      <c r="AW23">
        <f>step3_validation[[#This Row],[AI_TRU4]]</f>
        <v>8</v>
      </c>
      <c r="AX23">
        <f t="shared" si="18"/>
        <v>0.77777777777777779</v>
      </c>
      <c r="AY23">
        <f>survey_responses[[#This Row],[Tôi thấy Nhà nước đã giải thích rõ ràng, minh bạch về lý do và mục tiêu của việc sửa đổi thuế lần này. - HUMAN-TRU4]]</f>
        <v>8</v>
      </c>
      <c r="AZ23">
        <f t="shared" si="19"/>
        <v>0.77777777777777779</v>
      </c>
      <c r="BA23" s="32">
        <f t="shared" si="20"/>
        <v>0.88888888888888884</v>
      </c>
      <c r="BB23" s="32">
        <f t="shared" si="21"/>
        <v>0.77777777777777779</v>
      </c>
      <c r="BC23" s="7">
        <f t="shared" si="22"/>
        <v>0.85185185185185175</v>
      </c>
      <c r="BD23" s="7">
        <f t="shared" si="23"/>
        <v>0.72222222222222221</v>
      </c>
      <c r="BE23">
        <f>step3_validation[[#This Row],[AI_OUT1]]</f>
        <v>9</v>
      </c>
      <c r="BF23">
        <f t="shared" si="24"/>
        <v>0.88888888888888884</v>
      </c>
      <c r="BG23">
        <f>survey_responses[[#This Row],[Sau khi xem xét các quyền lợi và nghĩa vụ, bạn có ủng hộ và tuân thủ chính sách mới hiện nay? - HUMAN-OUT1]]</f>
        <v>8</v>
      </c>
      <c r="BH23">
        <f t="shared" si="25"/>
        <v>0.77777777777777779</v>
      </c>
      <c r="BI23" s="32">
        <f t="shared" si="26"/>
        <v>1</v>
      </c>
    </row>
    <row r="24" spans="1:61" x14ac:dyDescent="0.45">
      <c r="A24" s="30">
        <f>step3_validation[[#This Row],[Persona_ID]]</f>
        <v>23</v>
      </c>
      <c r="B24" s="31">
        <f>step3_validation[[#This Row],[Used_Seed]]</f>
        <v>2013</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78.405168822670689</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f t="shared" si="0"/>
        <v>0.55555555555555558</v>
      </c>
      <c r="S24">
        <f>survey_responses[[#This Row],[Tôi tin rằng với các quy định quản lý thuế hiện nay, hành vi gian lận hoặc trốn thuế sẽ dễ dàng bị phát hiện và xử lý nghiêm. - HUMAN-ENF1]]</f>
        <v>5</v>
      </c>
      <c r="T24">
        <f t="shared" si="1"/>
        <v>0.44444444444444442</v>
      </c>
      <c r="U24">
        <f>step3_validation[[#This Row],[AI_ENF2]]</f>
        <v>7</v>
      </c>
      <c r="V24">
        <f t="shared" si="2"/>
        <v>0.66666666666666663</v>
      </c>
      <c r="W24">
        <f>survey_responses[[#This Row],[Tôi tin rằng Nhà nước, cơ quan thuế có đủ khả năng và công nghệ để phát hiện, xử lý nghiêm các hành vi trốn thuế. - HUMAN-ENF2]]</f>
        <v>5</v>
      </c>
      <c r="X24">
        <f t="shared" si="3"/>
        <v>0.44444444444444442</v>
      </c>
      <c r="Y24" s="32">
        <f t="shared" si="4"/>
        <v>0.61111111111111116</v>
      </c>
      <c r="Z24" s="32">
        <f t="shared" si="5"/>
        <v>0.44444444444444442</v>
      </c>
      <c r="AA24">
        <f>step3_validation[[#This Row],[AI_FAC1]]</f>
        <v>9</v>
      </c>
      <c r="AB24">
        <f t="shared" si="6"/>
        <v>0.88888888888888884</v>
      </c>
      <c r="AC24">
        <f>survey_responses[[#This Row],[Các thủ tục khai báo thuế VÀ/HOẶC quy trình làm việc với cơ quan thuế đơn giản, tiện lợi, nhanh chóng hơn so với trước đây. - HUMAN-FAC1]]</f>
        <v>5</v>
      </c>
      <c r="AD24">
        <f t="shared" si="7"/>
        <v>0.44444444444444442</v>
      </c>
      <c r="AE24">
        <f>step3_validation[[#This Row],[AI_FAC2]]</f>
        <v>8</v>
      </c>
      <c r="AF24">
        <f t="shared" si="8"/>
        <v>0.77777777777777779</v>
      </c>
      <c r="AG24">
        <f>survey_responses[[#This Row],[So với trước đây, tôi thấy cách tính thuế và các bậc thuế trong phương án mới đơn giản, dễ hiểu và dễ thực hiện hơn. - HUMAN-FAC2]]</f>
        <v>5</v>
      </c>
      <c r="AH24">
        <f t="shared" si="9"/>
        <v>0.44444444444444442</v>
      </c>
      <c r="AI24" s="32">
        <f t="shared" si="10"/>
        <v>0.83333333333333326</v>
      </c>
      <c r="AJ24" s="32">
        <f t="shared" si="11"/>
        <v>0.44444444444444442</v>
      </c>
      <c r="AK24">
        <f>step3_validation[[#This Row],[AI_TRU1]]</f>
        <v>7</v>
      </c>
      <c r="AL24">
        <f t="shared" si="12"/>
        <v>0.66666666666666663</v>
      </c>
      <c r="AM24">
        <f>survey_responses[[#This Row],[Tôi tin rằng Nhà nước, cơ quan thuế sẽ thực thi chính sách mới một cách khách quan, công tâm và đối xử bình đẳng với mọi người nộp thuế.  - HUMAN-TRU1]]</f>
        <v>5</v>
      </c>
      <c r="AN24">
        <f t="shared" si="13"/>
        <v>0.44444444444444442</v>
      </c>
      <c r="AO24">
        <f>step3_validation[[#This Row],[AI_TRU2]]</f>
        <v>8</v>
      </c>
      <c r="AP24">
        <f t="shared" si="14"/>
        <v>0.77777777777777779</v>
      </c>
      <c r="AQ24">
        <f>survey_responses[[#This Row],[Tôi thấy mức thuế tôi phải đóng theo phương án mới là công bằng (người thu nhập như tôi đóng mức này là hợp lý). - HUMAN-TRU2]]</f>
        <v>5</v>
      </c>
      <c r="AR24">
        <f t="shared" si="15"/>
        <v>0.44444444444444442</v>
      </c>
      <c r="AS24">
        <f>step3_validation[[#This Row],[AI_TRU3]]</f>
        <v>6</v>
      </c>
      <c r="AT24">
        <f t="shared" si="16"/>
        <v>0.55555555555555558</v>
      </c>
      <c r="AU24">
        <f>survey_responses[[#This Row],[Tôi tin tưởng số tiền thuế tôi đóng sẽ được Nhà nước sử dụng hiệu quả để cải thiện dịch vụ công (y tế, đường xá...). - HUMAN-TRU3]]</f>
        <v>5</v>
      </c>
      <c r="AV24">
        <f t="shared" si="17"/>
        <v>0.44444444444444442</v>
      </c>
      <c r="AW24">
        <f>step3_validation[[#This Row],[AI_TRU4]]</f>
        <v>7</v>
      </c>
      <c r="AX24">
        <f t="shared" si="18"/>
        <v>0.66666666666666663</v>
      </c>
      <c r="AY24">
        <f>survey_responses[[#This Row],[Tôi thấy Nhà nước đã giải thích rõ ràng, minh bạch về lý do và mục tiêu của việc sửa đổi thuế lần này. - HUMAN-TRU4]]</f>
        <v>5</v>
      </c>
      <c r="AZ24">
        <f t="shared" si="19"/>
        <v>0.44444444444444442</v>
      </c>
      <c r="BA24" s="32">
        <f t="shared" si="20"/>
        <v>0.66666666666666663</v>
      </c>
      <c r="BB24" s="32">
        <f t="shared" si="21"/>
        <v>0.44444444444444442</v>
      </c>
      <c r="BC24" s="7">
        <f t="shared" si="22"/>
        <v>0.70370370370370372</v>
      </c>
      <c r="BD24" s="7">
        <f t="shared" si="23"/>
        <v>0.44444444444444442</v>
      </c>
      <c r="BE24">
        <f>step3_validation[[#This Row],[AI_OUT1]]</f>
        <v>8</v>
      </c>
      <c r="BF24">
        <f t="shared" si="24"/>
        <v>0.77777777777777779</v>
      </c>
      <c r="BG24">
        <f>survey_responses[[#This Row],[Sau khi xem xét các quyền lợi và nghĩa vụ, bạn có ủng hộ và tuân thủ chính sách mới hiện nay? - HUMAN-OUT1]]</f>
        <v>5</v>
      </c>
      <c r="BH24">
        <f t="shared" si="25"/>
        <v>0.44444444444444442</v>
      </c>
      <c r="BI24" s="32">
        <f t="shared" si="26"/>
        <v>3</v>
      </c>
    </row>
    <row r="25" spans="1:61" x14ac:dyDescent="0.45">
      <c r="A25" s="30">
        <f>step3_validation[[#This Row],[Persona_ID]]</f>
        <v>24</v>
      </c>
      <c r="B25" s="31">
        <f>step3_validation[[#This Row],[Used_Seed]]</f>
        <v>2014</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30.348672224917316</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8</v>
      </c>
      <c r="R25">
        <f t="shared" si="0"/>
        <v>0.77777777777777779</v>
      </c>
      <c r="S25">
        <f>survey_responses[[#This Row],[Tôi tin rằng với các quy định quản lý thuế hiện nay, hành vi gian lận hoặc trốn thuế sẽ dễ dàng bị phát hiện và xử lý nghiêm. - HUMAN-ENF1]]</f>
        <v>9</v>
      </c>
      <c r="T25">
        <f t="shared" si="1"/>
        <v>0.88888888888888884</v>
      </c>
      <c r="U25">
        <f>step3_validation[[#This Row],[AI_ENF2]]</f>
        <v>7</v>
      </c>
      <c r="V25">
        <f t="shared" si="2"/>
        <v>0.66666666666666663</v>
      </c>
      <c r="W25">
        <f>survey_responses[[#This Row],[Tôi tin rằng Nhà nước, cơ quan thuế có đủ khả năng và công nghệ để phát hiện, xử lý nghiêm các hành vi trốn thuế. - HUMAN-ENF2]]</f>
        <v>8</v>
      </c>
      <c r="X25">
        <f t="shared" si="3"/>
        <v>0.77777777777777779</v>
      </c>
      <c r="Y25" s="32">
        <f t="shared" si="4"/>
        <v>0.72222222222222221</v>
      </c>
      <c r="Z25" s="32">
        <f t="shared" si="5"/>
        <v>0.83333333333333326</v>
      </c>
      <c r="AA25">
        <f>step3_validation[[#This Row],[AI_FAC1]]</f>
        <v>6</v>
      </c>
      <c r="AB25">
        <f t="shared" si="6"/>
        <v>0.55555555555555558</v>
      </c>
      <c r="AC25">
        <f>survey_responses[[#This Row],[Các thủ tục khai báo thuế VÀ/HOẶC quy trình làm việc với cơ quan thuế đơn giản, tiện lợi, nhanh chóng hơn so với trước đây. - HUMAN-FAC1]]</f>
        <v>6</v>
      </c>
      <c r="AD25">
        <f t="shared" si="7"/>
        <v>0.55555555555555558</v>
      </c>
      <c r="AE25">
        <f>step3_validation[[#This Row],[AI_FAC2]]</f>
        <v>8</v>
      </c>
      <c r="AF25">
        <f t="shared" si="8"/>
        <v>0.77777777777777779</v>
      </c>
      <c r="AG25">
        <f>survey_responses[[#This Row],[So với trước đây, tôi thấy cách tính thuế và các bậc thuế trong phương án mới đơn giản, dễ hiểu và dễ thực hiện hơn. - HUMAN-FAC2]]</f>
        <v>9</v>
      </c>
      <c r="AH25">
        <f t="shared" si="9"/>
        <v>0.88888888888888884</v>
      </c>
      <c r="AI25" s="32">
        <f t="shared" si="10"/>
        <v>0.66666666666666674</v>
      </c>
      <c r="AJ25" s="32">
        <f t="shared" si="11"/>
        <v>0.72222222222222221</v>
      </c>
      <c r="AK25">
        <f>step3_validation[[#This Row],[AI_TRU1]]</f>
        <v>9</v>
      </c>
      <c r="AL25">
        <f t="shared" si="12"/>
        <v>0.88888888888888884</v>
      </c>
      <c r="AM25">
        <f>survey_responses[[#This Row],[Tôi tin rằng Nhà nước, cơ quan thuế sẽ thực thi chính sách mới một cách khách quan, công tâm và đối xử bình đẳng với mọi người nộp thuế.  - HUMAN-TRU1]]</f>
        <v>8</v>
      </c>
      <c r="AN25">
        <f t="shared" si="13"/>
        <v>0.77777777777777779</v>
      </c>
      <c r="AO25">
        <f>step3_validation[[#This Row],[AI_TRU2]]</f>
        <v>8</v>
      </c>
      <c r="AP25">
        <f t="shared" si="14"/>
        <v>0.77777777777777779</v>
      </c>
      <c r="AQ25">
        <f>survey_responses[[#This Row],[Tôi thấy mức thuế tôi phải đóng theo phương án mới là công bằng (người thu nhập như tôi đóng mức này là hợp lý). - HUMAN-TRU2]]</f>
        <v>10</v>
      </c>
      <c r="AR25">
        <f t="shared" si="15"/>
        <v>1</v>
      </c>
      <c r="AS25">
        <f>step3_validation[[#This Row],[AI_TRU3]]</f>
        <v>9</v>
      </c>
      <c r="AT25">
        <f t="shared" si="16"/>
        <v>0.88888888888888884</v>
      </c>
      <c r="AU25">
        <f>survey_responses[[#This Row],[Tôi tin tưởng số tiền thuế tôi đóng sẽ được Nhà nước sử dụng hiệu quả để cải thiện dịch vụ công (y tế, đường xá...). - HUMAN-TRU3]]</f>
        <v>6</v>
      </c>
      <c r="AV25">
        <f t="shared" si="17"/>
        <v>0.55555555555555558</v>
      </c>
      <c r="AW25">
        <f>step3_validation[[#This Row],[AI_TRU4]]</f>
        <v>7</v>
      </c>
      <c r="AX25">
        <f t="shared" si="18"/>
        <v>0.66666666666666663</v>
      </c>
      <c r="AY25">
        <f>survey_responses[[#This Row],[Tôi thấy Nhà nước đã giải thích rõ ràng, minh bạch về lý do và mục tiêu của việc sửa đổi thuế lần này. - HUMAN-TRU4]]</f>
        <v>6</v>
      </c>
      <c r="AZ25">
        <f t="shared" si="19"/>
        <v>0.55555555555555558</v>
      </c>
      <c r="BA25" s="32">
        <f t="shared" si="20"/>
        <v>0.80555555555555547</v>
      </c>
      <c r="BB25" s="32">
        <f t="shared" si="21"/>
        <v>0.7222222222222221</v>
      </c>
      <c r="BC25" s="7">
        <f t="shared" si="22"/>
        <v>0.7314814814814814</v>
      </c>
      <c r="BD25" s="7">
        <f t="shared" si="23"/>
        <v>0.75925925925925919</v>
      </c>
      <c r="BE25">
        <f>step3_validation[[#This Row],[AI_OUT1]]</f>
        <v>9</v>
      </c>
      <c r="BF25">
        <f t="shared" si="24"/>
        <v>0.88888888888888884</v>
      </c>
      <c r="BG25">
        <f>survey_responses[[#This Row],[Sau khi xem xét các quyền lợi và nghĩa vụ, bạn có ủng hộ và tuân thủ chính sách mới hiện nay? - HUMAN-OUT1]]</f>
        <v>8</v>
      </c>
      <c r="BH25">
        <f t="shared" si="25"/>
        <v>0.77777777777777779</v>
      </c>
      <c r="BI25" s="32">
        <f t="shared" si="26"/>
        <v>1</v>
      </c>
    </row>
    <row r="26" spans="1:61" x14ac:dyDescent="0.45">
      <c r="A26" s="30">
        <f>step3_validation[[#This Row],[Persona_ID]]</f>
        <v>25</v>
      </c>
      <c r="B26" s="31">
        <f>step3_validation[[#This Row],[Used_Seed]]</f>
        <v>2015</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39.561083069743439</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f t="shared" si="0"/>
        <v>0.66666666666666663</v>
      </c>
      <c r="S26">
        <f>survey_responses[[#This Row],[Tôi tin rằng với các quy định quản lý thuế hiện nay, hành vi gian lận hoặc trốn thuế sẽ dễ dàng bị phát hiện và xử lý nghiêm. - HUMAN-ENF1]]</f>
        <v>6</v>
      </c>
      <c r="T26">
        <f t="shared" si="1"/>
        <v>0.55555555555555558</v>
      </c>
      <c r="U26">
        <f>step3_validation[[#This Row],[AI_ENF2]]</f>
        <v>6</v>
      </c>
      <c r="V26">
        <f t="shared" si="2"/>
        <v>0.55555555555555558</v>
      </c>
      <c r="W26">
        <f>survey_responses[[#This Row],[Tôi tin rằng Nhà nước, cơ quan thuế có đủ khả năng và công nghệ để phát hiện, xử lý nghiêm các hành vi trốn thuế. - HUMAN-ENF2]]</f>
        <v>7</v>
      </c>
      <c r="X26">
        <f t="shared" si="3"/>
        <v>0.66666666666666663</v>
      </c>
      <c r="Y26" s="32">
        <f t="shared" si="4"/>
        <v>0.61111111111111116</v>
      </c>
      <c r="Z26" s="32">
        <f t="shared" si="5"/>
        <v>0.61111111111111116</v>
      </c>
      <c r="AA26">
        <f>step3_validation[[#This Row],[AI_FAC1]]</f>
        <v>8</v>
      </c>
      <c r="AB26">
        <f t="shared" si="6"/>
        <v>0.77777777777777779</v>
      </c>
      <c r="AC26">
        <f>survey_responses[[#This Row],[Các thủ tục khai báo thuế VÀ/HOẶC quy trình làm việc với cơ quan thuế đơn giản, tiện lợi, nhanh chóng hơn so với trước đây. - HUMAN-FAC1]]</f>
        <v>5</v>
      </c>
      <c r="AD26">
        <f t="shared" si="7"/>
        <v>0.44444444444444442</v>
      </c>
      <c r="AE26">
        <f>step3_validation[[#This Row],[AI_FAC2]]</f>
        <v>9</v>
      </c>
      <c r="AF26">
        <f t="shared" si="8"/>
        <v>0.88888888888888884</v>
      </c>
      <c r="AG26">
        <f>survey_responses[[#This Row],[So với trước đây, tôi thấy cách tính thuế và các bậc thuế trong phương án mới đơn giản, dễ hiểu và dễ thực hiện hơn. - HUMAN-FAC2]]</f>
        <v>6</v>
      </c>
      <c r="AH26">
        <f t="shared" si="9"/>
        <v>0.55555555555555558</v>
      </c>
      <c r="AI26" s="32">
        <f t="shared" si="10"/>
        <v>0.83333333333333326</v>
      </c>
      <c r="AJ26" s="32">
        <f t="shared" si="11"/>
        <v>0.5</v>
      </c>
      <c r="AK26">
        <f>step3_validation[[#This Row],[AI_TRU1]]</f>
        <v>8</v>
      </c>
      <c r="AL26">
        <f t="shared" si="12"/>
        <v>0.77777777777777779</v>
      </c>
      <c r="AM26">
        <f>survey_responses[[#This Row],[Tôi tin rằng Nhà nước, cơ quan thuế sẽ thực thi chính sách mới một cách khách quan, công tâm và đối xử bình đẳng với mọi người nộp thuế.  - HUMAN-TRU1]]</f>
        <v>7</v>
      </c>
      <c r="AN26">
        <f t="shared" si="13"/>
        <v>0.66666666666666663</v>
      </c>
      <c r="AO26">
        <f>step3_validation[[#This Row],[AI_TRU2]]</f>
        <v>9</v>
      </c>
      <c r="AP26">
        <f t="shared" si="14"/>
        <v>0.88888888888888884</v>
      </c>
      <c r="AQ26">
        <f>survey_responses[[#This Row],[Tôi thấy mức thuế tôi phải đóng theo phương án mới là công bằng (người thu nhập như tôi đóng mức này là hợp lý). - HUMAN-TRU2]]</f>
        <v>7</v>
      </c>
      <c r="AR26">
        <f t="shared" si="15"/>
        <v>0.66666666666666663</v>
      </c>
      <c r="AS26">
        <f>step3_validation[[#This Row],[AI_TRU3]]</f>
        <v>7</v>
      </c>
      <c r="AT26">
        <f t="shared" si="16"/>
        <v>0.66666666666666663</v>
      </c>
      <c r="AU26">
        <f>survey_responses[[#This Row],[Tôi tin tưởng số tiền thuế tôi đóng sẽ được Nhà nước sử dụng hiệu quả để cải thiện dịch vụ công (y tế, đường xá...). - HUMAN-TRU3]]</f>
        <v>3</v>
      </c>
      <c r="AV26">
        <f t="shared" si="17"/>
        <v>0.22222222222222221</v>
      </c>
      <c r="AW26">
        <f>step3_validation[[#This Row],[AI_TRU4]]</f>
        <v>8</v>
      </c>
      <c r="AX26">
        <f t="shared" si="18"/>
        <v>0.77777777777777779</v>
      </c>
      <c r="AY26">
        <f>survey_responses[[#This Row],[Tôi thấy Nhà nước đã giải thích rõ ràng, minh bạch về lý do và mục tiêu của việc sửa đổi thuế lần này. - HUMAN-TRU4]]</f>
        <v>3</v>
      </c>
      <c r="AZ26">
        <f t="shared" si="19"/>
        <v>0.22222222222222221</v>
      </c>
      <c r="BA26" s="32">
        <f t="shared" si="20"/>
        <v>0.77777777777777768</v>
      </c>
      <c r="BB26" s="32">
        <f t="shared" si="21"/>
        <v>0.44444444444444442</v>
      </c>
      <c r="BC26" s="7">
        <f t="shared" si="22"/>
        <v>0.74074074074074081</v>
      </c>
      <c r="BD26" s="7">
        <f t="shared" si="23"/>
        <v>0.51851851851851849</v>
      </c>
      <c r="BE26">
        <f>step3_validation[[#This Row],[AI_OUT1]]</f>
        <v>9</v>
      </c>
      <c r="BF26">
        <f t="shared" si="24"/>
        <v>0.88888888888888884</v>
      </c>
      <c r="BG26">
        <f>survey_responses[[#This Row],[Sau khi xem xét các quyền lợi và nghĩa vụ, bạn có ủng hộ và tuân thủ chính sách mới hiện nay? - HUMAN-OUT1]]</f>
        <v>5</v>
      </c>
      <c r="BH26">
        <f t="shared" si="25"/>
        <v>0.44444444444444442</v>
      </c>
      <c r="BI26" s="32">
        <f t="shared" si="26"/>
        <v>4</v>
      </c>
    </row>
    <row r="27" spans="1:61" x14ac:dyDescent="0.45">
      <c r="A27" s="30">
        <f>step3_validation[[#This Row],[Persona_ID]]</f>
        <v>26</v>
      </c>
      <c r="B27" s="31">
        <f>step3_validation[[#This Row],[Used_Seed]]</f>
        <v>2016</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7</v>
      </c>
      <c r="R27">
        <f t="shared" si="0"/>
        <v>0.66666666666666663</v>
      </c>
      <c r="S27">
        <f>survey_responses[[#This Row],[Tôi tin rằng với các quy định quản lý thuế hiện nay, hành vi gian lận hoặc trốn thuế sẽ dễ dàng bị phát hiện và xử lý nghiêm. - HUMAN-ENF1]]</f>
        <v>10</v>
      </c>
      <c r="T27">
        <f t="shared" si="1"/>
        <v>1</v>
      </c>
      <c r="U27">
        <f>step3_validation[[#This Row],[AI_ENF2]]</f>
        <v>6</v>
      </c>
      <c r="V27">
        <f t="shared" si="2"/>
        <v>0.55555555555555558</v>
      </c>
      <c r="W27">
        <f>survey_responses[[#This Row],[Tôi tin rằng Nhà nước, cơ quan thuế có đủ khả năng và công nghệ để phát hiện, xử lý nghiêm các hành vi trốn thuế. - HUMAN-ENF2]]</f>
        <v>10</v>
      </c>
      <c r="X27">
        <f t="shared" si="3"/>
        <v>1</v>
      </c>
      <c r="Y27" s="32">
        <f t="shared" si="4"/>
        <v>0.61111111111111116</v>
      </c>
      <c r="Z27" s="32">
        <f t="shared" si="5"/>
        <v>1</v>
      </c>
      <c r="AA27">
        <f>step3_validation[[#This Row],[AI_FAC1]]</f>
        <v>9</v>
      </c>
      <c r="AB27">
        <f t="shared" si="6"/>
        <v>0.88888888888888884</v>
      </c>
      <c r="AC27">
        <f>survey_responses[[#This Row],[Các thủ tục khai báo thuế VÀ/HOẶC quy trình làm việc với cơ quan thuế đơn giản, tiện lợi, nhanh chóng hơn so với trước đây. - HUMAN-FAC1]]</f>
        <v>10</v>
      </c>
      <c r="AD27">
        <f t="shared" si="7"/>
        <v>1</v>
      </c>
      <c r="AE27">
        <f>step3_validation[[#This Row],[AI_FAC2]]</f>
        <v>8</v>
      </c>
      <c r="AF27">
        <f t="shared" si="8"/>
        <v>0.77777777777777779</v>
      </c>
      <c r="AG27">
        <f>survey_responses[[#This Row],[So với trước đây, tôi thấy cách tính thuế và các bậc thuế trong phương án mới đơn giản, dễ hiểu và dễ thực hiện hơn. - HUMAN-FAC2]]</f>
        <v>6</v>
      </c>
      <c r="AH27">
        <f t="shared" si="9"/>
        <v>0.55555555555555558</v>
      </c>
      <c r="AI27" s="32">
        <f t="shared" si="10"/>
        <v>0.83333333333333326</v>
      </c>
      <c r="AJ27" s="32">
        <f t="shared" si="11"/>
        <v>0.77777777777777779</v>
      </c>
      <c r="AK27">
        <f>step3_validation[[#This Row],[AI_TRU1]]</f>
        <v>9</v>
      </c>
      <c r="AL27">
        <f t="shared" si="12"/>
        <v>0.88888888888888884</v>
      </c>
      <c r="AM27">
        <f>survey_responses[[#This Row],[Tôi tin rằng Nhà nước, cơ quan thuế sẽ thực thi chính sách mới một cách khách quan, công tâm và đối xử bình đẳng với mọi người nộp thuế.  - HUMAN-TRU1]]</f>
        <v>6</v>
      </c>
      <c r="AN27">
        <f t="shared" si="13"/>
        <v>0.55555555555555558</v>
      </c>
      <c r="AO27">
        <f>step3_validation[[#This Row],[AI_TRU2]]</f>
        <v>8</v>
      </c>
      <c r="AP27">
        <f t="shared" si="14"/>
        <v>0.77777777777777779</v>
      </c>
      <c r="AQ27">
        <f>survey_responses[[#This Row],[Tôi thấy mức thuế tôi phải đóng theo phương án mới là công bằng (người thu nhập như tôi đóng mức này là hợp lý). - HUMAN-TRU2]]</f>
        <v>10</v>
      </c>
      <c r="AR27">
        <f t="shared" si="15"/>
        <v>1</v>
      </c>
      <c r="AS27">
        <f>step3_validation[[#This Row],[AI_TRU3]]</f>
        <v>9</v>
      </c>
      <c r="AT27">
        <f t="shared" si="16"/>
        <v>0.88888888888888884</v>
      </c>
      <c r="AU27">
        <f>survey_responses[[#This Row],[Tôi tin tưởng số tiền thuế tôi đóng sẽ được Nhà nước sử dụng hiệu quả để cải thiện dịch vụ công (y tế, đường xá...). - HUMAN-TRU3]]</f>
        <v>1</v>
      </c>
      <c r="AV27">
        <f t="shared" si="17"/>
        <v>0</v>
      </c>
      <c r="AW27">
        <f>step3_validation[[#This Row],[AI_TRU4]]</f>
        <v>8</v>
      </c>
      <c r="AX27">
        <f t="shared" si="18"/>
        <v>0.77777777777777779</v>
      </c>
      <c r="AY27">
        <f>survey_responses[[#This Row],[Tôi thấy Nhà nước đã giải thích rõ ràng, minh bạch về lý do và mục tiêu của việc sửa đổi thuế lần này. - HUMAN-TRU4]]</f>
        <v>4</v>
      </c>
      <c r="AZ27">
        <f t="shared" si="19"/>
        <v>0.33333333333333331</v>
      </c>
      <c r="BA27" s="32">
        <f t="shared" si="20"/>
        <v>0.83333333333333326</v>
      </c>
      <c r="BB27" s="32">
        <f t="shared" si="21"/>
        <v>0.47222222222222221</v>
      </c>
      <c r="BC27" s="7">
        <f t="shared" si="22"/>
        <v>0.75925925925925919</v>
      </c>
      <c r="BD27" s="7">
        <f t="shared" si="23"/>
        <v>0.75</v>
      </c>
      <c r="BE27">
        <f>step3_validation[[#This Row],[AI_OUT1]]</f>
        <v>9</v>
      </c>
      <c r="BF27">
        <f t="shared" si="24"/>
        <v>0.88888888888888884</v>
      </c>
      <c r="BG27">
        <f>survey_responses[[#This Row],[Sau khi xem xét các quyền lợi và nghĩa vụ, bạn có ủng hộ và tuân thủ chính sách mới hiện nay? - HUMAN-OUT1]]</f>
        <v>10</v>
      </c>
      <c r="BH27">
        <f t="shared" si="25"/>
        <v>1</v>
      </c>
      <c r="BI27" s="32">
        <f t="shared" si="26"/>
        <v>1</v>
      </c>
    </row>
    <row r="28" spans="1:61" x14ac:dyDescent="0.45">
      <c r="A28" s="30">
        <f>step3_validation[[#This Row],[Persona_ID]]</f>
        <v>27</v>
      </c>
      <c r="B28" s="31">
        <f>step3_validation[[#This Row],[Used_Seed]]</f>
        <v>2017</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6</v>
      </c>
      <c r="R28">
        <f t="shared" si="0"/>
        <v>0.55555555555555558</v>
      </c>
      <c r="S28">
        <f>survey_responses[[#This Row],[Tôi tin rằng với các quy định quản lý thuế hiện nay, hành vi gian lận hoặc trốn thuế sẽ dễ dàng bị phát hiện và xử lý nghiêm. - HUMAN-ENF1]]</f>
        <v>1</v>
      </c>
      <c r="T28">
        <f t="shared" si="1"/>
        <v>0</v>
      </c>
      <c r="U28">
        <f>step3_validation[[#This Row],[AI_ENF2]]</f>
        <v>7</v>
      </c>
      <c r="V28">
        <f t="shared" si="2"/>
        <v>0.66666666666666663</v>
      </c>
      <c r="W28">
        <f>survey_responses[[#This Row],[Tôi tin rằng Nhà nước, cơ quan thuế có đủ khả năng và công nghệ để phát hiện, xử lý nghiêm các hành vi trốn thuế. - HUMAN-ENF2]]</f>
        <v>1</v>
      </c>
      <c r="X28">
        <f t="shared" si="3"/>
        <v>0</v>
      </c>
      <c r="Y28" s="32">
        <f t="shared" si="4"/>
        <v>0.61111111111111116</v>
      </c>
      <c r="Z28" s="32">
        <f t="shared" si="5"/>
        <v>0</v>
      </c>
      <c r="AA28">
        <f>step3_validation[[#This Row],[AI_FAC1]]</f>
        <v>8</v>
      </c>
      <c r="AB28">
        <f t="shared" si="6"/>
        <v>0.77777777777777779</v>
      </c>
      <c r="AC28">
        <f>survey_responses[[#This Row],[Các thủ tục khai báo thuế VÀ/HOẶC quy trình làm việc với cơ quan thuế đơn giản, tiện lợi, nhanh chóng hơn so với trước đây. - HUMAN-FAC1]]</f>
        <v>1</v>
      </c>
      <c r="AD28">
        <f t="shared" si="7"/>
        <v>0</v>
      </c>
      <c r="AE28">
        <f>step3_validation[[#This Row],[AI_FAC2]]</f>
        <v>9</v>
      </c>
      <c r="AF28">
        <f t="shared" si="8"/>
        <v>0.88888888888888884</v>
      </c>
      <c r="AG28">
        <f>survey_responses[[#This Row],[So với trước đây, tôi thấy cách tính thuế và các bậc thuế trong phương án mới đơn giản, dễ hiểu và dễ thực hiện hơn. - HUMAN-FAC2]]</f>
        <v>1</v>
      </c>
      <c r="AH28">
        <f t="shared" si="9"/>
        <v>0</v>
      </c>
      <c r="AI28" s="32">
        <f t="shared" si="10"/>
        <v>0.83333333333333326</v>
      </c>
      <c r="AJ28" s="32">
        <f t="shared" si="11"/>
        <v>0</v>
      </c>
      <c r="AK28">
        <f>step3_validation[[#This Row],[AI_TRU1]]</f>
        <v>8</v>
      </c>
      <c r="AL28">
        <f t="shared" si="12"/>
        <v>0.77777777777777779</v>
      </c>
      <c r="AM28">
        <f>survey_responses[[#This Row],[Tôi tin rằng Nhà nước, cơ quan thuế sẽ thực thi chính sách mới một cách khách quan, công tâm và đối xử bình đẳng với mọi người nộp thuế.  - HUMAN-TRU1]]</f>
        <v>1</v>
      </c>
      <c r="AN28">
        <f t="shared" si="13"/>
        <v>0</v>
      </c>
      <c r="AO28">
        <f>step3_validation[[#This Row],[AI_TRU2]]</f>
        <v>9</v>
      </c>
      <c r="AP28">
        <f t="shared" si="14"/>
        <v>0.88888888888888884</v>
      </c>
      <c r="AQ28">
        <f>survey_responses[[#This Row],[Tôi thấy mức thuế tôi phải đóng theo phương án mới là công bằng (người thu nhập như tôi đóng mức này là hợp lý). - HUMAN-TRU2]]</f>
        <v>1</v>
      </c>
      <c r="AR28">
        <f t="shared" si="15"/>
        <v>0</v>
      </c>
      <c r="AS28">
        <f>step3_validation[[#This Row],[AI_TRU3]]</f>
        <v>8</v>
      </c>
      <c r="AT28">
        <f t="shared" si="16"/>
        <v>0.77777777777777779</v>
      </c>
      <c r="AU28">
        <f>survey_responses[[#This Row],[Tôi tin tưởng số tiền thuế tôi đóng sẽ được Nhà nước sử dụng hiệu quả để cải thiện dịch vụ công (y tế, đường xá...). - HUMAN-TRU3]]</f>
        <v>1</v>
      </c>
      <c r="AV28">
        <f t="shared" si="17"/>
        <v>0</v>
      </c>
      <c r="AW28">
        <f>step3_validation[[#This Row],[AI_TRU4]]</f>
        <v>7</v>
      </c>
      <c r="AX28">
        <f t="shared" si="18"/>
        <v>0.66666666666666663</v>
      </c>
      <c r="AY28">
        <f>survey_responses[[#This Row],[Tôi thấy Nhà nước đã giải thích rõ ràng, minh bạch về lý do và mục tiêu của việc sửa đổi thuế lần này. - HUMAN-TRU4]]</f>
        <v>1</v>
      </c>
      <c r="AZ28">
        <f t="shared" si="19"/>
        <v>0</v>
      </c>
      <c r="BA28" s="32">
        <f t="shared" si="20"/>
        <v>0.77777777777777768</v>
      </c>
      <c r="BB28" s="32">
        <f t="shared" si="21"/>
        <v>0</v>
      </c>
      <c r="BC28" s="7">
        <f t="shared" si="22"/>
        <v>0.74074074074074081</v>
      </c>
      <c r="BD28" s="7">
        <f t="shared" si="23"/>
        <v>0</v>
      </c>
      <c r="BE28">
        <f>step3_validation[[#This Row],[AI_OUT1]]</f>
        <v>9</v>
      </c>
      <c r="BF28">
        <f t="shared" si="24"/>
        <v>0.88888888888888884</v>
      </c>
      <c r="BG28">
        <f>survey_responses[[#This Row],[Sau khi xem xét các quyền lợi và nghĩa vụ, bạn có ủng hộ và tuân thủ chính sách mới hiện nay? - HUMAN-OUT1]]</f>
        <v>1</v>
      </c>
      <c r="BH28">
        <f t="shared" si="25"/>
        <v>0</v>
      </c>
      <c r="BI28" s="32">
        <f t="shared" si="26"/>
        <v>8</v>
      </c>
    </row>
    <row r="29" spans="1:61" x14ac:dyDescent="0.45">
      <c r="A29" s="30">
        <f>step3_validation[[#This Row],[Persona_ID]]</f>
        <v>28</v>
      </c>
      <c r="B29" s="31">
        <f>step3_validation[[#This Row],[Used_Seed]]</f>
        <v>2018</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14.437016462564985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6</v>
      </c>
      <c r="R29">
        <f t="shared" si="0"/>
        <v>0.55555555555555558</v>
      </c>
      <c r="S29">
        <f>survey_responses[[#This Row],[Tôi tin rằng với các quy định quản lý thuế hiện nay, hành vi gian lận hoặc trốn thuế sẽ dễ dàng bị phát hiện và xử lý nghiêm. - HUMAN-ENF1]]</f>
        <v>1</v>
      </c>
      <c r="T29">
        <f t="shared" si="1"/>
        <v>0</v>
      </c>
      <c r="U29">
        <f>step3_validation[[#This Row],[AI_ENF2]]</f>
        <v>7</v>
      </c>
      <c r="V29">
        <f t="shared" si="2"/>
        <v>0.66666666666666663</v>
      </c>
      <c r="W29">
        <f>survey_responses[[#This Row],[Tôi tin rằng Nhà nước, cơ quan thuế có đủ khả năng và công nghệ để phát hiện, xử lý nghiêm các hành vi trốn thuế. - HUMAN-ENF2]]</f>
        <v>1</v>
      </c>
      <c r="X29">
        <f t="shared" si="3"/>
        <v>0</v>
      </c>
      <c r="Y29" s="32">
        <f t="shared" si="4"/>
        <v>0.61111111111111116</v>
      </c>
      <c r="Z29" s="32">
        <f t="shared" si="5"/>
        <v>0</v>
      </c>
      <c r="AA29">
        <f>step3_validation[[#This Row],[AI_FAC1]]</f>
        <v>9</v>
      </c>
      <c r="AB29">
        <f t="shared" si="6"/>
        <v>0.88888888888888884</v>
      </c>
      <c r="AC29">
        <f>survey_responses[[#This Row],[Các thủ tục khai báo thuế VÀ/HOẶC quy trình làm việc với cơ quan thuế đơn giản, tiện lợi, nhanh chóng hơn so với trước đây. - HUMAN-FAC1]]</f>
        <v>1</v>
      </c>
      <c r="AD29">
        <f t="shared" si="7"/>
        <v>0</v>
      </c>
      <c r="AE29">
        <f>step3_validation[[#This Row],[AI_FAC2]]</f>
        <v>8</v>
      </c>
      <c r="AF29">
        <f t="shared" si="8"/>
        <v>0.77777777777777779</v>
      </c>
      <c r="AG29">
        <f>survey_responses[[#This Row],[So với trước đây, tôi thấy cách tính thuế và các bậc thuế trong phương án mới đơn giản, dễ hiểu và dễ thực hiện hơn. - HUMAN-FAC2]]</f>
        <v>1</v>
      </c>
      <c r="AH29">
        <f t="shared" si="9"/>
        <v>0</v>
      </c>
      <c r="AI29" s="32">
        <f t="shared" si="10"/>
        <v>0.83333333333333326</v>
      </c>
      <c r="AJ29" s="32">
        <f t="shared" si="11"/>
        <v>0</v>
      </c>
      <c r="AK29">
        <f>step3_validation[[#This Row],[AI_TRU1]]</f>
        <v>9</v>
      </c>
      <c r="AL29">
        <f t="shared" si="12"/>
        <v>0.88888888888888884</v>
      </c>
      <c r="AM29">
        <f>survey_responses[[#This Row],[Tôi tin rằng Nhà nước, cơ quan thuế sẽ thực thi chính sách mới một cách khách quan, công tâm và đối xử bình đẳng với mọi người nộp thuế.  - HUMAN-TRU1]]</f>
        <v>1</v>
      </c>
      <c r="AN29">
        <f t="shared" si="13"/>
        <v>0</v>
      </c>
      <c r="AO29">
        <f>step3_validation[[#This Row],[AI_TRU2]]</f>
        <v>8</v>
      </c>
      <c r="AP29">
        <f t="shared" si="14"/>
        <v>0.77777777777777779</v>
      </c>
      <c r="AQ29">
        <f>survey_responses[[#This Row],[Tôi thấy mức thuế tôi phải đóng theo phương án mới là công bằng (người thu nhập như tôi đóng mức này là hợp lý). - HUMAN-TRU2]]</f>
        <v>1</v>
      </c>
      <c r="AR29">
        <f t="shared" si="15"/>
        <v>0</v>
      </c>
      <c r="AS29">
        <f>step3_validation[[#This Row],[AI_TRU3]]</f>
        <v>9</v>
      </c>
      <c r="AT29">
        <f t="shared" si="16"/>
        <v>0.88888888888888884</v>
      </c>
      <c r="AU29">
        <f>survey_responses[[#This Row],[Tôi tin tưởng số tiền thuế tôi đóng sẽ được Nhà nước sử dụng hiệu quả để cải thiện dịch vụ công (y tế, đường xá...). - HUMAN-TRU3]]</f>
        <v>1</v>
      </c>
      <c r="AV29">
        <f t="shared" si="17"/>
        <v>0</v>
      </c>
      <c r="AW29">
        <f>step3_validation[[#This Row],[AI_TRU4]]</f>
        <v>8</v>
      </c>
      <c r="AX29">
        <f t="shared" si="18"/>
        <v>0.77777777777777779</v>
      </c>
      <c r="AY29">
        <f>survey_responses[[#This Row],[Tôi thấy Nhà nước đã giải thích rõ ràng, minh bạch về lý do và mục tiêu của việc sửa đổi thuế lần này. - HUMAN-TRU4]]</f>
        <v>1</v>
      </c>
      <c r="AZ29">
        <f t="shared" si="19"/>
        <v>0</v>
      </c>
      <c r="BA29" s="32">
        <f t="shared" si="20"/>
        <v>0.83333333333333326</v>
      </c>
      <c r="BB29" s="32">
        <f t="shared" si="21"/>
        <v>0</v>
      </c>
      <c r="BC29" s="7">
        <f t="shared" si="22"/>
        <v>0.75925925925925919</v>
      </c>
      <c r="BD29" s="7">
        <f t="shared" si="23"/>
        <v>0</v>
      </c>
      <c r="BE29">
        <f>step3_validation[[#This Row],[AI_OUT1]]</f>
        <v>9</v>
      </c>
      <c r="BF29">
        <f t="shared" si="24"/>
        <v>0.88888888888888884</v>
      </c>
      <c r="BG29">
        <f>survey_responses[[#This Row],[Sau khi xem xét các quyền lợi và nghĩa vụ, bạn có ủng hộ và tuân thủ chính sách mới hiện nay? - HUMAN-OUT1]]</f>
        <v>1</v>
      </c>
      <c r="BH29">
        <f t="shared" si="25"/>
        <v>0</v>
      </c>
      <c r="BI29" s="32">
        <f t="shared" si="26"/>
        <v>8</v>
      </c>
    </row>
    <row r="30" spans="1:61" x14ac:dyDescent="0.45">
      <c r="A30" s="30">
        <f>step3_validation[[#This Row],[Persona_ID]]</f>
        <v>29</v>
      </c>
      <c r="B30" s="31">
        <f>step3_validation[[#This Row],[Used_Seed]]</f>
        <v>2019</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12.723498198559733</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f t="shared" si="0"/>
        <v>0.55555555555555558</v>
      </c>
      <c r="S30">
        <f>survey_responses[[#This Row],[Tôi tin rằng với các quy định quản lý thuế hiện nay, hành vi gian lận hoặc trốn thuế sẽ dễ dàng bị phát hiện và xử lý nghiêm. - HUMAN-ENF1]]</f>
        <v>10</v>
      </c>
      <c r="T30">
        <f t="shared" si="1"/>
        <v>1</v>
      </c>
      <c r="U30">
        <f>step3_validation[[#This Row],[AI_ENF2]]</f>
        <v>5</v>
      </c>
      <c r="V30">
        <f t="shared" si="2"/>
        <v>0.44444444444444442</v>
      </c>
      <c r="W30">
        <f>survey_responses[[#This Row],[Tôi tin rằng Nhà nước, cơ quan thuế có đủ khả năng và công nghệ để phát hiện, xử lý nghiêm các hành vi trốn thuế. - HUMAN-ENF2]]</f>
        <v>10</v>
      </c>
      <c r="X30">
        <f t="shared" si="3"/>
        <v>1</v>
      </c>
      <c r="Y30" s="32">
        <f t="shared" si="4"/>
        <v>0.5</v>
      </c>
      <c r="Z30" s="32">
        <f t="shared" si="5"/>
        <v>1</v>
      </c>
      <c r="AA30">
        <f>step3_validation[[#This Row],[AI_FAC1]]</f>
        <v>9</v>
      </c>
      <c r="AB30">
        <f t="shared" si="6"/>
        <v>0.88888888888888884</v>
      </c>
      <c r="AC30">
        <f>survey_responses[[#This Row],[Các thủ tục khai báo thuế VÀ/HOẶC quy trình làm việc với cơ quan thuế đơn giản, tiện lợi, nhanh chóng hơn so với trước đây. - HUMAN-FAC1]]</f>
        <v>9</v>
      </c>
      <c r="AD30">
        <f t="shared" si="7"/>
        <v>0.88888888888888884</v>
      </c>
      <c r="AE30">
        <f>step3_validation[[#This Row],[AI_FAC2]]</f>
        <v>8</v>
      </c>
      <c r="AF30">
        <f t="shared" si="8"/>
        <v>0.77777777777777779</v>
      </c>
      <c r="AG30">
        <f>survey_responses[[#This Row],[So với trước đây, tôi thấy cách tính thuế và các bậc thuế trong phương án mới đơn giản, dễ hiểu và dễ thực hiện hơn. - HUMAN-FAC2]]</f>
        <v>10</v>
      </c>
      <c r="AH30">
        <f t="shared" si="9"/>
        <v>1</v>
      </c>
      <c r="AI30" s="32">
        <f t="shared" si="10"/>
        <v>0.83333333333333326</v>
      </c>
      <c r="AJ30" s="32">
        <f t="shared" si="11"/>
        <v>0.94444444444444442</v>
      </c>
      <c r="AK30">
        <f>step3_validation[[#This Row],[AI_TRU1]]</f>
        <v>7</v>
      </c>
      <c r="AL30">
        <f t="shared" si="12"/>
        <v>0.66666666666666663</v>
      </c>
      <c r="AM30">
        <f>survey_responses[[#This Row],[Tôi tin rằng Nhà nước, cơ quan thuế sẽ thực thi chính sách mới một cách khách quan, công tâm và đối xử bình đẳng với mọi người nộp thuế.  - HUMAN-TRU1]]</f>
        <v>10</v>
      </c>
      <c r="AN30">
        <f t="shared" si="13"/>
        <v>1</v>
      </c>
      <c r="AO30">
        <f>step3_validation[[#This Row],[AI_TRU2]]</f>
        <v>9</v>
      </c>
      <c r="AP30">
        <f t="shared" si="14"/>
        <v>0.88888888888888884</v>
      </c>
      <c r="AQ30">
        <f>survey_responses[[#This Row],[Tôi thấy mức thuế tôi phải đóng theo phương án mới là công bằng (người thu nhập như tôi đóng mức này là hợp lý). - HUMAN-TRU2]]</f>
        <v>9</v>
      </c>
      <c r="AR30">
        <f t="shared" si="15"/>
        <v>0.88888888888888884</v>
      </c>
      <c r="AS30">
        <f>step3_validation[[#This Row],[AI_TRU3]]</f>
        <v>8</v>
      </c>
      <c r="AT30">
        <f t="shared" si="16"/>
        <v>0.77777777777777779</v>
      </c>
      <c r="AU30">
        <f>survey_responses[[#This Row],[Tôi tin tưởng số tiền thuế tôi đóng sẽ được Nhà nước sử dụng hiệu quả để cải thiện dịch vụ công (y tế, đường xá...). - HUMAN-TRU3]]</f>
        <v>10</v>
      </c>
      <c r="AV30">
        <f t="shared" si="17"/>
        <v>1</v>
      </c>
      <c r="AW30">
        <f>step3_validation[[#This Row],[AI_TRU4]]</f>
        <v>7</v>
      </c>
      <c r="AX30">
        <f t="shared" si="18"/>
        <v>0.66666666666666663</v>
      </c>
      <c r="AY30">
        <f>survey_responses[[#This Row],[Tôi thấy Nhà nước đã giải thích rõ ràng, minh bạch về lý do và mục tiêu của việc sửa đổi thuế lần này. - HUMAN-TRU4]]</f>
        <v>10</v>
      </c>
      <c r="AZ30">
        <f t="shared" si="19"/>
        <v>1</v>
      </c>
      <c r="BA30" s="32">
        <f t="shared" si="20"/>
        <v>0.74999999999999989</v>
      </c>
      <c r="BB30" s="32">
        <f t="shared" si="21"/>
        <v>0.97222222222222221</v>
      </c>
      <c r="BC30" s="7">
        <f t="shared" si="22"/>
        <v>0.69444444444444431</v>
      </c>
      <c r="BD30" s="7">
        <f t="shared" si="23"/>
        <v>0.97222222222222221</v>
      </c>
      <c r="BE30">
        <f>step3_validation[[#This Row],[AI_OUT1]]</f>
        <v>9</v>
      </c>
      <c r="BF30">
        <f t="shared" si="24"/>
        <v>0.88888888888888884</v>
      </c>
      <c r="BG30">
        <f>survey_responses[[#This Row],[Sau khi xem xét các quyền lợi và nghĩa vụ, bạn có ủng hộ và tuân thủ chính sách mới hiện nay? - HUMAN-OUT1]]</f>
        <v>10</v>
      </c>
      <c r="BH30">
        <f t="shared" si="25"/>
        <v>1</v>
      </c>
      <c r="BI30" s="32">
        <f t="shared" si="26"/>
        <v>1</v>
      </c>
    </row>
    <row r="31" spans="1:61" x14ac:dyDescent="0.45">
      <c r="A31" s="30">
        <f>step3_validation[[#This Row],[Persona_ID]]</f>
        <v>30</v>
      </c>
      <c r="B31" s="31">
        <f>step3_validation[[#This Row],[Used_Seed]]</f>
        <v>2020</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14.341537716611434</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6</v>
      </c>
      <c r="R31">
        <f t="shared" si="0"/>
        <v>0.55555555555555558</v>
      </c>
      <c r="S31">
        <f>survey_responses[[#This Row],[Tôi tin rằng với các quy định quản lý thuế hiện nay, hành vi gian lận hoặc trốn thuế sẽ dễ dàng bị phát hiện và xử lý nghiêm. - HUMAN-ENF1]]</f>
        <v>10</v>
      </c>
      <c r="T31">
        <f t="shared" si="1"/>
        <v>1</v>
      </c>
      <c r="U31">
        <f>step3_validation[[#This Row],[AI_ENF2]]</f>
        <v>6</v>
      </c>
      <c r="V31">
        <f t="shared" si="2"/>
        <v>0.55555555555555558</v>
      </c>
      <c r="W31">
        <f>survey_responses[[#This Row],[Tôi tin rằng Nhà nước, cơ quan thuế có đủ khả năng và công nghệ để phát hiện, xử lý nghiêm các hành vi trốn thuế. - HUMAN-ENF2]]</f>
        <v>10</v>
      </c>
      <c r="X31">
        <f t="shared" si="3"/>
        <v>1</v>
      </c>
      <c r="Y31" s="32">
        <f t="shared" si="4"/>
        <v>0.55555555555555558</v>
      </c>
      <c r="Z31" s="32">
        <f t="shared" si="5"/>
        <v>1</v>
      </c>
      <c r="AA31">
        <f>step3_validation[[#This Row],[AI_FAC1]]</f>
        <v>8</v>
      </c>
      <c r="AB31">
        <f t="shared" si="6"/>
        <v>0.77777777777777779</v>
      </c>
      <c r="AC31">
        <f>survey_responses[[#This Row],[Các thủ tục khai báo thuế VÀ/HOẶC quy trình làm việc với cơ quan thuế đơn giản, tiện lợi, nhanh chóng hơn so với trước đây. - HUMAN-FAC1]]</f>
        <v>9</v>
      </c>
      <c r="AD31">
        <f t="shared" si="7"/>
        <v>0.88888888888888884</v>
      </c>
      <c r="AE31">
        <f>step3_validation[[#This Row],[AI_FAC2]]</f>
        <v>9</v>
      </c>
      <c r="AF31">
        <f t="shared" si="8"/>
        <v>0.88888888888888884</v>
      </c>
      <c r="AG31">
        <f>survey_responses[[#This Row],[So với trước đây, tôi thấy cách tính thuế và các bậc thuế trong phương án mới đơn giản, dễ hiểu và dễ thực hiện hơn. - HUMAN-FAC2]]</f>
        <v>10</v>
      </c>
      <c r="AH31">
        <f t="shared" si="9"/>
        <v>1</v>
      </c>
      <c r="AI31" s="32">
        <f t="shared" si="10"/>
        <v>0.83333333333333326</v>
      </c>
      <c r="AJ31" s="32">
        <f t="shared" si="11"/>
        <v>0.94444444444444442</v>
      </c>
      <c r="AK31">
        <f>step3_validation[[#This Row],[AI_TRU1]]</f>
        <v>8</v>
      </c>
      <c r="AL31">
        <f t="shared" si="12"/>
        <v>0.77777777777777779</v>
      </c>
      <c r="AM31">
        <f>survey_responses[[#This Row],[Tôi tin rằng Nhà nước, cơ quan thuế sẽ thực thi chính sách mới một cách khách quan, công tâm và đối xử bình đẳng với mọi người nộp thuế.  - HUMAN-TRU1]]</f>
        <v>10</v>
      </c>
      <c r="AN31">
        <f t="shared" si="13"/>
        <v>1</v>
      </c>
      <c r="AO31">
        <f>step3_validation[[#This Row],[AI_TRU2]]</f>
        <v>9</v>
      </c>
      <c r="AP31">
        <f t="shared" si="14"/>
        <v>0.88888888888888884</v>
      </c>
      <c r="AQ31">
        <f>survey_responses[[#This Row],[Tôi thấy mức thuế tôi phải đóng theo phương án mới là công bằng (người thu nhập như tôi đóng mức này là hợp lý). - HUMAN-TRU2]]</f>
        <v>10</v>
      </c>
      <c r="AR31">
        <f t="shared" si="15"/>
        <v>1</v>
      </c>
      <c r="AS31">
        <f>step3_validation[[#This Row],[AI_TRU3]]</f>
        <v>8</v>
      </c>
      <c r="AT31">
        <f t="shared" si="16"/>
        <v>0.77777777777777779</v>
      </c>
      <c r="AU31">
        <f>survey_responses[[#This Row],[Tôi tin tưởng số tiền thuế tôi đóng sẽ được Nhà nước sử dụng hiệu quả để cải thiện dịch vụ công (y tế, đường xá...). - HUMAN-TRU3]]</f>
        <v>10</v>
      </c>
      <c r="AV31">
        <f t="shared" si="17"/>
        <v>1</v>
      </c>
      <c r="AW31">
        <f>step3_validation[[#This Row],[AI_TRU4]]</f>
        <v>8</v>
      </c>
      <c r="AX31">
        <f t="shared" si="18"/>
        <v>0.77777777777777779</v>
      </c>
      <c r="AY31">
        <f>survey_responses[[#This Row],[Tôi thấy Nhà nước đã giải thích rõ ràng, minh bạch về lý do và mục tiêu của việc sửa đổi thuế lần này. - HUMAN-TRU4]]</f>
        <v>10</v>
      </c>
      <c r="AZ31">
        <f t="shared" si="19"/>
        <v>1</v>
      </c>
      <c r="BA31" s="32">
        <f t="shared" si="20"/>
        <v>0.80555555555555547</v>
      </c>
      <c r="BB31" s="32">
        <f t="shared" si="21"/>
        <v>1</v>
      </c>
      <c r="BC31" s="7">
        <f t="shared" si="22"/>
        <v>0.7314814814814814</v>
      </c>
      <c r="BD31" s="7">
        <f t="shared" si="23"/>
        <v>0.98148148148148151</v>
      </c>
      <c r="BE31">
        <f>step3_validation[[#This Row],[AI_OUT1]]</f>
        <v>9</v>
      </c>
      <c r="BF31">
        <f t="shared" si="24"/>
        <v>0.88888888888888884</v>
      </c>
      <c r="BG31">
        <f>survey_responses[[#This Row],[Sau khi xem xét các quyền lợi và nghĩa vụ, bạn có ủng hộ và tuân thủ chính sách mới hiện nay? - HUMAN-OUT1]]</f>
        <v>10</v>
      </c>
      <c r="BH31">
        <f t="shared" si="25"/>
        <v>1</v>
      </c>
      <c r="BI31" s="32">
        <f t="shared" si="26"/>
        <v>1</v>
      </c>
    </row>
    <row r="32" spans="1:61" x14ac:dyDescent="0.45">
      <c r="A32" s="30">
        <f>step3_validation[[#This Row],[Persona_ID]]</f>
        <v>31</v>
      </c>
      <c r="B32" s="31">
        <f>step3_validation[[#This Row],[Used_Seed]]</f>
        <v>2021</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29.055582623477338</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f t="shared" si="0"/>
        <v>0.66666666666666663</v>
      </c>
      <c r="S32">
        <f>survey_responses[[#This Row],[Tôi tin rằng với các quy định quản lý thuế hiện nay, hành vi gian lận hoặc trốn thuế sẽ dễ dàng bị phát hiện và xử lý nghiêm. - HUMAN-ENF1]]</f>
        <v>10</v>
      </c>
      <c r="T32">
        <f t="shared" si="1"/>
        <v>1</v>
      </c>
      <c r="U32">
        <f>step3_validation[[#This Row],[AI_ENF2]]</f>
        <v>6</v>
      </c>
      <c r="V32">
        <f t="shared" si="2"/>
        <v>0.55555555555555558</v>
      </c>
      <c r="W32">
        <f>survey_responses[[#This Row],[Tôi tin rằng Nhà nước, cơ quan thuế có đủ khả năng và công nghệ để phát hiện, xử lý nghiêm các hành vi trốn thuế. - HUMAN-ENF2]]</f>
        <v>7</v>
      </c>
      <c r="X32">
        <f t="shared" si="3"/>
        <v>0.66666666666666663</v>
      </c>
      <c r="Y32" s="32">
        <f t="shared" si="4"/>
        <v>0.61111111111111116</v>
      </c>
      <c r="Z32" s="32">
        <f t="shared" si="5"/>
        <v>0.83333333333333326</v>
      </c>
      <c r="AA32">
        <f>step3_validation[[#This Row],[AI_FAC1]]</f>
        <v>8</v>
      </c>
      <c r="AB32">
        <f t="shared" si="6"/>
        <v>0.77777777777777779</v>
      </c>
      <c r="AC32">
        <f>survey_responses[[#This Row],[Các thủ tục khai báo thuế VÀ/HOẶC quy trình làm việc với cơ quan thuế đơn giản, tiện lợi, nhanh chóng hơn so với trước đây. - HUMAN-FAC1]]</f>
        <v>10</v>
      </c>
      <c r="AD32">
        <f t="shared" si="7"/>
        <v>1</v>
      </c>
      <c r="AE32">
        <f>step3_validation[[#This Row],[AI_FAC2]]</f>
        <v>9</v>
      </c>
      <c r="AF32">
        <f t="shared" si="8"/>
        <v>0.88888888888888884</v>
      </c>
      <c r="AG32">
        <f>survey_responses[[#This Row],[So với trước đây, tôi thấy cách tính thuế và các bậc thuế trong phương án mới đơn giản, dễ hiểu và dễ thực hiện hơn. - HUMAN-FAC2]]</f>
        <v>7</v>
      </c>
      <c r="AH32">
        <f t="shared" si="9"/>
        <v>0.66666666666666663</v>
      </c>
      <c r="AI32" s="32">
        <f t="shared" si="10"/>
        <v>0.83333333333333326</v>
      </c>
      <c r="AJ32" s="32">
        <f t="shared" si="11"/>
        <v>0.83333333333333326</v>
      </c>
      <c r="AK32">
        <f>step3_validation[[#This Row],[AI_TRU1]]</f>
        <v>7</v>
      </c>
      <c r="AL32">
        <f t="shared" si="12"/>
        <v>0.66666666666666663</v>
      </c>
      <c r="AM32">
        <f>survey_responses[[#This Row],[Tôi tin rằng Nhà nước, cơ quan thuế sẽ thực thi chính sách mới một cách khách quan, công tâm và đối xử bình đẳng với mọi người nộp thuế.  - HUMAN-TRU1]]</f>
        <v>10</v>
      </c>
      <c r="AN32">
        <f t="shared" si="13"/>
        <v>1</v>
      </c>
      <c r="AO32">
        <f>step3_validation[[#This Row],[AI_TRU2]]</f>
        <v>9</v>
      </c>
      <c r="AP32">
        <f t="shared" si="14"/>
        <v>0.88888888888888884</v>
      </c>
      <c r="AQ32">
        <f>survey_responses[[#This Row],[Tôi thấy mức thuế tôi phải đóng theo phương án mới là công bằng (người thu nhập như tôi đóng mức này là hợp lý). - HUMAN-TRU2]]</f>
        <v>10</v>
      </c>
      <c r="AR32">
        <f t="shared" si="15"/>
        <v>1</v>
      </c>
      <c r="AS32">
        <f>step3_validation[[#This Row],[AI_TRU3]]</f>
        <v>7</v>
      </c>
      <c r="AT32">
        <f t="shared" si="16"/>
        <v>0.66666666666666663</v>
      </c>
      <c r="AU32">
        <f>survey_responses[[#This Row],[Tôi tin tưởng số tiền thuế tôi đóng sẽ được Nhà nước sử dụng hiệu quả để cải thiện dịch vụ công (y tế, đường xá...). - HUMAN-TRU3]]</f>
        <v>3</v>
      </c>
      <c r="AV32">
        <f t="shared" si="17"/>
        <v>0.22222222222222221</v>
      </c>
      <c r="AW32">
        <f>step3_validation[[#This Row],[AI_TRU4]]</f>
        <v>8</v>
      </c>
      <c r="AX32">
        <f t="shared" si="18"/>
        <v>0.77777777777777779</v>
      </c>
      <c r="AY32">
        <f>survey_responses[[#This Row],[Tôi thấy Nhà nước đã giải thích rõ ràng, minh bạch về lý do và mục tiêu của việc sửa đổi thuế lần này. - HUMAN-TRU4]]</f>
        <v>5</v>
      </c>
      <c r="AZ32">
        <f t="shared" si="19"/>
        <v>0.44444444444444442</v>
      </c>
      <c r="BA32" s="32">
        <f t="shared" si="20"/>
        <v>0.74999999999999989</v>
      </c>
      <c r="BB32" s="32">
        <f t="shared" si="21"/>
        <v>0.66666666666666674</v>
      </c>
      <c r="BC32" s="7">
        <f t="shared" si="22"/>
        <v>0.7314814814814814</v>
      </c>
      <c r="BD32" s="7">
        <f t="shared" si="23"/>
        <v>0.77777777777777768</v>
      </c>
      <c r="BE32">
        <f>step3_validation[[#This Row],[AI_OUT1]]</f>
        <v>9</v>
      </c>
      <c r="BF32">
        <f t="shared" si="24"/>
        <v>0.88888888888888884</v>
      </c>
      <c r="BG32">
        <f>survey_responses[[#This Row],[Sau khi xem xét các quyền lợi và nghĩa vụ, bạn có ủng hộ và tuân thủ chính sách mới hiện nay? - HUMAN-OUT1]]</f>
        <v>8</v>
      </c>
      <c r="BH32">
        <f t="shared" si="25"/>
        <v>0.77777777777777779</v>
      </c>
      <c r="BI32" s="32">
        <f t="shared" si="26"/>
        <v>1</v>
      </c>
    </row>
    <row r="33" spans="1:61" x14ac:dyDescent="0.45">
      <c r="A33" s="30">
        <f>step3_validation[[#This Row],[Persona_ID]]</f>
        <v>32</v>
      </c>
      <c r="B33" s="31">
        <f>step3_validation[[#This Row],[Used_Seed]]</f>
        <v>2022</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24.979408507620796</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f t="shared" si="0"/>
        <v>0.55555555555555558</v>
      </c>
      <c r="S33">
        <f>survey_responses[[#This Row],[Tôi tin rằng với các quy định quản lý thuế hiện nay, hành vi gian lận hoặc trốn thuế sẽ dễ dàng bị phát hiện và xử lý nghiêm. - HUMAN-ENF1]]</f>
        <v>5</v>
      </c>
      <c r="T33">
        <f t="shared" si="1"/>
        <v>0.44444444444444442</v>
      </c>
      <c r="U33">
        <f>step3_validation[[#This Row],[AI_ENF2]]</f>
        <v>6</v>
      </c>
      <c r="V33">
        <f t="shared" si="2"/>
        <v>0.55555555555555558</v>
      </c>
      <c r="W33">
        <f>survey_responses[[#This Row],[Tôi tin rằng Nhà nước, cơ quan thuế có đủ khả năng và công nghệ để phát hiện, xử lý nghiêm các hành vi trốn thuế. - HUMAN-ENF2]]</f>
        <v>5</v>
      </c>
      <c r="X33">
        <f t="shared" si="3"/>
        <v>0.44444444444444442</v>
      </c>
      <c r="Y33" s="32">
        <f t="shared" si="4"/>
        <v>0.55555555555555558</v>
      </c>
      <c r="Z33" s="32">
        <f t="shared" si="5"/>
        <v>0.44444444444444442</v>
      </c>
      <c r="AA33">
        <f>step3_validation[[#This Row],[AI_FAC1]]</f>
        <v>8</v>
      </c>
      <c r="AB33">
        <f t="shared" si="6"/>
        <v>0.77777777777777779</v>
      </c>
      <c r="AC33">
        <f>survey_responses[[#This Row],[Các thủ tục khai báo thuế VÀ/HOẶC quy trình làm việc với cơ quan thuế đơn giản, tiện lợi, nhanh chóng hơn so với trước đây. - HUMAN-FAC1]]</f>
        <v>5</v>
      </c>
      <c r="AD33">
        <f t="shared" si="7"/>
        <v>0.44444444444444442</v>
      </c>
      <c r="AE33">
        <f>step3_validation[[#This Row],[AI_FAC2]]</f>
        <v>9</v>
      </c>
      <c r="AF33">
        <f t="shared" si="8"/>
        <v>0.88888888888888884</v>
      </c>
      <c r="AG33">
        <f>survey_responses[[#This Row],[So với trước đây, tôi thấy cách tính thuế và các bậc thuế trong phương án mới đơn giản, dễ hiểu và dễ thực hiện hơn. - HUMAN-FAC2]]</f>
        <v>5</v>
      </c>
      <c r="AH33">
        <f t="shared" si="9"/>
        <v>0.44444444444444442</v>
      </c>
      <c r="AI33" s="32">
        <f t="shared" si="10"/>
        <v>0.83333333333333326</v>
      </c>
      <c r="AJ33" s="32">
        <f t="shared" si="11"/>
        <v>0.44444444444444442</v>
      </c>
      <c r="AK33">
        <f>step3_validation[[#This Row],[AI_TRU1]]</f>
        <v>7</v>
      </c>
      <c r="AL33">
        <f t="shared" si="12"/>
        <v>0.66666666666666663</v>
      </c>
      <c r="AM33">
        <f>survey_responses[[#This Row],[Tôi tin rằng Nhà nước, cơ quan thuế sẽ thực thi chính sách mới một cách khách quan, công tâm và đối xử bình đẳng với mọi người nộp thuế.  - HUMAN-TRU1]]</f>
        <v>5</v>
      </c>
      <c r="AN33">
        <f t="shared" si="13"/>
        <v>0.44444444444444442</v>
      </c>
      <c r="AO33">
        <f>step3_validation[[#This Row],[AI_TRU2]]</f>
        <v>9</v>
      </c>
      <c r="AP33">
        <f t="shared" si="14"/>
        <v>0.88888888888888884</v>
      </c>
      <c r="AQ33">
        <f>survey_responses[[#This Row],[Tôi thấy mức thuế tôi phải đóng theo phương án mới là công bằng (người thu nhập như tôi đóng mức này là hợp lý). - HUMAN-TRU2]]</f>
        <v>5</v>
      </c>
      <c r="AR33">
        <f t="shared" si="15"/>
        <v>0.44444444444444442</v>
      </c>
      <c r="AS33">
        <f>step3_validation[[#This Row],[AI_TRU3]]</f>
        <v>7</v>
      </c>
      <c r="AT33">
        <f t="shared" si="16"/>
        <v>0.66666666666666663</v>
      </c>
      <c r="AU33">
        <f>survey_responses[[#This Row],[Tôi tin tưởng số tiền thuế tôi đóng sẽ được Nhà nước sử dụng hiệu quả để cải thiện dịch vụ công (y tế, đường xá...). - HUMAN-TRU3]]</f>
        <v>5</v>
      </c>
      <c r="AV33">
        <f t="shared" si="17"/>
        <v>0.44444444444444442</v>
      </c>
      <c r="AW33">
        <f>step3_validation[[#This Row],[AI_TRU4]]</f>
        <v>8</v>
      </c>
      <c r="AX33">
        <f t="shared" si="18"/>
        <v>0.77777777777777779</v>
      </c>
      <c r="AY33">
        <f>survey_responses[[#This Row],[Tôi thấy Nhà nước đã giải thích rõ ràng, minh bạch về lý do và mục tiêu của việc sửa đổi thuế lần này. - HUMAN-TRU4]]</f>
        <v>5</v>
      </c>
      <c r="AZ33">
        <f t="shared" si="19"/>
        <v>0.44444444444444442</v>
      </c>
      <c r="BA33" s="32">
        <f t="shared" si="20"/>
        <v>0.74999999999999989</v>
      </c>
      <c r="BB33" s="32">
        <f t="shared" si="21"/>
        <v>0.44444444444444442</v>
      </c>
      <c r="BC33" s="7">
        <f t="shared" si="22"/>
        <v>0.71296296296296291</v>
      </c>
      <c r="BD33" s="7">
        <f t="shared" si="23"/>
        <v>0.44444444444444442</v>
      </c>
      <c r="BE33">
        <f>step3_validation[[#This Row],[AI_OUT1]]</f>
        <v>9</v>
      </c>
      <c r="BF33">
        <f t="shared" si="24"/>
        <v>0.88888888888888884</v>
      </c>
      <c r="BG33">
        <f>survey_responses[[#This Row],[Sau khi xem xét các quyền lợi và nghĩa vụ, bạn có ủng hộ và tuân thủ chính sách mới hiện nay? - HUMAN-OUT1]]</f>
        <v>5</v>
      </c>
      <c r="BH33">
        <f t="shared" si="25"/>
        <v>0.44444444444444442</v>
      </c>
      <c r="BI33" s="32">
        <f t="shared" si="26"/>
        <v>4</v>
      </c>
    </row>
    <row r="34" spans="1:61" x14ac:dyDescent="0.45">
      <c r="A34" s="30">
        <f>step3_validation[[#This Row],[Persona_ID]]</f>
        <v>33</v>
      </c>
      <c r="B34" s="31">
        <f>step3_validation[[#This Row],[Used_Seed]]</f>
        <v>2023</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23.704435638102275</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6</v>
      </c>
      <c r="R34">
        <f t="shared" si="0"/>
        <v>0.55555555555555558</v>
      </c>
      <c r="S34">
        <f>survey_responses[[#This Row],[Tôi tin rằng với các quy định quản lý thuế hiện nay, hành vi gian lận hoặc trốn thuế sẽ dễ dàng bị phát hiện và xử lý nghiêm. - HUMAN-ENF1]]</f>
        <v>8</v>
      </c>
      <c r="T34">
        <f t="shared" si="1"/>
        <v>0.77777777777777779</v>
      </c>
      <c r="U34">
        <f>step3_validation[[#This Row],[AI_ENF2]]</f>
        <v>6</v>
      </c>
      <c r="V34">
        <f t="shared" si="2"/>
        <v>0.55555555555555558</v>
      </c>
      <c r="W34">
        <f>survey_responses[[#This Row],[Tôi tin rằng Nhà nước, cơ quan thuế có đủ khả năng và công nghệ để phát hiện, xử lý nghiêm các hành vi trốn thuế. - HUMAN-ENF2]]</f>
        <v>9</v>
      </c>
      <c r="X34">
        <f t="shared" si="3"/>
        <v>0.88888888888888884</v>
      </c>
      <c r="Y34" s="32">
        <f t="shared" si="4"/>
        <v>0.55555555555555558</v>
      </c>
      <c r="Z34" s="32">
        <f t="shared" si="5"/>
        <v>0.83333333333333326</v>
      </c>
      <c r="AA34">
        <f>step3_validation[[#This Row],[AI_FAC1]]</f>
        <v>9</v>
      </c>
      <c r="AB34">
        <f t="shared" si="6"/>
        <v>0.88888888888888884</v>
      </c>
      <c r="AC34">
        <f>survey_responses[[#This Row],[Các thủ tục khai báo thuế VÀ/HOẶC quy trình làm việc với cơ quan thuế đơn giản, tiện lợi, nhanh chóng hơn so với trước đây. - HUMAN-FAC1]]</f>
        <v>7</v>
      </c>
      <c r="AD34">
        <f t="shared" si="7"/>
        <v>0.66666666666666663</v>
      </c>
      <c r="AE34">
        <f>step3_validation[[#This Row],[AI_FAC2]]</f>
        <v>8</v>
      </c>
      <c r="AF34">
        <f t="shared" si="8"/>
        <v>0.77777777777777779</v>
      </c>
      <c r="AG34">
        <f>survey_responses[[#This Row],[So với trước đây, tôi thấy cách tính thuế và các bậc thuế trong phương án mới đơn giản, dễ hiểu và dễ thực hiện hơn. - HUMAN-FAC2]]</f>
        <v>8</v>
      </c>
      <c r="AH34">
        <f t="shared" si="9"/>
        <v>0.77777777777777779</v>
      </c>
      <c r="AI34" s="32">
        <f t="shared" si="10"/>
        <v>0.83333333333333326</v>
      </c>
      <c r="AJ34" s="32">
        <f t="shared" si="11"/>
        <v>0.72222222222222221</v>
      </c>
      <c r="AK34">
        <f>step3_validation[[#This Row],[AI_TRU1]]</f>
        <v>7</v>
      </c>
      <c r="AL34">
        <f t="shared" si="12"/>
        <v>0.66666666666666663</v>
      </c>
      <c r="AM34">
        <f>survey_responses[[#This Row],[Tôi tin rằng Nhà nước, cơ quan thuế sẽ thực thi chính sách mới một cách khách quan, công tâm và đối xử bình đẳng với mọi người nộp thuế.  - HUMAN-TRU1]]</f>
        <v>8</v>
      </c>
      <c r="AN34">
        <f t="shared" si="13"/>
        <v>0.77777777777777779</v>
      </c>
      <c r="AO34">
        <f>step3_validation[[#This Row],[AI_TRU2]]</f>
        <v>8</v>
      </c>
      <c r="AP34">
        <f t="shared" si="14"/>
        <v>0.77777777777777779</v>
      </c>
      <c r="AQ34">
        <f>survey_responses[[#This Row],[Tôi thấy mức thuế tôi phải đóng theo phương án mới là công bằng (người thu nhập như tôi đóng mức này là hợp lý). - HUMAN-TRU2]]</f>
        <v>8</v>
      </c>
      <c r="AR34">
        <f t="shared" si="15"/>
        <v>0.77777777777777779</v>
      </c>
      <c r="AS34">
        <f>step3_validation[[#This Row],[AI_TRU3]]</f>
        <v>6</v>
      </c>
      <c r="AT34">
        <f t="shared" si="16"/>
        <v>0.55555555555555558</v>
      </c>
      <c r="AU34">
        <f>survey_responses[[#This Row],[Tôi tin tưởng số tiền thuế tôi đóng sẽ được Nhà nước sử dụng hiệu quả để cải thiện dịch vụ công (y tế, đường xá...). - HUMAN-TRU3]]</f>
        <v>3</v>
      </c>
      <c r="AV34">
        <f t="shared" si="17"/>
        <v>0.22222222222222221</v>
      </c>
      <c r="AW34">
        <f>step3_validation[[#This Row],[AI_TRU4]]</f>
        <v>7</v>
      </c>
      <c r="AX34">
        <f t="shared" si="18"/>
        <v>0.66666666666666663</v>
      </c>
      <c r="AY34">
        <f>survey_responses[[#This Row],[Tôi thấy Nhà nước đã giải thích rõ ràng, minh bạch về lý do và mục tiêu của việc sửa đổi thuế lần này. - HUMAN-TRU4]]</f>
        <v>6</v>
      </c>
      <c r="AZ34">
        <f t="shared" si="19"/>
        <v>0.55555555555555558</v>
      </c>
      <c r="BA34" s="32">
        <f t="shared" si="20"/>
        <v>0.66666666666666663</v>
      </c>
      <c r="BB34" s="32">
        <f t="shared" si="21"/>
        <v>0.58333333333333326</v>
      </c>
      <c r="BC34" s="7">
        <f t="shared" si="22"/>
        <v>0.68518518518518512</v>
      </c>
      <c r="BD34" s="7">
        <f t="shared" si="23"/>
        <v>0.7129629629629628</v>
      </c>
      <c r="BE34">
        <f>step3_validation[[#This Row],[AI_OUT1]]</f>
        <v>8</v>
      </c>
      <c r="BF34">
        <f t="shared" si="24"/>
        <v>0.77777777777777779</v>
      </c>
      <c r="BG34">
        <f>survey_responses[[#This Row],[Sau khi xem xét các quyền lợi và nghĩa vụ, bạn có ủng hộ và tuân thủ chính sách mới hiện nay? - HUMAN-OUT1]]</f>
        <v>7</v>
      </c>
      <c r="BH34">
        <f t="shared" si="25"/>
        <v>0.66666666666666663</v>
      </c>
      <c r="BI34" s="32">
        <f t="shared" si="26"/>
        <v>1</v>
      </c>
    </row>
    <row r="35" spans="1:61" x14ac:dyDescent="0.45">
      <c r="A35" s="30">
        <f>step3_validation[[#This Row],[Persona_ID]]</f>
        <v>34</v>
      </c>
      <c r="B35" s="31">
        <f>step3_validation[[#This Row],[Used_Seed]]</f>
        <v>2024</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15.379156689906409</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7</v>
      </c>
      <c r="R35">
        <f t="shared" si="0"/>
        <v>0.66666666666666663</v>
      </c>
      <c r="S35">
        <f>survey_responses[[#This Row],[Tôi tin rằng với các quy định quản lý thuế hiện nay, hành vi gian lận hoặc trốn thuế sẽ dễ dàng bị phát hiện và xử lý nghiêm. - HUMAN-ENF1]]</f>
        <v>10</v>
      </c>
      <c r="T35">
        <f t="shared" si="1"/>
        <v>1</v>
      </c>
      <c r="U35">
        <f>step3_validation[[#This Row],[AI_ENF2]]</f>
        <v>6</v>
      </c>
      <c r="V35">
        <f t="shared" si="2"/>
        <v>0.55555555555555558</v>
      </c>
      <c r="W35">
        <f>survey_responses[[#This Row],[Tôi tin rằng Nhà nước, cơ quan thuế có đủ khả năng và công nghệ để phát hiện, xử lý nghiêm các hành vi trốn thuế. - HUMAN-ENF2]]</f>
        <v>10</v>
      </c>
      <c r="X35">
        <f t="shared" si="3"/>
        <v>1</v>
      </c>
      <c r="Y35" s="32">
        <f t="shared" si="4"/>
        <v>0.61111111111111116</v>
      </c>
      <c r="Z35" s="32">
        <f t="shared" si="5"/>
        <v>1</v>
      </c>
      <c r="AA35">
        <f>step3_validation[[#This Row],[AI_FAC1]]</f>
        <v>5</v>
      </c>
      <c r="AB35">
        <f t="shared" si="6"/>
        <v>0.44444444444444442</v>
      </c>
      <c r="AC35">
        <f>survey_responses[[#This Row],[Các thủ tục khai báo thuế VÀ/HOẶC quy trình làm việc với cơ quan thuế đơn giản, tiện lợi, nhanh chóng hơn so với trước đây. - HUMAN-FAC1]]</f>
        <v>10</v>
      </c>
      <c r="AD35">
        <f t="shared" si="7"/>
        <v>1</v>
      </c>
      <c r="AE35">
        <f>step3_validation[[#This Row],[AI_FAC2]]</f>
        <v>8</v>
      </c>
      <c r="AF35">
        <f t="shared" si="8"/>
        <v>0.77777777777777779</v>
      </c>
      <c r="AG35">
        <f>survey_responses[[#This Row],[So với trước đây, tôi thấy cách tính thuế và các bậc thuế trong phương án mới đơn giản, dễ hiểu và dễ thực hiện hơn. - HUMAN-FAC2]]</f>
        <v>10</v>
      </c>
      <c r="AH35">
        <f t="shared" si="9"/>
        <v>1</v>
      </c>
      <c r="AI35" s="32">
        <f t="shared" si="10"/>
        <v>0.61111111111111116</v>
      </c>
      <c r="AJ35" s="32">
        <f t="shared" si="11"/>
        <v>1</v>
      </c>
      <c r="AK35">
        <f>step3_validation[[#This Row],[AI_TRU1]]</f>
        <v>6</v>
      </c>
      <c r="AL35">
        <f t="shared" si="12"/>
        <v>0.55555555555555558</v>
      </c>
      <c r="AM35">
        <f>survey_responses[[#This Row],[Tôi tin rằng Nhà nước, cơ quan thuế sẽ thực thi chính sách mới một cách khách quan, công tâm và đối xử bình đẳng với mọi người nộp thuế.  - HUMAN-TRU1]]</f>
        <v>10</v>
      </c>
      <c r="AN35">
        <f t="shared" si="13"/>
        <v>1</v>
      </c>
      <c r="AO35">
        <f>step3_validation[[#This Row],[AI_TRU2]]</f>
        <v>9</v>
      </c>
      <c r="AP35">
        <f t="shared" si="14"/>
        <v>0.88888888888888884</v>
      </c>
      <c r="AQ35">
        <f>survey_responses[[#This Row],[Tôi thấy mức thuế tôi phải đóng theo phương án mới là công bằng (người thu nhập như tôi đóng mức này là hợp lý). - HUMAN-TRU2]]</f>
        <v>10</v>
      </c>
      <c r="AR35">
        <f t="shared" si="15"/>
        <v>1</v>
      </c>
      <c r="AS35">
        <f>step3_validation[[#This Row],[AI_TRU3]]</f>
        <v>6</v>
      </c>
      <c r="AT35">
        <f t="shared" si="16"/>
        <v>0.55555555555555558</v>
      </c>
      <c r="AU35">
        <f>survey_responses[[#This Row],[Tôi tin tưởng số tiền thuế tôi đóng sẽ được Nhà nước sử dụng hiệu quả để cải thiện dịch vụ công (y tế, đường xá...). - HUMAN-TRU3]]</f>
        <v>10</v>
      </c>
      <c r="AV35">
        <f t="shared" si="17"/>
        <v>1</v>
      </c>
      <c r="AW35">
        <f>step3_validation[[#This Row],[AI_TRU4]]</f>
        <v>8</v>
      </c>
      <c r="AX35">
        <f t="shared" si="18"/>
        <v>0.77777777777777779</v>
      </c>
      <c r="AY35">
        <f>survey_responses[[#This Row],[Tôi thấy Nhà nước đã giải thích rõ ràng, minh bạch về lý do và mục tiêu của việc sửa đổi thuế lần này. - HUMAN-TRU4]]</f>
        <v>10</v>
      </c>
      <c r="AZ35">
        <f t="shared" si="19"/>
        <v>1</v>
      </c>
      <c r="BA35" s="32">
        <f t="shared" si="20"/>
        <v>0.69444444444444442</v>
      </c>
      <c r="BB35" s="32">
        <f t="shared" si="21"/>
        <v>1</v>
      </c>
      <c r="BC35" s="7">
        <f t="shared" si="22"/>
        <v>0.63888888888888895</v>
      </c>
      <c r="BD35" s="7">
        <f t="shared" si="23"/>
        <v>1</v>
      </c>
      <c r="BE35">
        <f>step3_validation[[#This Row],[AI_OUT1]]</f>
        <v>7</v>
      </c>
      <c r="BF35">
        <f t="shared" si="24"/>
        <v>0.66666666666666663</v>
      </c>
      <c r="BG35">
        <f>survey_responses[[#This Row],[Sau khi xem xét các quyền lợi và nghĩa vụ, bạn có ủng hộ và tuân thủ chính sách mới hiện nay? - HUMAN-OUT1]]</f>
        <v>10</v>
      </c>
      <c r="BH35">
        <f t="shared" si="25"/>
        <v>1</v>
      </c>
      <c r="BI35" s="32">
        <f t="shared" si="26"/>
        <v>3</v>
      </c>
    </row>
    <row r="36" spans="1:61" x14ac:dyDescent="0.45">
      <c r="A36" s="30">
        <f>step3_validation[[#This Row],[Persona_ID]]</f>
        <v>35</v>
      </c>
      <c r="B36" s="31">
        <f>step3_validation[[#This Row],[Used_Seed]]</f>
        <v>2025</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16.972289025838805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f t="shared" si="0"/>
        <v>0.77777777777777779</v>
      </c>
      <c r="S36">
        <f>survey_responses[[#This Row],[Tôi tin rằng với các quy định quản lý thuế hiện nay, hành vi gian lận hoặc trốn thuế sẽ dễ dàng bị phát hiện và xử lý nghiêm. - HUMAN-ENF1]]</f>
        <v>10</v>
      </c>
      <c r="T36">
        <f t="shared" si="1"/>
        <v>1</v>
      </c>
      <c r="U36">
        <f>step3_validation[[#This Row],[AI_ENF2]]</f>
        <v>7</v>
      </c>
      <c r="V36">
        <f t="shared" si="2"/>
        <v>0.66666666666666663</v>
      </c>
      <c r="W36">
        <f>survey_responses[[#This Row],[Tôi tin rằng Nhà nước, cơ quan thuế có đủ khả năng và công nghệ để phát hiện, xử lý nghiêm các hành vi trốn thuế. - HUMAN-ENF2]]</f>
        <v>10</v>
      </c>
      <c r="X36">
        <f t="shared" si="3"/>
        <v>1</v>
      </c>
      <c r="Y36" s="32">
        <f t="shared" si="4"/>
        <v>0.72222222222222221</v>
      </c>
      <c r="Z36" s="32">
        <f t="shared" si="5"/>
        <v>1</v>
      </c>
      <c r="AA36">
        <f>step3_validation[[#This Row],[AI_FAC1]]</f>
        <v>7</v>
      </c>
      <c r="AB36">
        <f t="shared" si="6"/>
        <v>0.66666666666666663</v>
      </c>
      <c r="AC36">
        <f>survey_responses[[#This Row],[Các thủ tục khai báo thuế VÀ/HOẶC quy trình làm việc với cơ quan thuế đơn giản, tiện lợi, nhanh chóng hơn so với trước đây. - HUMAN-FAC1]]</f>
        <v>10</v>
      </c>
      <c r="AD36">
        <f t="shared" si="7"/>
        <v>1</v>
      </c>
      <c r="AE36">
        <f>step3_validation[[#This Row],[AI_FAC2]]</f>
        <v>9</v>
      </c>
      <c r="AF36">
        <f t="shared" si="8"/>
        <v>0.88888888888888884</v>
      </c>
      <c r="AG36">
        <f>survey_responses[[#This Row],[So với trước đây, tôi thấy cách tính thuế và các bậc thuế trong phương án mới đơn giản, dễ hiểu và dễ thực hiện hơn. - HUMAN-FAC2]]</f>
        <v>10</v>
      </c>
      <c r="AH36">
        <f t="shared" si="9"/>
        <v>1</v>
      </c>
      <c r="AI36" s="32">
        <f t="shared" si="10"/>
        <v>0.77777777777777768</v>
      </c>
      <c r="AJ36" s="32">
        <f t="shared" si="11"/>
        <v>1</v>
      </c>
      <c r="AK36">
        <f>step3_validation[[#This Row],[AI_TRU1]]</f>
        <v>8</v>
      </c>
      <c r="AL36">
        <f t="shared" si="12"/>
        <v>0.77777777777777779</v>
      </c>
      <c r="AM36">
        <f>survey_responses[[#This Row],[Tôi tin rằng Nhà nước, cơ quan thuế sẽ thực thi chính sách mới một cách khách quan, công tâm và đối xử bình đẳng với mọi người nộp thuế.  - HUMAN-TRU1]]</f>
        <v>10</v>
      </c>
      <c r="AN36">
        <f t="shared" si="13"/>
        <v>1</v>
      </c>
      <c r="AO36">
        <f>step3_validation[[#This Row],[AI_TRU2]]</f>
        <v>9</v>
      </c>
      <c r="AP36">
        <f t="shared" si="14"/>
        <v>0.88888888888888884</v>
      </c>
      <c r="AQ36">
        <f>survey_responses[[#This Row],[Tôi thấy mức thuế tôi phải đóng theo phương án mới là công bằng (người thu nhập như tôi đóng mức này là hợp lý). - HUMAN-TRU2]]</f>
        <v>10</v>
      </c>
      <c r="AR36">
        <f t="shared" si="15"/>
        <v>1</v>
      </c>
      <c r="AS36">
        <f>step3_validation[[#This Row],[AI_TRU3]]</f>
        <v>8</v>
      </c>
      <c r="AT36">
        <f t="shared" si="16"/>
        <v>0.77777777777777779</v>
      </c>
      <c r="AU36">
        <f>survey_responses[[#This Row],[Tôi tin tưởng số tiền thuế tôi đóng sẽ được Nhà nước sử dụng hiệu quả để cải thiện dịch vụ công (y tế, đường xá...). - HUMAN-TRU3]]</f>
        <v>10</v>
      </c>
      <c r="AV36">
        <f t="shared" si="17"/>
        <v>1</v>
      </c>
      <c r="AW36">
        <f>step3_validation[[#This Row],[AI_TRU4]]</f>
        <v>7</v>
      </c>
      <c r="AX36">
        <f t="shared" si="18"/>
        <v>0.66666666666666663</v>
      </c>
      <c r="AY36">
        <f>survey_responses[[#This Row],[Tôi thấy Nhà nước đã giải thích rõ ràng, minh bạch về lý do và mục tiêu của việc sửa đổi thuế lần này. - HUMAN-TRU4]]</f>
        <v>10</v>
      </c>
      <c r="AZ36">
        <f t="shared" si="19"/>
        <v>1</v>
      </c>
      <c r="BA36" s="32">
        <f t="shared" si="20"/>
        <v>0.77777777777777768</v>
      </c>
      <c r="BB36" s="32">
        <f t="shared" si="21"/>
        <v>1</v>
      </c>
      <c r="BC36" s="7">
        <f t="shared" si="22"/>
        <v>0.75925925925925919</v>
      </c>
      <c r="BD36" s="7">
        <f t="shared" si="23"/>
        <v>1</v>
      </c>
      <c r="BE36">
        <f>step3_validation[[#This Row],[AI_OUT1]]</f>
        <v>9</v>
      </c>
      <c r="BF36">
        <f t="shared" si="24"/>
        <v>0.88888888888888884</v>
      </c>
      <c r="BG36">
        <f>survey_responses[[#This Row],[Sau khi xem xét các quyền lợi và nghĩa vụ, bạn có ủng hộ và tuân thủ chính sách mới hiện nay? - HUMAN-OUT1]]</f>
        <v>10</v>
      </c>
      <c r="BH36">
        <f t="shared" si="25"/>
        <v>1</v>
      </c>
      <c r="BI36" s="32">
        <f t="shared" si="26"/>
        <v>1</v>
      </c>
    </row>
    <row r="37" spans="1:61" x14ac:dyDescent="0.45">
      <c r="A37" s="30">
        <f>step3_validation[[#This Row],[Persona_ID]]</f>
        <v>36</v>
      </c>
      <c r="B37" s="31">
        <f>step3_validation[[#This Row],[Used_Seed]]</f>
        <v>2026</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12.894674068377181</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f t="shared" si="0"/>
        <v>0.66666666666666663</v>
      </c>
      <c r="S37">
        <f>survey_responses[[#This Row],[Tôi tin rằng với các quy định quản lý thuế hiện nay, hành vi gian lận hoặc trốn thuế sẽ dễ dàng bị phát hiện và xử lý nghiêm. - HUMAN-ENF1]]</f>
        <v>10</v>
      </c>
      <c r="T37">
        <f t="shared" si="1"/>
        <v>1</v>
      </c>
      <c r="U37">
        <f>step3_validation[[#This Row],[AI_ENF2]]</f>
        <v>8</v>
      </c>
      <c r="V37">
        <f t="shared" si="2"/>
        <v>0.77777777777777779</v>
      </c>
      <c r="W37">
        <f>survey_responses[[#This Row],[Tôi tin rằng Nhà nước, cơ quan thuế có đủ khả năng và công nghệ để phát hiện, xử lý nghiêm các hành vi trốn thuế. - HUMAN-ENF2]]</f>
        <v>9</v>
      </c>
      <c r="X37">
        <f t="shared" si="3"/>
        <v>0.88888888888888884</v>
      </c>
      <c r="Y37" s="32">
        <f t="shared" si="4"/>
        <v>0.72222222222222221</v>
      </c>
      <c r="Z37" s="32">
        <f t="shared" si="5"/>
        <v>0.94444444444444442</v>
      </c>
      <c r="AA37">
        <f>step3_validation[[#This Row],[AI_FAC1]]</f>
        <v>9</v>
      </c>
      <c r="AB37">
        <f t="shared" si="6"/>
        <v>0.88888888888888884</v>
      </c>
      <c r="AC37">
        <f>survey_responses[[#This Row],[Các thủ tục khai báo thuế VÀ/HOẶC quy trình làm việc với cơ quan thuế đơn giản, tiện lợi, nhanh chóng hơn so với trước đây. - HUMAN-FAC1]]</f>
        <v>10</v>
      </c>
      <c r="AD37">
        <f t="shared" si="7"/>
        <v>1</v>
      </c>
      <c r="AE37">
        <f>step3_validation[[#This Row],[AI_FAC2]]</f>
        <v>8</v>
      </c>
      <c r="AF37">
        <f t="shared" si="8"/>
        <v>0.77777777777777779</v>
      </c>
      <c r="AG37">
        <f>survey_responses[[#This Row],[So với trước đây, tôi thấy cách tính thuế và các bậc thuế trong phương án mới đơn giản, dễ hiểu và dễ thực hiện hơn. - HUMAN-FAC2]]</f>
        <v>8</v>
      </c>
      <c r="AH37">
        <f t="shared" si="9"/>
        <v>0.77777777777777779</v>
      </c>
      <c r="AI37" s="32">
        <f t="shared" si="10"/>
        <v>0.83333333333333326</v>
      </c>
      <c r="AJ37" s="32">
        <f t="shared" si="11"/>
        <v>0.88888888888888884</v>
      </c>
      <c r="AK37">
        <f>step3_validation[[#This Row],[AI_TRU1]]</f>
        <v>9</v>
      </c>
      <c r="AL37">
        <f t="shared" si="12"/>
        <v>0.88888888888888884</v>
      </c>
      <c r="AM37">
        <f>survey_responses[[#This Row],[Tôi tin rằng Nhà nước, cơ quan thuế sẽ thực thi chính sách mới một cách khách quan, công tâm và đối xử bình đẳng với mọi người nộp thuế.  - HUMAN-TRU1]]</f>
        <v>10</v>
      </c>
      <c r="AN37">
        <f t="shared" si="13"/>
        <v>1</v>
      </c>
      <c r="AO37">
        <f>step3_validation[[#This Row],[AI_TRU2]]</f>
        <v>9</v>
      </c>
      <c r="AP37">
        <f t="shared" si="14"/>
        <v>0.88888888888888884</v>
      </c>
      <c r="AQ37">
        <f>survey_responses[[#This Row],[Tôi thấy mức thuế tôi phải đóng theo phương án mới là công bằng (người thu nhập như tôi đóng mức này là hợp lý). - HUMAN-TRU2]]</f>
        <v>9</v>
      </c>
      <c r="AR37">
        <f t="shared" si="15"/>
        <v>0.88888888888888884</v>
      </c>
      <c r="AS37">
        <f>step3_validation[[#This Row],[AI_TRU3]]</f>
        <v>8</v>
      </c>
      <c r="AT37">
        <f t="shared" si="16"/>
        <v>0.77777777777777779</v>
      </c>
      <c r="AU37">
        <f>survey_responses[[#This Row],[Tôi tin tưởng số tiền thuế tôi đóng sẽ được Nhà nước sử dụng hiệu quả để cải thiện dịch vụ công (y tế, đường xá...). - HUMAN-TRU3]]</f>
        <v>10</v>
      </c>
      <c r="AV37">
        <f t="shared" si="17"/>
        <v>1</v>
      </c>
      <c r="AW37">
        <f>step3_validation[[#This Row],[AI_TRU4]]</f>
        <v>7</v>
      </c>
      <c r="AX37">
        <f t="shared" si="18"/>
        <v>0.66666666666666663</v>
      </c>
      <c r="AY37">
        <f>survey_responses[[#This Row],[Tôi thấy Nhà nước đã giải thích rõ ràng, minh bạch về lý do và mục tiêu của việc sửa đổi thuế lần này. - HUMAN-TRU4]]</f>
        <v>10</v>
      </c>
      <c r="AZ37">
        <f t="shared" si="19"/>
        <v>1</v>
      </c>
      <c r="BA37" s="32">
        <f t="shared" si="20"/>
        <v>0.80555555555555547</v>
      </c>
      <c r="BB37" s="32">
        <f t="shared" si="21"/>
        <v>0.97222222222222221</v>
      </c>
      <c r="BC37" s="7">
        <f t="shared" si="22"/>
        <v>0.78703703703703687</v>
      </c>
      <c r="BD37" s="7">
        <f t="shared" si="23"/>
        <v>0.93518518518518512</v>
      </c>
      <c r="BE37">
        <f>step3_validation[[#This Row],[AI_OUT1]]</f>
        <v>9</v>
      </c>
      <c r="BF37">
        <f t="shared" si="24"/>
        <v>0.88888888888888884</v>
      </c>
      <c r="BG37">
        <f>survey_responses[[#This Row],[Sau khi xem xét các quyền lợi và nghĩa vụ, bạn có ủng hộ và tuân thủ chính sách mới hiện nay? - HUMAN-OUT1]]</f>
        <v>10</v>
      </c>
      <c r="BH37">
        <f t="shared" si="25"/>
        <v>1</v>
      </c>
      <c r="BI37" s="32">
        <f t="shared" si="26"/>
        <v>1</v>
      </c>
    </row>
    <row r="38" spans="1:61" x14ac:dyDescent="0.45">
      <c r="A38" s="30">
        <f>step3_validation[[#This Row],[Persona_ID]]</f>
        <v>37</v>
      </c>
      <c r="B38" s="31">
        <f>step3_validation[[#This Row],[Used_Seed]]</f>
        <v>2027</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12.040027302028836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9</v>
      </c>
      <c r="R38">
        <f t="shared" si="0"/>
        <v>0.88888888888888884</v>
      </c>
      <c r="S38">
        <f>survey_responses[[#This Row],[Tôi tin rằng với các quy định quản lý thuế hiện nay, hành vi gian lận hoặc trốn thuế sẽ dễ dàng bị phát hiện và xử lý nghiêm. - HUMAN-ENF1]]</f>
        <v>10</v>
      </c>
      <c r="T38">
        <f t="shared" si="1"/>
        <v>1</v>
      </c>
      <c r="U38">
        <f>step3_validation[[#This Row],[AI_ENF2]]</f>
        <v>8</v>
      </c>
      <c r="V38">
        <f t="shared" si="2"/>
        <v>0.77777777777777779</v>
      </c>
      <c r="W38">
        <f>survey_responses[[#This Row],[Tôi tin rằng Nhà nước, cơ quan thuế có đủ khả năng và công nghệ để phát hiện, xử lý nghiêm các hành vi trốn thuế. - HUMAN-ENF2]]</f>
        <v>10</v>
      </c>
      <c r="X38">
        <f t="shared" si="3"/>
        <v>1</v>
      </c>
      <c r="Y38" s="32">
        <f t="shared" si="4"/>
        <v>0.83333333333333326</v>
      </c>
      <c r="Z38" s="32">
        <f t="shared" si="5"/>
        <v>1</v>
      </c>
      <c r="AA38">
        <f>step3_validation[[#This Row],[AI_FAC1]]</f>
        <v>9</v>
      </c>
      <c r="AB38">
        <f t="shared" si="6"/>
        <v>0.88888888888888884</v>
      </c>
      <c r="AC38">
        <f>survey_responses[[#This Row],[Các thủ tục khai báo thuế VÀ/HOẶC quy trình làm việc với cơ quan thuế đơn giản, tiện lợi, nhanh chóng hơn so với trước đây. - HUMAN-FAC1]]</f>
        <v>10</v>
      </c>
      <c r="AD38">
        <f t="shared" si="7"/>
        <v>1</v>
      </c>
      <c r="AE38">
        <f>step3_validation[[#This Row],[AI_FAC2]]</f>
        <v>8</v>
      </c>
      <c r="AF38">
        <f t="shared" si="8"/>
        <v>0.77777777777777779</v>
      </c>
      <c r="AG38">
        <f>survey_responses[[#This Row],[So với trước đây, tôi thấy cách tính thuế và các bậc thuế trong phương án mới đơn giản, dễ hiểu và dễ thực hiện hơn. - HUMAN-FAC2]]</f>
        <v>10</v>
      </c>
      <c r="AH38">
        <f t="shared" si="9"/>
        <v>1</v>
      </c>
      <c r="AI38" s="32">
        <f t="shared" si="10"/>
        <v>0.83333333333333326</v>
      </c>
      <c r="AJ38" s="32">
        <f t="shared" si="11"/>
        <v>1</v>
      </c>
      <c r="AK38">
        <f>step3_validation[[#This Row],[AI_TRU1]]</f>
        <v>9</v>
      </c>
      <c r="AL38">
        <f t="shared" si="12"/>
        <v>0.88888888888888884</v>
      </c>
      <c r="AM38">
        <f>survey_responses[[#This Row],[Tôi tin rằng Nhà nước, cơ quan thuế sẽ thực thi chính sách mới một cách khách quan, công tâm và đối xử bình đẳng với mọi người nộp thuế.  - HUMAN-TRU1]]</f>
        <v>9</v>
      </c>
      <c r="AN38">
        <f t="shared" si="13"/>
        <v>0.88888888888888884</v>
      </c>
      <c r="AO38">
        <f>step3_validation[[#This Row],[AI_TRU2]]</f>
        <v>8</v>
      </c>
      <c r="AP38">
        <f t="shared" si="14"/>
        <v>0.77777777777777779</v>
      </c>
      <c r="AQ38">
        <f>survey_responses[[#This Row],[Tôi thấy mức thuế tôi phải đóng theo phương án mới là công bằng (người thu nhập như tôi đóng mức này là hợp lý). - HUMAN-TRU2]]</f>
        <v>9</v>
      </c>
      <c r="AR38">
        <f t="shared" si="15"/>
        <v>0.88888888888888884</v>
      </c>
      <c r="AS38">
        <f>step3_validation[[#This Row],[AI_TRU3]]</f>
        <v>9</v>
      </c>
      <c r="AT38">
        <f t="shared" si="16"/>
        <v>0.88888888888888884</v>
      </c>
      <c r="AU38">
        <f>survey_responses[[#This Row],[Tôi tin tưởng số tiền thuế tôi đóng sẽ được Nhà nước sử dụng hiệu quả để cải thiện dịch vụ công (y tế, đường xá...). - HUMAN-TRU3]]</f>
        <v>9</v>
      </c>
      <c r="AV38">
        <f t="shared" si="17"/>
        <v>0.88888888888888884</v>
      </c>
      <c r="AW38">
        <f>step3_validation[[#This Row],[AI_TRU4]]</f>
        <v>8</v>
      </c>
      <c r="AX38">
        <f t="shared" si="18"/>
        <v>0.77777777777777779</v>
      </c>
      <c r="AY38">
        <f>survey_responses[[#This Row],[Tôi thấy Nhà nước đã giải thích rõ ràng, minh bạch về lý do và mục tiêu của việc sửa đổi thuế lần này. - HUMAN-TRU4]]</f>
        <v>9</v>
      </c>
      <c r="AZ38">
        <f t="shared" si="19"/>
        <v>0.88888888888888884</v>
      </c>
      <c r="BA38" s="32">
        <f t="shared" si="20"/>
        <v>0.83333333333333326</v>
      </c>
      <c r="BB38" s="32">
        <f t="shared" si="21"/>
        <v>0.88888888888888884</v>
      </c>
      <c r="BC38" s="7">
        <f t="shared" si="22"/>
        <v>0.83333333333333337</v>
      </c>
      <c r="BD38" s="7">
        <f t="shared" si="23"/>
        <v>0.96296296296296291</v>
      </c>
      <c r="BE38">
        <f>step3_validation[[#This Row],[AI_OUT1]]</f>
        <v>9</v>
      </c>
      <c r="BF38">
        <f t="shared" si="24"/>
        <v>0.88888888888888884</v>
      </c>
      <c r="BG38">
        <f>survey_responses[[#This Row],[Sau khi xem xét các quyền lợi và nghĩa vụ, bạn có ủng hộ và tuân thủ chính sách mới hiện nay? - HUMAN-OUT1]]</f>
        <v>8</v>
      </c>
      <c r="BH38">
        <f t="shared" si="25"/>
        <v>0.77777777777777779</v>
      </c>
      <c r="BI38" s="32">
        <f t="shared" si="26"/>
        <v>1</v>
      </c>
    </row>
    <row r="39" spans="1:61" x14ac:dyDescent="0.45">
      <c r="A39" s="30">
        <f>step3_validation[[#This Row],[Persona_ID]]</f>
        <v>38</v>
      </c>
      <c r="B39" s="31">
        <f>step3_validation[[#This Row],[Used_Seed]]</f>
        <v>2028</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37.801284728450995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8</v>
      </c>
      <c r="R39">
        <f t="shared" si="0"/>
        <v>0.77777777777777779</v>
      </c>
      <c r="S39">
        <f>survey_responses[[#This Row],[Tôi tin rằng với các quy định quản lý thuế hiện nay, hành vi gian lận hoặc trốn thuế sẽ dễ dàng bị phát hiện và xử lý nghiêm. - HUMAN-ENF1]]</f>
        <v>8</v>
      </c>
      <c r="T39">
        <f t="shared" si="1"/>
        <v>0.77777777777777779</v>
      </c>
      <c r="U39">
        <f>step3_validation[[#This Row],[AI_ENF2]]</f>
        <v>9</v>
      </c>
      <c r="V39">
        <f t="shared" si="2"/>
        <v>0.88888888888888884</v>
      </c>
      <c r="W39">
        <f>survey_responses[[#This Row],[Tôi tin rằng Nhà nước, cơ quan thuế có đủ khả năng và công nghệ để phát hiện, xử lý nghiêm các hành vi trốn thuế. - HUMAN-ENF2]]</f>
        <v>8</v>
      </c>
      <c r="X39">
        <f t="shared" si="3"/>
        <v>0.77777777777777779</v>
      </c>
      <c r="Y39" s="32">
        <f t="shared" si="4"/>
        <v>0.83333333333333326</v>
      </c>
      <c r="Z39" s="32">
        <f t="shared" si="5"/>
        <v>0.77777777777777779</v>
      </c>
      <c r="AA39">
        <f>step3_validation[[#This Row],[AI_FAC1]]</f>
        <v>8</v>
      </c>
      <c r="AB39">
        <f t="shared" si="6"/>
        <v>0.77777777777777779</v>
      </c>
      <c r="AC39">
        <f>survey_responses[[#This Row],[Các thủ tục khai báo thuế VÀ/HOẶC quy trình làm việc với cơ quan thuế đơn giản, tiện lợi, nhanh chóng hơn so với trước đây. - HUMAN-FAC1]]</f>
        <v>8</v>
      </c>
      <c r="AD39">
        <f t="shared" si="7"/>
        <v>0.77777777777777779</v>
      </c>
      <c r="AE39">
        <f>step3_validation[[#This Row],[AI_FAC2]]</f>
        <v>9</v>
      </c>
      <c r="AF39">
        <f t="shared" si="8"/>
        <v>0.88888888888888884</v>
      </c>
      <c r="AG39">
        <f>survey_responses[[#This Row],[So với trước đây, tôi thấy cách tính thuế và các bậc thuế trong phương án mới đơn giản, dễ hiểu và dễ thực hiện hơn. - HUMAN-FAC2]]</f>
        <v>8</v>
      </c>
      <c r="AH39">
        <f t="shared" si="9"/>
        <v>0.77777777777777779</v>
      </c>
      <c r="AI39" s="32">
        <f t="shared" si="10"/>
        <v>0.83333333333333326</v>
      </c>
      <c r="AJ39" s="32">
        <f t="shared" si="11"/>
        <v>0.77777777777777779</v>
      </c>
      <c r="AK39">
        <f>step3_validation[[#This Row],[AI_TRU1]]</f>
        <v>8</v>
      </c>
      <c r="AL39">
        <f t="shared" si="12"/>
        <v>0.77777777777777779</v>
      </c>
      <c r="AM39">
        <f>survey_responses[[#This Row],[Tôi tin rằng Nhà nước, cơ quan thuế sẽ thực thi chính sách mới một cách khách quan, công tâm và đối xử bình đẳng với mọi người nộp thuế.  - HUMAN-TRU1]]</f>
        <v>8</v>
      </c>
      <c r="AN39">
        <f t="shared" si="13"/>
        <v>0.77777777777777779</v>
      </c>
      <c r="AO39">
        <f>step3_validation[[#This Row],[AI_TRU2]]</f>
        <v>9</v>
      </c>
      <c r="AP39">
        <f t="shared" si="14"/>
        <v>0.88888888888888884</v>
      </c>
      <c r="AQ39">
        <f>survey_responses[[#This Row],[Tôi thấy mức thuế tôi phải đóng theo phương án mới là công bằng (người thu nhập như tôi đóng mức này là hợp lý). - HUMAN-TRU2]]</f>
        <v>8</v>
      </c>
      <c r="AR39">
        <f t="shared" si="15"/>
        <v>0.77777777777777779</v>
      </c>
      <c r="AS39">
        <f>step3_validation[[#This Row],[AI_TRU3]]</f>
        <v>8</v>
      </c>
      <c r="AT39">
        <f t="shared" si="16"/>
        <v>0.77777777777777779</v>
      </c>
      <c r="AU39">
        <f>survey_responses[[#This Row],[Tôi tin tưởng số tiền thuế tôi đóng sẽ được Nhà nước sử dụng hiệu quả để cải thiện dịch vụ công (y tế, đường xá...). - HUMAN-TRU3]]</f>
        <v>8</v>
      </c>
      <c r="AV39">
        <f t="shared" si="17"/>
        <v>0.77777777777777779</v>
      </c>
      <c r="AW39">
        <f>step3_validation[[#This Row],[AI_TRU4]]</f>
        <v>9</v>
      </c>
      <c r="AX39">
        <f t="shared" si="18"/>
        <v>0.88888888888888884</v>
      </c>
      <c r="AY39">
        <f>survey_responses[[#This Row],[Tôi thấy Nhà nước đã giải thích rõ ràng, minh bạch về lý do và mục tiêu của việc sửa đổi thuế lần này. - HUMAN-TRU4]]</f>
        <v>8</v>
      </c>
      <c r="AZ39">
        <f t="shared" si="19"/>
        <v>0.77777777777777779</v>
      </c>
      <c r="BA39" s="32">
        <f t="shared" si="20"/>
        <v>0.83333333333333326</v>
      </c>
      <c r="BB39" s="32">
        <f t="shared" si="21"/>
        <v>0.77777777777777779</v>
      </c>
      <c r="BC39" s="7">
        <f t="shared" si="22"/>
        <v>0.83333333333333337</v>
      </c>
      <c r="BD39" s="7">
        <f t="shared" si="23"/>
        <v>0.77777777777777779</v>
      </c>
      <c r="BE39">
        <f>step3_validation[[#This Row],[AI_OUT1]]</f>
        <v>8</v>
      </c>
      <c r="BF39">
        <f t="shared" si="24"/>
        <v>0.77777777777777779</v>
      </c>
      <c r="BG39">
        <f>survey_responses[[#This Row],[Sau khi xem xét các quyền lợi và nghĩa vụ, bạn có ủng hộ và tuân thủ chính sách mới hiện nay? - HUMAN-OUT1]]</f>
        <v>8</v>
      </c>
      <c r="BH39">
        <f t="shared" si="25"/>
        <v>0.77777777777777779</v>
      </c>
      <c r="BI39" s="32">
        <f t="shared" si="26"/>
        <v>0</v>
      </c>
    </row>
    <row r="40" spans="1:61" x14ac:dyDescent="0.45">
      <c r="A40" s="30">
        <f>step3_validation[[#This Row],[Persona_ID]]</f>
        <v>39</v>
      </c>
      <c r="B40" s="31">
        <f>step3_validation[[#This Row],[Used_Seed]]</f>
        <v>2029</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15.995588382567147</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f t="shared" si="0"/>
        <v>0.66666666666666663</v>
      </c>
      <c r="S40">
        <f>survey_responses[[#This Row],[Tôi tin rằng với các quy định quản lý thuế hiện nay, hành vi gian lận hoặc trốn thuế sẽ dễ dàng bị phát hiện và xử lý nghiêm. - HUMAN-ENF1]]</f>
        <v>10</v>
      </c>
      <c r="T40">
        <f t="shared" si="1"/>
        <v>1</v>
      </c>
      <c r="U40">
        <f>step3_validation[[#This Row],[AI_ENF2]]</f>
        <v>9</v>
      </c>
      <c r="V40">
        <f t="shared" si="2"/>
        <v>0.88888888888888884</v>
      </c>
      <c r="W40">
        <f>survey_responses[[#This Row],[Tôi tin rằng Nhà nước, cơ quan thuế có đủ khả năng và công nghệ để phát hiện, xử lý nghiêm các hành vi trốn thuế. - HUMAN-ENF2]]</f>
        <v>10</v>
      </c>
      <c r="X40">
        <f t="shared" si="3"/>
        <v>1</v>
      </c>
      <c r="Y40" s="32">
        <f t="shared" si="4"/>
        <v>0.77777777777777768</v>
      </c>
      <c r="Z40" s="32">
        <f t="shared" si="5"/>
        <v>1</v>
      </c>
      <c r="AA40">
        <f>step3_validation[[#This Row],[AI_FAC1]]</f>
        <v>8</v>
      </c>
      <c r="AB40">
        <f t="shared" si="6"/>
        <v>0.77777777777777779</v>
      </c>
      <c r="AC40">
        <f>survey_responses[[#This Row],[Các thủ tục khai báo thuế VÀ/HOẶC quy trình làm việc với cơ quan thuế đơn giản, tiện lợi, nhanh chóng hơn so với trước đây. - HUMAN-FAC1]]</f>
        <v>10</v>
      </c>
      <c r="AD40">
        <f t="shared" si="7"/>
        <v>1</v>
      </c>
      <c r="AE40">
        <f>step3_validation[[#This Row],[AI_FAC2]]</f>
        <v>9</v>
      </c>
      <c r="AF40">
        <f t="shared" si="8"/>
        <v>0.88888888888888884</v>
      </c>
      <c r="AG40">
        <f>survey_responses[[#This Row],[So với trước đây, tôi thấy cách tính thuế và các bậc thuế trong phương án mới đơn giản, dễ hiểu và dễ thực hiện hơn. - HUMAN-FAC2]]</f>
        <v>10</v>
      </c>
      <c r="AH40">
        <f t="shared" si="9"/>
        <v>1</v>
      </c>
      <c r="AI40" s="32">
        <f t="shared" si="10"/>
        <v>0.83333333333333326</v>
      </c>
      <c r="AJ40" s="32">
        <f t="shared" si="11"/>
        <v>1</v>
      </c>
      <c r="AK40">
        <f>step3_validation[[#This Row],[AI_TRU1]]</f>
        <v>8</v>
      </c>
      <c r="AL40">
        <f t="shared" si="12"/>
        <v>0.77777777777777779</v>
      </c>
      <c r="AM40">
        <f>survey_responses[[#This Row],[Tôi tin rằng Nhà nước, cơ quan thuế sẽ thực thi chính sách mới một cách khách quan, công tâm và đối xử bình đẳng với mọi người nộp thuế.  - HUMAN-TRU1]]</f>
        <v>10</v>
      </c>
      <c r="AN40">
        <f t="shared" si="13"/>
        <v>1</v>
      </c>
      <c r="AO40">
        <f>step3_validation[[#This Row],[AI_TRU2]]</f>
        <v>9</v>
      </c>
      <c r="AP40">
        <f t="shared" si="14"/>
        <v>0.88888888888888884</v>
      </c>
      <c r="AQ40">
        <f>survey_responses[[#This Row],[Tôi thấy mức thuế tôi phải đóng theo phương án mới là công bằng (người thu nhập như tôi đóng mức này là hợp lý). - HUMAN-TRU2]]</f>
        <v>10</v>
      </c>
      <c r="AR40">
        <f t="shared" si="15"/>
        <v>1</v>
      </c>
      <c r="AS40">
        <f>step3_validation[[#This Row],[AI_TRU3]]</f>
        <v>8</v>
      </c>
      <c r="AT40">
        <f t="shared" si="16"/>
        <v>0.77777777777777779</v>
      </c>
      <c r="AU40">
        <f>survey_responses[[#This Row],[Tôi tin tưởng số tiền thuế tôi đóng sẽ được Nhà nước sử dụng hiệu quả để cải thiện dịch vụ công (y tế, đường xá...). - HUMAN-TRU3]]</f>
        <v>10</v>
      </c>
      <c r="AV40">
        <f t="shared" si="17"/>
        <v>1</v>
      </c>
      <c r="AW40">
        <f>step3_validation[[#This Row],[AI_TRU4]]</f>
        <v>9</v>
      </c>
      <c r="AX40">
        <f t="shared" si="18"/>
        <v>0.88888888888888884</v>
      </c>
      <c r="AY40">
        <f>survey_responses[[#This Row],[Tôi thấy Nhà nước đã giải thích rõ ràng, minh bạch về lý do và mục tiêu của việc sửa đổi thuế lần này. - HUMAN-TRU4]]</f>
        <v>10</v>
      </c>
      <c r="AZ40">
        <f t="shared" si="19"/>
        <v>1</v>
      </c>
      <c r="BA40" s="32">
        <f t="shared" si="20"/>
        <v>0.83333333333333326</v>
      </c>
      <c r="BB40" s="32">
        <f t="shared" si="21"/>
        <v>1</v>
      </c>
      <c r="BC40" s="7">
        <f t="shared" si="22"/>
        <v>0.81481481481481477</v>
      </c>
      <c r="BD40" s="7">
        <f t="shared" si="23"/>
        <v>1</v>
      </c>
      <c r="BE40">
        <f>step3_validation[[#This Row],[AI_OUT1]]</f>
        <v>9</v>
      </c>
      <c r="BF40">
        <f t="shared" si="24"/>
        <v>0.88888888888888884</v>
      </c>
      <c r="BG40">
        <f>survey_responses[[#This Row],[Sau khi xem xét các quyền lợi và nghĩa vụ, bạn có ủng hộ và tuân thủ chính sách mới hiện nay? - HUMAN-OUT1]]</f>
        <v>10</v>
      </c>
      <c r="BH40">
        <f t="shared" si="25"/>
        <v>1</v>
      </c>
      <c r="BI40" s="32">
        <f t="shared" si="26"/>
        <v>1</v>
      </c>
    </row>
    <row r="41" spans="1:61" x14ac:dyDescent="0.45">
      <c r="A41" s="30">
        <f>step3_validation[[#This Row],[Persona_ID]]</f>
        <v>40</v>
      </c>
      <c r="B41" s="31">
        <f>step3_validation[[#This Row],[Used_Seed]]</f>
        <v>2030</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160.65358296339355</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7</v>
      </c>
      <c r="R41">
        <f t="shared" si="0"/>
        <v>0.66666666666666663</v>
      </c>
      <c r="S41">
        <f>survey_responses[[#This Row],[Tôi tin rằng với các quy định quản lý thuế hiện nay, hành vi gian lận hoặc trốn thuế sẽ dễ dàng bị phát hiện và xử lý nghiêm. - HUMAN-ENF1]]</f>
        <v>8</v>
      </c>
      <c r="T41">
        <f t="shared" si="1"/>
        <v>0.77777777777777779</v>
      </c>
      <c r="U41">
        <f>step3_validation[[#This Row],[AI_ENF2]]</f>
        <v>6</v>
      </c>
      <c r="V41">
        <f t="shared" si="2"/>
        <v>0.55555555555555558</v>
      </c>
      <c r="W41">
        <f>survey_responses[[#This Row],[Tôi tin rằng Nhà nước, cơ quan thuế có đủ khả năng và công nghệ để phát hiện, xử lý nghiêm các hành vi trốn thuế. - HUMAN-ENF2]]</f>
        <v>8</v>
      </c>
      <c r="X41">
        <f t="shared" si="3"/>
        <v>0.77777777777777779</v>
      </c>
      <c r="Y41" s="32">
        <f t="shared" si="4"/>
        <v>0.61111111111111116</v>
      </c>
      <c r="Z41" s="32">
        <f t="shared" si="5"/>
        <v>0.77777777777777779</v>
      </c>
      <c r="AA41">
        <f>step3_validation[[#This Row],[AI_FAC1]]</f>
        <v>9</v>
      </c>
      <c r="AB41">
        <f t="shared" si="6"/>
        <v>0.88888888888888884</v>
      </c>
      <c r="AC41">
        <f>survey_responses[[#This Row],[Các thủ tục khai báo thuế VÀ/HOẶC quy trình làm việc với cơ quan thuế đơn giản, tiện lợi, nhanh chóng hơn so với trước đây. - HUMAN-FAC1]]</f>
        <v>6</v>
      </c>
      <c r="AD41">
        <f t="shared" si="7"/>
        <v>0.55555555555555558</v>
      </c>
      <c r="AE41">
        <f>step3_validation[[#This Row],[AI_FAC2]]</f>
        <v>8</v>
      </c>
      <c r="AF41">
        <f t="shared" si="8"/>
        <v>0.77777777777777779</v>
      </c>
      <c r="AG41">
        <f>survey_responses[[#This Row],[So với trước đây, tôi thấy cách tính thuế và các bậc thuế trong phương án mới đơn giản, dễ hiểu và dễ thực hiện hơn. - HUMAN-FAC2]]</f>
        <v>8</v>
      </c>
      <c r="AH41">
        <f t="shared" si="9"/>
        <v>0.77777777777777779</v>
      </c>
      <c r="AI41" s="32">
        <f t="shared" si="10"/>
        <v>0.83333333333333326</v>
      </c>
      <c r="AJ41" s="32">
        <f t="shared" si="11"/>
        <v>0.66666666666666674</v>
      </c>
      <c r="AK41">
        <f>step3_validation[[#This Row],[AI_TRU1]]</f>
        <v>9</v>
      </c>
      <c r="AL41">
        <f t="shared" si="12"/>
        <v>0.88888888888888884</v>
      </c>
      <c r="AM41">
        <f>survey_responses[[#This Row],[Tôi tin rằng Nhà nước, cơ quan thuế sẽ thực thi chính sách mới một cách khách quan, công tâm và đối xử bình đẳng với mọi người nộp thuế.  - HUMAN-TRU1]]</f>
        <v>7</v>
      </c>
      <c r="AN41">
        <f t="shared" si="13"/>
        <v>0.66666666666666663</v>
      </c>
      <c r="AO41">
        <f>step3_validation[[#This Row],[AI_TRU2]]</f>
        <v>8</v>
      </c>
      <c r="AP41">
        <f t="shared" si="14"/>
        <v>0.77777777777777779</v>
      </c>
      <c r="AQ41">
        <f>survey_responses[[#This Row],[Tôi thấy mức thuế tôi phải đóng theo phương án mới là công bằng (người thu nhập như tôi đóng mức này là hợp lý). - HUMAN-TRU2]]</f>
        <v>8</v>
      </c>
      <c r="AR41">
        <f t="shared" si="15"/>
        <v>0.77777777777777779</v>
      </c>
      <c r="AS41">
        <f>step3_validation[[#This Row],[AI_TRU3]]</f>
        <v>9</v>
      </c>
      <c r="AT41">
        <f t="shared" si="16"/>
        <v>0.88888888888888884</v>
      </c>
      <c r="AU41">
        <f>survey_responses[[#This Row],[Tôi tin tưởng số tiền thuế tôi đóng sẽ được Nhà nước sử dụng hiệu quả để cải thiện dịch vụ công (y tế, đường xá...). - HUMAN-TRU3]]</f>
        <v>5</v>
      </c>
      <c r="AV41">
        <f t="shared" si="17"/>
        <v>0.44444444444444442</v>
      </c>
      <c r="AW41">
        <f>step3_validation[[#This Row],[AI_TRU4]]</f>
        <v>7</v>
      </c>
      <c r="AX41">
        <f t="shared" si="18"/>
        <v>0.66666666666666663</v>
      </c>
      <c r="AY41">
        <f>survey_responses[[#This Row],[Tôi thấy Nhà nước đã giải thích rõ ràng, minh bạch về lý do và mục tiêu của việc sửa đổi thuế lần này. - HUMAN-TRU4]]</f>
        <v>6</v>
      </c>
      <c r="AZ41">
        <f t="shared" si="19"/>
        <v>0.55555555555555558</v>
      </c>
      <c r="BA41" s="32">
        <f t="shared" si="20"/>
        <v>0.80555555555555547</v>
      </c>
      <c r="BB41" s="32">
        <f t="shared" si="21"/>
        <v>0.61111111111111116</v>
      </c>
      <c r="BC41" s="7">
        <f t="shared" si="22"/>
        <v>0.75</v>
      </c>
      <c r="BD41" s="7">
        <f t="shared" si="23"/>
        <v>0.68518518518518523</v>
      </c>
      <c r="BE41">
        <f>step3_validation[[#This Row],[AI_OUT1]]</f>
        <v>9</v>
      </c>
      <c r="BF41">
        <f t="shared" si="24"/>
        <v>0.88888888888888884</v>
      </c>
      <c r="BG41">
        <f>survey_responses[[#This Row],[Sau khi xem xét các quyền lợi và nghĩa vụ, bạn có ủng hộ và tuân thủ chính sách mới hiện nay? - HUMAN-OUT1]]</f>
        <v>7</v>
      </c>
      <c r="BH41">
        <f t="shared" si="25"/>
        <v>0.66666666666666663</v>
      </c>
      <c r="BI41" s="32">
        <f t="shared" si="26"/>
        <v>2</v>
      </c>
    </row>
    <row r="42" spans="1:61" x14ac:dyDescent="0.45">
      <c r="A42" s="30">
        <f>step3_validation[[#This Row],[Persona_ID]]</f>
        <v>41</v>
      </c>
      <c r="B42" s="31">
        <f>step3_validation[[#This Row],[Used_Seed]]</f>
        <v>2031</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81.953873229830037</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f t="shared" si="0"/>
        <v>0.77777777777777779</v>
      </c>
      <c r="S42">
        <f>survey_responses[[#This Row],[Tôi tin rằng với các quy định quản lý thuế hiện nay, hành vi gian lận hoặc trốn thuế sẽ dễ dàng bị phát hiện và xử lý nghiêm. - HUMAN-ENF1]]</f>
        <v>9</v>
      </c>
      <c r="T42">
        <f t="shared" si="1"/>
        <v>0.88888888888888884</v>
      </c>
      <c r="U42">
        <f>step3_validation[[#This Row],[AI_ENF2]]</f>
        <v>7</v>
      </c>
      <c r="V42">
        <f t="shared" si="2"/>
        <v>0.66666666666666663</v>
      </c>
      <c r="W42">
        <f>survey_responses[[#This Row],[Tôi tin rằng Nhà nước, cơ quan thuế có đủ khả năng và công nghệ để phát hiện, xử lý nghiêm các hành vi trốn thuế. - HUMAN-ENF2]]</f>
        <v>8</v>
      </c>
      <c r="X42">
        <f t="shared" si="3"/>
        <v>0.77777777777777779</v>
      </c>
      <c r="Y42" s="32">
        <f t="shared" si="4"/>
        <v>0.72222222222222221</v>
      </c>
      <c r="Z42" s="32">
        <f t="shared" si="5"/>
        <v>0.83333333333333326</v>
      </c>
      <c r="AA42">
        <f>step3_validation[[#This Row],[AI_FAC1]]</f>
        <v>9</v>
      </c>
      <c r="AB42">
        <f t="shared" si="6"/>
        <v>0.88888888888888884</v>
      </c>
      <c r="AC42">
        <f>survey_responses[[#This Row],[Các thủ tục khai báo thuế VÀ/HOẶC quy trình làm việc với cơ quan thuế đơn giản, tiện lợi, nhanh chóng hơn so với trước đây. - HUMAN-FAC1]]</f>
        <v>7</v>
      </c>
      <c r="AD42">
        <f t="shared" si="7"/>
        <v>0.66666666666666663</v>
      </c>
      <c r="AE42">
        <f>step3_validation[[#This Row],[AI_FAC2]]</f>
        <v>8</v>
      </c>
      <c r="AF42">
        <f t="shared" si="8"/>
        <v>0.77777777777777779</v>
      </c>
      <c r="AG42">
        <f>survey_responses[[#This Row],[So với trước đây, tôi thấy cách tính thuế và các bậc thuế trong phương án mới đơn giản, dễ hiểu và dễ thực hiện hơn. - HUMAN-FAC2]]</f>
        <v>8</v>
      </c>
      <c r="AH42">
        <f t="shared" si="9"/>
        <v>0.77777777777777779</v>
      </c>
      <c r="AI42" s="32">
        <f t="shared" si="10"/>
        <v>0.83333333333333326</v>
      </c>
      <c r="AJ42" s="32">
        <f t="shared" si="11"/>
        <v>0.72222222222222221</v>
      </c>
      <c r="AK42">
        <f>step3_validation[[#This Row],[AI_TRU1]]</f>
        <v>9</v>
      </c>
      <c r="AL42">
        <f t="shared" si="12"/>
        <v>0.88888888888888884</v>
      </c>
      <c r="AM42">
        <f>survey_responses[[#This Row],[Tôi tin rằng Nhà nước, cơ quan thuế sẽ thực thi chính sách mới một cách khách quan, công tâm và đối xử bình đẳng với mọi người nộp thuế.  - HUMAN-TRU1]]</f>
        <v>7</v>
      </c>
      <c r="AN42">
        <f t="shared" si="13"/>
        <v>0.66666666666666663</v>
      </c>
      <c r="AO42">
        <f>step3_validation[[#This Row],[AI_TRU2]]</f>
        <v>8</v>
      </c>
      <c r="AP42">
        <f t="shared" si="14"/>
        <v>0.77777777777777779</v>
      </c>
      <c r="AQ42">
        <f>survey_responses[[#This Row],[Tôi thấy mức thuế tôi phải đóng theo phương án mới là công bằng (người thu nhập như tôi đóng mức này là hợp lý). - HUMAN-TRU2]]</f>
        <v>4</v>
      </c>
      <c r="AR42">
        <f t="shared" si="15"/>
        <v>0.33333333333333331</v>
      </c>
      <c r="AS42">
        <f>step3_validation[[#This Row],[AI_TRU3]]</f>
        <v>9</v>
      </c>
      <c r="AT42">
        <f t="shared" si="16"/>
        <v>0.88888888888888884</v>
      </c>
      <c r="AU42">
        <f>survey_responses[[#This Row],[Tôi tin tưởng số tiền thuế tôi đóng sẽ được Nhà nước sử dụng hiệu quả để cải thiện dịch vụ công (y tế, đường xá...). - HUMAN-TRU3]]</f>
        <v>2</v>
      </c>
      <c r="AV42">
        <f t="shared" si="17"/>
        <v>0.1111111111111111</v>
      </c>
      <c r="AW42">
        <f>step3_validation[[#This Row],[AI_TRU4]]</f>
        <v>8</v>
      </c>
      <c r="AX42">
        <f t="shared" si="18"/>
        <v>0.77777777777777779</v>
      </c>
      <c r="AY42">
        <f>survey_responses[[#This Row],[Tôi thấy Nhà nước đã giải thích rõ ràng, minh bạch về lý do và mục tiêu của việc sửa đổi thuế lần này. - HUMAN-TRU4]]</f>
        <v>8</v>
      </c>
      <c r="AZ42">
        <f t="shared" si="19"/>
        <v>0.77777777777777779</v>
      </c>
      <c r="BA42" s="32">
        <f t="shared" si="20"/>
        <v>0.83333333333333326</v>
      </c>
      <c r="BB42" s="32">
        <f t="shared" si="21"/>
        <v>0.47222222222222221</v>
      </c>
      <c r="BC42" s="7">
        <f t="shared" si="22"/>
        <v>0.79629629629629617</v>
      </c>
      <c r="BD42" s="7">
        <f t="shared" si="23"/>
        <v>0.67592592592592593</v>
      </c>
      <c r="BE42">
        <f>step3_validation[[#This Row],[AI_OUT1]]</f>
        <v>10</v>
      </c>
      <c r="BF42">
        <f t="shared" si="24"/>
        <v>1</v>
      </c>
      <c r="BG42">
        <f>survey_responses[[#This Row],[Sau khi xem xét các quyền lợi và nghĩa vụ, bạn có ủng hộ và tuân thủ chính sách mới hiện nay? - HUMAN-OUT1]]</f>
        <v>8</v>
      </c>
      <c r="BH42">
        <f t="shared" si="25"/>
        <v>0.77777777777777779</v>
      </c>
      <c r="BI42" s="32">
        <f t="shared" si="26"/>
        <v>2</v>
      </c>
    </row>
    <row r="43" spans="1:61" x14ac:dyDescent="0.45">
      <c r="A43" s="30">
        <f>step3_validation[[#This Row],[Persona_ID]]</f>
        <v>42</v>
      </c>
      <c r="B43" s="31">
        <f>step3_validation[[#This Row],[Used_Seed]]</f>
        <v>2032</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39.751023783513553</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f t="shared" si="0"/>
        <v>0.66666666666666663</v>
      </c>
      <c r="S43">
        <f>survey_responses[[#This Row],[Tôi tin rằng với các quy định quản lý thuế hiện nay, hành vi gian lận hoặc trốn thuế sẽ dễ dàng bị phát hiện và xử lý nghiêm. - HUMAN-ENF1]]</f>
        <v>10</v>
      </c>
      <c r="T43">
        <f t="shared" si="1"/>
        <v>1</v>
      </c>
      <c r="U43">
        <f>step3_validation[[#This Row],[AI_ENF2]]</f>
        <v>6</v>
      </c>
      <c r="V43">
        <f t="shared" si="2"/>
        <v>0.55555555555555558</v>
      </c>
      <c r="W43">
        <f>survey_responses[[#This Row],[Tôi tin rằng Nhà nước, cơ quan thuế có đủ khả năng và công nghệ để phát hiện, xử lý nghiêm các hành vi trốn thuế. - HUMAN-ENF2]]</f>
        <v>10</v>
      </c>
      <c r="X43">
        <f t="shared" si="3"/>
        <v>1</v>
      </c>
      <c r="Y43" s="32">
        <f t="shared" si="4"/>
        <v>0.61111111111111116</v>
      </c>
      <c r="Z43" s="32">
        <f t="shared" si="5"/>
        <v>1</v>
      </c>
      <c r="AA43">
        <f>step3_validation[[#This Row],[AI_FAC1]]</f>
        <v>8</v>
      </c>
      <c r="AB43">
        <f t="shared" si="6"/>
        <v>0.77777777777777779</v>
      </c>
      <c r="AC43">
        <f>survey_responses[[#This Row],[Các thủ tục khai báo thuế VÀ/HOẶC quy trình làm việc với cơ quan thuế đơn giản, tiện lợi, nhanh chóng hơn so với trước đây. - HUMAN-FAC1]]</f>
        <v>9</v>
      </c>
      <c r="AD43">
        <f t="shared" si="7"/>
        <v>0.88888888888888884</v>
      </c>
      <c r="AE43">
        <f>step3_validation[[#This Row],[AI_FAC2]]</f>
        <v>9</v>
      </c>
      <c r="AF43">
        <f t="shared" si="8"/>
        <v>0.88888888888888884</v>
      </c>
      <c r="AG43">
        <f>survey_responses[[#This Row],[So với trước đây, tôi thấy cách tính thuế và các bậc thuế trong phương án mới đơn giản, dễ hiểu và dễ thực hiện hơn. - HUMAN-FAC2]]</f>
        <v>8</v>
      </c>
      <c r="AH43">
        <f t="shared" si="9"/>
        <v>0.77777777777777779</v>
      </c>
      <c r="AI43" s="32">
        <f t="shared" si="10"/>
        <v>0.83333333333333326</v>
      </c>
      <c r="AJ43" s="32">
        <f t="shared" si="11"/>
        <v>0.83333333333333326</v>
      </c>
      <c r="AK43">
        <f>step3_validation[[#This Row],[AI_TRU1]]</f>
        <v>7</v>
      </c>
      <c r="AL43">
        <f t="shared" si="12"/>
        <v>0.66666666666666663</v>
      </c>
      <c r="AM43">
        <f>survey_responses[[#This Row],[Tôi tin rằng Nhà nước, cơ quan thuế sẽ thực thi chính sách mới một cách khách quan, công tâm và đối xử bình đẳng với mọi người nộp thuế.  - HUMAN-TRU1]]</f>
        <v>7</v>
      </c>
      <c r="AN43">
        <f t="shared" si="13"/>
        <v>0.66666666666666663</v>
      </c>
      <c r="AO43">
        <f>step3_validation[[#This Row],[AI_TRU2]]</f>
        <v>8</v>
      </c>
      <c r="AP43">
        <f t="shared" si="14"/>
        <v>0.77777777777777779</v>
      </c>
      <c r="AQ43">
        <f>survey_responses[[#This Row],[Tôi thấy mức thuế tôi phải đóng theo phương án mới là công bằng (người thu nhập như tôi đóng mức này là hợp lý). - HUMAN-TRU2]]</f>
        <v>9</v>
      </c>
      <c r="AR43">
        <f t="shared" si="15"/>
        <v>0.88888888888888884</v>
      </c>
      <c r="AS43">
        <f>step3_validation[[#This Row],[AI_TRU3]]</f>
        <v>7</v>
      </c>
      <c r="AT43">
        <f t="shared" si="16"/>
        <v>0.66666666666666663</v>
      </c>
      <c r="AU43">
        <f>survey_responses[[#This Row],[Tôi tin tưởng số tiền thuế tôi đóng sẽ được Nhà nước sử dụng hiệu quả để cải thiện dịch vụ công (y tế, đường xá...). - HUMAN-TRU3]]</f>
        <v>9</v>
      </c>
      <c r="AV43">
        <f t="shared" si="17"/>
        <v>0.88888888888888884</v>
      </c>
      <c r="AW43">
        <f>step3_validation[[#This Row],[AI_TRU4]]</f>
        <v>6</v>
      </c>
      <c r="AX43">
        <f t="shared" si="18"/>
        <v>0.55555555555555558</v>
      </c>
      <c r="AY43">
        <f>survey_responses[[#This Row],[Tôi thấy Nhà nước đã giải thích rõ ràng, minh bạch về lý do và mục tiêu của việc sửa đổi thuế lần này. - HUMAN-TRU4]]</f>
        <v>8</v>
      </c>
      <c r="AZ43">
        <f t="shared" si="19"/>
        <v>0.77777777777777779</v>
      </c>
      <c r="BA43" s="32">
        <f t="shared" si="20"/>
        <v>0.66666666666666674</v>
      </c>
      <c r="BB43" s="32">
        <f t="shared" si="21"/>
        <v>0.80555555555555547</v>
      </c>
      <c r="BC43" s="7">
        <f t="shared" si="22"/>
        <v>0.70370370370370372</v>
      </c>
      <c r="BD43" s="7">
        <f t="shared" si="23"/>
        <v>0.87962962962962965</v>
      </c>
      <c r="BE43">
        <f>step3_validation[[#This Row],[AI_OUT1]]</f>
        <v>9</v>
      </c>
      <c r="BF43">
        <f t="shared" si="24"/>
        <v>0.88888888888888884</v>
      </c>
      <c r="BG43">
        <f>survey_responses[[#This Row],[Sau khi xem xét các quyền lợi và nghĩa vụ, bạn có ủng hộ và tuân thủ chính sách mới hiện nay? - HUMAN-OUT1]]</f>
        <v>8</v>
      </c>
      <c r="BH43">
        <f t="shared" si="25"/>
        <v>0.77777777777777779</v>
      </c>
      <c r="BI43" s="32">
        <f t="shared" si="26"/>
        <v>1</v>
      </c>
    </row>
    <row r="44" spans="1:61" x14ac:dyDescent="0.45">
      <c r="A44" s="30">
        <f>step3_validation[[#This Row],[Persona_ID]]</f>
        <v>43</v>
      </c>
      <c r="B44" s="31">
        <f>step3_validation[[#This Row],[Used_Seed]]</f>
        <v>2033</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114.70969684184294</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f t="shared" si="0"/>
        <v>0.55555555555555558</v>
      </c>
      <c r="S44">
        <f>survey_responses[[#This Row],[Tôi tin rằng với các quy định quản lý thuế hiện nay, hành vi gian lận hoặc trốn thuế sẽ dễ dàng bị phát hiện và xử lý nghiêm. - HUMAN-ENF1]]</f>
        <v>6</v>
      </c>
      <c r="T44">
        <f t="shared" si="1"/>
        <v>0.55555555555555558</v>
      </c>
      <c r="U44">
        <f>step3_validation[[#This Row],[AI_ENF2]]</f>
        <v>6</v>
      </c>
      <c r="V44">
        <f t="shared" si="2"/>
        <v>0.55555555555555558</v>
      </c>
      <c r="W44">
        <f>survey_responses[[#This Row],[Tôi tin rằng Nhà nước, cơ quan thuế có đủ khả năng và công nghệ để phát hiện, xử lý nghiêm các hành vi trốn thuế. - HUMAN-ENF2]]</f>
        <v>6</v>
      </c>
      <c r="X44">
        <f t="shared" si="3"/>
        <v>0.55555555555555558</v>
      </c>
      <c r="Y44" s="32">
        <f t="shared" si="4"/>
        <v>0.55555555555555558</v>
      </c>
      <c r="Z44" s="32">
        <f t="shared" si="5"/>
        <v>0.55555555555555558</v>
      </c>
      <c r="AA44">
        <f>step3_validation[[#This Row],[AI_FAC1]]</f>
        <v>8</v>
      </c>
      <c r="AB44">
        <f t="shared" si="6"/>
        <v>0.77777777777777779</v>
      </c>
      <c r="AC44">
        <f>survey_responses[[#This Row],[Các thủ tục khai báo thuế VÀ/HOẶC quy trình làm việc với cơ quan thuế đơn giản, tiện lợi, nhanh chóng hơn so với trước đây. - HUMAN-FAC1]]</f>
        <v>8</v>
      </c>
      <c r="AD44">
        <f t="shared" si="7"/>
        <v>0.77777777777777779</v>
      </c>
      <c r="AE44">
        <f>step3_validation[[#This Row],[AI_FAC2]]</f>
        <v>7</v>
      </c>
      <c r="AF44">
        <f t="shared" si="8"/>
        <v>0.66666666666666663</v>
      </c>
      <c r="AG44">
        <f>survey_responses[[#This Row],[So với trước đây, tôi thấy cách tính thuế và các bậc thuế trong phương án mới đơn giản, dễ hiểu và dễ thực hiện hơn. - HUMAN-FAC2]]</f>
        <v>10</v>
      </c>
      <c r="AH44">
        <f t="shared" si="9"/>
        <v>1</v>
      </c>
      <c r="AI44" s="32">
        <f t="shared" si="10"/>
        <v>0.72222222222222221</v>
      </c>
      <c r="AJ44" s="32">
        <f t="shared" si="11"/>
        <v>0.88888888888888884</v>
      </c>
      <c r="AK44">
        <f>step3_validation[[#This Row],[AI_TRU1]]</f>
        <v>9</v>
      </c>
      <c r="AL44">
        <f t="shared" si="12"/>
        <v>0.88888888888888884</v>
      </c>
      <c r="AM44">
        <f>survey_responses[[#This Row],[Tôi tin rằng Nhà nước, cơ quan thuế sẽ thực thi chính sách mới một cách khách quan, công tâm và đối xử bình đẳng với mọi người nộp thuế.  - HUMAN-TRU1]]</f>
        <v>9</v>
      </c>
      <c r="AN44">
        <f t="shared" si="13"/>
        <v>0.88888888888888884</v>
      </c>
      <c r="AO44">
        <f>step3_validation[[#This Row],[AI_TRU2]]</f>
        <v>9</v>
      </c>
      <c r="AP44">
        <f t="shared" si="14"/>
        <v>0.88888888888888884</v>
      </c>
      <c r="AQ44">
        <f>survey_responses[[#This Row],[Tôi thấy mức thuế tôi phải đóng theo phương án mới là công bằng (người thu nhập như tôi đóng mức này là hợp lý). - HUMAN-TRU2]]</f>
        <v>1</v>
      </c>
      <c r="AR44">
        <f t="shared" si="15"/>
        <v>0</v>
      </c>
      <c r="AS44">
        <f>step3_validation[[#This Row],[AI_TRU3]]</f>
        <v>8</v>
      </c>
      <c r="AT44">
        <f t="shared" si="16"/>
        <v>0.77777777777777779</v>
      </c>
      <c r="AU44">
        <f>survey_responses[[#This Row],[Tôi tin tưởng số tiền thuế tôi đóng sẽ được Nhà nước sử dụng hiệu quả để cải thiện dịch vụ công (y tế, đường xá...). - HUMAN-TRU3]]</f>
        <v>7</v>
      </c>
      <c r="AV44">
        <f t="shared" si="17"/>
        <v>0.66666666666666663</v>
      </c>
      <c r="AW44">
        <f>step3_validation[[#This Row],[AI_TRU4]]</f>
        <v>7</v>
      </c>
      <c r="AX44">
        <f t="shared" si="18"/>
        <v>0.66666666666666663</v>
      </c>
      <c r="AY44">
        <f>survey_responses[[#This Row],[Tôi thấy Nhà nước đã giải thích rõ ràng, minh bạch về lý do và mục tiêu của việc sửa đổi thuế lần này. - HUMAN-TRU4]]</f>
        <v>7</v>
      </c>
      <c r="AZ44">
        <f t="shared" si="19"/>
        <v>0.66666666666666663</v>
      </c>
      <c r="BA44" s="32">
        <f t="shared" si="20"/>
        <v>0.80555555555555547</v>
      </c>
      <c r="BB44" s="32">
        <f t="shared" si="21"/>
        <v>0.55555555555555547</v>
      </c>
      <c r="BC44" s="7">
        <f t="shared" si="22"/>
        <v>0.69444444444444431</v>
      </c>
      <c r="BD44" s="7">
        <f t="shared" si="23"/>
        <v>0.66666666666666663</v>
      </c>
      <c r="BE44">
        <f>step3_validation[[#This Row],[AI_OUT1]]</f>
        <v>9</v>
      </c>
      <c r="BF44">
        <f t="shared" si="24"/>
        <v>0.88888888888888884</v>
      </c>
      <c r="BG44">
        <f>survey_responses[[#This Row],[Sau khi xem xét các quyền lợi và nghĩa vụ, bạn có ủng hộ và tuân thủ chính sách mới hiện nay? - HUMAN-OUT1]]</f>
        <v>8</v>
      </c>
      <c r="BH44">
        <f t="shared" si="25"/>
        <v>0.77777777777777779</v>
      </c>
      <c r="BI44" s="32">
        <f t="shared" si="26"/>
        <v>1</v>
      </c>
    </row>
    <row r="45" spans="1:61" x14ac:dyDescent="0.45">
      <c r="A45" s="30">
        <f>step3_validation[[#This Row],[Persona_ID]]</f>
        <v>44</v>
      </c>
      <c r="B45" s="31">
        <f>step3_validation[[#This Row],[Used_Seed]]</f>
        <v>2034</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23.431130300202721</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f t="shared" si="0"/>
        <v>0.66666666666666663</v>
      </c>
      <c r="S45">
        <f>survey_responses[[#This Row],[Tôi tin rằng với các quy định quản lý thuế hiện nay, hành vi gian lận hoặc trốn thuế sẽ dễ dàng bị phát hiện và xử lý nghiêm. - HUMAN-ENF1]]</f>
        <v>8</v>
      </c>
      <c r="T45">
        <f t="shared" si="1"/>
        <v>0.77777777777777779</v>
      </c>
      <c r="U45">
        <f>step3_validation[[#This Row],[AI_ENF2]]</f>
        <v>7</v>
      </c>
      <c r="V45">
        <f t="shared" si="2"/>
        <v>0.66666666666666663</v>
      </c>
      <c r="W45">
        <f>survey_responses[[#This Row],[Tôi tin rằng Nhà nước, cơ quan thuế có đủ khả năng và công nghệ để phát hiện, xử lý nghiêm các hành vi trốn thuế. - HUMAN-ENF2]]</f>
        <v>8</v>
      </c>
      <c r="X45">
        <f t="shared" si="3"/>
        <v>0.77777777777777779</v>
      </c>
      <c r="Y45" s="32">
        <f t="shared" si="4"/>
        <v>0.66666666666666663</v>
      </c>
      <c r="Z45" s="32">
        <f t="shared" si="5"/>
        <v>0.77777777777777779</v>
      </c>
      <c r="AA45">
        <f>step3_validation[[#This Row],[AI_FAC1]]</f>
        <v>8</v>
      </c>
      <c r="AB45">
        <f t="shared" si="6"/>
        <v>0.77777777777777779</v>
      </c>
      <c r="AC45">
        <f>survey_responses[[#This Row],[Các thủ tục khai báo thuế VÀ/HOẶC quy trình làm việc với cơ quan thuế đơn giản, tiện lợi, nhanh chóng hơn so với trước đây. - HUMAN-FAC1]]</f>
        <v>8</v>
      </c>
      <c r="AD45">
        <f t="shared" si="7"/>
        <v>0.77777777777777779</v>
      </c>
      <c r="AE45">
        <f>step3_validation[[#This Row],[AI_FAC2]]</f>
        <v>9</v>
      </c>
      <c r="AF45">
        <f t="shared" si="8"/>
        <v>0.88888888888888884</v>
      </c>
      <c r="AG45">
        <f>survey_responses[[#This Row],[So với trước đây, tôi thấy cách tính thuế và các bậc thuế trong phương án mới đơn giản, dễ hiểu và dễ thực hiện hơn. - HUMAN-FAC2]]</f>
        <v>8</v>
      </c>
      <c r="AH45">
        <f t="shared" si="9"/>
        <v>0.77777777777777779</v>
      </c>
      <c r="AI45" s="32">
        <f t="shared" si="10"/>
        <v>0.83333333333333326</v>
      </c>
      <c r="AJ45" s="32">
        <f t="shared" si="11"/>
        <v>0.77777777777777779</v>
      </c>
      <c r="AK45">
        <f>step3_validation[[#This Row],[AI_TRU1]]</f>
        <v>6</v>
      </c>
      <c r="AL45">
        <f t="shared" si="12"/>
        <v>0.55555555555555558</v>
      </c>
      <c r="AM45">
        <f>survey_responses[[#This Row],[Tôi tin rằng Nhà nước, cơ quan thuế sẽ thực thi chính sách mới một cách khách quan, công tâm và đối xử bình đẳng với mọi người nộp thuế.  - HUMAN-TRU1]]</f>
        <v>8</v>
      </c>
      <c r="AN45">
        <f t="shared" si="13"/>
        <v>0.77777777777777779</v>
      </c>
      <c r="AO45">
        <f>step3_validation[[#This Row],[AI_TRU2]]</f>
        <v>8</v>
      </c>
      <c r="AP45">
        <f t="shared" si="14"/>
        <v>0.77777777777777779</v>
      </c>
      <c r="AQ45">
        <f>survey_responses[[#This Row],[Tôi thấy mức thuế tôi phải đóng theo phương án mới là công bằng (người thu nhập như tôi đóng mức này là hợp lý). - HUMAN-TRU2]]</f>
        <v>8</v>
      </c>
      <c r="AR45">
        <f t="shared" si="15"/>
        <v>0.77777777777777779</v>
      </c>
      <c r="AS45">
        <f>step3_validation[[#This Row],[AI_TRU3]]</f>
        <v>7</v>
      </c>
      <c r="AT45">
        <f t="shared" si="16"/>
        <v>0.66666666666666663</v>
      </c>
      <c r="AU45">
        <f>survey_responses[[#This Row],[Tôi tin tưởng số tiền thuế tôi đóng sẽ được Nhà nước sử dụng hiệu quả để cải thiện dịch vụ công (y tế, đường xá...). - HUMAN-TRU3]]</f>
        <v>9</v>
      </c>
      <c r="AV45">
        <f t="shared" si="17"/>
        <v>0.88888888888888884</v>
      </c>
      <c r="AW45">
        <f>step3_validation[[#This Row],[AI_TRU4]]</f>
        <v>9</v>
      </c>
      <c r="AX45">
        <f t="shared" si="18"/>
        <v>0.88888888888888884</v>
      </c>
      <c r="AY45">
        <f>survey_responses[[#This Row],[Tôi thấy Nhà nước đã giải thích rõ ràng, minh bạch về lý do và mục tiêu của việc sửa đổi thuế lần này. - HUMAN-TRU4]]</f>
        <v>5</v>
      </c>
      <c r="AZ45">
        <f t="shared" si="19"/>
        <v>0.44444444444444442</v>
      </c>
      <c r="BA45" s="32">
        <f t="shared" si="20"/>
        <v>0.72222222222222221</v>
      </c>
      <c r="BB45" s="32">
        <f t="shared" si="21"/>
        <v>0.72222222222222232</v>
      </c>
      <c r="BC45" s="7">
        <f t="shared" si="22"/>
        <v>0.74074074074074081</v>
      </c>
      <c r="BD45" s="7">
        <f t="shared" si="23"/>
        <v>0.75925925925925919</v>
      </c>
      <c r="BE45">
        <f>step3_validation[[#This Row],[AI_OUT1]]</f>
        <v>8</v>
      </c>
      <c r="BF45">
        <f t="shared" si="24"/>
        <v>0.77777777777777779</v>
      </c>
      <c r="BG45">
        <f>survey_responses[[#This Row],[Sau khi xem xét các quyền lợi và nghĩa vụ, bạn có ủng hộ và tuân thủ chính sách mới hiện nay? - HUMAN-OUT1]]</f>
        <v>9</v>
      </c>
      <c r="BH45">
        <f t="shared" si="25"/>
        <v>0.88888888888888884</v>
      </c>
      <c r="BI45" s="32">
        <f t="shared" si="26"/>
        <v>1</v>
      </c>
    </row>
    <row r="46" spans="1:61" x14ac:dyDescent="0.45">
      <c r="A46" s="30">
        <f>step3_validation[[#This Row],[Persona_ID]]</f>
        <v>45</v>
      </c>
      <c r="B46" s="31">
        <f>step3_validation[[#This Row],[Used_Seed]]</f>
        <v>2035</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24.360797206504195</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7</v>
      </c>
      <c r="R46">
        <f t="shared" si="0"/>
        <v>0.66666666666666663</v>
      </c>
      <c r="S46">
        <f>survey_responses[[#This Row],[Tôi tin rằng với các quy định quản lý thuế hiện nay, hành vi gian lận hoặc trốn thuế sẽ dễ dàng bị phát hiện và xử lý nghiêm. - HUMAN-ENF1]]</f>
        <v>10</v>
      </c>
      <c r="T46">
        <f t="shared" si="1"/>
        <v>1</v>
      </c>
      <c r="U46">
        <f>step3_validation[[#This Row],[AI_ENF2]]</f>
        <v>8</v>
      </c>
      <c r="V46">
        <f t="shared" si="2"/>
        <v>0.77777777777777779</v>
      </c>
      <c r="W46">
        <f>survey_responses[[#This Row],[Tôi tin rằng Nhà nước, cơ quan thuế có đủ khả năng và công nghệ để phát hiện, xử lý nghiêm các hành vi trốn thuế. - HUMAN-ENF2]]</f>
        <v>10</v>
      </c>
      <c r="X46">
        <f t="shared" si="3"/>
        <v>1</v>
      </c>
      <c r="Y46" s="32">
        <f t="shared" si="4"/>
        <v>0.72222222222222221</v>
      </c>
      <c r="Z46" s="32">
        <f t="shared" si="5"/>
        <v>1</v>
      </c>
      <c r="AA46">
        <f>step3_validation[[#This Row],[AI_FAC1]]</f>
        <v>9</v>
      </c>
      <c r="AB46">
        <f t="shared" si="6"/>
        <v>0.88888888888888884</v>
      </c>
      <c r="AC46">
        <f>survey_responses[[#This Row],[Các thủ tục khai báo thuế VÀ/HOẶC quy trình làm việc với cơ quan thuế đơn giản, tiện lợi, nhanh chóng hơn so với trước đây. - HUMAN-FAC1]]</f>
        <v>10</v>
      </c>
      <c r="AD46">
        <f t="shared" si="7"/>
        <v>1</v>
      </c>
      <c r="AE46">
        <f>step3_validation[[#This Row],[AI_FAC2]]</f>
        <v>10</v>
      </c>
      <c r="AF46">
        <f t="shared" si="8"/>
        <v>1</v>
      </c>
      <c r="AG46">
        <f>survey_responses[[#This Row],[So với trước đây, tôi thấy cách tính thuế và các bậc thuế trong phương án mới đơn giản, dễ hiểu và dễ thực hiện hơn. - HUMAN-FAC2]]</f>
        <v>9</v>
      </c>
      <c r="AH46">
        <f t="shared" si="9"/>
        <v>0.88888888888888884</v>
      </c>
      <c r="AI46" s="32">
        <f t="shared" si="10"/>
        <v>0.94444444444444442</v>
      </c>
      <c r="AJ46" s="32">
        <f t="shared" si="11"/>
        <v>0.94444444444444442</v>
      </c>
      <c r="AK46">
        <f>step3_validation[[#This Row],[AI_TRU1]]</f>
        <v>9</v>
      </c>
      <c r="AL46">
        <f t="shared" si="12"/>
        <v>0.88888888888888884</v>
      </c>
      <c r="AM46">
        <f>survey_responses[[#This Row],[Tôi tin rằng Nhà nước, cơ quan thuế sẽ thực thi chính sách mới một cách khách quan, công tâm và đối xử bình đẳng với mọi người nộp thuế.  - HUMAN-TRU1]]</f>
        <v>10</v>
      </c>
      <c r="AN46">
        <f t="shared" si="13"/>
        <v>1</v>
      </c>
      <c r="AO46">
        <f>step3_validation[[#This Row],[AI_TRU2]]</f>
        <v>9</v>
      </c>
      <c r="AP46">
        <f t="shared" si="14"/>
        <v>0.88888888888888884</v>
      </c>
      <c r="AQ46">
        <f>survey_responses[[#This Row],[Tôi thấy mức thuế tôi phải đóng theo phương án mới là công bằng (người thu nhập như tôi đóng mức này là hợp lý). - HUMAN-TRU2]]</f>
        <v>10</v>
      </c>
      <c r="AR46">
        <f t="shared" si="15"/>
        <v>1</v>
      </c>
      <c r="AS46">
        <f>step3_validation[[#This Row],[AI_TRU3]]</f>
        <v>9</v>
      </c>
      <c r="AT46">
        <f t="shared" si="16"/>
        <v>0.88888888888888884</v>
      </c>
      <c r="AU46">
        <f>survey_responses[[#This Row],[Tôi tin tưởng số tiền thuế tôi đóng sẽ được Nhà nước sử dụng hiệu quả để cải thiện dịch vụ công (y tế, đường xá...). - HUMAN-TRU3]]</f>
        <v>10</v>
      </c>
      <c r="AV46">
        <f t="shared" si="17"/>
        <v>1</v>
      </c>
      <c r="AW46">
        <f>step3_validation[[#This Row],[AI_TRU4]]</f>
        <v>7</v>
      </c>
      <c r="AX46">
        <f t="shared" si="18"/>
        <v>0.66666666666666663</v>
      </c>
      <c r="AY46">
        <f>survey_responses[[#This Row],[Tôi thấy Nhà nước đã giải thích rõ ràng, minh bạch về lý do và mục tiêu của việc sửa đổi thuế lần này. - HUMAN-TRU4]]</f>
        <v>10</v>
      </c>
      <c r="AZ46">
        <f t="shared" si="19"/>
        <v>1</v>
      </c>
      <c r="BA46" s="32">
        <f t="shared" si="20"/>
        <v>0.83333333333333326</v>
      </c>
      <c r="BB46" s="32">
        <f t="shared" si="21"/>
        <v>1</v>
      </c>
      <c r="BC46" s="7">
        <f t="shared" si="22"/>
        <v>0.83333333333333337</v>
      </c>
      <c r="BD46" s="7">
        <f t="shared" si="23"/>
        <v>0.98148148148148151</v>
      </c>
      <c r="BE46">
        <f>step3_validation[[#This Row],[AI_OUT1]]</f>
        <v>9</v>
      </c>
      <c r="BF46">
        <f t="shared" si="24"/>
        <v>0.88888888888888884</v>
      </c>
      <c r="BG46">
        <f>survey_responses[[#This Row],[Sau khi xem xét các quyền lợi và nghĩa vụ, bạn có ủng hộ và tuân thủ chính sách mới hiện nay? - HUMAN-OUT1]]</f>
        <v>10</v>
      </c>
      <c r="BH46">
        <f t="shared" si="25"/>
        <v>1</v>
      </c>
      <c r="BI46" s="32">
        <f t="shared" si="26"/>
        <v>1</v>
      </c>
    </row>
    <row r="47" spans="1:61" x14ac:dyDescent="0.45">
      <c r="A47" s="30">
        <f>step3_validation[[#This Row],[Persona_ID]]</f>
        <v>46</v>
      </c>
      <c r="B47" s="31">
        <f>step3_validation[[#This Row],[Used_Seed]]</f>
        <v>2036</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8</v>
      </c>
      <c r="R47">
        <f t="shared" si="0"/>
        <v>0.77777777777777779</v>
      </c>
      <c r="S47">
        <f>survey_responses[[#This Row],[Tôi tin rằng với các quy định quản lý thuế hiện nay, hành vi gian lận hoặc trốn thuế sẽ dễ dàng bị phát hiện và xử lý nghiêm. - HUMAN-ENF1]]</f>
        <v>1</v>
      </c>
      <c r="T47">
        <f t="shared" si="1"/>
        <v>0</v>
      </c>
      <c r="U47">
        <f>step3_validation[[#This Row],[AI_ENF2]]</f>
        <v>7</v>
      </c>
      <c r="V47">
        <f t="shared" si="2"/>
        <v>0.66666666666666663</v>
      </c>
      <c r="W47">
        <f>survey_responses[[#This Row],[Tôi tin rằng Nhà nước, cơ quan thuế có đủ khả năng và công nghệ để phát hiện, xử lý nghiêm các hành vi trốn thuế. - HUMAN-ENF2]]</f>
        <v>1</v>
      </c>
      <c r="X47">
        <f t="shared" si="3"/>
        <v>0</v>
      </c>
      <c r="Y47" s="32">
        <f t="shared" si="4"/>
        <v>0.72222222222222221</v>
      </c>
      <c r="Z47" s="32">
        <f t="shared" si="5"/>
        <v>0</v>
      </c>
      <c r="AA47">
        <f>step3_validation[[#This Row],[AI_FAC1]]</f>
        <v>9</v>
      </c>
      <c r="AB47">
        <f t="shared" si="6"/>
        <v>0.88888888888888884</v>
      </c>
      <c r="AC47">
        <f>survey_responses[[#This Row],[Các thủ tục khai báo thuế VÀ/HOẶC quy trình làm việc với cơ quan thuế đơn giản, tiện lợi, nhanh chóng hơn so với trước đây. - HUMAN-FAC1]]</f>
        <v>2</v>
      </c>
      <c r="AD47">
        <f t="shared" si="7"/>
        <v>0.1111111111111111</v>
      </c>
      <c r="AE47">
        <f>step3_validation[[#This Row],[AI_FAC2]]</f>
        <v>8</v>
      </c>
      <c r="AF47">
        <f t="shared" si="8"/>
        <v>0.77777777777777779</v>
      </c>
      <c r="AG47">
        <f>survey_responses[[#This Row],[So với trước đây, tôi thấy cách tính thuế và các bậc thuế trong phương án mới đơn giản, dễ hiểu và dễ thực hiện hơn. - HUMAN-FAC2]]</f>
        <v>1</v>
      </c>
      <c r="AH47">
        <f t="shared" si="9"/>
        <v>0</v>
      </c>
      <c r="AI47" s="32">
        <f t="shared" si="10"/>
        <v>0.83333333333333326</v>
      </c>
      <c r="AJ47" s="32">
        <f t="shared" si="11"/>
        <v>5.5555555555555552E-2</v>
      </c>
      <c r="AK47">
        <f>step3_validation[[#This Row],[AI_TRU1]]</f>
        <v>9</v>
      </c>
      <c r="AL47">
        <f t="shared" si="12"/>
        <v>0.88888888888888884</v>
      </c>
      <c r="AM47">
        <f>survey_responses[[#This Row],[Tôi tin rằng Nhà nước, cơ quan thuế sẽ thực thi chính sách mới một cách khách quan, công tâm và đối xử bình đẳng với mọi người nộp thuế.  - HUMAN-TRU1]]</f>
        <v>1</v>
      </c>
      <c r="AN47">
        <f t="shared" si="13"/>
        <v>0</v>
      </c>
      <c r="AO47">
        <f>step3_validation[[#This Row],[AI_TRU2]]</f>
        <v>8</v>
      </c>
      <c r="AP47">
        <f t="shared" si="14"/>
        <v>0.77777777777777779</v>
      </c>
      <c r="AQ47">
        <f>survey_responses[[#This Row],[Tôi thấy mức thuế tôi phải đóng theo phương án mới là công bằng (người thu nhập như tôi đóng mức này là hợp lý). - HUMAN-TRU2]]</f>
        <v>1</v>
      </c>
      <c r="AR47">
        <f t="shared" si="15"/>
        <v>0</v>
      </c>
      <c r="AS47">
        <f>step3_validation[[#This Row],[AI_TRU3]]</f>
        <v>7</v>
      </c>
      <c r="AT47">
        <f t="shared" si="16"/>
        <v>0.66666666666666663</v>
      </c>
      <c r="AU47">
        <f>survey_responses[[#This Row],[Tôi tin tưởng số tiền thuế tôi đóng sẽ được Nhà nước sử dụng hiệu quả để cải thiện dịch vụ công (y tế, đường xá...). - HUMAN-TRU3]]</f>
        <v>1</v>
      </c>
      <c r="AV47">
        <f t="shared" si="17"/>
        <v>0</v>
      </c>
      <c r="AW47">
        <f>step3_validation[[#This Row],[AI_TRU4]]</f>
        <v>8</v>
      </c>
      <c r="AX47">
        <f t="shared" si="18"/>
        <v>0.77777777777777779</v>
      </c>
      <c r="AY47">
        <f>survey_responses[[#This Row],[Tôi thấy Nhà nước đã giải thích rõ ràng, minh bạch về lý do và mục tiêu của việc sửa đổi thuế lần này. - HUMAN-TRU4]]</f>
        <v>1</v>
      </c>
      <c r="AZ47">
        <f t="shared" si="19"/>
        <v>0</v>
      </c>
      <c r="BA47" s="32">
        <f t="shared" si="20"/>
        <v>0.77777777777777768</v>
      </c>
      <c r="BB47" s="32">
        <f t="shared" si="21"/>
        <v>0</v>
      </c>
      <c r="BC47" s="7">
        <f t="shared" si="22"/>
        <v>0.77777777777777768</v>
      </c>
      <c r="BD47" s="7">
        <f t="shared" si="23"/>
        <v>1.8518518518518517E-2</v>
      </c>
      <c r="BE47">
        <f>step3_validation[[#This Row],[AI_OUT1]]</f>
        <v>9</v>
      </c>
      <c r="BF47">
        <f t="shared" si="24"/>
        <v>0.88888888888888884</v>
      </c>
      <c r="BG47">
        <f>survey_responses[[#This Row],[Sau khi xem xét các quyền lợi và nghĩa vụ, bạn có ủng hộ và tuân thủ chính sách mới hiện nay? - HUMAN-OUT1]]</f>
        <v>1</v>
      </c>
      <c r="BH47">
        <f t="shared" si="25"/>
        <v>0</v>
      </c>
      <c r="BI47" s="32">
        <f t="shared" si="26"/>
        <v>8</v>
      </c>
    </row>
    <row r="48" spans="1:61" x14ac:dyDescent="0.45">
      <c r="A48" s="30">
        <f>step3_validation[[#This Row],[Persona_ID]]</f>
        <v>47</v>
      </c>
      <c r="B48" s="31">
        <f>step3_validation[[#This Row],[Used_Seed]]</f>
        <v>2037</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9</v>
      </c>
      <c r="R48">
        <f t="shared" si="0"/>
        <v>0.88888888888888884</v>
      </c>
      <c r="S48">
        <f>survey_responses[[#This Row],[Tôi tin rằng với các quy định quản lý thuế hiện nay, hành vi gian lận hoặc trốn thuế sẽ dễ dàng bị phát hiện và xử lý nghiêm. - HUMAN-ENF1]]</f>
        <v>8</v>
      </c>
      <c r="T48">
        <f t="shared" si="1"/>
        <v>0.77777777777777779</v>
      </c>
      <c r="U48">
        <f>step3_validation[[#This Row],[AI_ENF2]]</f>
        <v>8</v>
      </c>
      <c r="V48">
        <f t="shared" si="2"/>
        <v>0.77777777777777779</v>
      </c>
      <c r="W48">
        <f>survey_responses[[#This Row],[Tôi tin rằng Nhà nước, cơ quan thuế có đủ khả năng và công nghệ để phát hiện, xử lý nghiêm các hành vi trốn thuế. - HUMAN-ENF2]]</f>
        <v>8</v>
      </c>
      <c r="X48">
        <f t="shared" si="3"/>
        <v>0.77777777777777779</v>
      </c>
      <c r="Y48" s="32">
        <f t="shared" si="4"/>
        <v>0.83333333333333326</v>
      </c>
      <c r="Z48" s="32">
        <f t="shared" si="5"/>
        <v>0.77777777777777779</v>
      </c>
      <c r="AA48">
        <f>step3_validation[[#This Row],[AI_FAC1]]</f>
        <v>7</v>
      </c>
      <c r="AB48">
        <f t="shared" si="6"/>
        <v>0.66666666666666663</v>
      </c>
      <c r="AC48">
        <f>survey_responses[[#This Row],[Các thủ tục khai báo thuế VÀ/HOẶC quy trình làm việc với cơ quan thuế đơn giản, tiện lợi, nhanh chóng hơn so với trước đây. - HUMAN-FAC1]]</f>
        <v>8</v>
      </c>
      <c r="AD48">
        <f t="shared" si="7"/>
        <v>0.77777777777777779</v>
      </c>
      <c r="AE48">
        <f>step3_validation[[#This Row],[AI_FAC2]]</f>
        <v>8</v>
      </c>
      <c r="AF48">
        <f t="shared" si="8"/>
        <v>0.77777777777777779</v>
      </c>
      <c r="AG48">
        <f>survey_responses[[#This Row],[So với trước đây, tôi thấy cách tính thuế và các bậc thuế trong phương án mới đơn giản, dễ hiểu và dễ thực hiện hơn. - HUMAN-FAC2]]</f>
        <v>7</v>
      </c>
      <c r="AH48">
        <f t="shared" si="9"/>
        <v>0.66666666666666663</v>
      </c>
      <c r="AI48" s="32">
        <f t="shared" si="10"/>
        <v>0.72222222222222221</v>
      </c>
      <c r="AJ48" s="32">
        <f t="shared" si="11"/>
        <v>0.72222222222222221</v>
      </c>
      <c r="AK48">
        <f>step3_validation[[#This Row],[AI_TRU1]]</f>
        <v>9</v>
      </c>
      <c r="AL48">
        <f t="shared" si="12"/>
        <v>0.88888888888888884</v>
      </c>
      <c r="AM48">
        <f>survey_responses[[#This Row],[Tôi tin rằng Nhà nước, cơ quan thuế sẽ thực thi chính sách mới một cách khách quan, công tâm và đối xử bình đẳng với mọi người nộp thuế.  - HUMAN-TRU1]]</f>
        <v>6</v>
      </c>
      <c r="AN48">
        <f t="shared" si="13"/>
        <v>0.55555555555555558</v>
      </c>
      <c r="AO48">
        <f>step3_validation[[#This Row],[AI_TRU2]]</f>
        <v>8</v>
      </c>
      <c r="AP48">
        <f t="shared" si="14"/>
        <v>0.77777777777777779</v>
      </c>
      <c r="AQ48">
        <f>survey_responses[[#This Row],[Tôi thấy mức thuế tôi phải đóng theo phương án mới là công bằng (người thu nhập như tôi đóng mức này là hợp lý). - HUMAN-TRU2]]</f>
        <v>8</v>
      </c>
      <c r="AR48">
        <f t="shared" si="15"/>
        <v>0.77777777777777779</v>
      </c>
      <c r="AS48">
        <f>step3_validation[[#This Row],[AI_TRU3]]</f>
        <v>9</v>
      </c>
      <c r="AT48">
        <f t="shared" si="16"/>
        <v>0.88888888888888884</v>
      </c>
      <c r="AU48">
        <f>survey_responses[[#This Row],[Tôi tin tưởng số tiền thuế tôi đóng sẽ được Nhà nước sử dụng hiệu quả để cải thiện dịch vụ công (y tế, đường xá...). - HUMAN-TRU3]]</f>
        <v>8</v>
      </c>
      <c r="AV48">
        <f t="shared" si="17"/>
        <v>0.77777777777777779</v>
      </c>
      <c r="AW48">
        <f>step3_validation[[#This Row],[AI_TRU4]]</f>
        <v>8</v>
      </c>
      <c r="AX48">
        <f t="shared" si="18"/>
        <v>0.77777777777777779</v>
      </c>
      <c r="AY48">
        <f>survey_responses[[#This Row],[Tôi thấy Nhà nước đã giải thích rõ ràng, minh bạch về lý do và mục tiêu của việc sửa đổi thuế lần này. - HUMAN-TRU4]]</f>
        <v>9</v>
      </c>
      <c r="AZ48">
        <f t="shared" si="19"/>
        <v>0.88888888888888884</v>
      </c>
      <c r="BA48" s="32">
        <f t="shared" si="20"/>
        <v>0.83333333333333326</v>
      </c>
      <c r="BB48" s="32">
        <f t="shared" si="21"/>
        <v>0.75</v>
      </c>
      <c r="BC48" s="7">
        <f t="shared" si="22"/>
        <v>0.79629629629629617</v>
      </c>
      <c r="BD48" s="7">
        <f t="shared" si="23"/>
        <v>0.75</v>
      </c>
      <c r="BE48">
        <f>step3_validation[[#This Row],[AI_OUT1]]</f>
        <v>9</v>
      </c>
      <c r="BF48">
        <f t="shared" si="24"/>
        <v>0.88888888888888884</v>
      </c>
      <c r="BG48">
        <f>survey_responses[[#This Row],[Sau khi xem xét các quyền lợi và nghĩa vụ, bạn có ủng hộ và tuân thủ chính sách mới hiện nay? - HUMAN-OUT1]]</f>
        <v>8</v>
      </c>
      <c r="BH48">
        <f t="shared" si="25"/>
        <v>0.77777777777777779</v>
      </c>
      <c r="BI48" s="32">
        <f t="shared" si="26"/>
        <v>1</v>
      </c>
    </row>
    <row r="49" spans="1:61" x14ac:dyDescent="0.45">
      <c r="A49" s="30">
        <f>step3_validation[[#This Row],[Persona_ID]]</f>
        <v>48</v>
      </c>
      <c r="B49" s="31">
        <f>step3_validation[[#This Row],[Used_Seed]]</f>
        <v>2038</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41.881251106097203</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f t="shared" si="0"/>
        <v>0.77777777777777779</v>
      </c>
      <c r="S49">
        <f>survey_responses[[#This Row],[Tôi tin rằng với các quy định quản lý thuế hiện nay, hành vi gian lận hoặc trốn thuế sẽ dễ dàng bị phát hiện và xử lý nghiêm. - HUMAN-ENF1]]</f>
        <v>10</v>
      </c>
      <c r="T49">
        <f t="shared" si="1"/>
        <v>1</v>
      </c>
      <c r="U49">
        <f>step3_validation[[#This Row],[AI_ENF2]]</f>
        <v>7</v>
      </c>
      <c r="V49">
        <f t="shared" si="2"/>
        <v>0.66666666666666663</v>
      </c>
      <c r="W49">
        <f>survey_responses[[#This Row],[Tôi tin rằng Nhà nước, cơ quan thuế có đủ khả năng và công nghệ để phát hiện, xử lý nghiêm các hành vi trốn thuế. - HUMAN-ENF2]]</f>
        <v>10</v>
      </c>
      <c r="X49">
        <f t="shared" si="3"/>
        <v>1</v>
      </c>
      <c r="Y49" s="32">
        <f t="shared" si="4"/>
        <v>0.72222222222222221</v>
      </c>
      <c r="Z49" s="32">
        <f t="shared" si="5"/>
        <v>1</v>
      </c>
      <c r="AA49">
        <f>step3_validation[[#This Row],[AI_FAC1]]</f>
        <v>9</v>
      </c>
      <c r="AB49">
        <f t="shared" si="6"/>
        <v>0.88888888888888884</v>
      </c>
      <c r="AC49">
        <f>survey_responses[[#This Row],[Các thủ tục khai báo thuế VÀ/HOẶC quy trình làm việc với cơ quan thuế đơn giản, tiện lợi, nhanh chóng hơn so với trước đây. - HUMAN-FAC1]]</f>
        <v>10</v>
      </c>
      <c r="AD49">
        <f t="shared" si="7"/>
        <v>1</v>
      </c>
      <c r="AE49">
        <f>step3_validation[[#This Row],[AI_FAC2]]</f>
        <v>8</v>
      </c>
      <c r="AF49">
        <f t="shared" si="8"/>
        <v>0.77777777777777779</v>
      </c>
      <c r="AG49">
        <f>survey_responses[[#This Row],[So với trước đây, tôi thấy cách tính thuế và các bậc thuế trong phương án mới đơn giản, dễ hiểu và dễ thực hiện hơn. - HUMAN-FAC2]]</f>
        <v>10</v>
      </c>
      <c r="AH49">
        <f t="shared" si="9"/>
        <v>1</v>
      </c>
      <c r="AI49" s="32">
        <f t="shared" si="10"/>
        <v>0.83333333333333326</v>
      </c>
      <c r="AJ49" s="32">
        <f t="shared" si="11"/>
        <v>1</v>
      </c>
      <c r="AK49">
        <f>step3_validation[[#This Row],[AI_TRU1]]</f>
        <v>9</v>
      </c>
      <c r="AL49">
        <f t="shared" si="12"/>
        <v>0.88888888888888884</v>
      </c>
      <c r="AM49">
        <f>survey_responses[[#This Row],[Tôi tin rằng Nhà nước, cơ quan thuế sẽ thực thi chính sách mới một cách khách quan, công tâm và đối xử bình đẳng với mọi người nộp thuế.  - HUMAN-TRU1]]</f>
        <v>10</v>
      </c>
      <c r="AN49">
        <f t="shared" si="13"/>
        <v>1</v>
      </c>
      <c r="AO49">
        <f>step3_validation[[#This Row],[AI_TRU2]]</f>
        <v>8</v>
      </c>
      <c r="AP49">
        <f t="shared" si="14"/>
        <v>0.77777777777777779</v>
      </c>
      <c r="AQ49">
        <f>survey_responses[[#This Row],[Tôi thấy mức thuế tôi phải đóng theo phương án mới là công bằng (người thu nhập như tôi đóng mức này là hợp lý). - HUMAN-TRU2]]</f>
        <v>10</v>
      </c>
      <c r="AR49">
        <f t="shared" si="15"/>
        <v>1</v>
      </c>
      <c r="AS49">
        <f>step3_validation[[#This Row],[AI_TRU3]]</f>
        <v>9</v>
      </c>
      <c r="AT49">
        <f t="shared" si="16"/>
        <v>0.88888888888888884</v>
      </c>
      <c r="AU49">
        <f>survey_responses[[#This Row],[Tôi tin tưởng số tiền thuế tôi đóng sẽ được Nhà nước sử dụng hiệu quả để cải thiện dịch vụ công (y tế, đường xá...). - HUMAN-TRU3]]</f>
        <v>10</v>
      </c>
      <c r="AV49">
        <f t="shared" si="17"/>
        <v>1</v>
      </c>
      <c r="AW49">
        <f>step3_validation[[#This Row],[AI_TRU4]]</f>
        <v>8</v>
      </c>
      <c r="AX49">
        <f t="shared" si="18"/>
        <v>0.77777777777777779</v>
      </c>
      <c r="AY49">
        <f>survey_responses[[#This Row],[Tôi thấy Nhà nước đã giải thích rõ ràng, minh bạch về lý do và mục tiêu của việc sửa đổi thuế lần này. - HUMAN-TRU4]]</f>
        <v>10</v>
      </c>
      <c r="AZ49">
        <f t="shared" si="19"/>
        <v>1</v>
      </c>
      <c r="BA49" s="32">
        <f t="shared" si="20"/>
        <v>0.83333333333333326</v>
      </c>
      <c r="BB49" s="32">
        <f t="shared" si="21"/>
        <v>1</v>
      </c>
      <c r="BC49" s="7">
        <f t="shared" si="22"/>
        <v>0.79629629629629617</v>
      </c>
      <c r="BD49" s="7">
        <f t="shared" si="23"/>
        <v>1</v>
      </c>
      <c r="BE49">
        <f>step3_validation[[#This Row],[AI_OUT1]]</f>
        <v>9</v>
      </c>
      <c r="BF49">
        <f t="shared" si="24"/>
        <v>0.88888888888888884</v>
      </c>
      <c r="BG49">
        <f>survey_responses[[#This Row],[Sau khi xem xét các quyền lợi và nghĩa vụ, bạn có ủng hộ và tuân thủ chính sách mới hiện nay? - HUMAN-OUT1]]</f>
        <v>10</v>
      </c>
      <c r="BH49">
        <f t="shared" si="25"/>
        <v>1</v>
      </c>
      <c r="BI49" s="32">
        <f t="shared" si="26"/>
        <v>1</v>
      </c>
    </row>
    <row r="50" spans="1:61" x14ac:dyDescent="0.45">
      <c r="A50" s="30">
        <f>step3_validation[[#This Row],[Persona_ID]]</f>
        <v>49</v>
      </c>
      <c r="B50" s="31">
        <f>step3_validation[[#This Row],[Used_Seed]]</f>
        <v>2039</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193.46685244011763</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8</v>
      </c>
      <c r="R50">
        <f t="shared" si="0"/>
        <v>0.77777777777777779</v>
      </c>
      <c r="S50">
        <f>survey_responses[[#This Row],[Tôi tin rằng với các quy định quản lý thuế hiện nay, hành vi gian lận hoặc trốn thuế sẽ dễ dàng bị phát hiện và xử lý nghiêm. - HUMAN-ENF1]]</f>
        <v>8</v>
      </c>
      <c r="T50">
        <f t="shared" si="1"/>
        <v>0.77777777777777779</v>
      </c>
      <c r="U50">
        <f>step3_validation[[#This Row],[AI_ENF2]]</f>
        <v>9</v>
      </c>
      <c r="V50">
        <f t="shared" si="2"/>
        <v>0.88888888888888884</v>
      </c>
      <c r="W50">
        <f>survey_responses[[#This Row],[Tôi tin rằng Nhà nước, cơ quan thuế có đủ khả năng và công nghệ để phát hiện, xử lý nghiêm các hành vi trốn thuế. - HUMAN-ENF2]]</f>
        <v>8</v>
      </c>
      <c r="X50">
        <f t="shared" si="3"/>
        <v>0.77777777777777779</v>
      </c>
      <c r="Y50" s="32">
        <f t="shared" si="4"/>
        <v>0.83333333333333326</v>
      </c>
      <c r="Z50" s="32">
        <f t="shared" si="5"/>
        <v>0.77777777777777779</v>
      </c>
      <c r="AA50">
        <f>step3_validation[[#This Row],[AI_FAC1]]</f>
        <v>7</v>
      </c>
      <c r="AB50">
        <f t="shared" si="6"/>
        <v>0.66666666666666663</v>
      </c>
      <c r="AC50">
        <f>survey_responses[[#This Row],[Các thủ tục khai báo thuế VÀ/HOẶC quy trình làm việc với cơ quan thuế đơn giản, tiện lợi, nhanh chóng hơn so với trước đây. - HUMAN-FAC1]]</f>
        <v>7</v>
      </c>
      <c r="AD50">
        <f t="shared" si="7"/>
        <v>0.66666666666666663</v>
      </c>
      <c r="AE50">
        <f>step3_validation[[#This Row],[AI_FAC2]]</f>
        <v>9</v>
      </c>
      <c r="AF50">
        <f t="shared" si="8"/>
        <v>0.88888888888888884</v>
      </c>
      <c r="AG50">
        <f>survey_responses[[#This Row],[So với trước đây, tôi thấy cách tính thuế và các bậc thuế trong phương án mới đơn giản, dễ hiểu và dễ thực hiện hơn. - HUMAN-FAC2]]</f>
        <v>8</v>
      </c>
      <c r="AH50">
        <f t="shared" si="9"/>
        <v>0.77777777777777779</v>
      </c>
      <c r="AI50" s="32">
        <f t="shared" si="10"/>
        <v>0.77777777777777768</v>
      </c>
      <c r="AJ50" s="32">
        <f t="shared" si="11"/>
        <v>0.72222222222222221</v>
      </c>
      <c r="AK50">
        <f>step3_validation[[#This Row],[AI_TRU1]]</f>
        <v>7</v>
      </c>
      <c r="AL50">
        <f t="shared" si="12"/>
        <v>0.66666666666666663</v>
      </c>
      <c r="AM50">
        <f>survey_responses[[#This Row],[Tôi tin rằng Nhà nước, cơ quan thuế sẽ thực thi chính sách mới một cách khách quan, công tâm và đối xử bình đẳng với mọi người nộp thuế.  - HUMAN-TRU1]]</f>
        <v>6</v>
      </c>
      <c r="AN50">
        <f t="shared" si="13"/>
        <v>0.55555555555555558</v>
      </c>
      <c r="AO50">
        <f>step3_validation[[#This Row],[AI_TRU2]]</f>
        <v>8</v>
      </c>
      <c r="AP50">
        <f t="shared" si="14"/>
        <v>0.77777777777777779</v>
      </c>
      <c r="AQ50">
        <f>survey_responses[[#This Row],[Tôi thấy mức thuế tôi phải đóng theo phương án mới là công bằng (người thu nhập như tôi đóng mức này là hợp lý). - HUMAN-TRU2]]</f>
        <v>8</v>
      </c>
      <c r="AR50">
        <f t="shared" si="15"/>
        <v>0.77777777777777779</v>
      </c>
      <c r="AS50">
        <f>step3_validation[[#This Row],[AI_TRU3]]</f>
        <v>7</v>
      </c>
      <c r="AT50">
        <f t="shared" si="16"/>
        <v>0.66666666666666663</v>
      </c>
      <c r="AU50">
        <f>survey_responses[[#This Row],[Tôi tin tưởng số tiền thuế tôi đóng sẽ được Nhà nước sử dụng hiệu quả để cải thiện dịch vụ công (y tế, đường xá...). - HUMAN-TRU3]]</f>
        <v>6</v>
      </c>
      <c r="AV50">
        <f t="shared" si="17"/>
        <v>0.55555555555555558</v>
      </c>
      <c r="AW50">
        <f>step3_validation[[#This Row],[AI_TRU4]]</f>
        <v>6</v>
      </c>
      <c r="AX50">
        <f t="shared" si="18"/>
        <v>0.55555555555555558</v>
      </c>
      <c r="AY50">
        <f>survey_responses[[#This Row],[Tôi thấy Nhà nước đã giải thích rõ ràng, minh bạch về lý do và mục tiêu của việc sửa đổi thuế lần này. - HUMAN-TRU4]]</f>
        <v>5</v>
      </c>
      <c r="AZ50">
        <f t="shared" si="19"/>
        <v>0.44444444444444442</v>
      </c>
      <c r="BA50" s="32">
        <f t="shared" si="20"/>
        <v>0.66666666666666674</v>
      </c>
      <c r="BB50" s="32">
        <f t="shared" si="21"/>
        <v>0.58333333333333337</v>
      </c>
      <c r="BC50" s="7">
        <f t="shared" si="22"/>
        <v>0.75925925925925919</v>
      </c>
      <c r="BD50" s="7">
        <f t="shared" si="23"/>
        <v>0.69444444444444453</v>
      </c>
      <c r="BE50">
        <f>step3_validation[[#This Row],[AI_OUT1]]</f>
        <v>9</v>
      </c>
      <c r="BF50">
        <f t="shared" si="24"/>
        <v>0.88888888888888884</v>
      </c>
      <c r="BG50">
        <f>survey_responses[[#This Row],[Sau khi xem xét các quyền lợi và nghĩa vụ, bạn có ủng hộ và tuân thủ chính sách mới hiện nay? - HUMAN-OUT1]]</f>
        <v>8</v>
      </c>
      <c r="BH50">
        <f t="shared" si="25"/>
        <v>0.77777777777777779</v>
      </c>
      <c r="BI50" s="32">
        <f t="shared" si="26"/>
        <v>1</v>
      </c>
    </row>
    <row r="51" spans="1:61" x14ac:dyDescent="0.45">
      <c r="A51" s="30">
        <f>step3_validation[[#This Row],[Persona_ID]]</f>
        <v>50</v>
      </c>
      <c r="B51" s="31">
        <f>step3_validation[[#This Row],[Used_Seed]]</f>
        <v>2040</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20.751927455535611</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f t="shared" si="0"/>
        <v>0.66666666666666663</v>
      </c>
      <c r="S51">
        <f>survey_responses[[#This Row],[Tôi tin rằng với các quy định quản lý thuế hiện nay, hành vi gian lận hoặc trốn thuế sẽ dễ dàng bị phát hiện và xử lý nghiêm. - HUMAN-ENF1]]</f>
        <v>10</v>
      </c>
      <c r="T51">
        <f t="shared" si="1"/>
        <v>1</v>
      </c>
      <c r="U51">
        <f>step3_validation[[#This Row],[AI_ENF2]]</f>
        <v>8</v>
      </c>
      <c r="V51">
        <f t="shared" si="2"/>
        <v>0.77777777777777779</v>
      </c>
      <c r="W51">
        <f>survey_responses[[#This Row],[Tôi tin rằng Nhà nước, cơ quan thuế có đủ khả năng và công nghệ để phát hiện, xử lý nghiêm các hành vi trốn thuế. - HUMAN-ENF2]]</f>
        <v>10</v>
      </c>
      <c r="X51">
        <f t="shared" si="3"/>
        <v>1</v>
      </c>
      <c r="Y51" s="32">
        <f t="shared" si="4"/>
        <v>0.72222222222222221</v>
      </c>
      <c r="Z51" s="32">
        <f t="shared" si="5"/>
        <v>1</v>
      </c>
      <c r="AA51">
        <f>step3_validation[[#This Row],[AI_FAC1]]</f>
        <v>9</v>
      </c>
      <c r="AB51">
        <f t="shared" si="6"/>
        <v>0.88888888888888884</v>
      </c>
      <c r="AC51">
        <f>survey_responses[[#This Row],[Các thủ tục khai báo thuế VÀ/HOẶC quy trình làm việc với cơ quan thuế đơn giản, tiện lợi, nhanh chóng hơn so với trước đây. - HUMAN-FAC1]]</f>
        <v>10</v>
      </c>
      <c r="AD51">
        <f t="shared" si="7"/>
        <v>1</v>
      </c>
      <c r="AE51">
        <f>step3_validation[[#This Row],[AI_FAC2]]</f>
        <v>9</v>
      </c>
      <c r="AF51">
        <f t="shared" si="8"/>
        <v>0.88888888888888884</v>
      </c>
      <c r="AG51">
        <f>survey_responses[[#This Row],[So với trước đây, tôi thấy cách tính thuế và các bậc thuế trong phương án mới đơn giản, dễ hiểu và dễ thực hiện hơn. - HUMAN-FAC2]]</f>
        <v>8</v>
      </c>
      <c r="AH51">
        <f t="shared" si="9"/>
        <v>0.77777777777777779</v>
      </c>
      <c r="AI51" s="32">
        <f t="shared" si="10"/>
        <v>0.88888888888888884</v>
      </c>
      <c r="AJ51" s="32">
        <f t="shared" si="11"/>
        <v>0.88888888888888884</v>
      </c>
      <c r="AK51">
        <f>step3_validation[[#This Row],[AI_TRU1]]</f>
        <v>8</v>
      </c>
      <c r="AL51">
        <f t="shared" si="12"/>
        <v>0.77777777777777779</v>
      </c>
      <c r="AM51">
        <f>survey_responses[[#This Row],[Tôi tin rằng Nhà nước, cơ quan thuế sẽ thực thi chính sách mới một cách khách quan, công tâm và đối xử bình đẳng với mọi người nộp thuế.  - HUMAN-TRU1]]</f>
        <v>8</v>
      </c>
      <c r="AN51">
        <f t="shared" si="13"/>
        <v>0.77777777777777779</v>
      </c>
      <c r="AO51">
        <f>step3_validation[[#This Row],[AI_TRU2]]</f>
        <v>9</v>
      </c>
      <c r="AP51">
        <f t="shared" si="14"/>
        <v>0.88888888888888884</v>
      </c>
      <c r="AQ51">
        <f>survey_responses[[#This Row],[Tôi thấy mức thuế tôi phải đóng theo phương án mới là công bằng (người thu nhập như tôi đóng mức này là hợp lý). - HUMAN-TRU2]]</f>
        <v>8</v>
      </c>
      <c r="AR51">
        <f t="shared" si="15"/>
        <v>0.77777777777777779</v>
      </c>
      <c r="AS51">
        <f>step3_validation[[#This Row],[AI_TRU3]]</f>
        <v>8</v>
      </c>
      <c r="AT51">
        <f t="shared" si="16"/>
        <v>0.77777777777777779</v>
      </c>
      <c r="AU51">
        <f>survey_responses[[#This Row],[Tôi tin tưởng số tiền thuế tôi đóng sẽ được Nhà nước sử dụng hiệu quả để cải thiện dịch vụ công (y tế, đường xá...). - HUMAN-TRU3]]</f>
        <v>8</v>
      </c>
      <c r="AV51">
        <f t="shared" si="17"/>
        <v>0.77777777777777779</v>
      </c>
      <c r="AW51">
        <f>step3_validation[[#This Row],[AI_TRU4]]</f>
        <v>9</v>
      </c>
      <c r="AX51">
        <f t="shared" si="18"/>
        <v>0.88888888888888884</v>
      </c>
      <c r="AY51">
        <f>survey_responses[[#This Row],[Tôi thấy Nhà nước đã giải thích rõ ràng, minh bạch về lý do và mục tiêu của việc sửa đổi thuế lần này. - HUMAN-TRU4]]</f>
        <v>8</v>
      </c>
      <c r="AZ51">
        <f t="shared" si="19"/>
        <v>0.77777777777777779</v>
      </c>
      <c r="BA51" s="32">
        <f t="shared" si="20"/>
        <v>0.83333333333333326</v>
      </c>
      <c r="BB51" s="32">
        <f t="shared" si="21"/>
        <v>0.77777777777777779</v>
      </c>
      <c r="BC51" s="7">
        <f t="shared" si="22"/>
        <v>0.81481481481481488</v>
      </c>
      <c r="BD51" s="7">
        <f t="shared" si="23"/>
        <v>0.88888888888888884</v>
      </c>
      <c r="BE51">
        <f>step3_validation[[#This Row],[AI_OUT1]]</f>
        <v>10</v>
      </c>
      <c r="BF51">
        <f t="shared" si="24"/>
        <v>1</v>
      </c>
      <c r="BG51">
        <f>survey_responses[[#This Row],[Sau khi xem xét các quyền lợi và nghĩa vụ, bạn có ủng hộ và tuân thủ chính sách mới hiện nay? - HUMAN-OUT1]]</f>
        <v>8</v>
      </c>
      <c r="BH51">
        <f t="shared" si="25"/>
        <v>0.77777777777777779</v>
      </c>
      <c r="BI51" s="32">
        <f t="shared" si="26"/>
        <v>2</v>
      </c>
    </row>
    <row r="52" spans="1:61" x14ac:dyDescent="0.45">
      <c r="A52" s="30">
        <f>step3_validation[[#This Row],[Persona_ID]]</f>
        <v>51</v>
      </c>
      <c r="B52" s="31">
        <f>step3_validation[[#This Row],[Used_Seed]]</f>
        <v>2041</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14.899906689434305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5</v>
      </c>
      <c r="R52">
        <f t="shared" si="0"/>
        <v>0.44444444444444442</v>
      </c>
      <c r="S52">
        <f>survey_responses[[#This Row],[Tôi tin rằng với các quy định quản lý thuế hiện nay, hành vi gian lận hoặc trốn thuế sẽ dễ dàng bị phát hiện và xử lý nghiêm. - HUMAN-ENF1]]</f>
        <v>10</v>
      </c>
      <c r="T52">
        <f t="shared" si="1"/>
        <v>1</v>
      </c>
      <c r="U52">
        <f>step3_validation[[#This Row],[AI_ENF2]]</f>
        <v>6</v>
      </c>
      <c r="V52">
        <f t="shared" si="2"/>
        <v>0.55555555555555558</v>
      </c>
      <c r="W52">
        <f>survey_responses[[#This Row],[Tôi tin rằng Nhà nước, cơ quan thuế có đủ khả năng và công nghệ để phát hiện, xử lý nghiêm các hành vi trốn thuế. - HUMAN-ENF2]]</f>
        <v>10</v>
      </c>
      <c r="X52">
        <f t="shared" si="3"/>
        <v>1</v>
      </c>
      <c r="Y52" s="32">
        <f t="shared" si="4"/>
        <v>0.5</v>
      </c>
      <c r="Z52" s="32">
        <f t="shared" si="5"/>
        <v>1</v>
      </c>
      <c r="AA52">
        <f>step3_validation[[#This Row],[AI_FAC1]]</f>
        <v>8</v>
      </c>
      <c r="AB52">
        <f t="shared" si="6"/>
        <v>0.77777777777777779</v>
      </c>
      <c r="AC52">
        <f>survey_responses[[#This Row],[Các thủ tục khai báo thuế VÀ/HOẶC quy trình làm việc với cơ quan thuế đơn giản, tiện lợi, nhanh chóng hơn so với trước đây. - HUMAN-FAC1]]</f>
        <v>10</v>
      </c>
      <c r="AD52">
        <f t="shared" si="7"/>
        <v>1</v>
      </c>
      <c r="AE52">
        <f>step3_validation[[#This Row],[AI_FAC2]]</f>
        <v>9</v>
      </c>
      <c r="AF52">
        <f t="shared" si="8"/>
        <v>0.88888888888888884</v>
      </c>
      <c r="AG52">
        <f>survey_responses[[#This Row],[So với trước đây, tôi thấy cách tính thuế và các bậc thuế trong phương án mới đơn giản, dễ hiểu và dễ thực hiện hơn. - HUMAN-FAC2]]</f>
        <v>10</v>
      </c>
      <c r="AH52">
        <f t="shared" si="9"/>
        <v>1</v>
      </c>
      <c r="AI52" s="32">
        <f t="shared" si="10"/>
        <v>0.83333333333333326</v>
      </c>
      <c r="AJ52" s="32">
        <f t="shared" si="11"/>
        <v>1</v>
      </c>
      <c r="AK52">
        <f>step3_validation[[#This Row],[AI_TRU1]]</f>
        <v>7</v>
      </c>
      <c r="AL52">
        <f t="shared" si="12"/>
        <v>0.66666666666666663</v>
      </c>
      <c r="AM52">
        <f>survey_responses[[#This Row],[Tôi tin rằng Nhà nước, cơ quan thuế sẽ thực thi chính sách mới một cách khách quan, công tâm và đối xử bình đẳng với mọi người nộp thuế.  - HUMAN-TRU1]]</f>
        <v>10</v>
      </c>
      <c r="AN52">
        <f t="shared" si="13"/>
        <v>1</v>
      </c>
      <c r="AO52">
        <f>step3_validation[[#This Row],[AI_TRU2]]</f>
        <v>8</v>
      </c>
      <c r="AP52">
        <f t="shared" si="14"/>
        <v>0.77777777777777779</v>
      </c>
      <c r="AQ52">
        <f>survey_responses[[#This Row],[Tôi thấy mức thuế tôi phải đóng theo phương án mới là công bằng (người thu nhập như tôi đóng mức này là hợp lý). - HUMAN-TRU2]]</f>
        <v>10</v>
      </c>
      <c r="AR52">
        <f t="shared" si="15"/>
        <v>1</v>
      </c>
      <c r="AS52">
        <f>step3_validation[[#This Row],[AI_TRU3]]</f>
        <v>7</v>
      </c>
      <c r="AT52">
        <f t="shared" si="16"/>
        <v>0.66666666666666663</v>
      </c>
      <c r="AU52">
        <f>survey_responses[[#This Row],[Tôi tin tưởng số tiền thuế tôi đóng sẽ được Nhà nước sử dụng hiệu quả để cải thiện dịch vụ công (y tế, đường xá...). - HUMAN-TRU3]]</f>
        <v>10</v>
      </c>
      <c r="AV52">
        <f t="shared" si="17"/>
        <v>1</v>
      </c>
      <c r="AW52">
        <f>step3_validation[[#This Row],[AI_TRU4]]</f>
        <v>6</v>
      </c>
      <c r="AX52">
        <f t="shared" si="18"/>
        <v>0.55555555555555558</v>
      </c>
      <c r="AY52">
        <f>survey_responses[[#This Row],[Tôi thấy Nhà nước đã giải thích rõ ràng, minh bạch về lý do và mục tiêu của việc sửa đổi thuế lần này. - HUMAN-TRU4]]</f>
        <v>10</v>
      </c>
      <c r="AZ52">
        <f t="shared" si="19"/>
        <v>1</v>
      </c>
      <c r="BA52" s="32">
        <f t="shared" si="20"/>
        <v>0.66666666666666674</v>
      </c>
      <c r="BB52" s="32">
        <f t="shared" si="21"/>
        <v>1</v>
      </c>
      <c r="BC52" s="7">
        <f t="shared" si="22"/>
        <v>0.66666666666666663</v>
      </c>
      <c r="BD52" s="7">
        <f t="shared" si="23"/>
        <v>1</v>
      </c>
      <c r="BE52">
        <f>step3_validation[[#This Row],[AI_OUT1]]</f>
        <v>9</v>
      </c>
      <c r="BF52">
        <f t="shared" si="24"/>
        <v>0.88888888888888884</v>
      </c>
      <c r="BG52">
        <f>survey_responses[[#This Row],[Sau khi xem xét các quyền lợi và nghĩa vụ, bạn có ủng hộ và tuân thủ chính sách mới hiện nay? - HUMAN-OUT1]]</f>
        <v>10</v>
      </c>
      <c r="BH52">
        <f t="shared" si="25"/>
        <v>1</v>
      </c>
      <c r="BI52" s="32">
        <f t="shared" si="26"/>
        <v>1</v>
      </c>
    </row>
    <row r="53" spans="1:61" x14ac:dyDescent="0.45">
      <c r="A53" s="30">
        <f>step3_validation[[#This Row],[Persona_ID]]</f>
        <v>52</v>
      </c>
      <c r="B53" s="31">
        <f>step3_validation[[#This Row],[Used_Seed]]</f>
        <v>2042</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20.133872094292034</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8</v>
      </c>
      <c r="R53">
        <f t="shared" si="0"/>
        <v>0.77777777777777779</v>
      </c>
      <c r="S53">
        <f>survey_responses[[#This Row],[Tôi tin rằng với các quy định quản lý thuế hiện nay, hành vi gian lận hoặc trốn thuế sẽ dễ dàng bị phát hiện và xử lý nghiêm. - HUMAN-ENF1]]</f>
        <v>10</v>
      </c>
      <c r="T53">
        <f t="shared" si="1"/>
        <v>1</v>
      </c>
      <c r="U53">
        <f>step3_validation[[#This Row],[AI_ENF2]]</f>
        <v>7</v>
      </c>
      <c r="V53">
        <f t="shared" si="2"/>
        <v>0.66666666666666663</v>
      </c>
      <c r="W53">
        <f>survey_responses[[#This Row],[Tôi tin rằng Nhà nước, cơ quan thuế có đủ khả năng và công nghệ để phát hiện, xử lý nghiêm các hành vi trốn thuế. - HUMAN-ENF2]]</f>
        <v>10</v>
      </c>
      <c r="X53">
        <f t="shared" si="3"/>
        <v>1</v>
      </c>
      <c r="Y53" s="32">
        <f t="shared" si="4"/>
        <v>0.72222222222222221</v>
      </c>
      <c r="Z53" s="32">
        <f t="shared" si="5"/>
        <v>1</v>
      </c>
      <c r="AA53">
        <f>step3_validation[[#This Row],[AI_FAC1]]</f>
        <v>9</v>
      </c>
      <c r="AB53">
        <f t="shared" si="6"/>
        <v>0.88888888888888884</v>
      </c>
      <c r="AC53">
        <f>survey_responses[[#This Row],[Các thủ tục khai báo thuế VÀ/HOẶC quy trình làm việc với cơ quan thuế đơn giản, tiện lợi, nhanh chóng hơn so với trước đây. - HUMAN-FAC1]]</f>
        <v>10</v>
      </c>
      <c r="AD53">
        <f t="shared" si="7"/>
        <v>1</v>
      </c>
      <c r="AE53">
        <f>step3_validation[[#This Row],[AI_FAC2]]</f>
        <v>9</v>
      </c>
      <c r="AF53">
        <f t="shared" si="8"/>
        <v>0.88888888888888884</v>
      </c>
      <c r="AG53">
        <f>survey_responses[[#This Row],[So với trước đây, tôi thấy cách tính thuế và các bậc thuế trong phương án mới đơn giản, dễ hiểu và dễ thực hiện hơn. - HUMAN-FAC2]]</f>
        <v>10</v>
      </c>
      <c r="AH53">
        <f t="shared" si="9"/>
        <v>1</v>
      </c>
      <c r="AI53" s="32">
        <f t="shared" si="10"/>
        <v>0.88888888888888884</v>
      </c>
      <c r="AJ53" s="32">
        <f t="shared" si="11"/>
        <v>1</v>
      </c>
      <c r="AK53">
        <f>step3_validation[[#This Row],[AI_TRU1]]</f>
        <v>6</v>
      </c>
      <c r="AL53">
        <f t="shared" si="12"/>
        <v>0.55555555555555558</v>
      </c>
      <c r="AM53">
        <f>survey_responses[[#This Row],[Tôi tin rằng Nhà nước, cơ quan thuế sẽ thực thi chính sách mới một cách khách quan, công tâm và đối xử bình đẳng với mọi người nộp thuế.  - HUMAN-TRU1]]</f>
        <v>10</v>
      </c>
      <c r="AN53">
        <f t="shared" si="13"/>
        <v>1</v>
      </c>
      <c r="AO53">
        <f>step3_validation[[#This Row],[AI_TRU2]]</f>
        <v>8</v>
      </c>
      <c r="AP53">
        <f t="shared" si="14"/>
        <v>0.77777777777777779</v>
      </c>
      <c r="AQ53">
        <f>survey_responses[[#This Row],[Tôi thấy mức thuế tôi phải đóng theo phương án mới là công bằng (người thu nhập như tôi đóng mức này là hợp lý). - HUMAN-TRU2]]</f>
        <v>10</v>
      </c>
      <c r="AR53">
        <f t="shared" si="15"/>
        <v>1</v>
      </c>
      <c r="AS53">
        <f>step3_validation[[#This Row],[AI_TRU3]]</f>
        <v>7</v>
      </c>
      <c r="AT53">
        <f t="shared" si="16"/>
        <v>0.66666666666666663</v>
      </c>
      <c r="AU53">
        <f>survey_responses[[#This Row],[Tôi tin tưởng số tiền thuế tôi đóng sẽ được Nhà nước sử dụng hiệu quả để cải thiện dịch vụ công (y tế, đường xá...). - HUMAN-TRU3]]</f>
        <v>10</v>
      </c>
      <c r="AV53">
        <f t="shared" si="17"/>
        <v>1</v>
      </c>
      <c r="AW53">
        <f>step3_validation[[#This Row],[AI_TRU4]]</f>
        <v>6</v>
      </c>
      <c r="AX53">
        <f t="shared" si="18"/>
        <v>0.55555555555555558</v>
      </c>
      <c r="AY53">
        <f>survey_responses[[#This Row],[Tôi thấy Nhà nước đã giải thích rõ ràng, minh bạch về lý do và mục tiêu của việc sửa đổi thuế lần này. - HUMAN-TRU4]]</f>
        <v>10</v>
      </c>
      <c r="AZ53">
        <f t="shared" si="19"/>
        <v>1</v>
      </c>
      <c r="BA53" s="32">
        <f t="shared" si="20"/>
        <v>0.63888888888888884</v>
      </c>
      <c r="BB53" s="32">
        <f t="shared" si="21"/>
        <v>1</v>
      </c>
      <c r="BC53" s="7">
        <f t="shared" si="22"/>
        <v>0.75</v>
      </c>
      <c r="BD53" s="7">
        <f t="shared" si="23"/>
        <v>1</v>
      </c>
      <c r="BE53">
        <f>step3_validation[[#This Row],[AI_OUT1]]</f>
        <v>8</v>
      </c>
      <c r="BF53">
        <f t="shared" si="24"/>
        <v>0.77777777777777779</v>
      </c>
      <c r="BG53">
        <f>survey_responses[[#This Row],[Sau khi xem xét các quyền lợi và nghĩa vụ, bạn có ủng hộ và tuân thủ chính sách mới hiện nay? - HUMAN-OUT1]]</f>
        <v>8</v>
      </c>
      <c r="BH53">
        <f t="shared" si="25"/>
        <v>0.77777777777777779</v>
      </c>
      <c r="BI53" s="32">
        <f t="shared" si="26"/>
        <v>0</v>
      </c>
    </row>
    <row r="54" spans="1:61" x14ac:dyDescent="0.45">
      <c r="A54" s="30">
        <f>step3_validation[[#This Row],[Persona_ID]]</f>
        <v>53</v>
      </c>
      <c r="B54" s="31">
        <f>step3_validation[[#This Row],[Used_Seed]]</f>
        <v>2043</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16.192287050442665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4</v>
      </c>
      <c r="R54">
        <f t="shared" si="0"/>
        <v>0.33333333333333331</v>
      </c>
      <c r="S54">
        <f>survey_responses[[#This Row],[Tôi tin rằng với các quy định quản lý thuế hiện nay, hành vi gian lận hoặc trốn thuế sẽ dễ dàng bị phát hiện và xử lý nghiêm. - HUMAN-ENF1]]</f>
        <v>10</v>
      </c>
      <c r="T54">
        <f t="shared" si="1"/>
        <v>1</v>
      </c>
      <c r="U54">
        <f>step3_validation[[#This Row],[AI_ENF2]]</f>
        <v>5</v>
      </c>
      <c r="V54">
        <f t="shared" si="2"/>
        <v>0.44444444444444442</v>
      </c>
      <c r="W54">
        <f>survey_responses[[#This Row],[Tôi tin rằng Nhà nước, cơ quan thuế có đủ khả năng và công nghệ để phát hiện, xử lý nghiêm các hành vi trốn thuế. - HUMAN-ENF2]]</f>
        <v>10</v>
      </c>
      <c r="X54">
        <f t="shared" si="3"/>
        <v>1</v>
      </c>
      <c r="Y54" s="32">
        <f t="shared" si="4"/>
        <v>0.38888888888888884</v>
      </c>
      <c r="Z54" s="32">
        <f t="shared" si="5"/>
        <v>1</v>
      </c>
      <c r="AA54">
        <f>step3_validation[[#This Row],[AI_FAC1]]</f>
        <v>6</v>
      </c>
      <c r="AB54">
        <f t="shared" si="6"/>
        <v>0.55555555555555558</v>
      </c>
      <c r="AC54">
        <f>survey_responses[[#This Row],[Các thủ tục khai báo thuế VÀ/HOẶC quy trình làm việc với cơ quan thuế đơn giản, tiện lợi, nhanh chóng hơn so với trước đây. - HUMAN-FAC1]]</f>
        <v>10</v>
      </c>
      <c r="AD54">
        <f t="shared" si="7"/>
        <v>1</v>
      </c>
      <c r="AE54">
        <f>step3_validation[[#This Row],[AI_FAC2]]</f>
        <v>7</v>
      </c>
      <c r="AF54">
        <f t="shared" si="8"/>
        <v>0.66666666666666663</v>
      </c>
      <c r="AG54">
        <f>survey_responses[[#This Row],[So với trước đây, tôi thấy cách tính thuế và các bậc thuế trong phương án mới đơn giản, dễ hiểu và dễ thực hiện hơn. - HUMAN-FAC2]]</f>
        <v>10</v>
      </c>
      <c r="AH54">
        <f t="shared" si="9"/>
        <v>1</v>
      </c>
      <c r="AI54" s="32">
        <f t="shared" si="10"/>
        <v>0.61111111111111116</v>
      </c>
      <c r="AJ54" s="32">
        <f t="shared" si="11"/>
        <v>1</v>
      </c>
      <c r="AK54">
        <f>step3_validation[[#This Row],[AI_TRU1]]</f>
        <v>8</v>
      </c>
      <c r="AL54">
        <f t="shared" si="12"/>
        <v>0.77777777777777779</v>
      </c>
      <c r="AM54">
        <f>survey_responses[[#This Row],[Tôi tin rằng Nhà nước, cơ quan thuế sẽ thực thi chính sách mới một cách khách quan, công tâm và đối xử bình đẳng với mọi người nộp thuế.  - HUMAN-TRU1]]</f>
        <v>10</v>
      </c>
      <c r="AN54">
        <f t="shared" si="13"/>
        <v>1</v>
      </c>
      <c r="AO54">
        <f>step3_validation[[#This Row],[AI_TRU2]]</f>
        <v>9</v>
      </c>
      <c r="AP54">
        <f t="shared" si="14"/>
        <v>0.88888888888888884</v>
      </c>
      <c r="AQ54">
        <f>survey_responses[[#This Row],[Tôi thấy mức thuế tôi phải đóng theo phương án mới là công bằng (người thu nhập như tôi đóng mức này là hợp lý). - HUMAN-TRU2]]</f>
        <v>10</v>
      </c>
      <c r="AR54">
        <f t="shared" si="15"/>
        <v>1</v>
      </c>
      <c r="AS54">
        <f>step3_validation[[#This Row],[AI_TRU3]]</f>
        <v>8</v>
      </c>
      <c r="AT54">
        <f t="shared" si="16"/>
        <v>0.77777777777777779</v>
      </c>
      <c r="AU54">
        <f>survey_responses[[#This Row],[Tôi tin tưởng số tiền thuế tôi đóng sẽ được Nhà nước sử dụng hiệu quả để cải thiện dịch vụ công (y tế, đường xá...). - HUMAN-TRU3]]</f>
        <v>10</v>
      </c>
      <c r="AV54">
        <f t="shared" si="17"/>
        <v>1</v>
      </c>
      <c r="AW54">
        <f>step3_validation[[#This Row],[AI_TRU4]]</f>
        <v>7</v>
      </c>
      <c r="AX54">
        <f t="shared" si="18"/>
        <v>0.66666666666666663</v>
      </c>
      <c r="AY54">
        <f>survey_responses[[#This Row],[Tôi thấy Nhà nước đã giải thích rõ ràng, minh bạch về lý do và mục tiêu của việc sửa đổi thuế lần này. - HUMAN-TRU4]]</f>
        <v>10</v>
      </c>
      <c r="AZ54">
        <f t="shared" si="19"/>
        <v>1</v>
      </c>
      <c r="BA54" s="32">
        <f t="shared" si="20"/>
        <v>0.77777777777777768</v>
      </c>
      <c r="BB54" s="32">
        <f t="shared" si="21"/>
        <v>1</v>
      </c>
      <c r="BC54" s="7">
        <f t="shared" si="22"/>
        <v>0.59259259259259256</v>
      </c>
      <c r="BD54" s="7">
        <f t="shared" si="23"/>
        <v>1</v>
      </c>
      <c r="BE54">
        <f>step3_validation[[#This Row],[AI_OUT1]]</f>
        <v>9</v>
      </c>
      <c r="BF54">
        <f t="shared" si="24"/>
        <v>0.88888888888888884</v>
      </c>
      <c r="BG54">
        <f>survey_responses[[#This Row],[Sau khi xem xét các quyền lợi và nghĩa vụ, bạn có ủng hộ và tuân thủ chính sách mới hiện nay? - HUMAN-OUT1]]</f>
        <v>10</v>
      </c>
      <c r="BH54">
        <f t="shared" si="25"/>
        <v>1</v>
      </c>
      <c r="BI54" s="32">
        <f t="shared" si="26"/>
        <v>1</v>
      </c>
    </row>
    <row r="55" spans="1:61" x14ac:dyDescent="0.45">
      <c r="A55" s="30">
        <f>step3_validation[[#This Row],[Persona_ID]]</f>
        <v>54</v>
      </c>
      <c r="B55" s="31">
        <f>step3_validation[[#This Row],[Used_Seed]]</f>
        <v>2044</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38.810046711896966</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f t="shared" si="0"/>
        <v>0.55555555555555558</v>
      </c>
      <c r="S55">
        <f>survey_responses[[#This Row],[Tôi tin rằng với các quy định quản lý thuế hiện nay, hành vi gian lận hoặc trốn thuế sẽ dễ dàng bị phát hiện và xử lý nghiêm. - HUMAN-ENF1]]</f>
        <v>8</v>
      </c>
      <c r="T55">
        <f t="shared" si="1"/>
        <v>0.77777777777777779</v>
      </c>
      <c r="U55">
        <f>step3_validation[[#This Row],[AI_ENF2]]</f>
        <v>8</v>
      </c>
      <c r="V55">
        <f t="shared" si="2"/>
        <v>0.77777777777777779</v>
      </c>
      <c r="W55">
        <f>survey_responses[[#This Row],[Tôi tin rằng Nhà nước, cơ quan thuế có đủ khả năng và công nghệ để phát hiện, xử lý nghiêm các hành vi trốn thuế. - HUMAN-ENF2]]</f>
        <v>7</v>
      </c>
      <c r="X55">
        <f t="shared" si="3"/>
        <v>0.66666666666666663</v>
      </c>
      <c r="Y55" s="32">
        <f t="shared" si="4"/>
        <v>0.66666666666666674</v>
      </c>
      <c r="Z55" s="32">
        <f t="shared" si="5"/>
        <v>0.72222222222222221</v>
      </c>
      <c r="AA55">
        <f>step3_validation[[#This Row],[AI_FAC1]]</f>
        <v>7</v>
      </c>
      <c r="AB55">
        <f t="shared" si="6"/>
        <v>0.66666666666666663</v>
      </c>
      <c r="AC55">
        <f>survey_responses[[#This Row],[Các thủ tục khai báo thuế VÀ/HOẶC quy trình làm việc với cơ quan thuế đơn giản, tiện lợi, nhanh chóng hơn so với trước đây. - HUMAN-FAC1]]</f>
        <v>7</v>
      </c>
      <c r="AD55">
        <f t="shared" si="7"/>
        <v>0.66666666666666663</v>
      </c>
      <c r="AE55">
        <f>step3_validation[[#This Row],[AI_FAC2]]</f>
        <v>9</v>
      </c>
      <c r="AF55">
        <f t="shared" si="8"/>
        <v>0.88888888888888884</v>
      </c>
      <c r="AG55">
        <f>survey_responses[[#This Row],[So với trước đây, tôi thấy cách tính thuế và các bậc thuế trong phương án mới đơn giản, dễ hiểu và dễ thực hiện hơn. - HUMAN-FAC2]]</f>
        <v>8</v>
      </c>
      <c r="AH55">
        <f t="shared" si="9"/>
        <v>0.77777777777777779</v>
      </c>
      <c r="AI55" s="32">
        <f t="shared" si="10"/>
        <v>0.77777777777777768</v>
      </c>
      <c r="AJ55" s="32">
        <f t="shared" si="11"/>
        <v>0.72222222222222221</v>
      </c>
      <c r="AK55">
        <f>step3_validation[[#This Row],[AI_TRU1]]</f>
        <v>7</v>
      </c>
      <c r="AL55">
        <f t="shared" si="12"/>
        <v>0.66666666666666663</v>
      </c>
      <c r="AM55">
        <f>survey_responses[[#This Row],[Tôi tin rằng Nhà nước, cơ quan thuế sẽ thực thi chính sách mới một cách khách quan, công tâm và đối xử bình đẳng với mọi người nộp thuế.  - HUMAN-TRU1]]</f>
        <v>7</v>
      </c>
      <c r="AN55">
        <f t="shared" si="13"/>
        <v>0.66666666666666663</v>
      </c>
      <c r="AO55">
        <f>step3_validation[[#This Row],[AI_TRU2]]</f>
        <v>9</v>
      </c>
      <c r="AP55">
        <f t="shared" si="14"/>
        <v>0.88888888888888884</v>
      </c>
      <c r="AQ55">
        <f>survey_responses[[#This Row],[Tôi thấy mức thuế tôi phải đóng theo phương án mới là công bằng (người thu nhập như tôi đóng mức này là hợp lý). - HUMAN-TRU2]]</f>
        <v>8</v>
      </c>
      <c r="AR55">
        <f t="shared" si="15"/>
        <v>0.77777777777777779</v>
      </c>
      <c r="AS55">
        <f>step3_validation[[#This Row],[AI_TRU3]]</f>
        <v>7</v>
      </c>
      <c r="AT55">
        <f t="shared" si="16"/>
        <v>0.66666666666666663</v>
      </c>
      <c r="AU55">
        <f>survey_responses[[#This Row],[Tôi tin tưởng số tiền thuế tôi đóng sẽ được Nhà nước sử dụng hiệu quả để cải thiện dịch vụ công (y tế, đường xá...). - HUMAN-TRU3]]</f>
        <v>7</v>
      </c>
      <c r="AV55">
        <f t="shared" si="17"/>
        <v>0.66666666666666663</v>
      </c>
      <c r="AW55">
        <f>step3_validation[[#This Row],[AI_TRU4]]</f>
        <v>8</v>
      </c>
      <c r="AX55">
        <f t="shared" si="18"/>
        <v>0.77777777777777779</v>
      </c>
      <c r="AY55">
        <f>survey_responses[[#This Row],[Tôi thấy Nhà nước đã giải thích rõ ràng, minh bạch về lý do và mục tiêu của việc sửa đổi thuế lần này. - HUMAN-TRU4]]</f>
        <v>7</v>
      </c>
      <c r="AZ55">
        <f t="shared" si="19"/>
        <v>0.66666666666666663</v>
      </c>
      <c r="BA55" s="32">
        <f t="shared" si="20"/>
        <v>0.74999999999999989</v>
      </c>
      <c r="BB55" s="32">
        <f t="shared" si="21"/>
        <v>0.69444444444444442</v>
      </c>
      <c r="BC55" s="7">
        <f t="shared" si="22"/>
        <v>0.7314814814814814</v>
      </c>
      <c r="BD55" s="7">
        <f t="shared" si="23"/>
        <v>0.71296296296296291</v>
      </c>
      <c r="BE55">
        <f>step3_validation[[#This Row],[AI_OUT1]]</f>
        <v>9</v>
      </c>
      <c r="BF55">
        <f t="shared" si="24"/>
        <v>0.88888888888888884</v>
      </c>
      <c r="BG55">
        <f>survey_responses[[#This Row],[Sau khi xem xét các quyền lợi và nghĩa vụ, bạn có ủng hộ và tuân thủ chính sách mới hiện nay? - HUMAN-OUT1]]</f>
        <v>8</v>
      </c>
      <c r="BH55">
        <f t="shared" si="25"/>
        <v>0.77777777777777779</v>
      </c>
      <c r="BI55" s="32">
        <f t="shared" si="26"/>
        <v>1</v>
      </c>
    </row>
    <row r="56" spans="1:61" x14ac:dyDescent="0.45">
      <c r="A56" s="30">
        <f>step3_validation[[#This Row],[Persona_ID]]</f>
        <v>55</v>
      </c>
      <c r="B56" s="31">
        <f>step3_validation[[#This Row],[Used_Seed]]</f>
        <v>2045</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45.741177810676689</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f t="shared" si="0"/>
        <v>0.66666666666666663</v>
      </c>
      <c r="S56">
        <f>survey_responses[[#This Row],[Tôi tin rằng với các quy định quản lý thuế hiện nay, hành vi gian lận hoặc trốn thuế sẽ dễ dàng bị phát hiện và xử lý nghiêm. - HUMAN-ENF1]]</f>
        <v>10</v>
      </c>
      <c r="T56">
        <f t="shared" si="1"/>
        <v>1</v>
      </c>
      <c r="U56">
        <f>step3_validation[[#This Row],[AI_ENF2]]</f>
        <v>7</v>
      </c>
      <c r="V56">
        <f t="shared" si="2"/>
        <v>0.66666666666666663</v>
      </c>
      <c r="W56">
        <f>survey_responses[[#This Row],[Tôi tin rằng Nhà nước, cơ quan thuế có đủ khả năng và công nghệ để phát hiện, xử lý nghiêm các hành vi trốn thuế. - HUMAN-ENF2]]</f>
        <v>9</v>
      </c>
      <c r="X56">
        <f t="shared" si="3"/>
        <v>0.88888888888888884</v>
      </c>
      <c r="Y56" s="32">
        <f t="shared" si="4"/>
        <v>0.66666666666666663</v>
      </c>
      <c r="Z56" s="32">
        <f t="shared" si="5"/>
        <v>0.94444444444444442</v>
      </c>
      <c r="AA56">
        <f>step3_validation[[#This Row],[AI_FAC1]]</f>
        <v>8</v>
      </c>
      <c r="AB56">
        <f t="shared" si="6"/>
        <v>0.77777777777777779</v>
      </c>
      <c r="AC56">
        <f>survey_responses[[#This Row],[Các thủ tục khai báo thuế VÀ/HOẶC quy trình làm việc với cơ quan thuế đơn giản, tiện lợi, nhanh chóng hơn so với trước đây. - HUMAN-FAC1]]</f>
        <v>3</v>
      </c>
      <c r="AD56">
        <f t="shared" si="7"/>
        <v>0.22222222222222221</v>
      </c>
      <c r="AE56">
        <f>step3_validation[[#This Row],[AI_FAC2]]</f>
        <v>9</v>
      </c>
      <c r="AF56">
        <f t="shared" si="8"/>
        <v>0.88888888888888884</v>
      </c>
      <c r="AG56">
        <f>survey_responses[[#This Row],[So với trước đây, tôi thấy cách tính thuế và các bậc thuế trong phương án mới đơn giản, dễ hiểu và dễ thực hiện hơn. - HUMAN-FAC2]]</f>
        <v>4</v>
      </c>
      <c r="AH56">
        <f t="shared" si="9"/>
        <v>0.33333333333333331</v>
      </c>
      <c r="AI56" s="32">
        <f t="shared" si="10"/>
        <v>0.83333333333333326</v>
      </c>
      <c r="AJ56" s="32">
        <f t="shared" si="11"/>
        <v>0.27777777777777779</v>
      </c>
      <c r="AK56">
        <f>step3_validation[[#This Row],[AI_TRU1]]</f>
        <v>6</v>
      </c>
      <c r="AL56">
        <f t="shared" si="12"/>
        <v>0.55555555555555558</v>
      </c>
      <c r="AM56">
        <f>survey_responses[[#This Row],[Tôi tin rằng Nhà nước, cơ quan thuế sẽ thực thi chính sách mới một cách khách quan, công tâm và đối xử bình đẳng với mọi người nộp thuế.  - HUMAN-TRU1]]</f>
        <v>3</v>
      </c>
      <c r="AN56">
        <f t="shared" si="13"/>
        <v>0.22222222222222221</v>
      </c>
      <c r="AO56">
        <f>step3_validation[[#This Row],[AI_TRU2]]</f>
        <v>8</v>
      </c>
      <c r="AP56">
        <f t="shared" si="14"/>
        <v>0.77777777777777779</v>
      </c>
      <c r="AQ56">
        <f>survey_responses[[#This Row],[Tôi thấy mức thuế tôi phải đóng theo phương án mới là công bằng (người thu nhập như tôi đóng mức này là hợp lý). - HUMAN-TRU2]]</f>
        <v>3</v>
      </c>
      <c r="AR56">
        <f t="shared" si="15"/>
        <v>0.22222222222222221</v>
      </c>
      <c r="AS56">
        <f>step3_validation[[#This Row],[AI_TRU3]]</f>
        <v>7</v>
      </c>
      <c r="AT56">
        <f t="shared" si="16"/>
        <v>0.66666666666666663</v>
      </c>
      <c r="AU56">
        <f>survey_responses[[#This Row],[Tôi tin tưởng số tiền thuế tôi đóng sẽ được Nhà nước sử dụng hiệu quả để cải thiện dịch vụ công (y tế, đường xá...). - HUMAN-TRU3]]</f>
        <v>1</v>
      </c>
      <c r="AV56">
        <f t="shared" si="17"/>
        <v>0</v>
      </c>
      <c r="AW56">
        <f>step3_validation[[#This Row],[AI_TRU4]]</f>
        <v>6</v>
      </c>
      <c r="AX56">
        <f t="shared" si="18"/>
        <v>0.55555555555555558</v>
      </c>
      <c r="AY56">
        <f>survey_responses[[#This Row],[Tôi thấy Nhà nước đã giải thích rõ ràng, minh bạch về lý do và mục tiêu của việc sửa đổi thuế lần này. - HUMAN-TRU4]]</f>
        <v>1</v>
      </c>
      <c r="AZ56">
        <f t="shared" si="19"/>
        <v>0</v>
      </c>
      <c r="BA56" s="32">
        <f t="shared" si="20"/>
        <v>0.63888888888888884</v>
      </c>
      <c r="BB56" s="32">
        <f t="shared" si="21"/>
        <v>0.1111111111111111</v>
      </c>
      <c r="BC56" s="7">
        <f t="shared" si="22"/>
        <v>0.71296296296296291</v>
      </c>
      <c r="BD56" s="7">
        <f t="shared" si="23"/>
        <v>0.44444444444444448</v>
      </c>
      <c r="BE56">
        <f>step3_validation[[#This Row],[AI_OUT1]]</f>
        <v>7</v>
      </c>
      <c r="BF56">
        <f t="shared" si="24"/>
        <v>0.66666666666666663</v>
      </c>
      <c r="BG56">
        <f>survey_responses[[#This Row],[Sau khi xem xét các quyền lợi và nghĩa vụ, bạn có ủng hộ và tuân thủ chính sách mới hiện nay? - HUMAN-OUT1]]</f>
        <v>3</v>
      </c>
      <c r="BH56">
        <f t="shared" si="25"/>
        <v>0.22222222222222221</v>
      </c>
      <c r="BI56" s="32">
        <f t="shared" si="26"/>
        <v>4</v>
      </c>
    </row>
    <row r="57" spans="1:61" x14ac:dyDescent="0.45">
      <c r="A57" s="30">
        <f>step3_validation[[#This Row],[Persona_ID]]</f>
        <v>56</v>
      </c>
      <c r="B57" s="31">
        <f>step3_validation[[#This Row],[Used_Seed]]</f>
        <v>2046</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f t="shared" si="0"/>
        <v>0.66666666666666663</v>
      </c>
      <c r="S57">
        <f>survey_responses[[#This Row],[Tôi tin rằng với các quy định quản lý thuế hiện nay, hành vi gian lận hoặc trốn thuế sẽ dễ dàng bị phát hiện và xử lý nghiêm. - HUMAN-ENF1]]</f>
        <v>10</v>
      </c>
      <c r="T57">
        <f t="shared" si="1"/>
        <v>1</v>
      </c>
      <c r="U57">
        <f>step3_validation[[#This Row],[AI_ENF2]]</f>
        <v>8</v>
      </c>
      <c r="V57">
        <f t="shared" si="2"/>
        <v>0.77777777777777779</v>
      </c>
      <c r="W57">
        <f>survey_responses[[#This Row],[Tôi tin rằng Nhà nước, cơ quan thuế có đủ khả năng và công nghệ để phát hiện, xử lý nghiêm các hành vi trốn thuế. - HUMAN-ENF2]]</f>
        <v>10</v>
      </c>
      <c r="X57">
        <f t="shared" si="3"/>
        <v>1</v>
      </c>
      <c r="Y57" s="32">
        <f t="shared" si="4"/>
        <v>0.72222222222222221</v>
      </c>
      <c r="Z57" s="32">
        <f t="shared" si="5"/>
        <v>1</v>
      </c>
      <c r="AA57">
        <f>step3_validation[[#This Row],[AI_FAC1]]</f>
        <v>9</v>
      </c>
      <c r="AB57">
        <f t="shared" si="6"/>
        <v>0.88888888888888884</v>
      </c>
      <c r="AC57">
        <f>survey_responses[[#This Row],[Các thủ tục khai báo thuế VÀ/HOẶC quy trình làm việc với cơ quan thuế đơn giản, tiện lợi, nhanh chóng hơn so với trước đây. - HUMAN-FAC1]]</f>
        <v>9</v>
      </c>
      <c r="AD57">
        <f t="shared" si="7"/>
        <v>0.88888888888888884</v>
      </c>
      <c r="AE57">
        <f>step3_validation[[#This Row],[AI_FAC2]]</f>
        <v>9</v>
      </c>
      <c r="AF57">
        <f t="shared" si="8"/>
        <v>0.88888888888888884</v>
      </c>
      <c r="AG57">
        <f>survey_responses[[#This Row],[So với trước đây, tôi thấy cách tính thuế và các bậc thuế trong phương án mới đơn giản, dễ hiểu và dễ thực hiện hơn. - HUMAN-FAC2]]</f>
        <v>10</v>
      </c>
      <c r="AH57">
        <f t="shared" si="9"/>
        <v>1</v>
      </c>
      <c r="AI57" s="32">
        <f t="shared" si="10"/>
        <v>0.88888888888888884</v>
      </c>
      <c r="AJ57" s="32">
        <f t="shared" si="11"/>
        <v>0.94444444444444442</v>
      </c>
      <c r="AK57">
        <f>step3_validation[[#This Row],[AI_TRU1]]</f>
        <v>8</v>
      </c>
      <c r="AL57">
        <f t="shared" si="12"/>
        <v>0.77777777777777779</v>
      </c>
      <c r="AM57">
        <f>survey_responses[[#This Row],[Tôi tin rằng Nhà nước, cơ quan thuế sẽ thực thi chính sách mới một cách khách quan, công tâm và đối xử bình đẳng với mọi người nộp thuế.  - HUMAN-TRU1]]</f>
        <v>9</v>
      </c>
      <c r="AN57">
        <f t="shared" si="13"/>
        <v>0.88888888888888884</v>
      </c>
      <c r="AO57">
        <f>step3_validation[[#This Row],[AI_TRU2]]</f>
        <v>9</v>
      </c>
      <c r="AP57">
        <f t="shared" si="14"/>
        <v>0.88888888888888884</v>
      </c>
      <c r="AQ57">
        <f>survey_responses[[#This Row],[Tôi thấy mức thuế tôi phải đóng theo phương án mới là công bằng (người thu nhập như tôi đóng mức này là hợp lý). - HUMAN-TRU2]]</f>
        <v>10</v>
      </c>
      <c r="AR57">
        <f t="shared" si="15"/>
        <v>1</v>
      </c>
      <c r="AS57">
        <f>step3_validation[[#This Row],[AI_TRU3]]</f>
        <v>8</v>
      </c>
      <c r="AT57">
        <f t="shared" si="16"/>
        <v>0.77777777777777779</v>
      </c>
      <c r="AU57">
        <f>survey_responses[[#This Row],[Tôi tin tưởng số tiền thuế tôi đóng sẽ được Nhà nước sử dụng hiệu quả để cải thiện dịch vụ công (y tế, đường xá...). - HUMAN-TRU3]]</f>
        <v>9</v>
      </c>
      <c r="AV57">
        <f t="shared" si="17"/>
        <v>0.88888888888888884</v>
      </c>
      <c r="AW57">
        <f>step3_validation[[#This Row],[AI_TRU4]]</f>
        <v>9</v>
      </c>
      <c r="AX57">
        <f t="shared" si="18"/>
        <v>0.88888888888888884</v>
      </c>
      <c r="AY57">
        <f>survey_responses[[#This Row],[Tôi thấy Nhà nước đã giải thích rõ ràng, minh bạch về lý do và mục tiêu của việc sửa đổi thuế lần này. - HUMAN-TRU4]]</f>
        <v>10</v>
      </c>
      <c r="AZ57">
        <f t="shared" si="19"/>
        <v>1</v>
      </c>
      <c r="BA57" s="32">
        <f t="shared" si="20"/>
        <v>0.83333333333333326</v>
      </c>
      <c r="BB57" s="32">
        <f t="shared" si="21"/>
        <v>0.94444444444444442</v>
      </c>
      <c r="BC57" s="7">
        <f t="shared" si="22"/>
        <v>0.81481481481481488</v>
      </c>
      <c r="BD57" s="7">
        <f t="shared" si="23"/>
        <v>0.96296296296296291</v>
      </c>
      <c r="BE57">
        <f>step3_validation[[#This Row],[AI_OUT1]]</f>
        <v>8</v>
      </c>
      <c r="BF57">
        <f t="shared" si="24"/>
        <v>0.77777777777777779</v>
      </c>
      <c r="BG57">
        <f>survey_responses[[#This Row],[Sau khi xem xét các quyền lợi và nghĩa vụ, bạn có ủng hộ và tuân thủ chính sách mới hiện nay? - HUMAN-OUT1]]</f>
        <v>9</v>
      </c>
      <c r="BH57">
        <f t="shared" si="25"/>
        <v>0.88888888888888884</v>
      </c>
      <c r="BI57" s="32">
        <f t="shared" si="26"/>
        <v>1</v>
      </c>
    </row>
    <row r="58" spans="1:61" x14ac:dyDescent="0.45">
      <c r="A58" s="30">
        <f>step3_validation[[#This Row],[Persona_ID]]</f>
        <v>57</v>
      </c>
      <c r="B58" s="31">
        <f>step3_validation[[#This Row],[Used_Seed]]</f>
        <v>2047</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14.434261083054142</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9</v>
      </c>
      <c r="R58">
        <f t="shared" si="0"/>
        <v>0.88888888888888884</v>
      </c>
      <c r="S58">
        <f>survey_responses[[#This Row],[Tôi tin rằng với các quy định quản lý thuế hiện nay, hành vi gian lận hoặc trốn thuế sẽ dễ dàng bị phát hiện và xử lý nghiêm. - HUMAN-ENF1]]</f>
        <v>10</v>
      </c>
      <c r="T58">
        <f t="shared" si="1"/>
        <v>1</v>
      </c>
      <c r="U58">
        <f>step3_validation[[#This Row],[AI_ENF2]]</f>
        <v>8</v>
      </c>
      <c r="V58">
        <f t="shared" si="2"/>
        <v>0.77777777777777779</v>
      </c>
      <c r="W58">
        <f>survey_responses[[#This Row],[Tôi tin rằng Nhà nước, cơ quan thuế có đủ khả năng và công nghệ để phát hiện, xử lý nghiêm các hành vi trốn thuế. - HUMAN-ENF2]]</f>
        <v>10</v>
      </c>
      <c r="X58">
        <f t="shared" si="3"/>
        <v>1</v>
      </c>
      <c r="Y58" s="32">
        <f t="shared" si="4"/>
        <v>0.83333333333333326</v>
      </c>
      <c r="Z58" s="32">
        <f t="shared" si="5"/>
        <v>1</v>
      </c>
      <c r="AA58">
        <f>step3_validation[[#This Row],[AI_FAC1]]</f>
        <v>9</v>
      </c>
      <c r="AB58">
        <f t="shared" si="6"/>
        <v>0.88888888888888884</v>
      </c>
      <c r="AC58">
        <f>survey_responses[[#This Row],[Các thủ tục khai báo thuế VÀ/HOẶC quy trình làm việc với cơ quan thuế đơn giản, tiện lợi, nhanh chóng hơn so với trước đây. - HUMAN-FAC1]]</f>
        <v>1</v>
      </c>
      <c r="AD58">
        <f t="shared" si="7"/>
        <v>0</v>
      </c>
      <c r="AE58">
        <f>step3_validation[[#This Row],[AI_FAC2]]</f>
        <v>8</v>
      </c>
      <c r="AF58">
        <f t="shared" si="8"/>
        <v>0.77777777777777779</v>
      </c>
      <c r="AG58">
        <f>survey_responses[[#This Row],[So với trước đây, tôi thấy cách tính thuế và các bậc thuế trong phương án mới đơn giản, dễ hiểu và dễ thực hiện hơn. - HUMAN-FAC2]]</f>
        <v>5</v>
      </c>
      <c r="AH58">
        <f t="shared" si="9"/>
        <v>0.44444444444444442</v>
      </c>
      <c r="AI58" s="32">
        <f t="shared" si="10"/>
        <v>0.83333333333333326</v>
      </c>
      <c r="AJ58" s="32">
        <f t="shared" si="11"/>
        <v>0.22222222222222221</v>
      </c>
      <c r="AK58">
        <f>step3_validation[[#This Row],[AI_TRU1]]</f>
        <v>9</v>
      </c>
      <c r="AL58">
        <f t="shared" si="12"/>
        <v>0.88888888888888884</v>
      </c>
      <c r="AM58">
        <f>survey_responses[[#This Row],[Tôi tin rằng Nhà nước, cơ quan thuế sẽ thực thi chính sách mới một cách khách quan, công tâm và đối xử bình đẳng với mọi người nộp thuế.  - HUMAN-TRU1]]</f>
        <v>7</v>
      </c>
      <c r="AN58">
        <f t="shared" si="13"/>
        <v>0.66666666666666663</v>
      </c>
      <c r="AO58">
        <f>step3_validation[[#This Row],[AI_TRU2]]</f>
        <v>9</v>
      </c>
      <c r="AP58">
        <f t="shared" si="14"/>
        <v>0.88888888888888884</v>
      </c>
      <c r="AQ58">
        <f>survey_responses[[#This Row],[Tôi thấy mức thuế tôi phải đóng theo phương án mới là công bằng (người thu nhập như tôi đóng mức này là hợp lý). - HUMAN-TRU2]]</f>
        <v>10</v>
      </c>
      <c r="AR58">
        <f t="shared" si="15"/>
        <v>1</v>
      </c>
      <c r="AS58">
        <f>step3_validation[[#This Row],[AI_TRU3]]</f>
        <v>8</v>
      </c>
      <c r="AT58">
        <f t="shared" si="16"/>
        <v>0.77777777777777779</v>
      </c>
      <c r="AU58">
        <f>survey_responses[[#This Row],[Tôi tin tưởng số tiền thuế tôi đóng sẽ được Nhà nước sử dụng hiệu quả để cải thiện dịch vụ công (y tế, đường xá...). - HUMAN-TRU3]]</f>
        <v>9</v>
      </c>
      <c r="AV58">
        <f t="shared" si="17"/>
        <v>0.88888888888888884</v>
      </c>
      <c r="AW58">
        <f>step3_validation[[#This Row],[AI_TRU4]]</f>
        <v>9</v>
      </c>
      <c r="AX58">
        <f t="shared" si="18"/>
        <v>0.88888888888888884</v>
      </c>
      <c r="AY58">
        <f>survey_responses[[#This Row],[Tôi thấy Nhà nước đã giải thích rõ ràng, minh bạch về lý do và mục tiêu của việc sửa đổi thuế lần này. - HUMAN-TRU4]]</f>
        <v>9</v>
      </c>
      <c r="AZ58">
        <f t="shared" si="19"/>
        <v>0.88888888888888884</v>
      </c>
      <c r="BA58" s="32">
        <f t="shared" si="20"/>
        <v>0.86111111111111105</v>
      </c>
      <c r="BB58" s="32">
        <f t="shared" si="21"/>
        <v>0.86111111111111105</v>
      </c>
      <c r="BC58" s="7">
        <f t="shared" si="22"/>
        <v>0.84259259259259256</v>
      </c>
      <c r="BD58" s="7">
        <f t="shared" si="23"/>
        <v>0.69444444444444453</v>
      </c>
      <c r="BE58">
        <f>step3_validation[[#This Row],[AI_OUT1]]</f>
        <v>9</v>
      </c>
      <c r="BF58">
        <f t="shared" si="24"/>
        <v>0.88888888888888884</v>
      </c>
      <c r="BG58">
        <f>survey_responses[[#This Row],[Sau khi xem xét các quyền lợi và nghĩa vụ, bạn có ủng hộ và tuân thủ chính sách mới hiện nay? - HUMAN-OUT1]]</f>
        <v>10</v>
      </c>
      <c r="BH58">
        <f t="shared" si="25"/>
        <v>1</v>
      </c>
      <c r="BI58" s="32">
        <f t="shared" si="26"/>
        <v>1</v>
      </c>
    </row>
    <row r="59" spans="1:61" x14ac:dyDescent="0.45">
      <c r="A59" s="30">
        <f>step3_validation[[#This Row],[Persona_ID]]</f>
        <v>58</v>
      </c>
      <c r="B59" s="31">
        <f>step3_validation[[#This Row],[Used_Seed]]</f>
        <v>2048</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29.227489136000131</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5</v>
      </c>
      <c r="R59">
        <f t="shared" si="0"/>
        <v>0.44444444444444442</v>
      </c>
      <c r="S59">
        <f>survey_responses[[#This Row],[Tôi tin rằng với các quy định quản lý thuế hiện nay, hành vi gian lận hoặc trốn thuế sẽ dễ dàng bị phát hiện và xử lý nghiêm. - HUMAN-ENF1]]</f>
        <v>5</v>
      </c>
      <c r="T59">
        <f t="shared" si="1"/>
        <v>0.44444444444444442</v>
      </c>
      <c r="U59">
        <f>step3_validation[[#This Row],[AI_ENF2]]</f>
        <v>6</v>
      </c>
      <c r="V59">
        <f t="shared" si="2"/>
        <v>0.55555555555555558</v>
      </c>
      <c r="W59">
        <f>survey_responses[[#This Row],[Tôi tin rằng Nhà nước, cơ quan thuế có đủ khả năng và công nghệ để phát hiện, xử lý nghiêm các hành vi trốn thuế. - HUMAN-ENF2]]</f>
        <v>5</v>
      </c>
      <c r="X59">
        <f t="shared" si="3"/>
        <v>0.44444444444444442</v>
      </c>
      <c r="Y59" s="32">
        <f t="shared" si="4"/>
        <v>0.5</v>
      </c>
      <c r="Z59" s="32">
        <f t="shared" si="5"/>
        <v>0.44444444444444442</v>
      </c>
      <c r="AA59">
        <f>step3_validation[[#This Row],[AI_FAC1]]</f>
        <v>8</v>
      </c>
      <c r="AB59">
        <f t="shared" si="6"/>
        <v>0.77777777777777779</v>
      </c>
      <c r="AC59">
        <f>survey_responses[[#This Row],[Các thủ tục khai báo thuế VÀ/HOẶC quy trình làm việc với cơ quan thuế đơn giản, tiện lợi, nhanh chóng hơn so với trước đây. - HUMAN-FAC1]]</f>
        <v>4</v>
      </c>
      <c r="AD59">
        <f t="shared" si="7"/>
        <v>0.33333333333333331</v>
      </c>
      <c r="AE59">
        <f>step3_validation[[#This Row],[AI_FAC2]]</f>
        <v>7</v>
      </c>
      <c r="AF59">
        <f t="shared" si="8"/>
        <v>0.66666666666666663</v>
      </c>
      <c r="AG59">
        <f>survey_responses[[#This Row],[So với trước đây, tôi thấy cách tính thuế và các bậc thuế trong phương án mới đơn giản, dễ hiểu và dễ thực hiện hơn. - HUMAN-FAC2]]</f>
        <v>8</v>
      </c>
      <c r="AH59">
        <f t="shared" si="9"/>
        <v>0.77777777777777779</v>
      </c>
      <c r="AI59" s="32">
        <f t="shared" si="10"/>
        <v>0.72222222222222221</v>
      </c>
      <c r="AJ59" s="32">
        <f t="shared" si="11"/>
        <v>0.55555555555555558</v>
      </c>
      <c r="AK59">
        <f>step3_validation[[#This Row],[AI_TRU1]]</f>
        <v>6</v>
      </c>
      <c r="AL59">
        <f t="shared" si="12"/>
        <v>0.55555555555555558</v>
      </c>
      <c r="AM59">
        <f>survey_responses[[#This Row],[Tôi tin rằng Nhà nước, cơ quan thuế sẽ thực thi chính sách mới một cách khách quan, công tâm và đối xử bình đẳng với mọi người nộp thuế.  - HUMAN-TRU1]]</f>
        <v>5</v>
      </c>
      <c r="AN59">
        <f t="shared" si="13"/>
        <v>0.44444444444444442</v>
      </c>
      <c r="AO59">
        <f>step3_validation[[#This Row],[AI_TRU2]]</f>
        <v>9</v>
      </c>
      <c r="AP59">
        <f t="shared" si="14"/>
        <v>0.88888888888888884</v>
      </c>
      <c r="AQ59">
        <f>survey_responses[[#This Row],[Tôi thấy mức thuế tôi phải đóng theo phương án mới là công bằng (người thu nhập như tôi đóng mức này là hợp lý). - HUMAN-TRU2]]</f>
        <v>7</v>
      </c>
      <c r="AR59">
        <f t="shared" si="15"/>
        <v>0.66666666666666663</v>
      </c>
      <c r="AS59">
        <f>step3_validation[[#This Row],[AI_TRU3]]</f>
        <v>8</v>
      </c>
      <c r="AT59">
        <f t="shared" si="16"/>
        <v>0.77777777777777779</v>
      </c>
      <c r="AU59">
        <f>survey_responses[[#This Row],[Tôi tin tưởng số tiền thuế tôi đóng sẽ được Nhà nước sử dụng hiệu quả để cải thiện dịch vụ công (y tế, đường xá...). - HUMAN-TRU3]]</f>
        <v>7</v>
      </c>
      <c r="AV59">
        <f t="shared" si="17"/>
        <v>0.66666666666666663</v>
      </c>
      <c r="AW59">
        <f>step3_validation[[#This Row],[AI_TRU4]]</f>
        <v>9</v>
      </c>
      <c r="AX59">
        <f t="shared" si="18"/>
        <v>0.88888888888888884</v>
      </c>
      <c r="AY59">
        <f>survey_responses[[#This Row],[Tôi thấy Nhà nước đã giải thích rõ ràng, minh bạch về lý do và mục tiêu của việc sửa đổi thuế lần này. - HUMAN-TRU4]]</f>
        <v>7</v>
      </c>
      <c r="AZ59">
        <f t="shared" si="19"/>
        <v>0.66666666666666663</v>
      </c>
      <c r="BA59" s="32">
        <f t="shared" si="20"/>
        <v>0.77777777777777779</v>
      </c>
      <c r="BB59" s="32">
        <f t="shared" si="21"/>
        <v>0.61111111111111105</v>
      </c>
      <c r="BC59" s="7">
        <f t="shared" si="22"/>
        <v>0.66666666666666663</v>
      </c>
      <c r="BD59" s="7">
        <f t="shared" si="23"/>
        <v>0.53703703703703709</v>
      </c>
      <c r="BE59">
        <f>step3_validation[[#This Row],[AI_OUT1]]</f>
        <v>8</v>
      </c>
      <c r="BF59">
        <f t="shared" si="24"/>
        <v>0.77777777777777779</v>
      </c>
      <c r="BG59">
        <f>survey_responses[[#This Row],[Sau khi xem xét các quyền lợi và nghĩa vụ, bạn có ủng hộ và tuân thủ chính sách mới hiện nay? - HUMAN-OUT1]]</f>
        <v>7</v>
      </c>
      <c r="BH59">
        <f t="shared" si="25"/>
        <v>0.66666666666666663</v>
      </c>
      <c r="BI59" s="32">
        <f t="shared" si="26"/>
        <v>1</v>
      </c>
    </row>
    <row r="60" spans="1:61" x14ac:dyDescent="0.45">
      <c r="A60" s="30">
        <f>step3_validation[[#This Row],[Persona_ID]]</f>
        <v>59</v>
      </c>
      <c r="B60" s="31">
        <f>step3_validation[[#This Row],[Used_Seed]]</f>
        <v>2049</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6</v>
      </c>
      <c r="R60">
        <f t="shared" si="0"/>
        <v>0.55555555555555558</v>
      </c>
      <c r="S60">
        <f>survey_responses[[#This Row],[Tôi tin rằng với các quy định quản lý thuế hiện nay, hành vi gian lận hoặc trốn thuế sẽ dễ dàng bị phát hiện và xử lý nghiêm. - HUMAN-ENF1]]</f>
        <v>9</v>
      </c>
      <c r="T60">
        <f t="shared" si="1"/>
        <v>0.88888888888888884</v>
      </c>
      <c r="U60">
        <f>step3_validation[[#This Row],[AI_ENF2]]</f>
        <v>6</v>
      </c>
      <c r="V60">
        <f t="shared" si="2"/>
        <v>0.55555555555555558</v>
      </c>
      <c r="W60">
        <f>survey_responses[[#This Row],[Tôi tin rằng Nhà nước, cơ quan thuế có đủ khả năng và công nghệ để phát hiện, xử lý nghiêm các hành vi trốn thuế. - HUMAN-ENF2]]</f>
        <v>9</v>
      </c>
      <c r="X60">
        <f t="shared" si="3"/>
        <v>0.88888888888888884</v>
      </c>
      <c r="Y60" s="32">
        <f t="shared" si="4"/>
        <v>0.55555555555555558</v>
      </c>
      <c r="Z60" s="32">
        <f t="shared" si="5"/>
        <v>0.88888888888888884</v>
      </c>
      <c r="AA60">
        <f>step3_validation[[#This Row],[AI_FAC1]]</f>
        <v>8</v>
      </c>
      <c r="AB60">
        <f t="shared" si="6"/>
        <v>0.77777777777777779</v>
      </c>
      <c r="AC60">
        <f>survey_responses[[#This Row],[Các thủ tục khai báo thuế VÀ/HOẶC quy trình làm việc với cơ quan thuế đơn giản, tiện lợi, nhanh chóng hơn so với trước đây. - HUMAN-FAC1]]</f>
        <v>9</v>
      </c>
      <c r="AD60">
        <f t="shared" si="7"/>
        <v>0.88888888888888884</v>
      </c>
      <c r="AE60">
        <f>step3_validation[[#This Row],[AI_FAC2]]</f>
        <v>7</v>
      </c>
      <c r="AF60">
        <f t="shared" si="8"/>
        <v>0.66666666666666663</v>
      </c>
      <c r="AG60">
        <f>survey_responses[[#This Row],[So với trước đây, tôi thấy cách tính thuế và các bậc thuế trong phương án mới đơn giản, dễ hiểu và dễ thực hiện hơn. - HUMAN-FAC2]]</f>
        <v>7</v>
      </c>
      <c r="AH60">
        <f t="shared" si="9"/>
        <v>0.66666666666666663</v>
      </c>
      <c r="AI60" s="32">
        <f t="shared" si="10"/>
        <v>0.72222222222222221</v>
      </c>
      <c r="AJ60" s="32">
        <f t="shared" si="11"/>
        <v>0.77777777777777768</v>
      </c>
      <c r="AK60">
        <f>step3_validation[[#This Row],[AI_TRU1]]</f>
        <v>9</v>
      </c>
      <c r="AL60">
        <f t="shared" si="12"/>
        <v>0.88888888888888884</v>
      </c>
      <c r="AM60">
        <f>survey_responses[[#This Row],[Tôi tin rằng Nhà nước, cơ quan thuế sẽ thực thi chính sách mới một cách khách quan, công tâm và đối xử bình đẳng với mọi người nộp thuế.  - HUMAN-TRU1]]</f>
        <v>7</v>
      </c>
      <c r="AN60">
        <f t="shared" si="13"/>
        <v>0.66666666666666663</v>
      </c>
      <c r="AO60">
        <f>step3_validation[[#This Row],[AI_TRU2]]</f>
        <v>8</v>
      </c>
      <c r="AP60">
        <f t="shared" si="14"/>
        <v>0.77777777777777779</v>
      </c>
      <c r="AQ60">
        <f>survey_responses[[#This Row],[Tôi thấy mức thuế tôi phải đóng theo phương án mới là công bằng (người thu nhập như tôi đóng mức này là hợp lý). - HUMAN-TRU2]]</f>
        <v>8</v>
      </c>
      <c r="AR60">
        <f t="shared" si="15"/>
        <v>0.77777777777777779</v>
      </c>
      <c r="AS60">
        <f>step3_validation[[#This Row],[AI_TRU3]]</f>
        <v>7</v>
      </c>
      <c r="AT60">
        <f t="shared" si="16"/>
        <v>0.66666666666666663</v>
      </c>
      <c r="AU60">
        <f>survey_responses[[#This Row],[Tôi tin tưởng số tiền thuế tôi đóng sẽ được Nhà nước sử dụng hiệu quả để cải thiện dịch vụ công (y tế, đường xá...). - HUMAN-TRU3]]</f>
        <v>8</v>
      </c>
      <c r="AV60">
        <f t="shared" si="17"/>
        <v>0.77777777777777779</v>
      </c>
      <c r="AW60">
        <f>step3_validation[[#This Row],[AI_TRU4]]</f>
        <v>6</v>
      </c>
      <c r="AX60">
        <f t="shared" si="18"/>
        <v>0.55555555555555558</v>
      </c>
      <c r="AY60">
        <f>survey_responses[[#This Row],[Tôi thấy Nhà nước đã giải thích rõ ràng, minh bạch về lý do và mục tiêu của việc sửa đổi thuế lần này. - HUMAN-TRU4]]</f>
        <v>6</v>
      </c>
      <c r="AZ60">
        <f t="shared" si="19"/>
        <v>0.55555555555555558</v>
      </c>
      <c r="BA60" s="32">
        <f t="shared" si="20"/>
        <v>0.7222222222222221</v>
      </c>
      <c r="BB60" s="32">
        <f t="shared" si="21"/>
        <v>0.69444444444444442</v>
      </c>
      <c r="BC60" s="7">
        <f t="shared" si="22"/>
        <v>0.66666666666666663</v>
      </c>
      <c r="BD60" s="7">
        <f t="shared" si="23"/>
        <v>0.78703703703703687</v>
      </c>
      <c r="BE60">
        <f>step3_validation[[#This Row],[AI_OUT1]]</f>
        <v>8</v>
      </c>
      <c r="BF60">
        <f t="shared" si="24"/>
        <v>0.77777777777777779</v>
      </c>
      <c r="BG60">
        <f>survey_responses[[#This Row],[Sau khi xem xét các quyền lợi và nghĩa vụ, bạn có ủng hộ và tuân thủ chính sách mới hiện nay? - HUMAN-OUT1]]</f>
        <v>5</v>
      </c>
      <c r="BH60">
        <f t="shared" si="25"/>
        <v>0.44444444444444442</v>
      </c>
      <c r="BI60" s="32">
        <f t="shared" si="26"/>
        <v>3</v>
      </c>
    </row>
    <row r="61" spans="1:61" x14ac:dyDescent="0.45">
      <c r="A61" s="30">
        <f>step3_validation[[#This Row],[Persona_ID]]</f>
        <v>60</v>
      </c>
      <c r="B61" s="31">
        <f>step3_validation[[#This Row],[Used_Seed]]</f>
        <v>2050</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16.233290374231196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6</v>
      </c>
      <c r="R61">
        <f t="shared" si="0"/>
        <v>0.55555555555555558</v>
      </c>
      <c r="S61">
        <f>survey_responses[[#This Row],[Tôi tin rằng với các quy định quản lý thuế hiện nay, hành vi gian lận hoặc trốn thuế sẽ dễ dàng bị phát hiện và xử lý nghiêm. - HUMAN-ENF1]]</f>
        <v>5</v>
      </c>
      <c r="T61">
        <f t="shared" si="1"/>
        <v>0.44444444444444442</v>
      </c>
      <c r="U61">
        <f>step3_validation[[#This Row],[AI_ENF2]]</f>
        <v>7</v>
      </c>
      <c r="V61">
        <f t="shared" si="2"/>
        <v>0.66666666666666663</v>
      </c>
      <c r="W61">
        <f>survey_responses[[#This Row],[Tôi tin rằng Nhà nước, cơ quan thuế có đủ khả năng và công nghệ để phát hiện, xử lý nghiêm các hành vi trốn thuế. - HUMAN-ENF2]]</f>
        <v>5</v>
      </c>
      <c r="X61">
        <f t="shared" si="3"/>
        <v>0.44444444444444442</v>
      </c>
      <c r="Y61" s="32">
        <f t="shared" si="4"/>
        <v>0.61111111111111116</v>
      </c>
      <c r="Z61" s="32">
        <f t="shared" si="5"/>
        <v>0.44444444444444442</v>
      </c>
      <c r="AA61">
        <f>step3_validation[[#This Row],[AI_FAC1]]</f>
        <v>8</v>
      </c>
      <c r="AB61">
        <f t="shared" si="6"/>
        <v>0.77777777777777779</v>
      </c>
      <c r="AC61">
        <f>survey_responses[[#This Row],[Các thủ tục khai báo thuế VÀ/HOẶC quy trình làm việc với cơ quan thuế đơn giản, tiện lợi, nhanh chóng hơn so với trước đây. - HUMAN-FAC1]]</f>
        <v>5</v>
      </c>
      <c r="AD61">
        <f t="shared" si="7"/>
        <v>0.44444444444444442</v>
      </c>
      <c r="AE61">
        <f>step3_validation[[#This Row],[AI_FAC2]]</f>
        <v>9</v>
      </c>
      <c r="AF61">
        <f t="shared" si="8"/>
        <v>0.88888888888888884</v>
      </c>
      <c r="AG61">
        <f>survey_responses[[#This Row],[So với trước đây, tôi thấy cách tính thuế và các bậc thuế trong phương án mới đơn giản, dễ hiểu và dễ thực hiện hơn. - HUMAN-FAC2]]</f>
        <v>5</v>
      </c>
      <c r="AH61">
        <f t="shared" si="9"/>
        <v>0.44444444444444442</v>
      </c>
      <c r="AI61" s="32">
        <f t="shared" si="10"/>
        <v>0.83333333333333326</v>
      </c>
      <c r="AJ61" s="32">
        <f t="shared" si="11"/>
        <v>0.44444444444444442</v>
      </c>
      <c r="AK61">
        <f>step3_validation[[#This Row],[AI_TRU1]]</f>
        <v>7</v>
      </c>
      <c r="AL61">
        <f t="shared" si="12"/>
        <v>0.66666666666666663</v>
      </c>
      <c r="AM61">
        <f>survey_responses[[#This Row],[Tôi tin rằng Nhà nước, cơ quan thuế sẽ thực thi chính sách mới một cách khách quan, công tâm và đối xử bình đẳng với mọi người nộp thuế.  - HUMAN-TRU1]]</f>
        <v>5</v>
      </c>
      <c r="AN61">
        <f t="shared" si="13"/>
        <v>0.44444444444444442</v>
      </c>
      <c r="AO61">
        <f>step3_validation[[#This Row],[AI_TRU2]]</f>
        <v>8</v>
      </c>
      <c r="AP61">
        <f t="shared" si="14"/>
        <v>0.77777777777777779</v>
      </c>
      <c r="AQ61">
        <f>survey_responses[[#This Row],[Tôi thấy mức thuế tôi phải đóng theo phương án mới là công bằng (người thu nhập như tôi đóng mức này là hợp lý). - HUMAN-TRU2]]</f>
        <v>8</v>
      </c>
      <c r="AR61">
        <f t="shared" si="15"/>
        <v>0.77777777777777779</v>
      </c>
      <c r="AS61">
        <f>step3_validation[[#This Row],[AI_TRU3]]</f>
        <v>7</v>
      </c>
      <c r="AT61">
        <f t="shared" si="16"/>
        <v>0.66666666666666663</v>
      </c>
      <c r="AU61">
        <f>survey_responses[[#This Row],[Tôi tin tưởng số tiền thuế tôi đóng sẽ được Nhà nước sử dụng hiệu quả để cải thiện dịch vụ công (y tế, đường xá...). - HUMAN-TRU3]]</f>
        <v>4</v>
      </c>
      <c r="AV61">
        <f t="shared" si="17"/>
        <v>0.33333333333333331</v>
      </c>
      <c r="AW61">
        <f>step3_validation[[#This Row],[AI_TRU4]]</f>
        <v>6</v>
      </c>
      <c r="AX61">
        <f t="shared" si="18"/>
        <v>0.55555555555555558</v>
      </c>
      <c r="AY61">
        <f>survey_responses[[#This Row],[Tôi thấy Nhà nước đã giải thích rõ ràng, minh bạch về lý do và mục tiêu của việc sửa đổi thuế lần này. - HUMAN-TRU4]]</f>
        <v>5</v>
      </c>
      <c r="AZ61">
        <f t="shared" si="19"/>
        <v>0.44444444444444442</v>
      </c>
      <c r="BA61" s="32">
        <f t="shared" si="20"/>
        <v>0.66666666666666674</v>
      </c>
      <c r="BB61" s="32">
        <f t="shared" si="21"/>
        <v>0.5</v>
      </c>
      <c r="BC61" s="7">
        <f t="shared" si="22"/>
        <v>0.70370370370370372</v>
      </c>
      <c r="BD61" s="7">
        <f t="shared" si="23"/>
        <v>0.46296296296296297</v>
      </c>
      <c r="BE61">
        <f>step3_validation[[#This Row],[AI_OUT1]]</f>
        <v>7</v>
      </c>
      <c r="BF61">
        <f t="shared" si="24"/>
        <v>0.66666666666666663</v>
      </c>
      <c r="BG61">
        <f>survey_responses[[#This Row],[Sau khi xem xét các quyền lợi và nghĩa vụ, bạn có ủng hộ và tuân thủ chính sách mới hiện nay? - HUMAN-OUT1]]</f>
        <v>5</v>
      </c>
      <c r="BH61">
        <f t="shared" si="25"/>
        <v>0.44444444444444442</v>
      </c>
      <c r="BI61" s="32">
        <f t="shared" si="26"/>
        <v>2</v>
      </c>
    </row>
    <row r="62" spans="1:61" x14ac:dyDescent="0.45">
      <c r="A62" s="30">
        <f>step3_validation[[#This Row],[Persona_ID]]</f>
        <v>61</v>
      </c>
      <c r="B62" s="31">
        <f>step3_validation[[#This Row],[Used_Seed]]</f>
        <v>2051</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20.266279166118991</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f t="shared" si="0"/>
        <v>0.66666666666666663</v>
      </c>
      <c r="S62">
        <f>survey_responses[[#This Row],[Tôi tin rằng với các quy định quản lý thuế hiện nay, hành vi gian lận hoặc trốn thuế sẽ dễ dàng bị phát hiện và xử lý nghiêm. - HUMAN-ENF1]]</f>
        <v>8</v>
      </c>
      <c r="T62">
        <f t="shared" si="1"/>
        <v>0.77777777777777779</v>
      </c>
      <c r="U62">
        <f>step3_validation[[#This Row],[AI_ENF2]]</f>
        <v>8</v>
      </c>
      <c r="V62">
        <f t="shared" si="2"/>
        <v>0.77777777777777779</v>
      </c>
      <c r="W62">
        <f>survey_responses[[#This Row],[Tôi tin rằng Nhà nước, cơ quan thuế có đủ khả năng và công nghệ để phát hiện, xử lý nghiêm các hành vi trốn thuế. - HUMAN-ENF2]]</f>
        <v>9</v>
      </c>
      <c r="X62">
        <f t="shared" si="3"/>
        <v>0.88888888888888884</v>
      </c>
      <c r="Y62" s="32">
        <f t="shared" si="4"/>
        <v>0.72222222222222221</v>
      </c>
      <c r="Z62" s="32">
        <f t="shared" si="5"/>
        <v>0.83333333333333326</v>
      </c>
      <c r="AA62">
        <f>step3_validation[[#This Row],[AI_FAC1]]</f>
        <v>9</v>
      </c>
      <c r="AB62">
        <f t="shared" si="6"/>
        <v>0.88888888888888884</v>
      </c>
      <c r="AC62">
        <f>survey_responses[[#This Row],[Các thủ tục khai báo thuế VÀ/HOẶC quy trình làm việc với cơ quan thuế đơn giản, tiện lợi, nhanh chóng hơn so với trước đây. - HUMAN-FAC1]]</f>
        <v>9</v>
      </c>
      <c r="AD62">
        <f t="shared" si="7"/>
        <v>0.88888888888888884</v>
      </c>
      <c r="AE62">
        <f>step3_validation[[#This Row],[AI_FAC2]]</f>
        <v>8</v>
      </c>
      <c r="AF62">
        <f t="shared" si="8"/>
        <v>0.77777777777777779</v>
      </c>
      <c r="AG62">
        <f>survey_responses[[#This Row],[So với trước đây, tôi thấy cách tính thuế và các bậc thuế trong phương án mới đơn giản, dễ hiểu và dễ thực hiện hơn. - HUMAN-FAC2]]</f>
        <v>9</v>
      </c>
      <c r="AH62">
        <f t="shared" si="9"/>
        <v>0.88888888888888884</v>
      </c>
      <c r="AI62" s="32">
        <f t="shared" si="10"/>
        <v>0.83333333333333326</v>
      </c>
      <c r="AJ62" s="32">
        <f t="shared" si="11"/>
        <v>0.88888888888888884</v>
      </c>
      <c r="AK62">
        <f>step3_validation[[#This Row],[AI_TRU1]]</f>
        <v>9</v>
      </c>
      <c r="AL62">
        <f t="shared" si="12"/>
        <v>0.88888888888888884</v>
      </c>
      <c r="AM62">
        <f>survey_responses[[#This Row],[Tôi tin rằng Nhà nước, cơ quan thuế sẽ thực thi chính sách mới một cách khách quan, công tâm và đối xử bình đẳng với mọi người nộp thuế.  - HUMAN-TRU1]]</f>
        <v>9</v>
      </c>
      <c r="AN62">
        <f t="shared" si="13"/>
        <v>0.88888888888888884</v>
      </c>
      <c r="AO62">
        <f>step3_validation[[#This Row],[AI_TRU2]]</f>
        <v>9</v>
      </c>
      <c r="AP62">
        <f t="shared" si="14"/>
        <v>0.88888888888888884</v>
      </c>
      <c r="AQ62">
        <f>survey_responses[[#This Row],[Tôi thấy mức thuế tôi phải đóng theo phương án mới là công bằng (người thu nhập như tôi đóng mức này là hợp lý). - HUMAN-TRU2]]</f>
        <v>8</v>
      </c>
      <c r="AR62">
        <f t="shared" si="15"/>
        <v>0.77777777777777779</v>
      </c>
      <c r="AS62">
        <f>step3_validation[[#This Row],[AI_TRU3]]</f>
        <v>9</v>
      </c>
      <c r="AT62">
        <f t="shared" si="16"/>
        <v>0.88888888888888884</v>
      </c>
      <c r="AU62">
        <f>survey_responses[[#This Row],[Tôi tin tưởng số tiền thuế tôi đóng sẽ được Nhà nước sử dụng hiệu quả để cải thiện dịch vụ công (y tế, đường xá...). - HUMAN-TRU3]]</f>
        <v>8</v>
      </c>
      <c r="AV62">
        <f t="shared" si="17"/>
        <v>0.77777777777777779</v>
      </c>
      <c r="AW62">
        <f>step3_validation[[#This Row],[AI_TRU4]]</f>
        <v>8</v>
      </c>
      <c r="AX62">
        <f t="shared" si="18"/>
        <v>0.77777777777777779</v>
      </c>
      <c r="AY62">
        <f>survey_responses[[#This Row],[Tôi thấy Nhà nước đã giải thích rõ ràng, minh bạch về lý do và mục tiêu của việc sửa đổi thuế lần này. - HUMAN-TRU4]]</f>
        <v>8</v>
      </c>
      <c r="AZ62">
        <f t="shared" si="19"/>
        <v>0.77777777777777779</v>
      </c>
      <c r="BA62" s="32">
        <f t="shared" si="20"/>
        <v>0.86111111111111105</v>
      </c>
      <c r="BB62" s="32">
        <f t="shared" si="21"/>
        <v>0.80555555555555547</v>
      </c>
      <c r="BC62" s="7">
        <f t="shared" si="22"/>
        <v>0.80555555555555547</v>
      </c>
      <c r="BD62" s="7">
        <f t="shared" si="23"/>
        <v>0.84259259259259256</v>
      </c>
      <c r="BE62">
        <f>step3_validation[[#This Row],[AI_OUT1]]</f>
        <v>9</v>
      </c>
      <c r="BF62">
        <f t="shared" si="24"/>
        <v>0.88888888888888884</v>
      </c>
      <c r="BG62">
        <f>survey_responses[[#This Row],[Sau khi xem xét các quyền lợi và nghĩa vụ, bạn có ủng hộ và tuân thủ chính sách mới hiện nay? - HUMAN-OUT1]]</f>
        <v>9</v>
      </c>
      <c r="BH62">
        <f t="shared" si="25"/>
        <v>0.88888888888888884</v>
      </c>
      <c r="BI62" s="32">
        <f t="shared" si="26"/>
        <v>0</v>
      </c>
    </row>
    <row r="63" spans="1:61" x14ac:dyDescent="0.45">
      <c r="A63" s="30">
        <f>step3_validation[[#This Row],[Persona_ID]]</f>
        <v>62</v>
      </c>
      <c r="B63" s="31">
        <f>step3_validation[[#This Row],[Used_Seed]]</f>
        <v>2052</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26.00260731617913</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8</v>
      </c>
      <c r="R63">
        <f t="shared" si="0"/>
        <v>0.77777777777777779</v>
      </c>
      <c r="S63">
        <f>survey_responses[[#This Row],[Tôi tin rằng với các quy định quản lý thuế hiện nay, hành vi gian lận hoặc trốn thuế sẽ dễ dàng bị phát hiện và xử lý nghiêm. - HUMAN-ENF1]]</f>
        <v>9</v>
      </c>
      <c r="T63">
        <f t="shared" si="1"/>
        <v>0.88888888888888884</v>
      </c>
      <c r="U63">
        <f>step3_validation[[#This Row],[AI_ENF2]]</f>
        <v>7</v>
      </c>
      <c r="V63">
        <f t="shared" si="2"/>
        <v>0.66666666666666663</v>
      </c>
      <c r="W63">
        <f>survey_responses[[#This Row],[Tôi tin rằng Nhà nước, cơ quan thuế có đủ khả năng và công nghệ để phát hiện, xử lý nghiêm các hành vi trốn thuế. - HUMAN-ENF2]]</f>
        <v>9</v>
      </c>
      <c r="X63">
        <f t="shared" si="3"/>
        <v>0.88888888888888884</v>
      </c>
      <c r="Y63" s="32">
        <f t="shared" si="4"/>
        <v>0.72222222222222221</v>
      </c>
      <c r="Z63" s="32">
        <f t="shared" si="5"/>
        <v>0.88888888888888884</v>
      </c>
      <c r="AA63">
        <f>step3_validation[[#This Row],[AI_FAC1]]</f>
        <v>9</v>
      </c>
      <c r="AB63">
        <f t="shared" si="6"/>
        <v>0.88888888888888884</v>
      </c>
      <c r="AC63">
        <f>survey_responses[[#This Row],[Các thủ tục khai báo thuế VÀ/HOẶC quy trình làm việc với cơ quan thuế đơn giản, tiện lợi, nhanh chóng hơn so với trước đây. - HUMAN-FAC1]]</f>
        <v>7</v>
      </c>
      <c r="AD63">
        <f t="shared" si="7"/>
        <v>0.66666666666666663</v>
      </c>
      <c r="AE63">
        <f>step3_validation[[#This Row],[AI_FAC2]]</f>
        <v>8</v>
      </c>
      <c r="AF63">
        <f t="shared" si="8"/>
        <v>0.77777777777777779</v>
      </c>
      <c r="AG63">
        <f>survey_responses[[#This Row],[So với trước đây, tôi thấy cách tính thuế và các bậc thuế trong phương án mới đơn giản, dễ hiểu và dễ thực hiện hơn. - HUMAN-FAC2]]</f>
        <v>6</v>
      </c>
      <c r="AH63">
        <f t="shared" si="9"/>
        <v>0.55555555555555558</v>
      </c>
      <c r="AI63" s="32">
        <f t="shared" si="10"/>
        <v>0.83333333333333326</v>
      </c>
      <c r="AJ63" s="32">
        <f t="shared" si="11"/>
        <v>0.61111111111111116</v>
      </c>
      <c r="AK63">
        <f>step3_validation[[#This Row],[AI_TRU1]]</f>
        <v>7</v>
      </c>
      <c r="AL63">
        <f t="shared" si="12"/>
        <v>0.66666666666666663</v>
      </c>
      <c r="AM63">
        <f>survey_responses[[#This Row],[Tôi tin rằng Nhà nước, cơ quan thuế sẽ thực thi chính sách mới một cách khách quan, công tâm và đối xử bình đẳng với mọi người nộp thuế.  - HUMAN-TRU1]]</f>
        <v>7</v>
      </c>
      <c r="AN63">
        <f t="shared" si="13"/>
        <v>0.66666666666666663</v>
      </c>
      <c r="AO63">
        <f>step3_validation[[#This Row],[AI_TRU2]]</f>
        <v>9</v>
      </c>
      <c r="AP63">
        <f t="shared" si="14"/>
        <v>0.88888888888888884</v>
      </c>
      <c r="AQ63">
        <f>survey_responses[[#This Row],[Tôi thấy mức thuế tôi phải đóng theo phương án mới là công bằng (người thu nhập như tôi đóng mức này là hợp lý). - HUMAN-TRU2]]</f>
        <v>5</v>
      </c>
      <c r="AR63">
        <f t="shared" si="15"/>
        <v>0.44444444444444442</v>
      </c>
      <c r="AS63">
        <f>step3_validation[[#This Row],[AI_TRU3]]</f>
        <v>7</v>
      </c>
      <c r="AT63">
        <f t="shared" si="16"/>
        <v>0.66666666666666663</v>
      </c>
      <c r="AU63">
        <f>survey_responses[[#This Row],[Tôi tin tưởng số tiền thuế tôi đóng sẽ được Nhà nước sử dụng hiệu quả để cải thiện dịch vụ công (y tế, đường xá...). - HUMAN-TRU3]]</f>
        <v>6</v>
      </c>
      <c r="AV63">
        <f t="shared" si="17"/>
        <v>0.55555555555555558</v>
      </c>
      <c r="AW63">
        <f>step3_validation[[#This Row],[AI_TRU4]]</f>
        <v>8</v>
      </c>
      <c r="AX63">
        <f t="shared" si="18"/>
        <v>0.77777777777777779</v>
      </c>
      <c r="AY63">
        <f>survey_responses[[#This Row],[Tôi thấy Nhà nước đã giải thích rõ ràng, minh bạch về lý do và mục tiêu của việc sửa đổi thuế lần này. - HUMAN-TRU4]]</f>
        <v>8</v>
      </c>
      <c r="AZ63">
        <f t="shared" si="19"/>
        <v>0.77777777777777779</v>
      </c>
      <c r="BA63" s="32">
        <f t="shared" si="20"/>
        <v>0.74999999999999989</v>
      </c>
      <c r="BB63" s="32">
        <f t="shared" si="21"/>
        <v>0.61111111111111116</v>
      </c>
      <c r="BC63" s="7">
        <f t="shared" si="22"/>
        <v>0.76851851851851849</v>
      </c>
      <c r="BD63" s="7">
        <f t="shared" si="23"/>
        <v>0.70370370370370372</v>
      </c>
      <c r="BE63">
        <f>step3_validation[[#This Row],[AI_OUT1]]</f>
        <v>9</v>
      </c>
      <c r="BF63">
        <f t="shared" si="24"/>
        <v>0.88888888888888884</v>
      </c>
      <c r="BG63">
        <f>survey_responses[[#This Row],[Sau khi xem xét các quyền lợi và nghĩa vụ, bạn có ủng hộ và tuân thủ chính sách mới hiện nay? - HUMAN-OUT1]]</f>
        <v>5</v>
      </c>
      <c r="BH63">
        <f t="shared" si="25"/>
        <v>0.44444444444444442</v>
      </c>
      <c r="BI63" s="32">
        <f t="shared" si="26"/>
        <v>4</v>
      </c>
    </row>
    <row r="64" spans="1:61" x14ac:dyDescent="0.45">
      <c r="A64" s="30">
        <f>step3_validation[[#This Row],[Persona_ID]]</f>
        <v>63</v>
      </c>
      <c r="B64" s="31">
        <f>step3_validation[[#This Row],[Used_Seed]]</f>
        <v>2053</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21.061271422574787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f t="shared" si="0"/>
        <v>0.66666666666666663</v>
      </c>
      <c r="S64">
        <f>survey_responses[[#This Row],[Tôi tin rằng với các quy định quản lý thuế hiện nay, hành vi gian lận hoặc trốn thuế sẽ dễ dàng bị phát hiện và xử lý nghiêm. - HUMAN-ENF1]]</f>
        <v>9</v>
      </c>
      <c r="T64">
        <f t="shared" si="1"/>
        <v>0.88888888888888884</v>
      </c>
      <c r="U64">
        <f>step3_validation[[#This Row],[AI_ENF2]]</f>
        <v>8</v>
      </c>
      <c r="V64">
        <f t="shared" si="2"/>
        <v>0.77777777777777779</v>
      </c>
      <c r="W64">
        <f>survey_responses[[#This Row],[Tôi tin rằng Nhà nước, cơ quan thuế có đủ khả năng và công nghệ để phát hiện, xử lý nghiêm các hành vi trốn thuế. - HUMAN-ENF2]]</f>
        <v>9</v>
      </c>
      <c r="X64">
        <f t="shared" si="3"/>
        <v>0.88888888888888884</v>
      </c>
      <c r="Y64" s="32">
        <f t="shared" si="4"/>
        <v>0.72222222222222221</v>
      </c>
      <c r="Z64" s="32">
        <f t="shared" si="5"/>
        <v>0.88888888888888884</v>
      </c>
      <c r="AA64">
        <f>step3_validation[[#This Row],[AI_FAC1]]</f>
        <v>6</v>
      </c>
      <c r="AB64">
        <f t="shared" si="6"/>
        <v>0.55555555555555558</v>
      </c>
      <c r="AC64">
        <f>survey_responses[[#This Row],[Các thủ tục khai báo thuế VÀ/HOẶC quy trình làm việc với cơ quan thuế đơn giản, tiện lợi, nhanh chóng hơn so với trước đây. - HUMAN-FAC1]]</f>
        <v>9</v>
      </c>
      <c r="AD64">
        <f t="shared" si="7"/>
        <v>0.88888888888888884</v>
      </c>
      <c r="AE64">
        <f>step3_validation[[#This Row],[AI_FAC2]]</f>
        <v>9</v>
      </c>
      <c r="AF64">
        <f t="shared" si="8"/>
        <v>0.88888888888888884</v>
      </c>
      <c r="AG64">
        <f>survey_responses[[#This Row],[So với trước đây, tôi thấy cách tính thuế và các bậc thuế trong phương án mới đơn giản, dễ hiểu và dễ thực hiện hơn. - HUMAN-FAC2]]</f>
        <v>9</v>
      </c>
      <c r="AH64">
        <f t="shared" si="9"/>
        <v>0.88888888888888884</v>
      </c>
      <c r="AI64" s="32">
        <f t="shared" si="10"/>
        <v>0.72222222222222221</v>
      </c>
      <c r="AJ64" s="32">
        <f t="shared" si="11"/>
        <v>0.88888888888888884</v>
      </c>
      <c r="AK64">
        <f>step3_validation[[#This Row],[AI_TRU1]]</f>
        <v>7</v>
      </c>
      <c r="AL64">
        <f t="shared" si="12"/>
        <v>0.66666666666666663</v>
      </c>
      <c r="AM64">
        <f>survey_responses[[#This Row],[Tôi tin rằng Nhà nước, cơ quan thuế sẽ thực thi chính sách mới một cách khách quan, công tâm và đối xử bình đẳng với mọi người nộp thuế.  - HUMAN-TRU1]]</f>
        <v>8</v>
      </c>
      <c r="AN64">
        <f t="shared" si="13"/>
        <v>0.77777777777777779</v>
      </c>
      <c r="AO64">
        <f>step3_validation[[#This Row],[AI_TRU2]]</f>
        <v>8</v>
      </c>
      <c r="AP64">
        <f t="shared" si="14"/>
        <v>0.77777777777777779</v>
      </c>
      <c r="AQ64">
        <f>survey_responses[[#This Row],[Tôi thấy mức thuế tôi phải đóng theo phương án mới là công bằng (người thu nhập như tôi đóng mức này là hợp lý). - HUMAN-TRU2]]</f>
        <v>9</v>
      </c>
      <c r="AR64">
        <f t="shared" si="15"/>
        <v>0.88888888888888884</v>
      </c>
      <c r="AS64">
        <f>step3_validation[[#This Row],[AI_TRU3]]</f>
        <v>6</v>
      </c>
      <c r="AT64">
        <f t="shared" si="16"/>
        <v>0.55555555555555558</v>
      </c>
      <c r="AU64">
        <f>survey_responses[[#This Row],[Tôi tin tưởng số tiền thuế tôi đóng sẽ được Nhà nước sử dụng hiệu quả để cải thiện dịch vụ công (y tế, đường xá...). - HUMAN-TRU3]]</f>
        <v>9</v>
      </c>
      <c r="AV64">
        <f t="shared" si="17"/>
        <v>0.88888888888888884</v>
      </c>
      <c r="AW64">
        <f>step3_validation[[#This Row],[AI_TRU4]]</f>
        <v>7</v>
      </c>
      <c r="AX64">
        <f t="shared" si="18"/>
        <v>0.66666666666666663</v>
      </c>
      <c r="AY64">
        <f>survey_responses[[#This Row],[Tôi thấy Nhà nước đã giải thích rõ ràng, minh bạch về lý do và mục tiêu của việc sửa đổi thuế lần này. - HUMAN-TRU4]]</f>
        <v>8</v>
      </c>
      <c r="AZ64">
        <f t="shared" si="19"/>
        <v>0.77777777777777779</v>
      </c>
      <c r="BA64" s="32">
        <f t="shared" si="20"/>
        <v>0.66666666666666663</v>
      </c>
      <c r="BB64" s="32">
        <f t="shared" si="21"/>
        <v>0.83333333333333326</v>
      </c>
      <c r="BC64" s="7">
        <f t="shared" si="22"/>
        <v>0.70370370370370372</v>
      </c>
      <c r="BD64" s="7">
        <f t="shared" si="23"/>
        <v>0.87037037037037024</v>
      </c>
      <c r="BE64">
        <f>step3_validation[[#This Row],[AI_OUT1]]</f>
        <v>9</v>
      </c>
      <c r="BF64">
        <f t="shared" si="24"/>
        <v>0.88888888888888884</v>
      </c>
      <c r="BG64">
        <f>survey_responses[[#This Row],[Sau khi xem xét các quyền lợi và nghĩa vụ, bạn có ủng hộ và tuân thủ chính sách mới hiện nay? - HUMAN-OUT1]]</f>
        <v>7</v>
      </c>
      <c r="BH64">
        <f t="shared" si="25"/>
        <v>0.66666666666666663</v>
      </c>
      <c r="BI64" s="32">
        <f t="shared" si="26"/>
        <v>2</v>
      </c>
    </row>
    <row r="65" spans="1:61" x14ac:dyDescent="0.45">
      <c r="A65" s="30">
        <f>step3_validation[[#This Row],[Persona_ID]]</f>
        <v>64</v>
      </c>
      <c r="B65" s="31">
        <f>step3_validation[[#This Row],[Used_Seed]]</f>
        <v>2054</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176.49749807574759</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f t="shared" si="0"/>
        <v>0.88888888888888884</v>
      </c>
      <c r="S65">
        <f>survey_responses[[#This Row],[Tôi tin rằng với các quy định quản lý thuế hiện nay, hành vi gian lận hoặc trốn thuế sẽ dễ dàng bị phát hiện và xử lý nghiêm. - HUMAN-ENF1]]</f>
        <v>9</v>
      </c>
      <c r="T65">
        <f t="shared" si="1"/>
        <v>0.88888888888888884</v>
      </c>
      <c r="U65">
        <f>step3_validation[[#This Row],[AI_ENF2]]</f>
        <v>8</v>
      </c>
      <c r="V65">
        <f t="shared" si="2"/>
        <v>0.77777777777777779</v>
      </c>
      <c r="W65">
        <f>survey_responses[[#This Row],[Tôi tin rằng Nhà nước, cơ quan thuế có đủ khả năng và công nghệ để phát hiện, xử lý nghiêm các hành vi trốn thuế. - HUMAN-ENF2]]</f>
        <v>10</v>
      </c>
      <c r="X65">
        <f t="shared" si="3"/>
        <v>1</v>
      </c>
      <c r="Y65" s="32">
        <f t="shared" si="4"/>
        <v>0.83333333333333326</v>
      </c>
      <c r="Z65" s="32">
        <f t="shared" si="5"/>
        <v>0.94444444444444442</v>
      </c>
      <c r="AA65">
        <f>step3_validation[[#This Row],[AI_FAC1]]</f>
        <v>7</v>
      </c>
      <c r="AB65">
        <f t="shared" si="6"/>
        <v>0.66666666666666663</v>
      </c>
      <c r="AC65">
        <f>survey_responses[[#This Row],[Các thủ tục khai báo thuế VÀ/HOẶC quy trình làm việc với cơ quan thuế đơn giản, tiện lợi, nhanh chóng hơn so với trước đây. - HUMAN-FAC1]]</f>
        <v>9</v>
      </c>
      <c r="AD65">
        <f t="shared" si="7"/>
        <v>0.88888888888888884</v>
      </c>
      <c r="AE65">
        <f>step3_validation[[#This Row],[AI_FAC2]]</f>
        <v>8</v>
      </c>
      <c r="AF65">
        <f t="shared" si="8"/>
        <v>0.77777777777777779</v>
      </c>
      <c r="AG65">
        <f>survey_responses[[#This Row],[So với trước đây, tôi thấy cách tính thuế và các bậc thuế trong phương án mới đơn giản, dễ hiểu và dễ thực hiện hơn. - HUMAN-FAC2]]</f>
        <v>10</v>
      </c>
      <c r="AH65">
        <f t="shared" si="9"/>
        <v>1</v>
      </c>
      <c r="AI65" s="32">
        <f t="shared" si="10"/>
        <v>0.72222222222222221</v>
      </c>
      <c r="AJ65" s="32">
        <f t="shared" si="11"/>
        <v>0.94444444444444442</v>
      </c>
      <c r="AK65">
        <f>step3_validation[[#This Row],[AI_TRU1]]</f>
        <v>9</v>
      </c>
      <c r="AL65">
        <f t="shared" si="12"/>
        <v>0.88888888888888884</v>
      </c>
      <c r="AM65">
        <f>survey_responses[[#This Row],[Tôi tin rằng Nhà nước, cơ quan thuế sẽ thực thi chính sách mới một cách khách quan, công tâm và đối xử bình đẳng với mọi người nộp thuế.  - HUMAN-TRU1]]</f>
        <v>10</v>
      </c>
      <c r="AN65">
        <f t="shared" si="13"/>
        <v>1</v>
      </c>
      <c r="AO65">
        <f>step3_validation[[#This Row],[AI_TRU2]]</f>
        <v>8</v>
      </c>
      <c r="AP65">
        <f t="shared" si="14"/>
        <v>0.77777777777777779</v>
      </c>
      <c r="AQ65">
        <f>survey_responses[[#This Row],[Tôi thấy mức thuế tôi phải đóng theo phương án mới là công bằng (người thu nhập như tôi đóng mức này là hợp lý). - HUMAN-TRU2]]</f>
        <v>5</v>
      </c>
      <c r="AR65">
        <f t="shared" si="15"/>
        <v>0.44444444444444442</v>
      </c>
      <c r="AS65">
        <f>step3_validation[[#This Row],[AI_TRU3]]</f>
        <v>9</v>
      </c>
      <c r="AT65">
        <f t="shared" si="16"/>
        <v>0.88888888888888884</v>
      </c>
      <c r="AU65">
        <f>survey_responses[[#This Row],[Tôi tin tưởng số tiền thuế tôi đóng sẽ được Nhà nước sử dụng hiệu quả để cải thiện dịch vụ công (y tế, đường xá...). - HUMAN-TRU3]]</f>
        <v>10</v>
      </c>
      <c r="AV65">
        <f t="shared" si="17"/>
        <v>1</v>
      </c>
      <c r="AW65">
        <f>step3_validation[[#This Row],[AI_TRU4]]</f>
        <v>8</v>
      </c>
      <c r="AX65">
        <f t="shared" si="18"/>
        <v>0.77777777777777779</v>
      </c>
      <c r="AY65">
        <f>survey_responses[[#This Row],[Tôi thấy Nhà nước đã giải thích rõ ràng, minh bạch về lý do và mục tiêu của việc sửa đổi thuế lần này. - HUMAN-TRU4]]</f>
        <v>7</v>
      </c>
      <c r="AZ65">
        <f t="shared" si="19"/>
        <v>0.66666666666666663</v>
      </c>
      <c r="BA65" s="32">
        <f t="shared" si="20"/>
        <v>0.83333333333333326</v>
      </c>
      <c r="BB65" s="32">
        <f t="shared" si="21"/>
        <v>0.77777777777777779</v>
      </c>
      <c r="BC65" s="7">
        <f t="shared" si="22"/>
        <v>0.79629629629629617</v>
      </c>
      <c r="BD65" s="7">
        <f t="shared" si="23"/>
        <v>0.88888888888888884</v>
      </c>
      <c r="BE65">
        <f>step3_validation[[#This Row],[AI_OUT1]]</f>
        <v>9</v>
      </c>
      <c r="BF65">
        <f t="shared" si="24"/>
        <v>0.88888888888888884</v>
      </c>
      <c r="BG65">
        <f>survey_responses[[#This Row],[Sau khi xem xét các quyền lợi và nghĩa vụ, bạn có ủng hộ và tuân thủ chính sách mới hiện nay? - HUMAN-OUT1]]</f>
        <v>9</v>
      </c>
      <c r="BH65">
        <f t="shared" si="25"/>
        <v>0.88888888888888884</v>
      </c>
      <c r="BI65" s="32">
        <f t="shared" si="26"/>
        <v>0</v>
      </c>
    </row>
    <row r="66" spans="1:61" x14ac:dyDescent="0.45">
      <c r="A66" s="30">
        <f>step3_validation[[#This Row],[Persona_ID]]</f>
        <v>65</v>
      </c>
      <c r="B66" s="31">
        <f>step3_validation[[#This Row],[Used_Seed]]</f>
        <v>2055</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f t="shared" si="0"/>
        <v>0.66666666666666663</v>
      </c>
      <c r="S66">
        <f>survey_responses[[#This Row],[Tôi tin rằng với các quy định quản lý thuế hiện nay, hành vi gian lận hoặc trốn thuế sẽ dễ dàng bị phát hiện và xử lý nghiêm. - HUMAN-ENF1]]</f>
        <v>10</v>
      </c>
      <c r="T66">
        <f t="shared" si="1"/>
        <v>1</v>
      </c>
      <c r="U66">
        <f>step3_validation[[#This Row],[AI_ENF2]]</f>
        <v>6</v>
      </c>
      <c r="V66">
        <f t="shared" si="2"/>
        <v>0.55555555555555558</v>
      </c>
      <c r="W66">
        <f>survey_responses[[#This Row],[Tôi tin rằng Nhà nước, cơ quan thuế có đủ khả năng và công nghệ để phát hiện, xử lý nghiêm các hành vi trốn thuế. - HUMAN-ENF2]]</f>
        <v>10</v>
      </c>
      <c r="X66">
        <f t="shared" si="3"/>
        <v>1</v>
      </c>
      <c r="Y66" s="32">
        <f t="shared" si="4"/>
        <v>0.61111111111111116</v>
      </c>
      <c r="Z66" s="32">
        <f t="shared" si="5"/>
        <v>1</v>
      </c>
      <c r="AA66">
        <f>step3_validation[[#This Row],[AI_FAC1]]</f>
        <v>9</v>
      </c>
      <c r="AB66">
        <f t="shared" si="6"/>
        <v>0.88888888888888884</v>
      </c>
      <c r="AC66">
        <f>survey_responses[[#This Row],[Các thủ tục khai báo thuế VÀ/HOẶC quy trình làm việc với cơ quan thuế đơn giản, tiện lợi, nhanh chóng hơn so với trước đây. - HUMAN-FAC1]]</f>
        <v>10</v>
      </c>
      <c r="AD66">
        <f t="shared" si="7"/>
        <v>1</v>
      </c>
      <c r="AE66">
        <f>step3_validation[[#This Row],[AI_FAC2]]</f>
        <v>8</v>
      </c>
      <c r="AF66">
        <f t="shared" si="8"/>
        <v>0.77777777777777779</v>
      </c>
      <c r="AG66">
        <f>survey_responses[[#This Row],[So với trước đây, tôi thấy cách tính thuế và các bậc thuế trong phương án mới đơn giản, dễ hiểu và dễ thực hiện hơn. - HUMAN-FAC2]]</f>
        <v>10</v>
      </c>
      <c r="AH66">
        <f t="shared" si="9"/>
        <v>1</v>
      </c>
      <c r="AI66" s="32">
        <f t="shared" si="10"/>
        <v>0.83333333333333326</v>
      </c>
      <c r="AJ66" s="32">
        <f t="shared" si="11"/>
        <v>1</v>
      </c>
      <c r="AK66">
        <f>step3_validation[[#This Row],[AI_TRU1]]</f>
        <v>9</v>
      </c>
      <c r="AL66">
        <f t="shared" si="12"/>
        <v>0.88888888888888884</v>
      </c>
      <c r="AM66">
        <f>survey_responses[[#This Row],[Tôi tin rằng Nhà nước, cơ quan thuế sẽ thực thi chính sách mới một cách khách quan, công tâm và đối xử bình đẳng với mọi người nộp thuế.  - HUMAN-TRU1]]</f>
        <v>10</v>
      </c>
      <c r="AN66">
        <f t="shared" si="13"/>
        <v>1</v>
      </c>
      <c r="AO66">
        <f>step3_validation[[#This Row],[AI_TRU2]]</f>
        <v>8</v>
      </c>
      <c r="AP66">
        <f t="shared" si="14"/>
        <v>0.77777777777777779</v>
      </c>
      <c r="AQ66">
        <f>survey_responses[[#This Row],[Tôi thấy mức thuế tôi phải đóng theo phương án mới là công bằng (người thu nhập như tôi đóng mức này là hợp lý). - HUMAN-TRU2]]</f>
        <v>10</v>
      </c>
      <c r="AR66">
        <f t="shared" si="15"/>
        <v>1</v>
      </c>
      <c r="AS66">
        <f>step3_validation[[#This Row],[AI_TRU3]]</f>
        <v>7</v>
      </c>
      <c r="AT66">
        <f t="shared" si="16"/>
        <v>0.66666666666666663</v>
      </c>
      <c r="AU66">
        <f>survey_responses[[#This Row],[Tôi tin tưởng số tiền thuế tôi đóng sẽ được Nhà nước sử dụng hiệu quả để cải thiện dịch vụ công (y tế, đường xá...). - HUMAN-TRU3]]</f>
        <v>10</v>
      </c>
      <c r="AV66">
        <f t="shared" si="17"/>
        <v>1</v>
      </c>
      <c r="AW66">
        <f>step3_validation[[#This Row],[AI_TRU4]]</f>
        <v>8</v>
      </c>
      <c r="AX66">
        <f t="shared" si="18"/>
        <v>0.77777777777777779</v>
      </c>
      <c r="AY66">
        <f>survey_responses[[#This Row],[Tôi thấy Nhà nước đã giải thích rõ ràng, minh bạch về lý do và mục tiêu của việc sửa đổi thuế lần này. - HUMAN-TRU4]]</f>
        <v>10</v>
      </c>
      <c r="AZ66">
        <f t="shared" si="19"/>
        <v>1</v>
      </c>
      <c r="BA66" s="32">
        <f t="shared" si="20"/>
        <v>0.77777777777777768</v>
      </c>
      <c r="BB66" s="32">
        <f t="shared" si="21"/>
        <v>1</v>
      </c>
      <c r="BC66" s="7">
        <f t="shared" si="22"/>
        <v>0.74074074074074081</v>
      </c>
      <c r="BD66" s="7">
        <f t="shared" si="23"/>
        <v>1</v>
      </c>
      <c r="BE66">
        <f>step3_validation[[#This Row],[AI_OUT1]]</f>
        <v>9</v>
      </c>
      <c r="BF66">
        <f t="shared" si="24"/>
        <v>0.88888888888888884</v>
      </c>
      <c r="BG66">
        <f>survey_responses[[#This Row],[Sau khi xem xét các quyền lợi và nghĩa vụ, bạn có ủng hộ và tuân thủ chính sách mới hiện nay? - HUMAN-OUT1]]</f>
        <v>10</v>
      </c>
      <c r="BH66">
        <f t="shared" si="25"/>
        <v>1</v>
      </c>
      <c r="BI66" s="32">
        <f t="shared" si="26"/>
        <v>1</v>
      </c>
    </row>
    <row r="67" spans="1:61" x14ac:dyDescent="0.45">
      <c r="A67" s="30">
        <f>step3_validation[[#This Row],[Persona_ID]]</f>
        <v>66</v>
      </c>
      <c r="B67" s="31">
        <f>step3_validation[[#This Row],[Used_Seed]]</f>
        <v>2056</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16.226287990479388</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6</v>
      </c>
      <c r="R67">
        <f t="shared" ref="R67:R130" si="27">(Q67-1)/9</f>
        <v>0.55555555555555558</v>
      </c>
      <c r="S67">
        <f>survey_responses[[#This Row],[Tôi tin rằng với các quy định quản lý thuế hiện nay, hành vi gian lận hoặc trốn thuế sẽ dễ dàng bị phát hiện và xử lý nghiêm. - HUMAN-ENF1]]</f>
        <v>7</v>
      </c>
      <c r="T67">
        <f t="shared" ref="T67:T130" si="28">(S67-1)/9</f>
        <v>0.66666666666666663</v>
      </c>
      <c r="U67">
        <f>step3_validation[[#This Row],[AI_ENF2]]</f>
        <v>6</v>
      </c>
      <c r="V67">
        <f t="shared" ref="V67:V130" si="29">(U67-1)/9</f>
        <v>0.55555555555555558</v>
      </c>
      <c r="W67">
        <f>survey_responses[[#This Row],[Tôi tin rằng Nhà nước, cơ quan thuế có đủ khả năng và công nghệ để phát hiện, xử lý nghiêm các hành vi trốn thuế. - HUMAN-ENF2]]</f>
        <v>5</v>
      </c>
      <c r="X67">
        <f t="shared" ref="X67:X130" si="30">(W67-1)/9</f>
        <v>0.44444444444444442</v>
      </c>
      <c r="Y67" s="32">
        <f t="shared" ref="Y67:Y130" si="31">AVERAGE(R67,V67)</f>
        <v>0.55555555555555558</v>
      </c>
      <c r="Z67" s="32">
        <f t="shared" ref="Z67:Z130" si="32">AVERAGE(T67,X67)</f>
        <v>0.55555555555555558</v>
      </c>
      <c r="AA67">
        <f>step3_validation[[#This Row],[AI_FAC1]]</f>
        <v>9</v>
      </c>
      <c r="AB67">
        <f t="shared" ref="AB67:AB130" si="33">(AA67-1)/9</f>
        <v>0.88888888888888884</v>
      </c>
      <c r="AC67">
        <f>survey_responses[[#This Row],[Các thủ tục khai báo thuế VÀ/HOẶC quy trình làm việc với cơ quan thuế đơn giản, tiện lợi, nhanh chóng hơn so với trước đây. - HUMAN-FAC1]]</f>
        <v>3</v>
      </c>
      <c r="AD67">
        <f t="shared" ref="AD67:AD130" si="34">(AC67-1)/9</f>
        <v>0.22222222222222221</v>
      </c>
      <c r="AE67">
        <f>step3_validation[[#This Row],[AI_FAC2]]</f>
        <v>9</v>
      </c>
      <c r="AF67">
        <f t="shared" ref="AF67:AF130" si="35">(AE67-1)/9</f>
        <v>0.88888888888888884</v>
      </c>
      <c r="AG67">
        <f>survey_responses[[#This Row],[So với trước đây, tôi thấy cách tính thuế và các bậc thuế trong phương án mới đơn giản, dễ hiểu và dễ thực hiện hơn. - HUMAN-FAC2]]</f>
        <v>5</v>
      </c>
      <c r="AH67">
        <f t="shared" ref="AH67:AH130" si="36">(AG67-1)/9</f>
        <v>0.44444444444444442</v>
      </c>
      <c r="AI67" s="32">
        <f t="shared" ref="AI67:AI130" si="37">AVERAGE(AB67,AF67)</f>
        <v>0.88888888888888884</v>
      </c>
      <c r="AJ67" s="32">
        <f t="shared" ref="AJ67:AJ130" si="38">AVERAGE(AD67,AH67)</f>
        <v>0.33333333333333331</v>
      </c>
      <c r="AK67">
        <f>step3_validation[[#This Row],[AI_TRU1]]</f>
        <v>7</v>
      </c>
      <c r="AL67">
        <f t="shared" ref="AL67:AL130" si="39">(AK67-1)/9</f>
        <v>0.66666666666666663</v>
      </c>
      <c r="AM67">
        <f>survey_responses[[#This Row],[Tôi tin rằng Nhà nước, cơ quan thuế sẽ thực thi chính sách mới một cách khách quan, công tâm và đối xử bình đẳng với mọi người nộp thuế.  - HUMAN-TRU1]]</f>
        <v>4</v>
      </c>
      <c r="AN67">
        <f t="shared" ref="AN67:AN130" si="40">(AM67-1)/9</f>
        <v>0.33333333333333331</v>
      </c>
      <c r="AO67">
        <f>step3_validation[[#This Row],[AI_TRU2]]</f>
        <v>9</v>
      </c>
      <c r="AP67">
        <f t="shared" ref="AP67:AP130" si="41">(AO67-1)/9</f>
        <v>0.88888888888888884</v>
      </c>
      <c r="AQ67">
        <f>survey_responses[[#This Row],[Tôi thấy mức thuế tôi phải đóng theo phương án mới là công bằng (người thu nhập như tôi đóng mức này là hợp lý). - HUMAN-TRU2]]</f>
        <v>3</v>
      </c>
      <c r="AR67">
        <f t="shared" ref="AR67:AR130" si="42">(AQ67-1)/9</f>
        <v>0.22222222222222221</v>
      </c>
      <c r="AS67">
        <f>step3_validation[[#This Row],[AI_TRU3]]</f>
        <v>7</v>
      </c>
      <c r="AT67">
        <f t="shared" ref="AT67:AT130" si="43">(AS67-1)/9</f>
        <v>0.66666666666666663</v>
      </c>
      <c r="AU67">
        <f>survey_responses[[#This Row],[Tôi tin tưởng số tiền thuế tôi đóng sẽ được Nhà nước sử dụng hiệu quả để cải thiện dịch vụ công (y tế, đường xá...). - HUMAN-TRU3]]</f>
        <v>5</v>
      </c>
      <c r="AV67">
        <f t="shared" ref="AV67:AV130" si="44">(AU67-1)/9</f>
        <v>0.44444444444444442</v>
      </c>
      <c r="AW67">
        <f>step3_validation[[#This Row],[AI_TRU4]]</f>
        <v>8</v>
      </c>
      <c r="AX67">
        <f t="shared" ref="AX67:AX130" si="45">(AW67-1)/9</f>
        <v>0.77777777777777779</v>
      </c>
      <c r="AY67">
        <f>survey_responses[[#This Row],[Tôi thấy Nhà nước đã giải thích rõ ràng, minh bạch về lý do và mục tiêu của việc sửa đổi thuế lần này. - HUMAN-TRU4]]</f>
        <v>6</v>
      </c>
      <c r="AZ67">
        <f t="shared" ref="AZ67:AZ130" si="46">(AY67-1)/9</f>
        <v>0.55555555555555558</v>
      </c>
      <c r="BA67" s="32">
        <f t="shared" ref="BA67:BA130" si="47">AVERAGE(AL67,AP67,AT67,AX67)</f>
        <v>0.74999999999999989</v>
      </c>
      <c r="BB67" s="32">
        <f t="shared" ref="BB67:BB130" si="48">AVERAGE(AN67,AR67,AV67,AZ67)</f>
        <v>0.3888888888888889</v>
      </c>
      <c r="BC67" s="7">
        <f t="shared" ref="BC67:BC130" si="49">(Y67+AI67+BA67)/3</f>
        <v>0.7314814814814814</v>
      </c>
      <c r="BD67" s="7">
        <f t="shared" ref="BD67:BD130" si="50">(Z67+AJ67+BB67)/3</f>
        <v>0.42592592592592587</v>
      </c>
      <c r="BE67">
        <f>step3_validation[[#This Row],[AI_OUT1]]</f>
        <v>9</v>
      </c>
      <c r="BF67">
        <f t="shared" ref="BF67:BF130" si="51">(BE67-1)/9</f>
        <v>0.88888888888888884</v>
      </c>
      <c r="BG67">
        <f>survey_responses[[#This Row],[Sau khi xem xét các quyền lợi và nghĩa vụ, bạn có ủng hộ và tuân thủ chính sách mới hiện nay? - HUMAN-OUT1]]</f>
        <v>6</v>
      </c>
      <c r="BH67">
        <f t="shared" ref="BH67:BH130" si="52">(BG67-1)/9</f>
        <v>0.55555555555555558</v>
      </c>
      <c r="BI67" s="32">
        <f t="shared" ref="BI67:BI130" si="53">ABS(BG67-BE67)</f>
        <v>3</v>
      </c>
    </row>
    <row r="68" spans="1:61" x14ac:dyDescent="0.45">
      <c r="A68" s="30">
        <f>step3_validation[[#This Row],[Persona_ID]]</f>
        <v>67</v>
      </c>
      <c r="B68" s="31">
        <f>step3_validation[[#This Row],[Used_Seed]]</f>
        <v>2057</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99.597505023334961</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f t="shared" si="27"/>
        <v>0.66666666666666663</v>
      </c>
      <c r="S68">
        <f>survey_responses[[#This Row],[Tôi tin rằng với các quy định quản lý thuế hiện nay, hành vi gian lận hoặc trốn thuế sẽ dễ dàng bị phát hiện và xử lý nghiêm. - HUMAN-ENF1]]</f>
        <v>5</v>
      </c>
      <c r="T68">
        <f t="shared" si="28"/>
        <v>0.44444444444444442</v>
      </c>
      <c r="U68">
        <f>step3_validation[[#This Row],[AI_ENF2]]</f>
        <v>8</v>
      </c>
      <c r="V68">
        <f t="shared" si="29"/>
        <v>0.77777777777777779</v>
      </c>
      <c r="W68">
        <f>survey_responses[[#This Row],[Tôi tin rằng Nhà nước, cơ quan thuế có đủ khả năng và công nghệ để phát hiện, xử lý nghiêm các hành vi trốn thuế. - HUMAN-ENF2]]</f>
        <v>5</v>
      </c>
      <c r="X68">
        <f t="shared" si="30"/>
        <v>0.44444444444444442</v>
      </c>
      <c r="Y68" s="32">
        <f t="shared" si="31"/>
        <v>0.72222222222222221</v>
      </c>
      <c r="Z68" s="32">
        <f t="shared" si="32"/>
        <v>0.44444444444444442</v>
      </c>
      <c r="AA68">
        <f>step3_validation[[#This Row],[AI_FAC1]]</f>
        <v>6</v>
      </c>
      <c r="AB68">
        <f t="shared" si="33"/>
        <v>0.55555555555555558</v>
      </c>
      <c r="AC68">
        <f>survey_responses[[#This Row],[Các thủ tục khai báo thuế VÀ/HOẶC quy trình làm việc với cơ quan thuế đơn giản, tiện lợi, nhanh chóng hơn so với trước đây. - HUMAN-FAC1]]</f>
        <v>4</v>
      </c>
      <c r="AD68">
        <f t="shared" si="34"/>
        <v>0.33333333333333331</v>
      </c>
      <c r="AE68">
        <f>step3_validation[[#This Row],[AI_FAC2]]</f>
        <v>9</v>
      </c>
      <c r="AF68">
        <f t="shared" si="35"/>
        <v>0.88888888888888884</v>
      </c>
      <c r="AG68">
        <f>survey_responses[[#This Row],[So với trước đây, tôi thấy cách tính thuế và các bậc thuế trong phương án mới đơn giản, dễ hiểu và dễ thực hiện hơn. - HUMAN-FAC2]]</f>
        <v>4</v>
      </c>
      <c r="AH68">
        <f t="shared" si="36"/>
        <v>0.33333333333333331</v>
      </c>
      <c r="AI68" s="32">
        <f t="shared" si="37"/>
        <v>0.72222222222222221</v>
      </c>
      <c r="AJ68" s="32">
        <f t="shared" si="38"/>
        <v>0.33333333333333331</v>
      </c>
      <c r="AK68">
        <f>step3_validation[[#This Row],[AI_TRU1]]</f>
        <v>7</v>
      </c>
      <c r="AL68">
        <f t="shared" si="39"/>
        <v>0.66666666666666663</v>
      </c>
      <c r="AM68">
        <f>survey_responses[[#This Row],[Tôi tin rằng Nhà nước, cơ quan thuế sẽ thực thi chính sách mới một cách khách quan, công tâm và đối xử bình đẳng với mọi người nộp thuế.  - HUMAN-TRU1]]</f>
        <v>2</v>
      </c>
      <c r="AN68">
        <f t="shared" si="40"/>
        <v>0.1111111111111111</v>
      </c>
      <c r="AO68">
        <f>step3_validation[[#This Row],[AI_TRU2]]</f>
        <v>9</v>
      </c>
      <c r="AP68">
        <f t="shared" si="41"/>
        <v>0.88888888888888884</v>
      </c>
      <c r="AQ68">
        <f>survey_responses[[#This Row],[Tôi thấy mức thuế tôi phải đóng theo phương án mới là công bằng (người thu nhập như tôi đóng mức này là hợp lý). - HUMAN-TRU2]]</f>
        <v>3</v>
      </c>
      <c r="AR68">
        <f t="shared" si="42"/>
        <v>0.22222222222222221</v>
      </c>
      <c r="AS68">
        <f>step3_validation[[#This Row],[AI_TRU3]]</f>
        <v>7</v>
      </c>
      <c r="AT68">
        <f t="shared" si="43"/>
        <v>0.66666666666666663</v>
      </c>
      <c r="AU68">
        <f>survey_responses[[#This Row],[Tôi tin tưởng số tiền thuế tôi đóng sẽ được Nhà nước sử dụng hiệu quả để cải thiện dịch vụ công (y tế, đường xá...). - HUMAN-TRU3]]</f>
        <v>2</v>
      </c>
      <c r="AV68">
        <f t="shared" si="44"/>
        <v>0.1111111111111111</v>
      </c>
      <c r="AW68">
        <f>step3_validation[[#This Row],[AI_TRU4]]</f>
        <v>8</v>
      </c>
      <c r="AX68">
        <f t="shared" si="45"/>
        <v>0.77777777777777779</v>
      </c>
      <c r="AY68">
        <f>survey_responses[[#This Row],[Tôi thấy Nhà nước đã giải thích rõ ràng, minh bạch về lý do và mục tiêu của việc sửa đổi thuế lần này. - HUMAN-TRU4]]</f>
        <v>3</v>
      </c>
      <c r="AZ68">
        <f t="shared" si="46"/>
        <v>0.22222222222222221</v>
      </c>
      <c r="BA68" s="32">
        <f t="shared" si="47"/>
        <v>0.74999999999999989</v>
      </c>
      <c r="BB68" s="32">
        <f t="shared" si="48"/>
        <v>0.16666666666666666</v>
      </c>
      <c r="BC68" s="7">
        <f t="shared" si="49"/>
        <v>0.7314814814814814</v>
      </c>
      <c r="BD68" s="7">
        <f t="shared" si="50"/>
        <v>0.31481481481481477</v>
      </c>
      <c r="BE68">
        <f>step3_validation[[#This Row],[AI_OUT1]]</f>
        <v>9</v>
      </c>
      <c r="BF68">
        <f t="shared" si="51"/>
        <v>0.88888888888888884</v>
      </c>
      <c r="BG68">
        <f>survey_responses[[#This Row],[Sau khi xem xét các quyền lợi và nghĩa vụ, bạn có ủng hộ và tuân thủ chính sách mới hiện nay? - HUMAN-OUT1]]</f>
        <v>3</v>
      </c>
      <c r="BH68">
        <f t="shared" si="52"/>
        <v>0.22222222222222221</v>
      </c>
      <c r="BI68" s="32">
        <f t="shared" si="53"/>
        <v>6</v>
      </c>
    </row>
    <row r="69" spans="1:61" x14ac:dyDescent="0.45">
      <c r="A69" s="30">
        <f>step3_validation[[#This Row],[Persona_ID]]</f>
        <v>68</v>
      </c>
      <c r="B69" s="31">
        <f>step3_validation[[#This Row],[Used_Seed]]</f>
        <v>2058</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60.426836504796071</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6</v>
      </c>
      <c r="R69">
        <f t="shared" si="27"/>
        <v>0.55555555555555558</v>
      </c>
      <c r="S69">
        <f>survey_responses[[#This Row],[Tôi tin rằng với các quy định quản lý thuế hiện nay, hành vi gian lận hoặc trốn thuế sẽ dễ dàng bị phát hiện và xử lý nghiêm. - HUMAN-ENF1]]</f>
        <v>4</v>
      </c>
      <c r="T69">
        <f t="shared" si="28"/>
        <v>0.33333333333333331</v>
      </c>
      <c r="U69">
        <f>step3_validation[[#This Row],[AI_ENF2]]</f>
        <v>7</v>
      </c>
      <c r="V69">
        <f t="shared" si="29"/>
        <v>0.66666666666666663</v>
      </c>
      <c r="W69">
        <f>survey_responses[[#This Row],[Tôi tin rằng Nhà nước, cơ quan thuế có đủ khả năng và công nghệ để phát hiện, xử lý nghiêm các hành vi trốn thuế. - HUMAN-ENF2]]</f>
        <v>3</v>
      </c>
      <c r="X69">
        <f t="shared" si="30"/>
        <v>0.22222222222222221</v>
      </c>
      <c r="Y69" s="32">
        <f t="shared" si="31"/>
        <v>0.61111111111111116</v>
      </c>
      <c r="Z69" s="32">
        <f t="shared" si="32"/>
        <v>0.27777777777777779</v>
      </c>
      <c r="AA69">
        <f>step3_validation[[#This Row],[AI_FAC1]]</f>
        <v>8</v>
      </c>
      <c r="AB69">
        <f t="shared" si="33"/>
        <v>0.77777777777777779</v>
      </c>
      <c r="AC69">
        <f>survey_responses[[#This Row],[Các thủ tục khai báo thuế VÀ/HOẶC quy trình làm việc với cơ quan thuế đơn giản, tiện lợi, nhanh chóng hơn so với trước đây. - HUMAN-FAC1]]</f>
        <v>1</v>
      </c>
      <c r="AD69">
        <f t="shared" si="34"/>
        <v>0</v>
      </c>
      <c r="AE69">
        <f>step3_validation[[#This Row],[AI_FAC2]]</f>
        <v>9</v>
      </c>
      <c r="AF69">
        <f t="shared" si="35"/>
        <v>0.88888888888888884</v>
      </c>
      <c r="AG69">
        <f>survey_responses[[#This Row],[So với trước đây, tôi thấy cách tính thuế và các bậc thuế trong phương án mới đơn giản, dễ hiểu và dễ thực hiện hơn. - HUMAN-FAC2]]</f>
        <v>5</v>
      </c>
      <c r="AH69">
        <f t="shared" si="36"/>
        <v>0.44444444444444442</v>
      </c>
      <c r="AI69" s="32">
        <f t="shared" si="37"/>
        <v>0.83333333333333326</v>
      </c>
      <c r="AJ69" s="32">
        <f t="shared" si="38"/>
        <v>0.22222222222222221</v>
      </c>
      <c r="AK69">
        <f>step3_validation[[#This Row],[AI_TRU1]]</f>
        <v>7</v>
      </c>
      <c r="AL69">
        <f t="shared" si="39"/>
        <v>0.66666666666666663</v>
      </c>
      <c r="AM69">
        <f>survey_responses[[#This Row],[Tôi tin rằng Nhà nước, cơ quan thuế sẽ thực thi chính sách mới một cách khách quan, công tâm và đối xử bình đẳng với mọi người nộp thuế.  - HUMAN-TRU1]]</f>
        <v>4</v>
      </c>
      <c r="AN69">
        <f t="shared" si="40"/>
        <v>0.33333333333333331</v>
      </c>
      <c r="AO69">
        <f>step3_validation[[#This Row],[AI_TRU2]]</f>
        <v>9</v>
      </c>
      <c r="AP69">
        <f t="shared" si="41"/>
        <v>0.88888888888888884</v>
      </c>
      <c r="AQ69">
        <f>survey_responses[[#This Row],[Tôi thấy mức thuế tôi phải đóng theo phương án mới là công bằng (người thu nhập như tôi đóng mức này là hợp lý). - HUMAN-TRU2]]</f>
        <v>3</v>
      </c>
      <c r="AR69">
        <f t="shared" si="42"/>
        <v>0.22222222222222221</v>
      </c>
      <c r="AS69">
        <f>step3_validation[[#This Row],[AI_TRU3]]</f>
        <v>7</v>
      </c>
      <c r="AT69">
        <f t="shared" si="43"/>
        <v>0.66666666666666663</v>
      </c>
      <c r="AU69">
        <f>survey_responses[[#This Row],[Tôi tin tưởng số tiền thuế tôi đóng sẽ được Nhà nước sử dụng hiệu quả để cải thiện dịch vụ công (y tế, đường xá...). - HUMAN-TRU3]]</f>
        <v>1</v>
      </c>
      <c r="AV69">
        <f t="shared" si="44"/>
        <v>0</v>
      </c>
      <c r="AW69">
        <f>step3_validation[[#This Row],[AI_TRU4]]</f>
        <v>6</v>
      </c>
      <c r="AX69">
        <f t="shared" si="45"/>
        <v>0.55555555555555558</v>
      </c>
      <c r="AY69">
        <f>survey_responses[[#This Row],[Tôi thấy Nhà nước đã giải thích rõ ràng, minh bạch về lý do và mục tiêu của việc sửa đổi thuế lần này. - HUMAN-TRU4]]</f>
        <v>3</v>
      </c>
      <c r="AZ69">
        <f t="shared" si="46"/>
        <v>0.22222222222222221</v>
      </c>
      <c r="BA69" s="32">
        <f t="shared" si="47"/>
        <v>0.69444444444444442</v>
      </c>
      <c r="BB69" s="32">
        <f t="shared" si="48"/>
        <v>0.19444444444444445</v>
      </c>
      <c r="BC69" s="7">
        <f t="shared" si="49"/>
        <v>0.71296296296296291</v>
      </c>
      <c r="BD69" s="7">
        <f t="shared" si="50"/>
        <v>0.23148148148148148</v>
      </c>
      <c r="BE69">
        <f>step3_validation[[#This Row],[AI_OUT1]]</f>
        <v>9</v>
      </c>
      <c r="BF69">
        <f t="shared" si="51"/>
        <v>0.88888888888888884</v>
      </c>
      <c r="BG69">
        <f>survey_responses[[#This Row],[Sau khi xem xét các quyền lợi và nghĩa vụ, bạn có ủng hộ và tuân thủ chính sách mới hiện nay? - HUMAN-OUT1]]</f>
        <v>5</v>
      </c>
      <c r="BH69">
        <f t="shared" si="52"/>
        <v>0.44444444444444442</v>
      </c>
      <c r="BI69" s="32">
        <f t="shared" si="53"/>
        <v>4</v>
      </c>
    </row>
    <row r="70" spans="1:61" x14ac:dyDescent="0.45">
      <c r="A70" s="30">
        <f>step3_validation[[#This Row],[Persona_ID]]</f>
        <v>69</v>
      </c>
      <c r="B70" s="31">
        <f>step3_validation[[#This Row],[Used_Seed]]</f>
        <v>2059</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19.117716651787891</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f t="shared" si="27"/>
        <v>0.66666666666666663</v>
      </c>
      <c r="S70">
        <f>survey_responses[[#This Row],[Tôi tin rằng với các quy định quản lý thuế hiện nay, hành vi gian lận hoặc trốn thuế sẽ dễ dàng bị phát hiện và xử lý nghiêm. - HUMAN-ENF1]]</f>
        <v>7</v>
      </c>
      <c r="T70">
        <f t="shared" si="28"/>
        <v>0.66666666666666663</v>
      </c>
      <c r="U70">
        <f>step3_validation[[#This Row],[AI_ENF2]]</f>
        <v>7</v>
      </c>
      <c r="V70">
        <f t="shared" si="29"/>
        <v>0.66666666666666663</v>
      </c>
      <c r="W70">
        <f>survey_responses[[#This Row],[Tôi tin rằng Nhà nước, cơ quan thuế có đủ khả năng và công nghệ để phát hiện, xử lý nghiêm các hành vi trốn thuế. - HUMAN-ENF2]]</f>
        <v>7</v>
      </c>
      <c r="X70">
        <f t="shared" si="30"/>
        <v>0.66666666666666663</v>
      </c>
      <c r="Y70" s="32">
        <f t="shared" si="31"/>
        <v>0.66666666666666663</v>
      </c>
      <c r="Z70" s="32">
        <f t="shared" si="32"/>
        <v>0.66666666666666663</v>
      </c>
      <c r="AA70">
        <f>step3_validation[[#This Row],[AI_FAC1]]</f>
        <v>8</v>
      </c>
      <c r="AB70">
        <f t="shared" si="33"/>
        <v>0.77777777777777779</v>
      </c>
      <c r="AC70">
        <f>survey_responses[[#This Row],[Các thủ tục khai báo thuế VÀ/HOẶC quy trình làm việc với cơ quan thuế đơn giản, tiện lợi, nhanh chóng hơn so với trước đây. - HUMAN-FAC1]]</f>
        <v>8</v>
      </c>
      <c r="AD70">
        <f t="shared" si="34"/>
        <v>0.77777777777777779</v>
      </c>
      <c r="AE70">
        <f>step3_validation[[#This Row],[AI_FAC2]]</f>
        <v>9</v>
      </c>
      <c r="AF70">
        <f t="shared" si="35"/>
        <v>0.88888888888888884</v>
      </c>
      <c r="AG70">
        <f>survey_responses[[#This Row],[So với trước đây, tôi thấy cách tính thuế và các bậc thuế trong phương án mới đơn giản, dễ hiểu và dễ thực hiện hơn. - HUMAN-FAC2]]</f>
        <v>9</v>
      </c>
      <c r="AH70">
        <f t="shared" si="36"/>
        <v>0.88888888888888884</v>
      </c>
      <c r="AI70" s="32">
        <f t="shared" si="37"/>
        <v>0.83333333333333326</v>
      </c>
      <c r="AJ70" s="32">
        <f t="shared" si="38"/>
        <v>0.83333333333333326</v>
      </c>
      <c r="AK70">
        <f>step3_validation[[#This Row],[AI_TRU1]]</f>
        <v>8</v>
      </c>
      <c r="AL70">
        <f t="shared" si="39"/>
        <v>0.77777777777777779</v>
      </c>
      <c r="AM70">
        <f>survey_responses[[#This Row],[Tôi tin rằng Nhà nước, cơ quan thuế sẽ thực thi chính sách mới một cách khách quan, công tâm và đối xử bình đẳng với mọi người nộp thuế.  - HUMAN-TRU1]]</f>
        <v>8</v>
      </c>
      <c r="AN70">
        <f t="shared" si="40"/>
        <v>0.77777777777777779</v>
      </c>
      <c r="AO70">
        <f>step3_validation[[#This Row],[AI_TRU2]]</f>
        <v>9</v>
      </c>
      <c r="AP70">
        <f t="shared" si="41"/>
        <v>0.88888888888888884</v>
      </c>
      <c r="AQ70">
        <f>survey_responses[[#This Row],[Tôi thấy mức thuế tôi phải đóng theo phương án mới là công bằng (người thu nhập như tôi đóng mức này là hợp lý). - HUMAN-TRU2]]</f>
        <v>10</v>
      </c>
      <c r="AR70">
        <f t="shared" si="42"/>
        <v>1</v>
      </c>
      <c r="AS70">
        <f>step3_validation[[#This Row],[AI_TRU3]]</f>
        <v>8</v>
      </c>
      <c r="AT70">
        <f t="shared" si="43"/>
        <v>0.77777777777777779</v>
      </c>
      <c r="AU70">
        <f>survey_responses[[#This Row],[Tôi tin tưởng số tiền thuế tôi đóng sẽ được Nhà nước sử dụng hiệu quả để cải thiện dịch vụ công (y tế, đường xá...). - HUMAN-TRU3]]</f>
        <v>9</v>
      </c>
      <c r="AV70">
        <f t="shared" si="44"/>
        <v>0.88888888888888884</v>
      </c>
      <c r="AW70">
        <f>step3_validation[[#This Row],[AI_TRU4]]</f>
        <v>9</v>
      </c>
      <c r="AX70">
        <f t="shared" si="45"/>
        <v>0.88888888888888884</v>
      </c>
      <c r="AY70">
        <f>survey_responses[[#This Row],[Tôi thấy Nhà nước đã giải thích rõ ràng, minh bạch về lý do và mục tiêu của việc sửa đổi thuế lần này. - HUMAN-TRU4]]</f>
        <v>9</v>
      </c>
      <c r="AZ70">
        <f t="shared" si="46"/>
        <v>0.88888888888888884</v>
      </c>
      <c r="BA70" s="32">
        <f t="shared" si="47"/>
        <v>0.83333333333333326</v>
      </c>
      <c r="BB70" s="32">
        <f t="shared" si="48"/>
        <v>0.88888888888888884</v>
      </c>
      <c r="BC70" s="7">
        <f t="shared" si="49"/>
        <v>0.77777777777777768</v>
      </c>
      <c r="BD70" s="7">
        <f t="shared" si="50"/>
        <v>0.79629629629629628</v>
      </c>
      <c r="BE70">
        <f>step3_validation[[#This Row],[AI_OUT1]]</f>
        <v>9</v>
      </c>
      <c r="BF70">
        <f t="shared" si="51"/>
        <v>0.88888888888888884</v>
      </c>
      <c r="BG70">
        <f>survey_responses[[#This Row],[Sau khi xem xét các quyền lợi và nghĩa vụ, bạn có ủng hộ và tuân thủ chính sách mới hiện nay? - HUMAN-OUT1]]</f>
        <v>9</v>
      </c>
      <c r="BH70">
        <f t="shared" si="52"/>
        <v>0.88888888888888884</v>
      </c>
      <c r="BI70" s="32">
        <f t="shared" si="53"/>
        <v>0</v>
      </c>
    </row>
    <row r="71" spans="1:61" x14ac:dyDescent="0.45">
      <c r="A71" s="30">
        <f>step3_validation[[#This Row],[Persona_ID]]</f>
        <v>70</v>
      </c>
      <c r="B71" s="31">
        <f>step3_validation[[#This Row],[Used_Seed]]</f>
        <v>2060</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247.17734811541334</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8</v>
      </c>
      <c r="R71">
        <f t="shared" si="27"/>
        <v>0.77777777777777779</v>
      </c>
      <c r="S71">
        <f>survey_responses[[#This Row],[Tôi tin rằng với các quy định quản lý thuế hiện nay, hành vi gian lận hoặc trốn thuế sẽ dễ dàng bị phát hiện và xử lý nghiêm. - HUMAN-ENF1]]</f>
        <v>6</v>
      </c>
      <c r="T71">
        <f t="shared" si="28"/>
        <v>0.55555555555555558</v>
      </c>
      <c r="U71">
        <f>step3_validation[[#This Row],[AI_ENF2]]</f>
        <v>9</v>
      </c>
      <c r="V71">
        <f t="shared" si="29"/>
        <v>0.88888888888888884</v>
      </c>
      <c r="W71">
        <f>survey_responses[[#This Row],[Tôi tin rằng Nhà nước, cơ quan thuế có đủ khả năng và công nghệ để phát hiện, xử lý nghiêm các hành vi trốn thuế. - HUMAN-ENF2]]</f>
        <v>6</v>
      </c>
      <c r="X71">
        <f t="shared" si="30"/>
        <v>0.55555555555555558</v>
      </c>
      <c r="Y71" s="32">
        <f t="shared" si="31"/>
        <v>0.83333333333333326</v>
      </c>
      <c r="Z71" s="32">
        <f t="shared" si="32"/>
        <v>0.55555555555555558</v>
      </c>
      <c r="AA71">
        <f>step3_validation[[#This Row],[AI_FAC1]]</f>
        <v>7</v>
      </c>
      <c r="AB71">
        <f t="shared" si="33"/>
        <v>0.66666666666666663</v>
      </c>
      <c r="AC71">
        <f>survey_responses[[#This Row],[Các thủ tục khai báo thuế VÀ/HOẶC quy trình làm việc với cơ quan thuế đơn giản, tiện lợi, nhanh chóng hơn so với trước đây. - HUMAN-FAC1]]</f>
        <v>5</v>
      </c>
      <c r="AD71">
        <f t="shared" si="34"/>
        <v>0.44444444444444442</v>
      </c>
      <c r="AE71">
        <f>step3_validation[[#This Row],[AI_FAC2]]</f>
        <v>9</v>
      </c>
      <c r="AF71">
        <f t="shared" si="35"/>
        <v>0.88888888888888884</v>
      </c>
      <c r="AG71">
        <f>survey_responses[[#This Row],[So với trước đây, tôi thấy cách tính thuế và các bậc thuế trong phương án mới đơn giản, dễ hiểu và dễ thực hiện hơn. - HUMAN-FAC2]]</f>
        <v>5</v>
      </c>
      <c r="AH71">
        <f t="shared" si="36"/>
        <v>0.44444444444444442</v>
      </c>
      <c r="AI71" s="32">
        <f t="shared" si="37"/>
        <v>0.77777777777777768</v>
      </c>
      <c r="AJ71" s="32">
        <f t="shared" si="38"/>
        <v>0.44444444444444442</v>
      </c>
      <c r="AK71">
        <f>step3_validation[[#This Row],[AI_TRU1]]</f>
        <v>7</v>
      </c>
      <c r="AL71">
        <f t="shared" si="39"/>
        <v>0.66666666666666663</v>
      </c>
      <c r="AM71">
        <f>survey_responses[[#This Row],[Tôi tin rằng Nhà nước, cơ quan thuế sẽ thực thi chính sách mới một cách khách quan, công tâm và đối xử bình đẳng với mọi người nộp thuế.  - HUMAN-TRU1]]</f>
        <v>5</v>
      </c>
      <c r="AN71">
        <f t="shared" si="40"/>
        <v>0.44444444444444442</v>
      </c>
      <c r="AO71">
        <f>step3_validation[[#This Row],[AI_TRU2]]</f>
        <v>8</v>
      </c>
      <c r="AP71">
        <f t="shared" si="41"/>
        <v>0.77777777777777779</v>
      </c>
      <c r="AQ71">
        <f>survey_responses[[#This Row],[Tôi thấy mức thuế tôi phải đóng theo phương án mới là công bằng (người thu nhập như tôi đóng mức này là hợp lý). - HUMAN-TRU2]]</f>
        <v>1</v>
      </c>
      <c r="AR71">
        <f t="shared" si="42"/>
        <v>0</v>
      </c>
      <c r="AS71">
        <f>step3_validation[[#This Row],[AI_TRU3]]</f>
        <v>7</v>
      </c>
      <c r="AT71">
        <f t="shared" si="43"/>
        <v>0.66666666666666663</v>
      </c>
      <c r="AU71">
        <f>survey_responses[[#This Row],[Tôi tin tưởng số tiền thuế tôi đóng sẽ được Nhà nước sử dụng hiệu quả để cải thiện dịch vụ công (y tế, đường xá...). - HUMAN-TRU3]]</f>
        <v>5</v>
      </c>
      <c r="AV71">
        <f t="shared" si="44"/>
        <v>0.44444444444444442</v>
      </c>
      <c r="AW71">
        <f>step3_validation[[#This Row],[AI_TRU4]]</f>
        <v>8</v>
      </c>
      <c r="AX71">
        <f t="shared" si="45"/>
        <v>0.77777777777777779</v>
      </c>
      <c r="AY71">
        <f>survey_responses[[#This Row],[Tôi thấy Nhà nước đã giải thích rõ ràng, minh bạch về lý do và mục tiêu của việc sửa đổi thuế lần này. - HUMAN-TRU4]]</f>
        <v>5</v>
      </c>
      <c r="AZ71">
        <f t="shared" si="46"/>
        <v>0.44444444444444442</v>
      </c>
      <c r="BA71" s="32">
        <f t="shared" si="47"/>
        <v>0.72222222222222221</v>
      </c>
      <c r="BB71" s="32">
        <f t="shared" si="48"/>
        <v>0.33333333333333331</v>
      </c>
      <c r="BC71" s="7">
        <f t="shared" si="49"/>
        <v>0.77777777777777768</v>
      </c>
      <c r="BD71" s="7">
        <f t="shared" si="50"/>
        <v>0.44444444444444442</v>
      </c>
      <c r="BE71">
        <f>step3_validation[[#This Row],[AI_OUT1]]</f>
        <v>8</v>
      </c>
      <c r="BF71">
        <f t="shared" si="51"/>
        <v>0.77777777777777779</v>
      </c>
      <c r="BG71">
        <f>survey_responses[[#This Row],[Sau khi xem xét các quyền lợi và nghĩa vụ, bạn có ủng hộ và tuân thủ chính sách mới hiện nay? - HUMAN-OUT1]]</f>
        <v>5</v>
      </c>
      <c r="BH71">
        <f t="shared" si="52"/>
        <v>0.44444444444444442</v>
      </c>
      <c r="BI71" s="32">
        <f t="shared" si="53"/>
        <v>3</v>
      </c>
    </row>
    <row r="72" spans="1:61" x14ac:dyDescent="0.45">
      <c r="A72" s="30">
        <f>step3_validation[[#This Row],[Persona_ID]]</f>
        <v>71</v>
      </c>
      <c r="B72" s="31">
        <f>step3_validation[[#This Row],[Used_Seed]]</f>
        <v>2061</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24.225859396582763</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f t="shared" si="27"/>
        <v>0.66666666666666663</v>
      </c>
      <c r="S72">
        <f>survey_responses[[#This Row],[Tôi tin rằng với các quy định quản lý thuế hiện nay, hành vi gian lận hoặc trốn thuế sẽ dễ dàng bị phát hiện và xử lý nghiêm. - HUMAN-ENF1]]</f>
        <v>3</v>
      </c>
      <c r="T72">
        <f t="shared" si="28"/>
        <v>0.22222222222222221</v>
      </c>
      <c r="U72">
        <f>step3_validation[[#This Row],[AI_ENF2]]</f>
        <v>8</v>
      </c>
      <c r="V72">
        <f t="shared" si="29"/>
        <v>0.77777777777777779</v>
      </c>
      <c r="W72">
        <f>survey_responses[[#This Row],[Tôi tin rằng Nhà nước, cơ quan thuế có đủ khả năng và công nghệ để phát hiện, xử lý nghiêm các hành vi trốn thuế. - HUMAN-ENF2]]</f>
        <v>3</v>
      </c>
      <c r="X72">
        <f t="shared" si="30"/>
        <v>0.22222222222222221</v>
      </c>
      <c r="Y72" s="32">
        <f t="shared" si="31"/>
        <v>0.72222222222222221</v>
      </c>
      <c r="Z72" s="32">
        <f t="shared" si="32"/>
        <v>0.22222222222222221</v>
      </c>
      <c r="AA72">
        <f>step3_validation[[#This Row],[AI_FAC1]]</f>
        <v>9</v>
      </c>
      <c r="AB72">
        <f t="shared" si="33"/>
        <v>0.88888888888888884</v>
      </c>
      <c r="AC72">
        <f>survey_responses[[#This Row],[Các thủ tục khai báo thuế VÀ/HOẶC quy trình làm việc với cơ quan thuế đơn giản, tiện lợi, nhanh chóng hơn so với trước đây. - HUMAN-FAC1]]</f>
        <v>3</v>
      </c>
      <c r="AD72">
        <f t="shared" si="34"/>
        <v>0.22222222222222221</v>
      </c>
      <c r="AE72">
        <f>step3_validation[[#This Row],[AI_FAC2]]</f>
        <v>9</v>
      </c>
      <c r="AF72">
        <f t="shared" si="35"/>
        <v>0.88888888888888884</v>
      </c>
      <c r="AG72">
        <f>survey_responses[[#This Row],[So với trước đây, tôi thấy cách tính thuế và các bậc thuế trong phương án mới đơn giản, dễ hiểu và dễ thực hiện hơn. - HUMAN-FAC2]]</f>
        <v>5</v>
      </c>
      <c r="AH72">
        <f t="shared" si="36"/>
        <v>0.44444444444444442</v>
      </c>
      <c r="AI72" s="32">
        <f t="shared" si="37"/>
        <v>0.88888888888888884</v>
      </c>
      <c r="AJ72" s="32">
        <f t="shared" si="38"/>
        <v>0.33333333333333331</v>
      </c>
      <c r="AK72">
        <f>step3_validation[[#This Row],[AI_TRU1]]</f>
        <v>8</v>
      </c>
      <c r="AL72">
        <f t="shared" si="39"/>
        <v>0.77777777777777779</v>
      </c>
      <c r="AM72">
        <f>survey_responses[[#This Row],[Tôi tin rằng Nhà nước, cơ quan thuế sẽ thực thi chính sách mới một cách khách quan, công tâm và đối xử bình đẳng với mọi người nộp thuế.  - HUMAN-TRU1]]</f>
        <v>3</v>
      </c>
      <c r="AN72">
        <f t="shared" si="40"/>
        <v>0.22222222222222221</v>
      </c>
      <c r="AO72">
        <f>step3_validation[[#This Row],[AI_TRU2]]</f>
        <v>9</v>
      </c>
      <c r="AP72">
        <f t="shared" si="41"/>
        <v>0.88888888888888884</v>
      </c>
      <c r="AQ72">
        <f>survey_responses[[#This Row],[Tôi thấy mức thuế tôi phải đóng theo phương án mới là công bằng (người thu nhập như tôi đóng mức này là hợp lý). - HUMAN-TRU2]]</f>
        <v>3</v>
      </c>
      <c r="AR72">
        <f t="shared" si="42"/>
        <v>0.22222222222222221</v>
      </c>
      <c r="AS72">
        <f>step3_validation[[#This Row],[AI_TRU3]]</f>
        <v>8</v>
      </c>
      <c r="AT72">
        <f t="shared" si="43"/>
        <v>0.77777777777777779</v>
      </c>
      <c r="AU72">
        <f>survey_responses[[#This Row],[Tôi tin tưởng số tiền thuế tôi đóng sẽ được Nhà nước sử dụng hiệu quả để cải thiện dịch vụ công (y tế, đường xá...). - HUMAN-TRU3]]</f>
        <v>3</v>
      </c>
      <c r="AV72">
        <f t="shared" si="44"/>
        <v>0.22222222222222221</v>
      </c>
      <c r="AW72">
        <f>step3_validation[[#This Row],[AI_TRU4]]</f>
        <v>7</v>
      </c>
      <c r="AX72">
        <f t="shared" si="45"/>
        <v>0.66666666666666663</v>
      </c>
      <c r="AY72">
        <f>survey_responses[[#This Row],[Tôi thấy Nhà nước đã giải thích rõ ràng, minh bạch về lý do và mục tiêu của việc sửa đổi thuế lần này. - HUMAN-TRU4]]</f>
        <v>3</v>
      </c>
      <c r="AZ72">
        <f t="shared" si="46"/>
        <v>0.22222222222222221</v>
      </c>
      <c r="BA72" s="32">
        <f t="shared" si="47"/>
        <v>0.77777777777777768</v>
      </c>
      <c r="BB72" s="32">
        <f t="shared" si="48"/>
        <v>0.22222222222222221</v>
      </c>
      <c r="BC72" s="7">
        <f t="shared" si="49"/>
        <v>0.79629629629629628</v>
      </c>
      <c r="BD72" s="7">
        <f t="shared" si="50"/>
        <v>0.25925925925925924</v>
      </c>
      <c r="BE72">
        <f>step3_validation[[#This Row],[AI_OUT1]]</f>
        <v>9</v>
      </c>
      <c r="BF72">
        <f t="shared" si="51"/>
        <v>0.88888888888888884</v>
      </c>
      <c r="BG72">
        <f>survey_responses[[#This Row],[Sau khi xem xét các quyền lợi và nghĩa vụ, bạn có ủng hộ và tuân thủ chính sách mới hiện nay? - HUMAN-OUT1]]</f>
        <v>4</v>
      </c>
      <c r="BH72">
        <f t="shared" si="52"/>
        <v>0.33333333333333331</v>
      </c>
      <c r="BI72" s="32">
        <f t="shared" si="53"/>
        <v>5</v>
      </c>
    </row>
    <row r="73" spans="1:61" x14ac:dyDescent="0.45">
      <c r="A73" s="30">
        <f>step3_validation[[#This Row],[Persona_ID]]</f>
        <v>72</v>
      </c>
      <c r="B73" s="31">
        <f>step3_validation[[#This Row],[Used_Seed]]</f>
        <v>2062</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21.534208899275797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f t="shared" si="27"/>
        <v>0.66666666666666663</v>
      </c>
      <c r="S73">
        <f>survey_responses[[#This Row],[Tôi tin rằng với các quy định quản lý thuế hiện nay, hành vi gian lận hoặc trốn thuế sẽ dễ dàng bị phát hiện và xử lý nghiêm. - HUMAN-ENF1]]</f>
        <v>8</v>
      </c>
      <c r="T73">
        <f t="shared" si="28"/>
        <v>0.77777777777777779</v>
      </c>
      <c r="U73">
        <f>step3_validation[[#This Row],[AI_ENF2]]</f>
        <v>6</v>
      </c>
      <c r="V73">
        <f t="shared" si="29"/>
        <v>0.55555555555555558</v>
      </c>
      <c r="W73">
        <f>survey_responses[[#This Row],[Tôi tin rằng Nhà nước, cơ quan thuế có đủ khả năng và công nghệ để phát hiện, xử lý nghiêm các hành vi trốn thuế. - HUMAN-ENF2]]</f>
        <v>8</v>
      </c>
      <c r="X73">
        <f t="shared" si="30"/>
        <v>0.77777777777777779</v>
      </c>
      <c r="Y73" s="32">
        <f t="shared" si="31"/>
        <v>0.61111111111111116</v>
      </c>
      <c r="Z73" s="32">
        <f t="shared" si="32"/>
        <v>0.77777777777777779</v>
      </c>
      <c r="AA73">
        <f>step3_validation[[#This Row],[AI_FAC1]]</f>
        <v>8</v>
      </c>
      <c r="AB73">
        <f t="shared" si="33"/>
        <v>0.77777777777777779</v>
      </c>
      <c r="AC73">
        <f>survey_responses[[#This Row],[Các thủ tục khai báo thuế VÀ/HOẶC quy trình làm việc với cơ quan thuế đơn giản, tiện lợi, nhanh chóng hơn so với trước đây. - HUMAN-FAC1]]</f>
        <v>4</v>
      </c>
      <c r="AD73">
        <f t="shared" si="34"/>
        <v>0.33333333333333331</v>
      </c>
      <c r="AE73">
        <f>step3_validation[[#This Row],[AI_FAC2]]</f>
        <v>9</v>
      </c>
      <c r="AF73">
        <f t="shared" si="35"/>
        <v>0.88888888888888884</v>
      </c>
      <c r="AG73">
        <f>survey_responses[[#This Row],[So với trước đây, tôi thấy cách tính thuế và các bậc thuế trong phương án mới đơn giản, dễ hiểu và dễ thực hiện hơn. - HUMAN-FAC2]]</f>
        <v>2</v>
      </c>
      <c r="AH73">
        <f t="shared" si="36"/>
        <v>0.1111111111111111</v>
      </c>
      <c r="AI73" s="32">
        <f t="shared" si="37"/>
        <v>0.83333333333333326</v>
      </c>
      <c r="AJ73" s="32">
        <f t="shared" si="38"/>
        <v>0.22222222222222221</v>
      </c>
      <c r="AK73">
        <f>step3_validation[[#This Row],[AI_TRU1]]</f>
        <v>7</v>
      </c>
      <c r="AL73">
        <f t="shared" si="39"/>
        <v>0.66666666666666663</v>
      </c>
      <c r="AM73">
        <f>survey_responses[[#This Row],[Tôi tin rằng Nhà nước, cơ quan thuế sẽ thực thi chính sách mới một cách khách quan, công tâm và đối xử bình đẳng với mọi người nộp thuế.  - HUMAN-TRU1]]</f>
        <v>6</v>
      </c>
      <c r="AN73">
        <f t="shared" si="40"/>
        <v>0.55555555555555558</v>
      </c>
      <c r="AO73">
        <f>step3_validation[[#This Row],[AI_TRU2]]</f>
        <v>8</v>
      </c>
      <c r="AP73">
        <f t="shared" si="41"/>
        <v>0.77777777777777779</v>
      </c>
      <c r="AQ73">
        <f>survey_responses[[#This Row],[Tôi thấy mức thuế tôi phải đóng theo phương án mới là công bằng (người thu nhập như tôi đóng mức này là hợp lý). - HUMAN-TRU2]]</f>
        <v>3</v>
      </c>
      <c r="AR73">
        <f t="shared" si="42"/>
        <v>0.22222222222222221</v>
      </c>
      <c r="AS73">
        <f>step3_validation[[#This Row],[AI_TRU3]]</f>
        <v>7</v>
      </c>
      <c r="AT73">
        <f t="shared" si="43"/>
        <v>0.66666666666666663</v>
      </c>
      <c r="AU73">
        <f>survey_responses[[#This Row],[Tôi tin tưởng số tiền thuế tôi đóng sẽ được Nhà nước sử dụng hiệu quả để cải thiện dịch vụ công (y tế, đường xá...). - HUMAN-TRU3]]</f>
        <v>8</v>
      </c>
      <c r="AV73">
        <f t="shared" si="44"/>
        <v>0.77777777777777779</v>
      </c>
      <c r="AW73">
        <f>step3_validation[[#This Row],[AI_TRU4]]</f>
        <v>6</v>
      </c>
      <c r="AX73">
        <f t="shared" si="45"/>
        <v>0.55555555555555558</v>
      </c>
      <c r="AY73">
        <f>survey_responses[[#This Row],[Tôi thấy Nhà nước đã giải thích rõ ràng, minh bạch về lý do và mục tiêu của việc sửa đổi thuế lần này. - HUMAN-TRU4]]</f>
        <v>4</v>
      </c>
      <c r="AZ73">
        <f t="shared" si="46"/>
        <v>0.33333333333333331</v>
      </c>
      <c r="BA73" s="32">
        <f t="shared" si="47"/>
        <v>0.66666666666666674</v>
      </c>
      <c r="BB73" s="32">
        <f t="shared" si="48"/>
        <v>0.47222222222222221</v>
      </c>
      <c r="BC73" s="7">
        <f t="shared" si="49"/>
        <v>0.70370370370370372</v>
      </c>
      <c r="BD73" s="7">
        <f t="shared" si="50"/>
        <v>0.49074074074074076</v>
      </c>
      <c r="BE73">
        <f>step3_validation[[#This Row],[AI_OUT1]]</f>
        <v>8</v>
      </c>
      <c r="BF73">
        <f t="shared" si="51"/>
        <v>0.77777777777777779</v>
      </c>
      <c r="BG73">
        <f>survey_responses[[#This Row],[Sau khi xem xét các quyền lợi và nghĩa vụ, bạn có ủng hộ và tuân thủ chính sách mới hiện nay? - HUMAN-OUT1]]</f>
        <v>8</v>
      </c>
      <c r="BH73">
        <f t="shared" si="52"/>
        <v>0.77777777777777779</v>
      </c>
      <c r="BI73" s="32">
        <f t="shared" si="53"/>
        <v>0</v>
      </c>
    </row>
    <row r="74" spans="1:61" x14ac:dyDescent="0.45">
      <c r="A74" s="30">
        <f>step3_validation[[#This Row],[Persona_ID]]</f>
        <v>73</v>
      </c>
      <c r="B74" s="31">
        <f>step3_validation[[#This Row],[Used_Seed]]</f>
        <v>2063</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13.59025283310098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f t="shared" si="27"/>
        <v>0.66666666666666663</v>
      </c>
      <c r="S74">
        <f>survey_responses[[#This Row],[Tôi tin rằng với các quy định quản lý thuế hiện nay, hành vi gian lận hoặc trốn thuế sẽ dễ dàng bị phát hiện và xử lý nghiêm. - HUMAN-ENF1]]</f>
        <v>5</v>
      </c>
      <c r="T74">
        <f t="shared" si="28"/>
        <v>0.44444444444444442</v>
      </c>
      <c r="U74">
        <f>step3_validation[[#This Row],[AI_ENF2]]</f>
        <v>8</v>
      </c>
      <c r="V74">
        <f t="shared" si="29"/>
        <v>0.77777777777777779</v>
      </c>
      <c r="W74">
        <f>survey_responses[[#This Row],[Tôi tin rằng Nhà nước, cơ quan thuế có đủ khả năng và công nghệ để phát hiện, xử lý nghiêm các hành vi trốn thuế. - HUMAN-ENF2]]</f>
        <v>5</v>
      </c>
      <c r="X74">
        <f t="shared" si="30"/>
        <v>0.44444444444444442</v>
      </c>
      <c r="Y74" s="32">
        <f t="shared" si="31"/>
        <v>0.72222222222222221</v>
      </c>
      <c r="Z74" s="32">
        <f t="shared" si="32"/>
        <v>0.44444444444444442</v>
      </c>
      <c r="AA74">
        <f>step3_validation[[#This Row],[AI_FAC1]]</f>
        <v>6</v>
      </c>
      <c r="AB74">
        <f t="shared" si="33"/>
        <v>0.55555555555555558</v>
      </c>
      <c r="AC74">
        <f>survey_responses[[#This Row],[Các thủ tục khai báo thuế VÀ/HOẶC quy trình làm việc với cơ quan thuế đơn giản, tiện lợi, nhanh chóng hơn so với trước đây. - HUMAN-FAC1]]</f>
        <v>5</v>
      </c>
      <c r="AD74">
        <f t="shared" si="34"/>
        <v>0.44444444444444442</v>
      </c>
      <c r="AE74">
        <f>step3_validation[[#This Row],[AI_FAC2]]</f>
        <v>9</v>
      </c>
      <c r="AF74">
        <f t="shared" si="35"/>
        <v>0.88888888888888884</v>
      </c>
      <c r="AG74">
        <f>survey_responses[[#This Row],[So với trước đây, tôi thấy cách tính thuế và các bậc thuế trong phương án mới đơn giản, dễ hiểu và dễ thực hiện hơn. - HUMAN-FAC2]]</f>
        <v>5</v>
      </c>
      <c r="AH74">
        <f t="shared" si="36"/>
        <v>0.44444444444444442</v>
      </c>
      <c r="AI74" s="32">
        <f t="shared" si="37"/>
        <v>0.72222222222222221</v>
      </c>
      <c r="AJ74" s="32">
        <f t="shared" si="38"/>
        <v>0.44444444444444442</v>
      </c>
      <c r="AK74">
        <f>step3_validation[[#This Row],[AI_TRU1]]</f>
        <v>7</v>
      </c>
      <c r="AL74">
        <f t="shared" si="39"/>
        <v>0.66666666666666663</v>
      </c>
      <c r="AM74">
        <f>survey_responses[[#This Row],[Tôi tin rằng Nhà nước, cơ quan thuế sẽ thực thi chính sách mới một cách khách quan, công tâm và đối xử bình đẳng với mọi người nộp thuế.  - HUMAN-TRU1]]</f>
        <v>5</v>
      </c>
      <c r="AN74">
        <f t="shared" si="40"/>
        <v>0.44444444444444442</v>
      </c>
      <c r="AO74">
        <f>step3_validation[[#This Row],[AI_TRU2]]</f>
        <v>9</v>
      </c>
      <c r="AP74">
        <f t="shared" si="41"/>
        <v>0.88888888888888884</v>
      </c>
      <c r="AQ74">
        <f>survey_responses[[#This Row],[Tôi thấy mức thuế tôi phải đóng theo phương án mới là công bằng (người thu nhập như tôi đóng mức này là hợp lý). - HUMAN-TRU2]]</f>
        <v>10</v>
      </c>
      <c r="AR74">
        <f t="shared" si="42"/>
        <v>1</v>
      </c>
      <c r="AS74">
        <f>step3_validation[[#This Row],[AI_TRU3]]</f>
        <v>7</v>
      </c>
      <c r="AT74">
        <f t="shared" si="43"/>
        <v>0.66666666666666663</v>
      </c>
      <c r="AU74">
        <f>survey_responses[[#This Row],[Tôi tin tưởng số tiền thuế tôi đóng sẽ được Nhà nước sử dụng hiệu quả để cải thiện dịch vụ công (y tế, đường xá...). - HUMAN-TRU3]]</f>
        <v>5</v>
      </c>
      <c r="AV74">
        <f t="shared" si="44"/>
        <v>0.44444444444444442</v>
      </c>
      <c r="AW74">
        <f>step3_validation[[#This Row],[AI_TRU4]]</f>
        <v>6</v>
      </c>
      <c r="AX74">
        <f t="shared" si="45"/>
        <v>0.55555555555555558</v>
      </c>
      <c r="AY74">
        <f>survey_responses[[#This Row],[Tôi thấy Nhà nước đã giải thích rõ ràng, minh bạch về lý do và mục tiêu của việc sửa đổi thuế lần này. - HUMAN-TRU4]]</f>
        <v>5</v>
      </c>
      <c r="AZ74">
        <f t="shared" si="46"/>
        <v>0.44444444444444442</v>
      </c>
      <c r="BA74" s="32">
        <f t="shared" si="47"/>
        <v>0.69444444444444442</v>
      </c>
      <c r="BB74" s="32">
        <f t="shared" si="48"/>
        <v>0.58333333333333326</v>
      </c>
      <c r="BC74" s="7">
        <f t="shared" si="49"/>
        <v>0.71296296296296291</v>
      </c>
      <c r="BD74" s="7">
        <f t="shared" si="50"/>
        <v>0.4907407407407407</v>
      </c>
      <c r="BE74">
        <f>step3_validation[[#This Row],[AI_OUT1]]</f>
        <v>5</v>
      </c>
      <c r="BF74">
        <f t="shared" si="51"/>
        <v>0.44444444444444442</v>
      </c>
      <c r="BG74">
        <f>survey_responses[[#This Row],[Sau khi xem xét các quyền lợi và nghĩa vụ, bạn có ủng hộ và tuân thủ chính sách mới hiện nay? - HUMAN-OUT1]]</f>
        <v>10</v>
      </c>
      <c r="BH74">
        <f t="shared" si="52"/>
        <v>1</v>
      </c>
      <c r="BI74" s="32">
        <f t="shared" si="53"/>
        <v>5</v>
      </c>
    </row>
    <row r="75" spans="1:61" x14ac:dyDescent="0.45">
      <c r="A75" s="30">
        <f>step3_validation[[#This Row],[Persona_ID]]</f>
        <v>74</v>
      </c>
      <c r="B75" s="31">
        <f>step3_validation[[#This Row],[Used_Seed]]</f>
        <v>2064</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20.608193558112948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f t="shared" si="27"/>
        <v>0.66666666666666663</v>
      </c>
      <c r="S75">
        <f>survey_responses[[#This Row],[Tôi tin rằng với các quy định quản lý thuế hiện nay, hành vi gian lận hoặc trốn thuế sẽ dễ dàng bị phát hiện và xử lý nghiêm. - HUMAN-ENF1]]</f>
        <v>5</v>
      </c>
      <c r="T75">
        <f t="shared" si="28"/>
        <v>0.44444444444444442</v>
      </c>
      <c r="U75">
        <f>step3_validation[[#This Row],[AI_ENF2]]</f>
        <v>6</v>
      </c>
      <c r="V75">
        <f t="shared" si="29"/>
        <v>0.55555555555555558</v>
      </c>
      <c r="W75">
        <f>survey_responses[[#This Row],[Tôi tin rằng Nhà nước, cơ quan thuế có đủ khả năng và công nghệ để phát hiện, xử lý nghiêm các hành vi trốn thuế. - HUMAN-ENF2]]</f>
        <v>10</v>
      </c>
      <c r="X75">
        <f t="shared" si="30"/>
        <v>1</v>
      </c>
      <c r="Y75" s="32">
        <f t="shared" si="31"/>
        <v>0.61111111111111116</v>
      </c>
      <c r="Z75" s="32">
        <f t="shared" si="32"/>
        <v>0.72222222222222221</v>
      </c>
      <c r="AA75">
        <f>step3_validation[[#This Row],[AI_FAC1]]</f>
        <v>9</v>
      </c>
      <c r="AB75">
        <f t="shared" si="33"/>
        <v>0.88888888888888884</v>
      </c>
      <c r="AC75">
        <f>survey_responses[[#This Row],[Các thủ tục khai báo thuế VÀ/HOẶC quy trình làm việc với cơ quan thuế đơn giản, tiện lợi, nhanh chóng hơn so với trước đây. - HUMAN-FAC1]]</f>
        <v>2</v>
      </c>
      <c r="AD75">
        <f t="shared" si="34"/>
        <v>0.1111111111111111</v>
      </c>
      <c r="AE75">
        <f>step3_validation[[#This Row],[AI_FAC2]]</f>
        <v>8</v>
      </c>
      <c r="AF75">
        <f t="shared" si="35"/>
        <v>0.77777777777777779</v>
      </c>
      <c r="AG75">
        <f>survey_responses[[#This Row],[So với trước đây, tôi thấy cách tính thuế và các bậc thuế trong phương án mới đơn giản, dễ hiểu và dễ thực hiện hơn. - HUMAN-FAC2]]</f>
        <v>8</v>
      </c>
      <c r="AH75">
        <f t="shared" si="36"/>
        <v>0.77777777777777779</v>
      </c>
      <c r="AI75" s="32">
        <f t="shared" si="37"/>
        <v>0.83333333333333326</v>
      </c>
      <c r="AJ75" s="32">
        <f t="shared" si="38"/>
        <v>0.44444444444444442</v>
      </c>
      <c r="AK75">
        <f>step3_validation[[#This Row],[AI_TRU1]]</f>
        <v>9</v>
      </c>
      <c r="AL75">
        <f t="shared" si="39"/>
        <v>0.88888888888888884</v>
      </c>
      <c r="AM75">
        <f>survey_responses[[#This Row],[Tôi tin rằng Nhà nước, cơ quan thuế sẽ thực thi chính sách mới một cách khách quan, công tâm và đối xử bình đẳng với mọi người nộp thuế.  - HUMAN-TRU1]]</f>
        <v>5</v>
      </c>
      <c r="AN75">
        <f t="shared" si="40"/>
        <v>0.44444444444444442</v>
      </c>
      <c r="AO75">
        <f>step3_validation[[#This Row],[AI_TRU2]]</f>
        <v>8</v>
      </c>
      <c r="AP75">
        <f t="shared" si="41"/>
        <v>0.77777777777777779</v>
      </c>
      <c r="AQ75">
        <f>survey_responses[[#This Row],[Tôi thấy mức thuế tôi phải đóng theo phương án mới là công bằng (người thu nhập như tôi đóng mức này là hợp lý). - HUMAN-TRU2]]</f>
        <v>5</v>
      </c>
      <c r="AR75">
        <f t="shared" si="42"/>
        <v>0.44444444444444442</v>
      </c>
      <c r="AS75">
        <f>step3_validation[[#This Row],[AI_TRU3]]</f>
        <v>7</v>
      </c>
      <c r="AT75">
        <f t="shared" si="43"/>
        <v>0.66666666666666663</v>
      </c>
      <c r="AU75">
        <f>survey_responses[[#This Row],[Tôi tin tưởng số tiền thuế tôi đóng sẽ được Nhà nước sử dụng hiệu quả để cải thiện dịch vụ công (y tế, đường xá...). - HUMAN-TRU3]]</f>
        <v>1</v>
      </c>
      <c r="AV75">
        <f t="shared" si="44"/>
        <v>0</v>
      </c>
      <c r="AW75">
        <f>step3_validation[[#This Row],[AI_TRU4]]</f>
        <v>8</v>
      </c>
      <c r="AX75">
        <f t="shared" si="45"/>
        <v>0.77777777777777779</v>
      </c>
      <c r="AY75">
        <f>survey_responses[[#This Row],[Tôi thấy Nhà nước đã giải thích rõ ràng, minh bạch về lý do và mục tiêu của việc sửa đổi thuế lần này. - HUMAN-TRU4]]</f>
        <v>4</v>
      </c>
      <c r="AZ75">
        <f t="shared" si="46"/>
        <v>0.33333333333333331</v>
      </c>
      <c r="BA75" s="32">
        <f t="shared" si="47"/>
        <v>0.77777777777777768</v>
      </c>
      <c r="BB75" s="32">
        <f t="shared" si="48"/>
        <v>0.30555555555555552</v>
      </c>
      <c r="BC75" s="7">
        <f t="shared" si="49"/>
        <v>0.74074074074074081</v>
      </c>
      <c r="BD75" s="7">
        <f t="shared" si="50"/>
        <v>0.4907407407407407</v>
      </c>
      <c r="BE75">
        <f>step3_validation[[#This Row],[AI_OUT1]]</f>
        <v>9</v>
      </c>
      <c r="BF75">
        <f t="shared" si="51"/>
        <v>0.88888888888888884</v>
      </c>
      <c r="BG75">
        <f>survey_responses[[#This Row],[Sau khi xem xét các quyền lợi và nghĩa vụ, bạn có ủng hộ và tuân thủ chính sách mới hiện nay? - HUMAN-OUT1]]</f>
        <v>5</v>
      </c>
      <c r="BH75">
        <f t="shared" si="52"/>
        <v>0.44444444444444442</v>
      </c>
      <c r="BI75" s="32">
        <f t="shared" si="53"/>
        <v>4</v>
      </c>
    </row>
    <row r="76" spans="1:61" x14ac:dyDescent="0.45">
      <c r="A76" s="30">
        <f>step3_validation[[#This Row],[Persona_ID]]</f>
        <v>75</v>
      </c>
      <c r="B76" s="31">
        <f>step3_validation[[#This Row],[Used_Seed]]</f>
        <v>2065</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63.766022638741298</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f t="shared" si="27"/>
        <v>0.77777777777777779</v>
      </c>
      <c r="S76">
        <f>survey_responses[[#This Row],[Tôi tin rằng với các quy định quản lý thuế hiện nay, hành vi gian lận hoặc trốn thuế sẽ dễ dàng bị phát hiện và xử lý nghiêm. - HUMAN-ENF1]]</f>
        <v>8</v>
      </c>
      <c r="T76">
        <f t="shared" si="28"/>
        <v>0.77777777777777779</v>
      </c>
      <c r="U76">
        <f>step3_validation[[#This Row],[AI_ENF2]]</f>
        <v>9</v>
      </c>
      <c r="V76">
        <f t="shared" si="29"/>
        <v>0.88888888888888884</v>
      </c>
      <c r="W76">
        <f>survey_responses[[#This Row],[Tôi tin rằng Nhà nước, cơ quan thuế có đủ khả năng và công nghệ để phát hiện, xử lý nghiêm các hành vi trốn thuế. - HUMAN-ENF2]]</f>
        <v>9</v>
      </c>
      <c r="X76">
        <f t="shared" si="30"/>
        <v>0.88888888888888884</v>
      </c>
      <c r="Y76" s="32">
        <f t="shared" si="31"/>
        <v>0.83333333333333326</v>
      </c>
      <c r="Z76" s="32">
        <f t="shared" si="32"/>
        <v>0.83333333333333326</v>
      </c>
      <c r="AA76">
        <f>step3_validation[[#This Row],[AI_FAC1]]</f>
        <v>10</v>
      </c>
      <c r="AB76">
        <f t="shared" si="33"/>
        <v>1</v>
      </c>
      <c r="AC76">
        <f>survey_responses[[#This Row],[Các thủ tục khai báo thuế VÀ/HOẶC quy trình làm việc với cơ quan thuế đơn giản, tiện lợi, nhanh chóng hơn so với trước đây. - HUMAN-FAC1]]</f>
        <v>9</v>
      </c>
      <c r="AD76">
        <f t="shared" si="34"/>
        <v>0.88888888888888884</v>
      </c>
      <c r="AE76">
        <f>step3_validation[[#This Row],[AI_FAC2]]</f>
        <v>10</v>
      </c>
      <c r="AF76">
        <f t="shared" si="35"/>
        <v>1</v>
      </c>
      <c r="AG76">
        <f>survey_responses[[#This Row],[So với trước đây, tôi thấy cách tính thuế và các bậc thuế trong phương án mới đơn giản, dễ hiểu và dễ thực hiện hơn. - HUMAN-FAC2]]</f>
        <v>9</v>
      </c>
      <c r="AH76">
        <f t="shared" si="36"/>
        <v>0.88888888888888884</v>
      </c>
      <c r="AI76" s="32">
        <f t="shared" si="37"/>
        <v>1</v>
      </c>
      <c r="AJ76" s="32">
        <f t="shared" si="38"/>
        <v>0.88888888888888884</v>
      </c>
      <c r="AK76">
        <f>step3_validation[[#This Row],[AI_TRU1]]</f>
        <v>9</v>
      </c>
      <c r="AL76">
        <f t="shared" si="39"/>
        <v>0.88888888888888884</v>
      </c>
      <c r="AM76">
        <f>survey_responses[[#This Row],[Tôi tin rằng Nhà nước, cơ quan thuế sẽ thực thi chính sách mới một cách khách quan, công tâm và đối xử bình đẳng với mọi người nộp thuế.  - HUMAN-TRU1]]</f>
        <v>3</v>
      </c>
      <c r="AN76">
        <f t="shared" si="40"/>
        <v>0.22222222222222221</v>
      </c>
      <c r="AO76">
        <f>step3_validation[[#This Row],[AI_TRU2]]</f>
        <v>10</v>
      </c>
      <c r="AP76">
        <f t="shared" si="41"/>
        <v>1</v>
      </c>
      <c r="AQ76">
        <f>survey_responses[[#This Row],[Tôi thấy mức thuế tôi phải đóng theo phương án mới là công bằng (người thu nhập như tôi đóng mức này là hợp lý). - HUMAN-TRU2]]</f>
        <v>3</v>
      </c>
      <c r="AR76">
        <f t="shared" si="42"/>
        <v>0.22222222222222221</v>
      </c>
      <c r="AS76">
        <f>step3_validation[[#This Row],[AI_TRU3]]</f>
        <v>9</v>
      </c>
      <c r="AT76">
        <f t="shared" si="43"/>
        <v>0.88888888888888884</v>
      </c>
      <c r="AU76">
        <f>survey_responses[[#This Row],[Tôi tin tưởng số tiền thuế tôi đóng sẽ được Nhà nước sử dụng hiệu quả để cải thiện dịch vụ công (y tế, đường xá...). - HUMAN-TRU3]]</f>
        <v>2</v>
      </c>
      <c r="AV76">
        <f t="shared" si="44"/>
        <v>0.1111111111111111</v>
      </c>
      <c r="AW76">
        <f>step3_validation[[#This Row],[AI_TRU4]]</f>
        <v>9</v>
      </c>
      <c r="AX76">
        <f t="shared" si="45"/>
        <v>0.88888888888888884</v>
      </c>
      <c r="AY76">
        <f>survey_responses[[#This Row],[Tôi thấy Nhà nước đã giải thích rõ ràng, minh bạch về lý do và mục tiêu của việc sửa đổi thuế lần này. - HUMAN-TRU4]]</f>
        <v>2</v>
      </c>
      <c r="AZ76">
        <f t="shared" si="46"/>
        <v>0.1111111111111111</v>
      </c>
      <c r="BA76" s="32">
        <f t="shared" si="47"/>
        <v>0.91666666666666663</v>
      </c>
      <c r="BB76" s="32">
        <f t="shared" si="48"/>
        <v>0.16666666666666669</v>
      </c>
      <c r="BC76" s="7">
        <f t="shared" si="49"/>
        <v>0.91666666666666663</v>
      </c>
      <c r="BD76" s="7">
        <f t="shared" si="50"/>
        <v>0.62962962962962965</v>
      </c>
      <c r="BE76">
        <f>step3_validation[[#This Row],[AI_OUT1]]</f>
        <v>10</v>
      </c>
      <c r="BF76">
        <f t="shared" si="51"/>
        <v>1</v>
      </c>
      <c r="BG76">
        <f>survey_responses[[#This Row],[Sau khi xem xét các quyền lợi và nghĩa vụ, bạn có ủng hộ và tuân thủ chính sách mới hiện nay? - HUMAN-OUT1]]</f>
        <v>6</v>
      </c>
      <c r="BH76">
        <f t="shared" si="52"/>
        <v>0.55555555555555558</v>
      </c>
      <c r="BI76" s="32">
        <f t="shared" si="53"/>
        <v>4</v>
      </c>
    </row>
    <row r="77" spans="1:61" x14ac:dyDescent="0.45">
      <c r="A77" s="30">
        <f>step3_validation[[#This Row],[Persona_ID]]</f>
        <v>76</v>
      </c>
      <c r="B77" s="31">
        <f>step3_validation[[#This Row],[Used_Seed]]</f>
        <v>2066</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12.049198880927142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6</v>
      </c>
      <c r="R77">
        <f t="shared" si="27"/>
        <v>0.55555555555555558</v>
      </c>
      <c r="S77">
        <f>survey_responses[[#This Row],[Tôi tin rằng với các quy định quản lý thuế hiện nay, hành vi gian lận hoặc trốn thuế sẽ dễ dàng bị phát hiện và xử lý nghiêm. - HUMAN-ENF1]]</f>
        <v>5</v>
      </c>
      <c r="T77">
        <f t="shared" si="28"/>
        <v>0.44444444444444442</v>
      </c>
      <c r="U77">
        <f>step3_validation[[#This Row],[AI_ENF2]]</f>
        <v>7</v>
      </c>
      <c r="V77">
        <f t="shared" si="29"/>
        <v>0.66666666666666663</v>
      </c>
      <c r="W77">
        <f>survey_responses[[#This Row],[Tôi tin rằng Nhà nước, cơ quan thuế có đủ khả năng và công nghệ để phát hiện, xử lý nghiêm các hành vi trốn thuế. - HUMAN-ENF2]]</f>
        <v>5</v>
      </c>
      <c r="X77">
        <f t="shared" si="30"/>
        <v>0.44444444444444442</v>
      </c>
      <c r="Y77" s="32">
        <f t="shared" si="31"/>
        <v>0.61111111111111116</v>
      </c>
      <c r="Z77" s="32">
        <f t="shared" si="32"/>
        <v>0.44444444444444442</v>
      </c>
      <c r="AA77">
        <f>step3_validation[[#This Row],[AI_FAC1]]</f>
        <v>5</v>
      </c>
      <c r="AB77">
        <f t="shared" si="33"/>
        <v>0.44444444444444442</v>
      </c>
      <c r="AC77">
        <f>survey_responses[[#This Row],[Các thủ tục khai báo thuế VÀ/HOẶC quy trình làm việc với cơ quan thuế đơn giản, tiện lợi, nhanh chóng hơn so với trước đây. - HUMAN-FAC1]]</f>
        <v>5</v>
      </c>
      <c r="AD77">
        <f t="shared" si="34"/>
        <v>0.44444444444444442</v>
      </c>
      <c r="AE77">
        <f>step3_validation[[#This Row],[AI_FAC2]]</f>
        <v>6</v>
      </c>
      <c r="AF77">
        <f t="shared" si="35"/>
        <v>0.55555555555555558</v>
      </c>
      <c r="AG77">
        <f>survey_responses[[#This Row],[So với trước đây, tôi thấy cách tính thuế và các bậc thuế trong phương án mới đơn giản, dễ hiểu và dễ thực hiện hơn. - HUMAN-FAC2]]</f>
        <v>5</v>
      </c>
      <c r="AH77">
        <f t="shared" si="36"/>
        <v>0.44444444444444442</v>
      </c>
      <c r="AI77" s="32">
        <f t="shared" si="37"/>
        <v>0.5</v>
      </c>
      <c r="AJ77" s="32">
        <f t="shared" si="38"/>
        <v>0.44444444444444442</v>
      </c>
      <c r="AK77">
        <f>step3_validation[[#This Row],[AI_TRU1]]</f>
        <v>9</v>
      </c>
      <c r="AL77">
        <f t="shared" si="39"/>
        <v>0.88888888888888884</v>
      </c>
      <c r="AM77">
        <f>survey_responses[[#This Row],[Tôi tin rằng Nhà nước, cơ quan thuế sẽ thực thi chính sách mới một cách khách quan, công tâm và đối xử bình đẳng với mọi người nộp thuế.  - HUMAN-TRU1]]</f>
        <v>5</v>
      </c>
      <c r="AN77">
        <f t="shared" si="40"/>
        <v>0.44444444444444442</v>
      </c>
      <c r="AO77">
        <f>step3_validation[[#This Row],[AI_TRU2]]</f>
        <v>8</v>
      </c>
      <c r="AP77">
        <f t="shared" si="41"/>
        <v>0.77777777777777779</v>
      </c>
      <c r="AQ77">
        <f>survey_responses[[#This Row],[Tôi thấy mức thuế tôi phải đóng theo phương án mới là công bằng (người thu nhập như tôi đóng mức này là hợp lý). - HUMAN-TRU2]]</f>
        <v>5</v>
      </c>
      <c r="AR77">
        <f t="shared" si="42"/>
        <v>0.44444444444444442</v>
      </c>
      <c r="AS77">
        <f>step3_validation[[#This Row],[AI_TRU3]]</f>
        <v>9</v>
      </c>
      <c r="AT77">
        <f t="shared" si="43"/>
        <v>0.88888888888888884</v>
      </c>
      <c r="AU77">
        <f>survey_responses[[#This Row],[Tôi tin tưởng số tiền thuế tôi đóng sẽ được Nhà nước sử dụng hiệu quả để cải thiện dịch vụ công (y tế, đường xá...). - HUMAN-TRU3]]</f>
        <v>5</v>
      </c>
      <c r="AV77">
        <f t="shared" si="44"/>
        <v>0.44444444444444442</v>
      </c>
      <c r="AW77">
        <f>step3_validation[[#This Row],[AI_TRU4]]</f>
        <v>5</v>
      </c>
      <c r="AX77">
        <f t="shared" si="45"/>
        <v>0.44444444444444442</v>
      </c>
      <c r="AY77">
        <f>survey_responses[[#This Row],[Tôi thấy Nhà nước đã giải thích rõ ràng, minh bạch về lý do và mục tiêu của việc sửa đổi thuế lần này. - HUMAN-TRU4]]</f>
        <v>5</v>
      </c>
      <c r="AZ77">
        <f t="shared" si="46"/>
        <v>0.44444444444444442</v>
      </c>
      <c r="BA77" s="32">
        <f t="shared" si="47"/>
        <v>0.75</v>
      </c>
      <c r="BB77" s="32">
        <f t="shared" si="48"/>
        <v>0.44444444444444442</v>
      </c>
      <c r="BC77" s="7">
        <f t="shared" si="49"/>
        <v>0.62037037037037035</v>
      </c>
      <c r="BD77" s="7">
        <f t="shared" si="50"/>
        <v>0.44444444444444442</v>
      </c>
      <c r="BE77">
        <f>step3_validation[[#This Row],[AI_OUT1]]</f>
        <v>7</v>
      </c>
      <c r="BF77">
        <f t="shared" si="51"/>
        <v>0.66666666666666663</v>
      </c>
      <c r="BG77">
        <f>survey_responses[[#This Row],[Sau khi xem xét các quyền lợi và nghĩa vụ, bạn có ủng hộ và tuân thủ chính sách mới hiện nay? - HUMAN-OUT1]]</f>
        <v>5</v>
      </c>
      <c r="BH77">
        <f t="shared" si="52"/>
        <v>0.44444444444444442</v>
      </c>
      <c r="BI77" s="32">
        <f t="shared" si="53"/>
        <v>2</v>
      </c>
    </row>
    <row r="78" spans="1:61" x14ac:dyDescent="0.45">
      <c r="A78" s="30">
        <f>step3_validation[[#This Row],[Persona_ID]]</f>
        <v>77</v>
      </c>
      <c r="B78" s="31">
        <f>step3_validation[[#This Row],[Used_Seed]]</f>
        <v>2067</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16.163866161295601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f t="shared" si="27"/>
        <v>0.55555555555555558</v>
      </c>
      <c r="S78">
        <f>survey_responses[[#This Row],[Tôi tin rằng với các quy định quản lý thuế hiện nay, hành vi gian lận hoặc trốn thuế sẽ dễ dàng bị phát hiện và xử lý nghiêm. - HUMAN-ENF1]]</f>
        <v>8</v>
      </c>
      <c r="T78">
        <f t="shared" si="28"/>
        <v>0.77777777777777779</v>
      </c>
      <c r="U78">
        <f>step3_validation[[#This Row],[AI_ENF2]]</f>
        <v>7</v>
      </c>
      <c r="V78">
        <f t="shared" si="29"/>
        <v>0.66666666666666663</v>
      </c>
      <c r="W78">
        <f>survey_responses[[#This Row],[Tôi tin rằng Nhà nước, cơ quan thuế có đủ khả năng và công nghệ để phát hiện, xử lý nghiêm các hành vi trốn thuế. - HUMAN-ENF2]]</f>
        <v>8</v>
      </c>
      <c r="X78">
        <f t="shared" si="30"/>
        <v>0.77777777777777779</v>
      </c>
      <c r="Y78" s="32">
        <f t="shared" si="31"/>
        <v>0.61111111111111116</v>
      </c>
      <c r="Z78" s="32">
        <f t="shared" si="32"/>
        <v>0.77777777777777779</v>
      </c>
      <c r="AA78">
        <f>step3_validation[[#This Row],[AI_FAC1]]</f>
        <v>9</v>
      </c>
      <c r="AB78">
        <f t="shared" si="33"/>
        <v>0.88888888888888884</v>
      </c>
      <c r="AC78">
        <f>survey_responses[[#This Row],[Các thủ tục khai báo thuế VÀ/HOẶC quy trình làm việc với cơ quan thuế đơn giản, tiện lợi, nhanh chóng hơn so với trước đây. - HUMAN-FAC1]]</f>
        <v>8</v>
      </c>
      <c r="AD78">
        <f t="shared" si="34"/>
        <v>0.77777777777777779</v>
      </c>
      <c r="AE78">
        <f>step3_validation[[#This Row],[AI_FAC2]]</f>
        <v>9</v>
      </c>
      <c r="AF78">
        <f t="shared" si="35"/>
        <v>0.88888888888888884</v>
      </c>
      <c r="AG78">
        <f>survey_responses[[#This Row],[So với trước đây, tôi thấy cách tính thuế và các bậc thuế trong phương án mới đơn giản, dễ hiểu và dễ thực hiện hơn. - HUMAN-FAC2]]</f>
        <v>8</v>
      </c>
      <c r="AH78">
        <f t="shared" si="36"/>
        <v>0.77777777777777779</v>
      </c>
      <c r="AI78" s="32">
        <f t="shared" si="37"/>
        <v>0.88888888888888884</v>
      </c>
      <c r="AJ78" s="32">
        <f t="shared" si="38"/>
        <v>0.77777777777777779</v>
      </c>
      <c r="AK78">
        <f>step3_validation[[#This Row],[AI_TRU1]]</f>
        <v>7</v>
      </c>
      <c r="AL78">
        <f t="shared" si="39"/>
        <v>0.66666666666666663</v>
      </c>
      <c r="AM78">
        <f>survey_responses[[#This Row],[Tôi tin rằng Nhà nước, cơ quan thuế sẽ thực thi chính sách mới một cách khách quan, công tâm và đối xử bình đẳng với mọi người nộp thuế.  - HUMAN-TRU1]]</f>
        <v>9</v>
      </c>
      <c r="AN78">
        <f t="shared" si="40"/>
        <v>0.88888888888888884</v>
      </c>
      <c r="AO78">
        <f>step3_validation[[#This Row],[AI_TRU2]]</f>
        <v>9</v>
      </c>
      <c r="AP78">
        <f t="shared" si="41"/>
        <v>0.88888888888888884</v>
      </c>
      <c r="AQ78">
        <f>survey_responses[[#This Row],[Tôi thấy mức thuế tôi phải đóng theo phương án mới là công bằng (người thu nhập như tôi đóng mức này là hợp lý). - HUMAN-TRU2]]</f>
        <v>7</v>
      </c>
      <c r="AR78">
        <f t="shared" si="42"/>
        <v>0.66666666666666663</v>
      </c>
      <c r="AS78">
        <f>step3_validation[[#This Row],[AI_TRU3]]</f>
        <v>7</v>
      </c>
      <c r="AT78">
        <f t="shared" si="43"/>
        <v>0.66666666666666663</v>
      </c>
      <c r="AU78">
        <f>survey_responses[[#This Row],[Tôi tin tưởng số tiền thuế tôi đóng sẽ được Nhà nước sử dụng hiệu quả để cải thiện dịch vụ công (y tế, đường xá...). - HUMAN-TRU3]]</f>
        <v>9</v>
      </c>
      <c r="AV78">
        <f t="shared" si="44"/>
        <v>0.88888888888888884</v>
      </c>
      <c r="AW78">
        <f>step3_validation[[#This Row],[AI_TRU4]]</f>
        <v>7</v>
      </c>
      <c r="AX78">
        <f t="shared" si="45"/>
        <v>0.66666666666666663</v>
      </c>
      <c r="AY78">
        <f>survey_responses[[#This Row],[Tôi thấy Nhà nước đã giải thích rõ ràng, minh bạch về lý do và mục tiêu của việc sửa đổi thuế lần này. - HUMAN-TRU4]]</f>
        <v>10</v>
      </c>
      <c r="AZ78">
        <f t="shared" si="46"/>
        <v>1</v>
      </c>
      <c r="BA78" s="32">
        <f t="shared" si="47"/>
        <v>0.7222222222222221</v>
      </c>
      <c r="BB78" s="32">
        <f t="shared" si="48"/>
        <v>0.86111111111111105</v>
      </c>
      <c r="BC78" s="7">
        <f t="shared" si="49"/>
        <v>0.74074074074074081</v>
      </c>
      <c r="BD78" s="7">
        <f t="shared" si="50"/>
        <v>0.80555555555555547</v>
      </c>
      <c r="BE78">
        <f>step3_validation[[#This Row],[AI_OUT1]]</f>
        <v>8</v>
      </c>
      <c r="BF78">
        <f t="shared" si="51"/>
        <v>0.77777777777777779</v>
      </c>
      <c r="BG78">
        <f>survey_responses[[#This Row],[Sau khi xem xét các quyền lợi và nghĩa vụ, bạn có ủng hộ và tuân thủ chính sách mới hiện nay? - HUMAN-OUT1]]</f>
        <v>8</v>
      </c>
      <c r="BH78">
        <f t="shared" si="52"/>
        <v>0.77777777777777779</v>
      </c>
      <c r="BI78" s="32">
        <f t="shared" si="53"/>
        <v>0</v>
      </c>
    </row>
    <row r="79" spans="1:61" x14ac:dyDescent="0.45">
      <c r="A79" s="30">
        <f>step3_validation[[#This Row],[Persona_ID]]</f>
        <v>78</v>
      </c>
      <c r="B79" s="31">
        <f>step3_validation[[#This Row],[Used_Seed]]</f>
        <v>2068</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43.928510667121479</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7</v>
      </c>
      <c r="R79">
        <f t="shared" si="27"/>
        <v>0.66666666666666663</v>
      </c>
      <c r="S79">
        <f>survey_responses[[#This Row],[Tôi tin rằng với các quy định quản lý thuế hiện nay, hành vi gian lận hoặc trốn thuế sẽ dễ dàng bị phát hiện và xử lý nghiêm. - HUMAN-ENF1]]</f>
        <v>8</v>
      </c>
      <c r="T79">
        <f t="shared" si="28"/>
        <v>0.77777777777777779</v>
      </c>
      <c r="U79">
        <f>step3_validation[[#This Row],[AI_ENF2]]</f>
        <v>6</v>
      </c>
      <c r="V79">
        <f t="shared" si="29"/>
        <v>0.55555555555555558</v>
      </c>
      <c r="W79">
        <f>survey_responses[[#This Row],[Tôi tin rằng Nhà nước, cơ quan thuế có đủ khả năng và công nghệ để phát hiện, xử lý nghiêm các hành vi trốn thuế. - HUMAN-ENF2]]</f>
        <v>7</v>
      </c>
      <c r="X79">
        <f t="shared" si="30"/>
        <v>0.66666666666666663</v>
      </c>
      <c r="Y79" s="32">
        <f t="shared" si="31"/>
        <v>0.61111111111111116</v>
      </c>
      <c r="Z79" s="32">
        <f t="shared" si="32"/>
        <v>0.72222222222222221</v>
      </c>
      <c r="AA79">
        <f>step3_validation[[#This Row],[AI_FAC1]]</f>
        <v>8</v>
      </c>
      <c r="AB79">
        <f t="shared" si="33"/>
        <v>0.77777777777777779</v>
      </c>
      <c r="AC79">
        <f>survey_responses[[#This Row],[Các thủ tục khai báo thuế VÀ/HOẶC quy trình làm việc với cơ quan thuế đơn giản, tiện lợi, nhanh chóng hơn so với trước đây. - HUMAN-FAC1]]</f>
        <v>9</v>
      </c>
      <c r="AD79">
        <f t="shared" si="34"/>
        <v>0.88888888888888884</v>
      </c>
      <c r="AE79">
        <f>step3_validation[[#This Row],[AI_FAC2]]</f>
        <v>9</v>
      </c>
      <c r="AF79">
        <f t="shared" si="35"/>
        <v>0.88888888888888884</v>
      </c>
      <c r="AG79">
        <f>survey_responses[[#This Row],[So với trước đây, tôi thấy cách tính thuế và các bậc thuế trong phương án mới đơn giản, dễ hiểu và dễ thực hiện hơn. - HUMAN-FAC2]]</f>
        <v>8</v>
      </c>
      <c r="AH79">
        <f t="shared" si="36"/>
        <v>0.77777777777777779</v>
      </c>
      <c r="AI79" s="32">
        <f t="shared" si="37"/>
        <v>0.83333333333333326</v>
      </c>
      <c r="AJ79" s="32">
        <f t="shared" si="38"/>
        <v>0.83333333333333326</v>
      </c>
      <c r="AK79">
        <f>step3_validation[[#This Row],[AI_TRU1]]</f>
        <v>7</v>
      </c>
      <c r="AL79">
        <f t="shared" si="39"/>
        <v>0.66666666666666663</v>
      </c>
      <c r="AM79">
        <f>survey_responses[[#This Row],[Tôi tin rằng Nhà nước, cơ quan thuế sẽ thực thi chính sách mới một cách khách quan, công tâm và đối xử bình đẳng với mọi người nộp thuế.  - HUMAN-TRU1]]</f>
        <v>8</v>
      </c>
      <c r="AN79">
        <f t="shared" si="40"/>
        <v>0.77777777777777779</v>
      </c>
      <c r="AO79">
        <f>step3_validation[[#This Row],[AI_TRU2]]</f>
        <v>8</v>
      </c>
      <c r="AP79">
        <f t="shared" si="41"/>
        <v>0.77777777777777779</v>
      </c>
      <c r="AQ79">
        <f>survey_responses[[#This Row],[Tôi thấy mức thuế tôi phải đóng theo phương án mới là công bằng (người thu nhập như tôi đóng mức này là hợp lý). - HUMAN-TRU2]]</f>
        <v>8</v>
      </c>
      <c r="AR79">
        <f t="shared" si="42"/>
        <v>0.77777777777777779</v>
      </c>
      <c r="AS79">
        <f>step3_validation[[#This Row],[AI_TRU3]]</f>
        <v>6</v>
      </c>
      <c r="AT79">
        <f t="shared" si="43"/>
        <v>0.55555555555555558</v>
      </c>
      <c r="AU79">
        <f>survey_responses[[#This Row],[Tôi tin tưởng số tiền thuế tôi đóng sẽ được Nhà nước sử dụng hiệu quả để cải thiện dịch vụ công (y tế, đường xá...). - HUMAN-TRU3]]</f>
        <v>6</v>
      </c>
      <c r="AV79">
        <f t="shared" si="44"/>
        <v>0.55555555555555558</v>
      </c>
      <c r="AW79">
        <f>step3_validation[[#This Row],[AI_TRU4]]</f>
        <v>7</v>
      </c>
      <c r="AX79">
        <f t="shared" si="45"/>
        <v>0.66666666666666663</v>
      </c>
      <c r="AY79">
        <f>survey_responses[[#This Row],[Tôi thấy Nhà nước đã giải thích rõ ràng, minh bạch về lý do và mục tiêu của việc sửa đổi thuế lần này. - HUMAN-TRU4]]</f>
        <v>6</v>
      </c>
      <c r="AZ79">
        <f t="shared" si="46"/>
        <v>0.55555555555555558</v>
      </c>
      <c r="BA79" s="32">
        <f t="shared" si="47"/>
        <v>0.66666666666666663</v>
      </c>
      <c r="BB79" s="32">
        <f t="shared" si="48"/>
        <v>0.66666666666666674</v>
      </c>
      <c r="BC79" s="7">
        <f t="shared" si="49"/>
        <v>0.70370370370370372</v>
      </c>
      <c r="BD79" s="7">
        <f t="shared" si="50"/>
        <v>0.74074074074074081</v>
      </c>
      <c r="BE79">
        <f>step3_validation[[#This Row],[AI_OUT1]]</f>
        <v>8</v>
      </c>
      <c r="BF79">
        <f t="shared" si="51"/>
        <v>0.77777777777777779</v>
      </c>
      <c r="BG79">
        <f>survey_responses[[#This Row],[Sau khi xem xét các quyền lợi và nghĩa vụ, bạn có ủng hộ và tuân thủ chính sách mới hiện nay? - HUMAN-OUT1]]</f>
        <v>7</v>
      </c>
      <c r="BH79">
        <f t="shared" si="52"/>
        <v>0.66666666666666663</v>
      </c>
      <c r="BI79" s="32">
        <f t="shared" si="53"/>
        <v>1</v>
      </c>
    </row>
    <row r="80" spans="1:61" x14ac:dyDescent="0.45">
      <c r="A80" s="30">
        <f>step3_validation[[#This Row],[Persona_ID]]</f>
        <v>79</v>
      </c>
      <c r="B80" s="31">
        <f>step3_validation[[#This Row],[Used_Seed]]</f>
        <v>2069</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13.564374857538178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f t="shared" si="27"/>
        <v>0.55555555555555558</v>
      </c>
      <c r="S80">
        <f>survey_responses[[#This Row],[Tôi tin rằng với các quy định quản lý thuế hiện nay, hành vi gian lận hoặc trốn thuế sẽ dễ dàng bị phát hiện và xử lý nghiêm. - HUMAN-ENF1]]</f>
        <v>6</v>
      </c>
      <c r="T80">
        <f t="shared" si="28"/>
        <v>0.55555555555555558</v>
      </c>
      <c r="U80">
        <f>step3_validation[[#This Row],[AI_ENF2]]</f>
        <v>7</v>
      </c>
      <c r="V80">
        <f t="shared" si="29"/>
        <v>0.66666666666666663</v>
      </c>
      <c r="W80">
        <f>survey_responses[[#This Row],[Tôi tin rằng Nhà nước, cơ quan thuế có đủ khả năng và công nghệ để phát hiện, xử lý nghiêm các hành vi trốn thuế. - HUMAN-ENF2]]</f>
        <v>2</v>
      </c>
      <c r="X80">
        <f t="shared" si="30"/>
        <v>0.1111111111111111</v>
      </c>
      <c r="Y80" s="32">
        <f t="shared" si="31"/>
        <v>0.61111111111111116</v>
      </c>
      <c r="Z80" s="32">
        <f t="shared" si="32"/>
        <v>0.33333333333333337</v>
      </c>
      <c r="AA80">
        <f>step3_validation[[#This Row],[AI_FAC1]]</f>
        <v>8</v>
      </c>
      <c r="AB80">
        <f t="shared" si="33"/>
        <v>0.77777777777777779</v>
      </c>
      <c r="AC80">
        <f>survey_responses[[#This Row],[Các thủ tục khai báo thuế VÀ/HOẶC quy trình làm việc với cơ quan thuế đơn giản, tiện lợi, nhanh chóng hơn so với trước đây. - HUMAN-FAC1]]</f>
        <v>3</v>
      </c>
      <c r="AD80">
        <f t="shared" si="34"/>
        <v>0.22222222222222221</v>
      </c>
      <c r="AE80">
        <f>step3_validation[[#This Row],[AI_FAC2]]</f>
        <v>9</v>
      </c>
      <c r="AF80">
        <f t="shared" si="35"/>
        <v>0.88888888888888884</v>
      </c>
      <c r="AG80">
        <f>survey_responses[[#This Row],[So với trước đây, tôi thấy cách tính thuế và các bậc thuế trong phương án mới đơn giản, dễ hiểu và dễ thực hiện hơn. - HUMAN-FAC2]]</f>
        <v>2</v>
      </c>
      <c r="AH80">
        <f t="shared" si="36"/>
        <v>0.1111111111111111</v>
      </c>
      <c r="AI80" s="32">
        <f t="shared" si="37"/>
        <v>0.83333333333333326</v>
      </c>
      <c r="AJ80" s="32">
        <f t="shared" si="38"/>
        <v>0.16666666666666666</v>
      </c>
      <c r="AK80">
        <f>step3_validation[[#This Row],[AI_TRU1]]</f>
        <v>7</v>
      </c>
      <c r="AL80">
        <f t="shared" si="39"/>
        <v>0.66666666666666663</v>
      </c>
      <c r="AM80">
        <f>survey_responses[[#This Row],[Tôi tin rằng Nhà nước, cơ quan thuế sẽ thực thi chính sách mới một cách khách quan, công tâm và đối xử bình đẳng với mọi người nộp thuế.  - HUMAN-TRU1]]</f>
        <v>3</v>
      </c>
      <c r="AN80">
        <f t="shared" si="40"/>
        <v>0.22222222222222221</v>
      </c>
      <c r="AO80">
        <f>step3_validation[[#This Row],[AI_TRU2]]</f>
        <v>8</v>
      </c>
      <c r="AP80">
        <f t="shared" si="41"/>
        <v>0.77777777777777779</v>
      </c>
      <c r="AQ80">
        <f>survey_responses[[#This Row],[Tôi thấy mức thuế tôi phải đóng theo phương án mới là công bằng (người thu nhập như tôi đóng mức này là hợp lý). - HUMAN-TRU2]]</f>
        <v>7</v>
      </c>
      <c r="AR80">
        <f t="shared" si="42"/>
        <v>0.66666666666666663</v>
      </c>
      <c r="AS80">
        <f>step3_validation[[#This Row],[AI_TRU3]]</f>
        <v>7</v>
      </c>
      <c r="AT80">
        <f t="shared" si="43"/>
        <v>0.66666666666666663</v>
      </c>
      <c r="AU80">
        <f>survey_responses[[#This Row],[Tôi tin tưởng số tiền thuế tôi đóng sẽ được Nhà nước sử dụng hiệu quả để cải thiện dịch vụ công (y tế, đường xá...). - HUMAN-TRU3]]</f>
        <v>5</v>
      </c>
      <c r="AV80">
        <f t="shared" si="44"/>
        <v>0.44444444444444442</v>
      </c>
      <c r="AW80">
        <f>step3_validation[[#This Row],[AI_TRU4]]</f>
        <v>6</v>
      </c>
      <c r="AX80">
        <f t="shared" si="45"/>
        <v>0.55555555555555558</v>
      </c>
      <c r="AY80">
        <f>survey_responses[[#This Row],[Tôi thấy Nhà nước đã giải thích rõ ràng, minh bạch về lý do và mục tiêu của việc sửa đổi thuế lần này. - HUMAN-TRU4]]</f>
        <v>5</v>
      </c>
      <c r="AZ80">
        <f t="shared" si="46"/>
        <v>0.44444444444444442</v>
      </c>
      <c r="BA80" s="32">
        <f t="shared" si="47"/>
        <v>0.66666666666666674</v>
      </c>
      <c r="BB80" s="32">
        <f t="shared" si="48"/>
        <v>0.44444444444444442</v>
      </c>
      <c r="BC80" s="7">
        <f t="shared" si="49"/>
        <v>0.70370370370370372</v>
      </c>
      <c r="BD80" s="7">
        <f t="shared" si="50"/>
        <v>0.31481481481481483</v>
      </c>
      <c r="BE80">
        <f>step3_validation[[#This Row],[AI_OUT1]]</f>
        <v>8</v>
      </c>
      <c r="BF80">
        <f t="shared" si="51"/>
        <v>0.77777777777777779</v>
      </c>
      <c r="BG80">
        <f>survey_responses[[#This Row],[Sau khi xem xét các quyền lợi và nghĩa vụ, bạn có ủng hộ và tuân thủ chính sách mới hiện nay? - HUMAN-OUT1]]</f>
        <v>7</v>
      </c>
      <c r="BH80">
        <f t="shared" si="52"/>
        <v>0.66666666666666663</v>
      </c>
      <c r="BI80" s="32">
        <f t="shared" si="53"/>
        <v>1</v>
      </c>
    </row>
    <row r="81" spans="1:61" x14ac:dyDescent="0.45">
      <c r="A81" s="30">
        <f>step3_validation[[#This Row],[Persona_ID]]</f>
        <v>80</v>
      </c>
      <c r="B81" s="31">
        <f>step3_validation[[#This Row],[Used_Seed]]</f>
        <v>2070</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13.25907015471039</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7</v>
      </c>
      <c r="R81">
        <f t="shared" si="27"/>
        <v>0.66666666666666663</v>
      </c>
      <c r="S81">
        <f>survey_responses[[#This Row],[Tôi tin rằng với các quy định quản lý thuế hiện nay, hành vi gian lận hoặc trốn thuế sẽ dễ dàng bị phát hiện và xử lý nghiêm. - HUMAN-ENF1]]</f>
        <v>8</v>
      </c>
      <c r="T81">
        <f t="shared" si="28"/>
        <v>0.77777777777777779</v>
      </c>
      <c r="U81">
        <f>step3_validation[[#This Row],[AI_ENF2]]</f>
        <v>8</v>
      </c>
      <c r="V81">
        <f t="shared" si="29"/>
        <v>0.77777777777777779</v>
      </c>
      <c r="W81">
        <f>survey_responses[[#This Row],[Tôi tin rằng Nhà nước, cơ quan thuế có đủ khả năng và công nghệ để phát hiện, xử lý nghiêm các hành vi trốn thuế. - HUMAN-ENF2]]</f>
        <v>8</v>
      </c>
      <c r="X81">
        <f t="shared" si="30"/>
        <v>0.77777777777777779</v>
      </c>
      <c r="Y81" s="32">
        <f t="shared" si="31"/>
        <v>0.72222222222222221</v>
      </c>
      <c r="Z81" s="32">
        <f t="shared" si="32"/>
        <v>0.77777777777777779</v>
      </c>
      <c r="AA81">
        <f>step3_validation[[#This Row],[AI_FAC1]]</f>
        <v>9</v>
      </c>
      <c r="AB81">
        <f t="shared" si="33"/>
        <v>0.88888888888888884</v>
      </c>
      <c r="AC81">
        <f>survey_responses[[#This Row],[Các thủ tục khai báo thuế VÀ/HOẶC quy trình làm việc với cơ quan thuế đơn giản, tiện lợi, nhanh chóng hơn so với trước đây. - HUMAN-FAC1]]</f>
        <v>8</v>
      </c>
      <c r="AD81">
        <f t="shared" si="34"/>
        <v>0.77777777777777779</v>
      </c>
      <c r="AE81">
        <f>step3_validation[[#This Row],[AI_FAC2]]</f>
        <v>9</v>
      </c>
      <c r="AF81">
        <f t="shared" si="35"/>
        <v>0.88888888888888884</v>
      </c>
      <c r="AG81">
        <f>survey_responses[[#This Row],[So với trước đây, tôi thấy cách tính thuế và các bậc thuế trong phương án mới đơn giản, dễ hiểu và dễ thực hiện hơn. - HUMAN-FAC2]]</f>
        <v>8</v>
      </c>
      <c r="AH81">
        <f t="shared" si="36"/>
        <v>0.77777777777777779</v>
      </c>
      <c r="AI81" s="32">
        <f t="shared" si="37"/>
        <v>0.88888888888888884</v>
      </c>
      <c r="AJ81" s="32">
        <f t="shared" si="38"/>
        <v>0.77777777777777779</v>
      </c>
      <c r="AK81">
        <f>step3_validation[[#This Row],[AI_TRU1]]</f>
        <v>7</v>
      </c>
      <c r="AL81">
        <f t="shared" si="39"/>
        <v>0.66666666666666663</v>
      </c>
      <c r="AM81">
        <f>survey_responses[[#This Row],[Tôi tin rằng Nhà nước, cơ quan thuế sẽ thực thi chính sách mới một cách khách quan, công tâm và đối xử bình đẳng với mọi người nộp thuế.  - HUMAN-TRU1]]</f>
        <v>8</v>
      </c>
      <c r="AN81">
        <f t="shared" si="40"/>
        <v>0.77777777777777779</v>
      </c>
      <c r="AO81">
        <f>step3_validation[[#This Row],[AI_TRU2]]</f>
        <v>8</v>
      </c>
      <c r="AP81">
        <f t="shared" si="41"/>
        <v>0.77777777777777779</v>
      </c>
      <c r="AQ81">
        <f>survey_responses[[#This Row],[Tôi thấy mức thuế tôi phải đóng theo phương án mới là công bằng (người thu nhập như tôi đóng mức này là hợp lý). - HUMAN-TRU2]]</f>
        <v>8</v>
      </c>
      <c r="AR81">
        <f t="shared" si="42"/>
        <v>0.77777777777777779</v>
      </c>
      <c r="AS81">
        <f>step3_validation[[#This Row],[AI_TRU3]]</f>
        <v>7</v>
      </c>
      <c r="AT81">
        <f t="shared" si="43"/>
        <v>0.66666666666666663</v>
      </c>
      <c r="AU81">
        <f>survey_responses[[#This Row],[Tôi tin tưởng số tiền thuế tôi đóng sẽ được Nhà nước sử dụng hiệu quả để cải thiện dịch vụ công (y tế, đường xá...). - HUMAN-TRU3]]</f>
        <v>8</v>
      </c>
      <c r="AV81">
        <f t="shared" si="44"/>
        <v>0.77777777777777779</v>
      </c>
      <c r="AW81">
        <f>step3_validation[[#This Row],[AI_TRU4]]</f>
        <v>8</v>
      </c>
      <c r="AX81">
        <f t="shared" si="45"/>
        <v>0.77777777777777779</v>
      </c>
      <c r="AY81">
        <f>survey_responses[[#This Row],[Tôi thấy Nhà nước đã giải thích rõ ràng, minh bạch về lý do và mục tiêu của việc sửa đổi thuế lần này. - HUMAN-TRU4]]</f>
        <v>8</v>
      </c>
      <c r="AZ81">
        <f t="shared" si="46"/>
        <v>0.77777777777777779</v>
      </c>
      <c r="BA81" s="32">
        <f t="shared" si="47"/>
        <v>0.72222222222222221</v>
      </c>
      <c r="BB81" s="32">
        <f t="shared" si="48"/>
        <v>0.77777777777777779</v>
      </c>
      <c r="BC81" s="7">
        <f t="shared" si="49"/>
        <v>0.77777777777777779</v>
      </c>
      <c r="BD81" s="7">
        <f t="shared" si="50"/>
        <v>0.77777777777777779</v>
      </c>
      <c r="BE81">
        <f>step3_validation[[#This Row],[AI_OUT1]]</f>
        <v>9</v>
      </c>
      <c r="BF81">
        <f t="shared" si="51"/>
        <v>0.88888888888888884</v>
      </c>
      <c r="BG81">
        <f>survey_responses[[#This Row],[Sau khi xem xét các quyền lợi và nghĩa vụ, bạn có ủng hộ và tuân thủ chính sách mới hiện nay? - HUMAN-OUT1]]</f>
        <v>8</v>
      </c>
      <c r="BH81">
        <f t="shared" si="52"/>
        <v>0.77777777777777779</v>
      </c>
      <c r="BI81" s="32">
        <f t="shared" si="53"/>
        <v>1</v>
      </c>
    </row>
    <row r="82" spans="1:61" x14ac:dyDescent="0.45">
      <c r="A82" s="30">
        <f>step3_validation[[#This Row],[Persona_ID]]</f>
        <v>81</v>
      </c>
      <c r="B82" s="31">
        <f>step3_validation[[#This Row],[Used_Seed]]</f>
        <v>2071</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6</v>
      </c>
      <c r="R82">
        <f t="shared" si="27"/>
        <v>0.55555555555555558</v>
      </c>
      <c r="S82">
        <f>survey_responses[[#This Row],[Tôi tin rằng với các quy định quản lý thuế hiện nay, hành vi gian lận hoặc trốn thuế sẽ dễ dàng bị phát hiện và xử lý nghiêm. - HUMAN-ENF1]]</f>
        <v>7</v>
      </c>
      <c r="T82">
        <f t="shared" si="28"/>
        <v>0.66666666666666663</v>
      </c>
      <c r="U82">
        <f>step3_validation[[#This Row],[AI_ENF2]]</f>
        <v>7</v>
      </c>
      <c r="V82">
        <f t="shared" si="29"/>
        <v>0.66666666666666663</v>
      </c>
      <c r="W82">
        <f>survey_responses[[#This Row],[Tôi tin rằng Nhà nước, cơ quan thuế có đủ khả năng và công nghệ để phát hiện, xử lý nghiêm các hành vi trốn thuế. - HUMAN-ENF2]]</f>
        <v>7</v>
      </c>
      <c r="X82">
        <f t="shared" si="30"/>
        <v>0.66666666666666663</v>
      </c>
      <c r="Y82" s="32">
        <f t="shared" si="31"/>
        <v>0.61111111111111116</v>
      </c>
      <c r="Z82" s="32">
        <f t="shared" si="32"/>
        <v>0.66666666666666663</v>
      </c>
      <c r="AA82">
        <f>step3_validation[[#This Row],[AI_FAC1]]</f>
        <v>8</v>
      </c>
      <c r="AB82">
        <f t="shared" si="33"/>
        <v>0.77777777777777779</v>
      </c>
      <c r="AC82">
        <f>survey_responses[[#This Row],[Các thủ tục khai báo thuế VÀ/HOẶC quy trình làm việc với cơ quan thuế đơn giản, tiện lợi, nhanh chóng hơn so với trước đây. - HUMAN-FAC1]]</f>
        <v>5</v>
      </c>
      <c r="AD82">
        <f t="shared" si="34"/>
        <v>0.44444444444444442</v>
      </c>
      <c r="AE82">
        <f>step3_validation[[#This Row],[AI_FAC2]]</f>
        <v>9</v>
      </c>
      <c r="AF82">
        <f t="shared" si="35"/>
        <v>0.88888888888888884</v>
      </c>
      <c r="AG82">
        <f>survey_responses[[#This Row],[So với trước đây, tôi thấy cách tính thuế và các bậc thuế trong phương án mới đơn giản, dễ hiểu và dễ thực hiện hơn. - HUMAN-FAC2]]</f>
        <v>5</v>
      </c>
      <c r="AH82">
        <f t="shared" si="36"/>
        <v>0.44444444444444442</v>
      </c>
      <c r="AI82" s="32">
        <f t="shared" si="37"/>
        <v>0.83333333333333326</v>
      </c>
      <c r="AJ82" s="32">
        <f t="shared" si="38"/>
        <v>0.44444444444444442</v>
      </c>
      <c r="AK82">
        <f>step3_validation[[#This Row],[AI_TRU1]]</f>
        <v>6</v>
      </c>
      <c r="AL82">
        <f t="shared" si="39"/>
        <v>0.55555555555555558</v>
      </c>
      <c r="AM82">
        <f>survey_responses[[#This Row],[Tôi tin rằng Nhà nước, cơ quan thuế sẽ thực thi chính sách mới một cách khách quan, công tâm và đối xử bình đẳng với mọi người nộp thuế.  - HUMAN-TRU1]]</f>
        <v>6</v>
      </c>
      <c r="AN82">
        <f t="shared" si="40"/>
        <v>0.55555555555555558</v>
      </c>
      <c r="AO82">
        <f>step3_validation[[#This Row],[AI_TRU2]]</f>
        <v>8</v>
      </c>
      <c r="AP82">
        <f t="shared" si="41"/>
        <v>0.77777777777777779</v>
      </c>
      <c r="AQ82">
        <f>survey_responses[[#This Row],[Tôi thấy mức thuế tôi phải đóng theo phương án mới là công bằng (người thu nhập như tôi đóng mức này là hợp lý). - HUMAN-TRU2]]</f>
        <v>5</v>
      </c>
      <c r="AR82">
        <f t="shared" si="42"/>
        <v>0.44444444444444442</v>
      </c>
      <c r="AS82">
        <f>step3_validation[[#This Row],[AI_TRU3]]</f>
        <v>7</v>
      </c>
      <c r="AT82">
        <f t="shared" si="43"/>
        <v>0.66666666666666663</v>
      </c>
      <c r="AU82">
        <f>survey_responses[[#This Row],[Tôi tin tưởng số tiền thuế tôi đóng sẽ được Nhà nước sử dụng hiệu quả để cải thiện dịch vụ công (y tế, đường xá...). - HUMAN-TRU3]]</f>
        <v>8</v>
      </c>
      <c r="AV82">
        <f t="shared" si="44"/>
        <v>0.77777777777777779</v>
      </c>
      <c r="AW82">
        <f>step3_validation[[#This Row],[AI_TRU4]]</f>
        <v>8</v>
      </c>
      <c r="AX82">
        <f t="shared" si="45"/>
        <v>0.77777777777777779</v>
      </c>
      <c r="AY82">
        <f>survey_responses[[#This Row],[Tôi thấy Nhà nước đã giải thích rõ ràng, minh bạch về lý do và mục tiêu của việc sửa đổi thuế lần này. - HUMAN-TRU4]]</f>
        <v>6</v>
      </c>
      <c r="AZ82">
        <f t="shared" si="46"/>
        <v>0.55555555555555558</v>
      </c>
      <c r="BA82" s="32">
        <f t="shared" si="47"/>
        <v>0.69444444444444442</v>
      </c>
      <c r="BB82" s="32">
        <f t="shared" si="48"/>
        <v>0.58333333333333326</v>
      </c>
      <c r="BC82" s="7">
        <f t="shared" si="49"/>
        <v>0.71296296296296291</v>
      </c>
      <c r="BD82" s="7">
        <f t="shared" si="50"/>
        <v>0.56481481481481477</v>
      </c>
      <c r="BE82">
        <f>step3_validation[[#This Row],[AI_OUT1]]</f>
        <v>9</v>
      </c>
      <c r="BF82">
        <f t="shared" si="51"/>
        <v>0.88888888888888884</v>
      </c>
      <c r="BG82">
        <f>survey_responses[[#This Row],[Sau khi xem xét các quyền lợi và nghĩa vụ, bạn có ủng hộ và tuân thủ chính sách mới hiện nay? - HUMAN-OUT1]]</f>
        <v>8</v>
      </c>
      <c r="BH82">
        <f t="shared" si="52"/>
        <v>0.77777777777777779</v>
      </c>
      <c r="BI82" s="32">
        <f t="shared" si="53"/>
        <v>1</v>
      </c>
    </row>
    <row r="83" spans="1:61" x14ac:dyDescent="0.45">
      <c r="A83" s="30">
        <f>step3_validation[[#This Row],[Persona_ID]]</f>
        <v>82</v>
      </c>
      <c r="B83" s="31">
        <f>step3_validation[[#This Row],[Used_Seed]]</f>
        <v>2072</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13.436490089019367</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5</v>
      </c>
      <c r="R83">
        <f t="shared" si="27"/>
        <v>0.44444444444444442</v>
      </c>
      <c r="S83">
        <f>survey_responses[[#This Row],[Tôi tin rằng với các quy định quản lý thuế hiện nay, hành vi gian lận hoặc trốn thuế sẽ dễ dàng bị phát hiện và xử lý nghiêm. - HUMAN-ENF1]]</f>
        <v>8</v>
      </c>
      <c r="T83">
        <f t="shared" si="28"/>
        <v>0.77777777777777779</v>
      </c>
      <c r="U83">
        <f>step3_validation[[#This Row],[AI_ENF2]]</f>
        <v>4</v>
      </c>
      <c r="V83">
        <f t="shared" si="29"/>
        <v>0.33333333333333331</v>
      </c>
      <c r="W83">
        <f>survey_responses[[#This Row],[Tôi tin rằng Nhà nước, cơ quan thuế có đủ khả năng và công nghệ để phát hiện, xử lý nghiêm các hành vi trốn thuế. - HUMAN-ENF2]]</f>
        <v>9</v>
      </c>
      <c r="X83">
        <f t="shared" si="30"/>
        <v>0.88888888888888884</v>
      </c>
      <c r="Y83" s="32">
        <f t="shared" si="31"/>
        <v>0.38888888888888884</v>
      </c>
      <c r="Z83" s="32">
        <f t="shared" si="32"/>
        <v>0.83333333333333326</v>
      </c>
      <c r="AA83">
        <f>step3_validation[[#This Row],[AI_FAC1]]</f>
        <v>7</v>
      </c>
      <c r="AB83">
        <f t="shared" si="33"/>
        <v>0.66666666666666663</v>
      </c>
      <c r="AC83">
        <f>survey_responses[[#This Row],[Các thủ tục khai báo thuế VÀ/HOẶC quy trình làm việc với cơ quan thuế đơn giản, tiện lợi, nhanh chóng hơn so với trước đây. - HUMAN-FAC1]]</f>
        <v>5</v>
      </c>
      <c r="AD83">
        <f t="shared" si="34"/>
        <v>0.44444444444444442</v>
      </c>
      <c r="AE83">
        <f>step3_validation[[#This Row],[AI_FAC2]]</f>
        <v>9</v>
      </c>
      <c r="AF83">
        <f t="shared" si="35"/>
        <v>0.88888888888888884</v>
      </c>
      <c r="AG83">
        <f>survey_responses[[#This Row],[So với trước đây, tôi thấy cách tính thuế và các bậc thuế trong phương án mới đơn giản, dễ hiểu và dễ thực hiện hơn. - HUMAN-FAC2]]</f>
        <v>5</v>
      </c>
      <c r="AH83">
        <f t="shared" si="36"/>
        <v>0.44444444444444442</v>
      </c>
      <c r="AI83" s="32">
        <f t="shared" si="37"/>
        <v>0.77777777777777768</v>
      </c>
      <c r="AJ83" s="32">
        <f t="shared" si="38"/>
        <v>0.44444444444444442</v>
      </c>
      <c r="AK83">
        <f>step3_validation[[#This Row],[AI_TRU1]]</f>
        <v>8</v>
      </c>
      <c r="AL83">
        <f t="shared" si="39"/>
        <v>0.77777777777777779</v>
      </c>
      <c r="AM83">
        <f>survey_responses[[#This Row],[Tôi tin rằng Nhà nước, cơ quan thuế sẽ thực thi chính sách mới một cách khách quan, công tâm và đối xử bình đẳng với mọi người nộp thuế.  - HUMAN-TRU1]]</f>
        <v>5</v>
      </c>
      <c r="AN83">
        <f t="shared" si="40"/>
        <v>0.44444444444444442</v>
      </c>
      <c r="AO83">
        <f>step3_validation[[#This Row],[AI_TRU2]]</f>
        <v>9</v>
      </c>
      <c r="AP83">
        <f t="shared" si="41"/>
        <v>0.88888888888888884</v>
      </c>
      <c r="AQ83">
        <f>survey_responses[[#This Row],[Tôi thấy mức thuế tôi phải đóng theo phương án mới là công bằng (người thu nhập như tôi đóng mức này là hợp lý). - HUMAN-TRU2]]</f>
        <v>5</v>
      </c>
      <c r="AR83">
        <f t="shared" si="42"/>
        <v>0.44444444444444442</v>
      </c>
      <c r="AS83">
        <f>step3_validation[[#This Row],[AI_TRU3]]</f>
        <v>8</v>
      </c>
      <c r="AT83">
        <f t="shared" si="43"/>
        <v>0.77777777777777779</v>
      </c>
      <c r="AU83">
        <f>survey_responses[[#This Row],[Tôi tin tưởng số tiền thuế tôi đóng sẽ được Nhà nước sử dụng hiệu quả để cải thiện dịch vụ công (y tế, đường xá...). - HUMAN-TRU3]]</f>
        <v>1</v>
      </c>
      <c r="AV83">
        <f t="shared" si="44"/>
        <v>0</v>
      </c>
      <c r="AW83">
        <f>step3_validation[[#This Row],[AI_TRU4]]</f>
        <v>7</v>
      </c>
      <c r="AX83">
        <f t="shared" si="45"/>
        <v>0.66666666666666663</v>
      </c>
      <c r="AY83">
        <f>survey_responses[[#This Row],[Tôi thấy Nhà nước đã giải thích rõ ràng, minh bạch về lý do và mục tiêu của việc sửa đổi thuế lần này. - HUMAN-TRU4]]</f>
        <v>5</v>
      </c>
      <c r="AZ83">
        <f t="shared" si="46"/>
        <v>0.44444444444444442</v>
      </c>
      <c r="BA83" s="32">
        <f t="shared" si="47"/>
        <v>0.77777777777777768</v>
      </c>
      <c r="BB83" s="32">
        <f t="shared" si="48"/>
        <v>0.33333333333333331</v>
      </c>
      <c r="BC83" s="7">
        <f t="shared" si="49"/>
        <v>0.64814814814814803</v>
      </c>
      <c r="BD83" s="7">
        <f t="shared" si="50"/>
        <v>0.53703703703703698</v>
      </c>
      <c r="BE83">
        <f>step3_validation[[#This Row],[AI_OUT1]]</f>
        <v>8</v>
      </c>
      <c r="BF83">
        <f t="shared" si="51"/>
        <v>0.77777777777777779</v>
      </c>
      <c r="BG83">
        <f>survey_responses[[#This Row],[Sau khi xem xét các quyền lợi và nghĩa vụ, bạn có ủng hộ và tuân thủ chính sách mới hiện nay? - HUMAN-OUT1]]</f>
        <v>5</v>
      </c>
      <c r="BH83">
        <f t="shared" si="52"/>
        <v>0.44444444444444442</v>
      </c>
      <c r="BI83" s="32">
        <f t="shared" si="53"/>
        <v>3</v>
      </c>
    </row>
    <row r="84" spans="1:61" x14ac:dyDescent="0.45">
      <c r="A84" s="30">
        <f>step3_validation[[#This Row],[Persona_ID]]</f>
        <v>83</v>
      </c>
      <c r="B84" s="31">
        <f>step3_validation[[#This Row],[Used_Seed]]</f>
        <v>2073</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16.910354443510919</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8</v>
      </c>
      <c r="R84">
        <f t="shared" si="27"/>
        <v>0.77777777777777779</v>
      </c>
      <c r="S84">
        <f>survey_responses[[#This Row],[Tôi tin rằng với các quy định quản lý thuế hiện nay, hành vi gian lận hoặc trốn thuế sẽ dễ dàng bị phát hiện và xử lý nghiêm. - HUMAN-ENF1]]</f>
        <v>10</v>
      </c>
      <c r="T84">
        <f t="shared" si="28"/>
        <v>1</v>
      </c>
      <c r="U84">
        <f>step3_validation[[#This Row],[AI_ENF2]]</f>
        <v>7</v>
      </c>
      <c r="V84">
        <f t="shared" si="29"/>
        <v>0.66666666666666663</v>
      </c>
      <c r="W84">
        <f>survey_responses[[#This Row],[Tôi tin rằng Nhà nước, cơ quan thuế có đủ khả năng và công nghệ để phát hiện, xử lý nghiêm các hành vi trốn thuế. - HUMAN-ENF2]]</f>
        <v>8</v>
      </c>
      <c r="X84">
        <f t="shared" si="30"/>
        <v>0.77777777777777779</v>
      </c>
      <c r="Y84" s="32">
        <f t="shared" si="31"/>
        <v>0.72222222222222221</v>
      </c>
      <c r="Z84" s="32">
        <f t="shared" si="32"/>
        <v>0.88888888888888884</v>
      </c>
      <c r="AA84">
        <f>step3_validation[[#This Row],[AI_FAC1]]</f>
        <v>9</v>
      </c>
      <c r="AB84">
        <f t="shared" si="33"/>
        <v>0.88888888888888884</v>
      </c>
      <c r="AC84">
        <f>survey_responses[[#This Row],[Các thủ tục khai báo thuế VÀ/HOẶC quy trình làm việc với cơ quan thuế đơn giản, tiện lợi, nhanh chóng hơn so với trước đây. - HUMAN-FAC1]]</f>
        <v>8</v>
      </c>
      <c r="AD84">
        <f t="shared" si="34"/>
        <v>0.77777777777777779</v>
      </c>
      <c r="AE84">
        <f>step3_validation[[#This Row],[AI_FAC2]]</f>
        <v>8</v>
      </c>
      <c r="AF84">
        <f t="shared" si="35"/>
        <v>0.77777777777777779</v>
      </c>
      <c r="AG84">
        <f>survey_responses[[#This Row],[So với trước đây, tôi thấy cách tính thuế và các bậc thuế trong phương án mới đơn giản, dễ hiểu và dễ thực hiện hơn. - HUMAN-FAC2]]</f>
        <v>7</v>
      </c>
      <c r="AH84">
        <f t="shared" si="36"/>
        <v>0.66666666666666663</v>
      </c>
      <c r="AI84" s="32">
        <f t="shared" si="37"/>
        <v>0.83333333333333326</v>
      </c>
      <c r="AJ84" s="32">
        <f t="shared" si="38"/>
        <v>0.72222222222222221</v>
      </c>
      <c r="AK84">
        <f>step3_validation[[#This Row],[AI_TRU1]]</f>
        <v>9</v>
      </c>
      <c r="AL84">
        <f t="shared" si="39"/>
        <v>0.88888888888888884</v>
      </c>
      <c r="AM84">
        <f>survey_responses[[#This Row],[Tôi tin rằng Nhà nước, cơ quan thuế sẽ thực thi chính sách mới một cách khách quan, công tâm và đối xử bình đẳng với mọi người nộp thuế.  - HUMAN-TRU1]]</f>
        <v>7</v>
      </c>
      <c r="AN84">
        <f t="shared" si="40"/>
        <v>0.66666666666666663</v>
      </c>
      <c r="AO84">
        <f>step3_validation[[#This Row],[AI_TRU2]]</f>
        <v>8</v>
      </c>
      <c r="AP84">
        <f t="shared" si="41"/>
        <v>0.77777777777777779</v>
      </c>
      <c r="AQ84">
        <f>survey_responses[[#This Row],[Tôi thấy mức thuế tôi phải đóng theo phương án mới là công bằng (người thu nhập như tôi đóng mức này là hợp lý). - HUMAN-TRU2]]</f>
        <v>6</v>
      </c>
      <c r="AR84">
        <f t="shared" si="42"/>
        <v>0.55555555555555558</v>
      </c>
      <c r="AS84">
        <f>step3_validation[[#This Row],[AI_TRU3]]</f>
        <v>9</v>
      </c>
      <c r="AT84">
        <f t="shared" si="43"/>
        <v>0.88888888888888884</v>
      </c>
      <c r="AU84">
        <f>survey_responses[[#This Row],[Tôi tin tưởng số tiền thuế tôi đóng sẽ được Nhà nước sử dụng hiệu quả để cải thiện dịch vụ công (y tế, đường xá...). - HUMAN-TRU3]]</f>
        <v>7</v>
      </c>
      <c r="AV84">
        <f t="shared" si="44"/>
        <v>0.66666666666666663</v>
      </c>
      <c r="AW84">
        <f>step3_validation[[#This Row],[AI_TRU4]]</f>
        <v>8</v>
      </c>
      <c r="AX84">
        <f t="shared" si="45"/>
        <v>0.77777777777777779</v>
      </c>
      <c r="AY84">
        <f>survey_responses[[#This Row],[Tôi thấy Nhà nước đã giải thích rõ ràng, minh bạch về lý do và mục tiêu của việc sửa đổi thuế lần này. - HUMAN-TRU4]]</f>
        <v>6</v>
      </c>
      <c r="AZ84">
        <f t="shared" si="46"/>
        <v>0.55555555555555558</v>
      </c>
      <c r="BA84" s="32">
        <f t="shared" si="47"/>
        <v>0.83333333333333326</v>
      </c>
      <c r="BB84" s="32">
        <f t="shared" si="48"/>
        <v>0.61111111111111116</v>
      </c>
      <c r="BC84" s="7">
        <f t="shared" si="49"/>
        <v>0.79629629629629617</v>
      </c>
      <c r="BD84" s="7">
        <f t="shared" si="50"/>
        <v>0.74074074074074081</v>
      </c>
      <c r="BE84">
        <f>step3_validation[[#This Row],[AI_OUT1]]</f>
        <v>9</v>
      </c>
      <c r="BF84">
        <f t="shared" si="51"/>
        <v>0.88888888888888884</v>
      </c>
      <c r="BG84">
        <f>survey_responses[[#This Row],[Sau khi xem xét các quyền lợi và nghĩa vụ, bạn có ủng hộ và tuân thủ chính sách mới hiện nay? - HUMAN-OUT1]]</f>
        <v>8</v>
      </c>
      <c r="BH84">
        <f t="shared" si="52"/>
        <v>0.77777777777777779</v>
      </c>
      <c r="BI84" s="32">
        <f t="shared" si="53"/>
        <v>1</v>
      </c>
    </row>
    <row r="85" spans="1:61" x14ac:dyDescent="0.45">
      <c r="A85" s="30">
        <f>step3_validation[[#This Row],[Persona_ID]]</f>
        <v>84</v>
      </c>
      <c r="B85" s="31">
        <f>step3_validation[[#This Row],[Used_Seed]]</f>
        <v>2074</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12.849936354493103</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9</v>
      </c>
      <c r="R85">
        <f t="shared" si="27"/>
        <v>0.88888888888888884</v>
      </c>
      <c r="S85">
        <f>survey_responses[[#This Row],[Tôi tin rằng với các quy định quản lý thuế hiện nay, hành vi gian lận hoặc trốn thuế sẽ dễ dàng bị phát hiện và xử lý nghiêm. - HUMAN-ENF1]]</f>
        <v>6</v>
      </c>
      <c r="T85">
        <f t="shared" si="28"/>
        <v>0.55555555555555558</v>
      </c>
      <c r="U85">
        <f>step3_validation[[#This Row],[AI_ENF2]]</f>
        <v>8</v>
      </c>
      <c r="V85">
        <f t="shared" si="29"/>
        <v>0.77777777777777779</v>
      </c>
      <c r="W85">
        <f>survey_responses[[#This Row],[Tôi tin rằng Nhà nước, cơ quan thuế có đủ khả năng và công nghệ để phát hiện, xử lý nghiêm các hành vi trốn thuế. - HUMAN-ENF2]]</f>
        <v>7</v>
      </c>
      <c r="X85">
        <f t="shared" si="30"/>
        <v>0.66666666666666663</v>
      </c>
      <c r="Y85" s="32">
        <f t="shared" si="31"/>
        <v>0.83333333333333326</v>
      </c>
      <c r="Z85" s="32">
        <f t="shared" si="32"/>
        <v>0.61111111111111116</v>
      </c>
      <c r="AA85">
        <f>step3_validation[[#This Row],[AI_FAC1]]</f>
        <v>9</v>
      </c>
      <c r="AB85">
        <f t="shared" si="33"/>
        <v>0.88888888888888884</v>
      </c>
      <c r="AC85">
        <f>survey_responses[[#This Row],[Các thủ tục khai báo thuế VÀ/HOẶC quy trình làm việc với cơ quan thuế đơn giản, tiện lợi, nhanh chóng hơn so với trước đây. - HUMAN-FAC1]]</f>
        <v>5</v>
      </c>
      <c r="AD85">
        <f t="shared" si="34"/>
        <v>0.44444444444444442</v>
      </c>
      <c r="AE85">
        <f>step3_validation[[#This Row],[AI_FAC2]]</f>
        <v>8</v>
      </c>
      <c r="AF85">
        <f t="shared" si="35"/>
        <v>0.77777777777777779</v>
      </c>
      <c r="AG85">
        <f>survey_responses[[#This Row],[So với trước đây, tôi thấy cách tính thuế và các bậc thuế trong phương án mới đơn giản, dễ hiểu và dễ thực hiện hơn. - HUMAN-FAC2]]</f>
        <v>5</v>
      </c>
      <c r="AH85">
        <f t="shared" si="36"/>
        <v>0.44444444444444442</v>
      </c>
      <c r="AI85" s="32">
        <f t="shared" si="37"/>
        <v>0.83333333333333326</v>
      </c>
      <c r="AJ85" s="32">
        <f t="shared" si="38"/>
        <v>0.44444444444444442</v>
      </c>
      <c r="AK85">
        <f>step3_validation[[#This Row],[AI_TRU1]]</f>
        <v>9</v>
      </c>
      <c r="AL85">
        <f t="shared" si="39"/>
        <v>0.88888888888888884</v>
      </c>
      <c r="AM85">
        <f>survey_responses[[#This Row],[Tôi tin rằng Nhà nước, cơ quan thuế sẽ thực thi chính sách mới một cách khách quan, công tâm và đối xử bình đẳng với mọi người nộp thuế.  - HUMAN-TRU1]]</f>
        <v>5</v>
      </c>
      <c r="AN85">
        <f t="shared" si="40"/>
        <v>0.44444444444444442</v>
      </c>
      <c r="AO85">
        <f>step3_validation[[#This Row],[AI_TRU2]]</f>
        <v>8</v>
      </c>
      <c r="AP85">
        <f t="shared" si="41"/>
        <v>0.77777777777777779</v>
      </c>
      <c r="AQ85">
        <f>survey_responses[[#This Row],[Tôi thấy mức thuế tôi phải đóng theo phương án mới là công bằng (người thu nhập như tôi đóng mức này là hợp lý). - HUMAN-TRU2]]</f>
        <v>5</v>
      </c>
      <c r="AR85">
        <f t="shared" si="42"/>
        <v>0.44444444444444442</v>
      </c>
      <c r="AS85">
        <f>step3_validation[[#This Row],[AI_TRU3]]</f>
        <v>9</v>
      </c>
      <c r="AT85">
        <f t="shared" si="43"/>
        <v>0.88888888888888884</v>
      </c>
      <c r="AU85">
        <f>survey_responses[[#This Row],[Tôi tin tưởng số tiền thuế tôi đóng sẽ được Nhà nước sử dụng hiệu quả để cải thiện dịch vụ công (y tế, đường xá...). - HUMAN-TRU3]]</f>
        <v>5</v>
      </c>
      <c r="AV85">
        <f t="shared" si="44"/>
        <v>0.44444444444444442</v>
      </c>
      <c r="AW85">
        <f>step3_validation[[#This Row],[AI_TRU4]]</f>
        <v>8</v>
      </c>
      <c r="AX85">
        <f t="shared" si="45"/>
        <v>0.77777777777777779</v>
      </c>
      <c r="AY85">
        <f>survey_responses[[#This Row],[Tôi thấy Nhà nước đã giải thích rõ ràng, minh bạch về lý do và mục tiêu của việc sửa đổi thuế lần này. - HUMAN-TRU4]]</f>
        <v>5</v>
      </c>
      <c r="AZ85">
        <f t="shared" si="46"/>
        <v>0.44444444444444442</v>
      </c>
      <c r="BA85" s="32">
        <f t="shared" si="47"/>
        <v>0.83333333333333326</v>
      </c>
      <c r="BB85" s="32">
        <f t="shared" si="48"/>
        <v>0.44444444444444442</v>
      </c>
      <c r="BC85" s="7">
        <f t="shared" si="49"/>
        <v>0.83333333333333337</v>
      </c>
      <c r="BD85" s="7">
        <f t="shared" si="50"/>
        <v>0.5</v>
      </c>
      <c r="BE85">
        <f>step3_validation[[#This Row],[AI_OUT1]]</f>
        <v>9</v>
      </c>
      <c r="BF85">
        <f t="shared" si="51"/>
        <v>0.88888888888888884</v>
      </c>
      <c r="BG85">
        <f>survey_responses[[#This Row],[Sau khi xem xét các quyền lợi và nghĩa vụ, bạn có ủng hộ và tuân thủ chính sách mới hiện nay? - HUMAN-OUT1]]</f>
        <v>5</v>
      </c>
      <c r="BH85">
        <f t="shared" si="52"/>
        <v>0.44444444444444442</v>
      </c>
      <c r="BI85" s="32">
        <f t="shared" si="53"/>
        <v>4</v>
      </c>
    </row>
    <row r="86" spans="1:61" x14ac:dyDescent="0.45">
      <c r="A86" s="30">
        <f>step3_validation[[#This Row],[Persona_ID]]</f>
        <v>85</v>
      </c>
      <c r="B86" s="31">
        <f>step3_validation[[#This Row],[Used_Seed]]</f>
        <v>2075</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15.171834045282333</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6</v>
      </c>
      <c r="R86">
        <f t="shared" si="27"/>
        <v>0.55555555555555558</v>
      </c>
      <c r="S86">
        <f>survey_responses[[#This Row],[Tôi tin rằng với các quy định quản lý thuế hiện nay, hành vi gian lận hoặc trốn thuế sẽ dễ dàng bị phát hiện và xử lý nghiêm. - HUMAN-ENF1]]</f>
        <v>9</v>
      </c>
      <c r="T86">
        <f t="shared" si="28"/>
        <v>0.88888888888888884</v>
      </c>
      <c r="U86">
        <f>step3_validation[[#This Row],[AI_ENF2]]</f>
        <v>7</v>
      </c>
      <c r="V86">
        <f t="shared" si="29"/>
        <v>0.66666666666666663</v>
      </c>
      <c r="W86">
        <f>survey_responses[[#This Row],[Tôi tin rằng Nhà nước, cơ quan thuế có đủ khả năng và công nghệ để phát hiện, xử lý nghiêm các hành vi trốn thuế. - HUMAN-ENF2]]</f>
        <v>9</v>
      </c>
      <c r="X86">
        <f t="shared" si="30"/>
        <v>0.88888888888888884</v>
      </c>
      <c r="Y86" s="32">
        <f t="shared" si="31"/>
        <v>0.61111111111111116</v>
      </c>
      <c r="Z86" s="32">
        <f t="shared" si="32"/>
        <v>0.88888888888888884</v>
      </c>
      <c r="AA86">
        <f>step3_validation[[#This Row],[AI_FAC1]]</f>
        <v>9</v>
      </c>
      <c r="AB86">
        <f t="shared" si="33"/>
        <v>0.88888888888888884</v>
      </c>
      <c r="AC86">
        <f>survey_responses[[#This Row],[Các thủ tục khai báo thuế VÀ/HOẶC quy trình làm việc với cơ quan thuế đơn giản, tiện lợi, nhanh chóng hơn so với trước đây. - HUMAN-FAC1]]</f>
        <v>8</v>
      </c>
      <c r="AD86">
        <f t="shared" si="34"/>
        <v>0.77777777777777779</v>
      </c>
      <c r="AE86">
        <f>step3_validation[[#This Row],[AI_FAC2]]</f>
        <v>8</v>
      </c>
      <c r="AF86">
        <f t="shared" si="35"/>
        <v>0.77777777777777779</v>
      </c>
      <c r="AG86">
        <f>survey_responses[[#This Row],[So với trước đây, tôi thấy cách tính thuế và các bậc thuế trong phương án mới đơn giản, dễ hiểu và dễ thực hiện hơn. - HUMAN-FAC2]]</f>
        <v>9</v>
      </c>
      <c r="AH86">
        <f t="shared" si="36"/>
        <v>0.88888888888888884</v>
      </c>
      <c r="AI86" s="32">
        <f t="shared" si="37"/>
        <v>0.83333333333333326</v>
      </c>
      <c r="AJ86" s="32">
        <f t="shared" si="38"/>
        <v>0.83333333333333326</v>
      </c>
      <c r="AK86">
        <f>step3_validation[[#This Row],[AI_TRU1]]</f>
        <v>9</v>
      </c>
      <c r="AL86">
        <f t="shared" si="39"/>
        <v>0.88888888888888884</v>
      </c>
      <c r="AM86">
        <f>survey_responses[[#This Row],[Tôi tin rằng Nhà nước, cơ quan thuế sẽ thực thi chính sách mới một cách khách quan, công tâm và đối xử bình đẳng với mọi người nộp thuế.  - HUMAN-TRU1]]</f>
        <v>9</v>
      </c>
      <c r="AN86">
        <f t="shared" si="40"/>
        <v>0.88888888888888884</v>
      </c>
      <c r="AO86">
        <f>step3_validation[[#This Row],[AI_TRU2]]</f>
        <v>8</v>
      </c>
      <c r="AP86">
        <f t="shared" si="41"/>
        <v>0.77777777777777779</v>
      </c>
      <c r="AQ86">
        <f>survey_responses[[#This Row],[Tôi thấy mức thuế tôi phải đóng theo phương án mới là công bằng (người thu nhập như tôi đóng mức này là hợp lý). - HUMAN-TRU2]]</f>
        <v>9</v>
      </c>
      <c r="AR86">
        <f t="shared" si="42"/>
        <v>0.88888888888888884</v>
      </c>
      <c r="AS86">
        <f>step3_validation[[#This Row],[AI_TRU3]]</f>
        <v>9</v>
      </c>
      <c r="AT86">
        <f t="shared" si="43"/>
        <v>0.88888888888888884</v>
      </c>
      <c r="AU86">
        <f>survey_responses[[#This Row],[Tôi tin tưởng số tiền thuế tôi đóng sẽ được Nhà nước sử dụng hiệu quả để cải thiện dịch vụ công (y tế, đường xá...). - HUMAN-TRU3]]</f>
        <v>7</v>
      </c>
      <c r="AV86">
        <f t="shared" si="44"/>
        <v>0.66666666666666663</v>
      </c>
      <c r="AW86">
        <f>step3_validation[[#This Row],[AI_TRU4]]</f>
        <v>7</v>
      </c>
      <c r="AX86">
        <f t="shared" si="45"/>
        <v>0.66666666666666663</v>
      </c>
      <c r="AY86">
        <f>survey_responses[[#This Row],[Tôi thấy Nhà nước đã giải thích rõ ràng, minh bạch về lý do và mục tiêu của việc sửa đổi thuế lần này. - HUMAN-TRU4]]</f>
        <v>8</v>
      </c>
      <c r="AZ86">
        <f t="shared" si="46"/>
        <v>0.77777777777777779</v>
      </c>
      <c r="BA86" s="32">
        <f t="shared" si="47"/>
        <v>0.80555555555555547</v>
      </c>
      <c r="BB86" s="32">
        <f t="shared" si="48"/>
        <v>0.80555555555555547</v>
      </c>
      <c r="BC86" s="7">
        <f t="shared" si="49"/>
        <v>0.75</v>
      </c>
      <c r="BD86" s="7">
        <f t="shared" si="50"/>
        <v>0.84259259259259256</v>
      </c>
      <c r="BE86">
        <f>step3_validation[[#This Row],[AI_OUT1]]</f>
        <v>8</v>
      </c>
      <c r="BF86">
        <f t="shared" si="51"/>
        <v>0.77777777777777779</v>
      </c>
      <c r="BG86">
        <f>survey_responses[[#This Row],[Sau khi xem xét các quyền lợi và nghĩa vụ, bạn có ủng hộ và tuân thủ chính sách mới hiện nay? - HUMAN-OUT1]]</f>
        <v>8</v>
      </c>
      <c r="BH86">
        <f t="shared" si="52"/>
        <v>0.77777777777777779</v>
      </c>
      <c r="BI86" s="32">
        <f t="shared" si="53"/>
        <v>0</v>
      </c>
    </row>
    <row r="87" spans="1:61" x14ac:dyDescent="0.45">
      <c r="A87" s="30">
        <f>step3_validation[[#This Row],[Persona_ID]]</f>
        <v>86</v>
      </c>
      <c r="B87" s="31">
        <f>step3_validation[[#This Row],[Used_Seed]]</f>
        <v>2076</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12.678193407051058</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f t="shared" si="27"/>
        <v>0.55555555555555558</v>
      </c>
      <c r="S87">
        <f>survey_responses[[#This Row],[Tôi tin rằng với các quy định quản lý thuế hiện nay, hành vi gian lận hoặc trốn thuế sẽ dễ dàng bị phát hiện và xử lý nghiêm. - HUMAN-ENF1]]</f>
        <v>5</v>
      </c>
      <c r="T87">
        <f t="shared" si="28"/>
        <v>0.44444444444444442</v>
      </c>
      <c r="U87">
        <f>step3_validation[[#This Row],[AI_ENF2]]</f>
        <v>5</v>
      </c>
      <c r="V87">
        <f t="shared" si="29"/>
        <v>0.44444444444444442</v>
      </c>
      <c r="W87">
        <f>survey_responses[[#This Row],[Tôi tin rằng Nhà nước, cơ quan thuế có đủ khả năng và công nghệ để phát hiện, xử lý nghiêm các hành vi trốn thuế. - HUMAN-ENF2]]</f>
        <v>5</v>
      </c>
      <c r="X87">
        <f t="shared" si="30"/>
        <v>0.44444444444444442</v>
      </c>
      <c r="Y87" s="32">
        <f t="shared" si="31"/>
        <v>0.5</v>
      </c>
      <c r="Z87" s="32">
        <f t="shared" si="32"/>
        <v>0.44444444444444442</v>
      </c>
      <c r="AA87">
        <f>step3_validation[[#This Row],[AI_FAC1]]</f>
        <v>9</v>
      </c>
      <c r="AB87">
        <f t="shared" si="33"/>
        <v>0.88888888888888884</v>
      </c>
      <c r="AC87">
        <f>survey_responses[[#This Row],[Các thủ tục khai báo thuế VÀ/HOẶC quy trình làm việc với cơ quan thuế đơn giản, tiện lợi, nhanh chóng hơn so với trước đây. - HUMAN-FAC1]]</f>
        <v>10</v>
      </c>
      <c r="AD87">
        <f t="shared" si="34"/>
        <v>1</v>
      </c>
      <c r="AE87">
        <f>step3_validation[[#This Row],[AI_FAC2]]</f>
        <v>8</v>
      </c>
      <c r="AF87">
        <f t="shared" si="35"/>
        <v>0.77777777777777779</v>
      </c>
      <c r="AG87">
        <f>survey_responses[[#This Row],[So với trước đây, tôi thấy cách tính thuế và các bậc thuế trong phương án mới đơn giản, dễ hiểu và dễ thực hiện hơn. - HUMAN-FAC2]]</f>
        <v>4</v>
      </c>
      <c r="AH87">
        <f t="shared" si="36"/>
        <v>0.33333333333333331</v>
      </c>
      <c r="AI87" s="32">
        <f t="shared" si="37"/>
        <v>0.83333333333333326</v>
      </c>
      <c r="AJ87" s="32">
        <f t="shared" si="38"/>
        <v>0.66666666666666663</v>
      </c>
      <c r="AK87">
        <f>step3_validation[[#This Row],[AI_TRU1]]</f>
        <v>9</v>
      </c>
      <c r="AL87">
        <f t="shared" si="39"/>
        <v>0.88888888888888884</v>
      </c>
      <c r="AM87">
        <f>survey_responses[[#This Row],[Tôi tin rằng Nhà nước, cơ quan thuế sẽ thực thi chính sách mới một cách khách quan, công tâm và đối xử bình đẳng với mọi người nộp thuế.  - HUMAN-TRU1]]</f>
        <v>4</v>
      </c>
      <c r="AN87">
        <f t="shared" si="40"/>
        <v>0.33333333333333331</v>
      </c>
      <c r="AO87">
        <f>step3_validation[[#This Row],[AI_TRU2]]</f>
        <v>8</v>
      </c>
      <c r="AP87">
        <f t="shared" si="41"/>
        <v>0.77777777777777779</v>
      </c>
      <c r="AQ87">
        <f>survey_responses[[#This Row],[Tôi thấy mức thuế tôi phải đóng theo phương án mới là công bằng (người thu nhập như tôi đóng mức này là hợp lý). - HUMAN-TRU2]]</f>
        <v>5</v>
      </c>
      <c r="AR87">
        <f t="shared" si="42"/>
        <v>0.44444444444444442</v>
      </c>
      <c r="AS87">
        <f>step3_validation[[#This Row],[AI_TRU3]]</f>
        <v>9</v>
      </c>
      <c r="AT87">
        <f t="shared" si="43"/>
        <v>0.88888888888888884</v>
      </c>
      <c r="AU87">
        <f>survey_responses[[#This Row],[Tôi tin tưởng số tiền thuế tôi đóng sẽ được Nhà nước sử dụng hiệu quả để cải thiện dịch vụ công (y tế, đường xá...). - HUMAN-TRU3]]</f>
        <v>5</v>
      </c>
      <c r="AV87">
        <f t="shared" si="44"/>
        <v>0.44444444444444442</v>
      </c>
      <c r="AW87">
        <f>step3_validation[[#This Row],[AI_TRU4]]</f>
        <v>8</v>
      </c>
      <c r="AX87">
        <f t="shared" si="45"/>
        <v>0.77777777777777779</v>
      </c>
      <c r="AY87">
        <f>survey_responses[[#This Row],[Tôi thấy Nhà nước đã giải thích rõ ràng, minh bạch về lý do và mục tiêu của việc sửa đổi thuế lần này. - HUMAN-TRU4]]</f>
        <v>8</v>
      </c>
      <c r="AZ87">
        <f t="shared" si="46"/>
        <v>0.77777777777777779</v>
      </c>
      <c r="BA87" s="32">
        <f t="shared" si="47"/>
        <v>0.83333333333333326</v>
      </c>
      <c r="BB87" s="32">
        <f t="shared" si="48"/>
        <v>0.5</v>
      </c>
      <c r="BC87" s="7">
        <f t="shared" si="49"/>
        <v>0.72222222222222221</v>
      </c>
      <c r="BD87" s="7">
        <f t="shared" si="50"/>
        <v>0.53703703703703709</v>
      </c>
      <c r="BE87">
        <f>step3_validation[[#This Row],[AI_OUT1]]</f>
        <v>9</v>
      </c>
      <c r="BF87">
        <f t="shared" si="51"/>
        <v>0.88888888888888884</v>
      </c>
      <c r="BG87">
        <f>survey_responses[[#This Row],[Sau khi xem xét các quyền lợi và nghĩa vụ, bạn có ủng hộ và tuân thủ chính sách mới hiện nay? - HUMAN-OUT1]]</f>
        <v>8</v>
      </c>
      <c r="BH87">
        <f t="shared" si="52"/>
        <v>0.77777777777777779</v>
      </c>
      <c r="BI87" s="32">
        <f t="shared" si="53"/>
        <v>1</v>
      </c>
    </row>
    <row r="88" spans="1:61" x14ac:dyDescent="0.45">
      <c r="A88" s="30">
        <f>step3_validation[[#This Row],[Persona_ID]]</f>
        <v>87</v>
      </c>
      <c r="B88" s="31">
        <f>step3_validation[[#This Row],[Used_Seed]]</f>
        <v>2077</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16.885397967793473</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8</v>
      </c>
      <c r="R88">
        <f t="shared" si="27"/>
        <v>0.77777777777777779</v>
      </c>
      <c r="S88">
        <f>survey_responses[[#This Row],[Tôi tin rằng với các quy định quản lý thuế hiện nay, hành vi gian lận hoặc trốn thuế sẽ dễ dàng bị phát hiện và xử lý nghiêm. - HUMAN-ENF1]]</f>
        <v>10</v>
      </c>
      <c r="T88">
        <f t="shared" si="28"/>
        <v>1</v>
      </c>
      <c r="U88">
        <f>step3_validation[[#This Row],[AI_ENF2]]</f>
        <v>9</v>
      </c>
      <c r="V88">
        <f t="shared" si="29"/>
        <v>0.88888888888888884</v>
      </c>
      <c r="W88">
        <f>survey_responses[[#This Row],[Tôi tin rằng Nhà nước, cơ quan thuế có đủ khả năng và công nghệ để phát hiện, xử lý nghiêm các hành vi trốn thuế. - HUMAN-ENF2]]</f>
        <v>9</v>
      </c>
      <c r="X88">
        <f t="shared" si="30"/>
        <v>0.88888888888888884</v>
      </c>
      <c r="Y88" s="32">
        <f t="shared" si="31"/>
        <v>0.83333333333333326</v>
      </c>
      <c r="Z88" s="32">
        <f t="shared" si="32"/>
        <v>0.94444444444444442</v>
      </c>
      <c r="AA88">
        <f>step3_validation[[#This Row],[AI_FAC1]]</f>
        <v>8</v>
      </c>
      <c r="AB88">
        <f t="shared" si="33"/>
        <v>0.77777777777777779</v>
      </c>
      <c r="AC88">
        <f>survey_responses[[#This Row],[Các thủ tục khai báo thuế VÀ/HOẶC quy trình làm việc với cơ quan thuế đơn giản, tiện lợi, nhanh chóng hơn so với trước đây. - HUMAN-FAC1]]</f>
        <v>9</v>
      </c>
      <c r="AD88">
        <f t="shared" si="34"/>
        <v>0.88888888888888884</v>
      </c>
      <c r="AE88">
        <f>step3_validation[[#This Row],[AI_FAC2]]</f>
        <v>9</v>
      </c>
      <c r="AF88">
        <f t="shared" si="35"/>
        <v>0.88888888888888884</v>
      </c>
      <c r="AG88">
        <f>survey_responses[[#This Row],[So với trước đây, tôi thấy cách tính thuế và các bậc thuế trong phương án mới đơn giản, dễ hiểu và dễ thực hiện hơn. - HUMAN-FAC2]]</f>
        <v>9</v>
      </c>
      <c r="AH88">
        <f t="shared" si="36"/>
        <v>0.88888888888888884</v>
      </c>
      <c r="AI88" s="32">
        <f t="shared" si="37"/>
        <v>0.83333333333333326</v>
      </c>
      <c r="AJ88" s="32">
        <f t="shared" si="38"/>
        <v>0.88888888888888884</v>
      </c>
      <c r="AK88">
        <f>step3_validation[[#This Row],[AI_TRU1]]</f>
        <v>8</v>
      </c>
      <c r="AL88">
        <f t="shared" si="39"/>
        <v>0.77777777777777779</v>
      </c>
      <c r="AM88">
        <f>survey_responses[[#This Row],[Tôi tin rằng Nhà nước, cơ quan thuế sẽ thực thi chính sách mới một cách khách quan, công tâm và đối xử bình đẳng với mọi người nộp thuế.  - HUMAN-TRU1]]</f>
        <v>9</v>
      </c>
      <c r="AN88">
        <f t="shared" si="40"/>
        <v>0.88888888888888884</v>
      </c>
      <c r="AO88">
        <f>step3_validation[[#This Row],[AI_TRU2]]</f>
        <v>9</v>
      </c>
      <c r="AP88">
        <f t="shared" si="41"/>
        <v>0.88888888888888884</v>
      </c>
      <c r="AQ88">
        <f>survey_responses[[#This Row],[Tôi thấy mức thuế tôi phải đóng theo phương án mới là công bằng (người thu nhập như tôi đóng mức này là hợp lý). - HUMAN-TRU2]]</f>
        <v>9</v>
      </c>
      <c r="AR88">
        <f t="shared" si="42"/>
        <v>0.88888888888888884</v>
      </c>
      <c r="AS88">
        <f>step3_validation[[#This Row],[AI_TRU3]]</f>
        <v>8</v>
      </c>
      <c r="AT88">
        <f t="shared" si="43"/>
        <v>0.77777777777777779</v>
      </c>
      <c r="AU88">
        <f>survey_responses[[#This Row],[Tôi tin tưởng số tiền thuế tôi đóng sẽ được Nhà nước sử dụng hiệu quả để cải thiện dịch vụ công (y tế, đường xá...). - HUMAN-TRU3]]</f>
        <v>10</v>
      </c>
      <c r="AV88">
        <f t="shared" si="44"/>
        <v>1</v>
      </c>
      <c r="AW88">
        <f>step3_validation[[#This Row],[AI_TRU4]]</f>
        <v>9</v>
      </c>
      <c r="AX88">
        <f t="shared" si="45"/>
        <v>0.88888888888888884</v>
      </c>
      <c r="AY88">
        <f>survey_responses[[#This Row],[Tôi thấy Nhà nước đã giải thích rõ ràng, minh bạch về lý do và mục tiêu của việc sửa đổi thuế lần này. - HUMAN-TRU4]]</f>
        <v>9</v>
      </c>
      <c r="AZ88">
        <f t="shared" si="46"/>
        <v>0.88888888888888884</v>
      </c>
      <c r="BA88" s="32">
        <f t="shared" si="47"/>
        <v>0.83333333333333326</v>
      </c>
      <c r="BB88" s="32">
        <f t="shared" si="48"/>
        <v>0.91666666666666663</v>
      </c>
      <c r="BC88" s="7">
        <f t="shared" si="49"/>
        <v>0.83333333333333337</v>
      </c>
      <c r="BD88" s="7">
        <f t="shared" si="50"/>
        <v>0.91666666666666663</v>
      </c>
      <c r="BE88">
        <f>step3_validation[[#This Row],[AI_OUT1]]</f>
        <v>8</v>
      </c>
      <c r="BF88">
        <f t="shared" si="51"/>
        <v>0.77777777777777779</v>
      </c>
      <c r="BG88">
        <f>survey_responses[[#This Row],[Sau khi xem xét các quyền lợi và nghĩa vụ, bạn có ủng hộ và tuân thủ chính sách mới hiện nay? - HUMAN-OUT1]]</f>
        <v>10</v>
      </c>
      <c r="BH88">
        <f t="shared" si="52"/>
        <v>1</v>
      </c>
      <c r="BI88" s="32">
        <f t="shared" si="53"/>
        <v>2</v>
      </c>
    </row>
    <row r="89" spans="1:61" x14ac:dyDescent="0.45">
      <c r="A89" s="30">
        <f>step3_validation[[#This Row],[Persona_ID]]</f>
        <v>88</v>
      </c>
      <c r="B89" s="31">
        <f>step3_validation[[#This Row],[Used_Seed]]</f>
        <v>2078</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9</v>
      </c>
      <c r="R89">
        <f t="shared" si="27"/>
        <v>0.88888888888888884</v>
      </c>
      <c r="S89">
        <f>survey_responses[[#This Row],[Tôi tin rằng với các quy định quản lý thuế hiện nay, hành vi gian lận hoặc trốn thuế sẽ dễ dàng bị phát hiện và xử lý nghiêm. - HUMAN-ENF1]]</f>
        <v>10</v>
      </c>
      <c r="T89">
        <f t="shared" si="28"/>
        <v>1</v>
      </c>
      <c r="U89">
        <f>step3_validation[[#This Row],[AI_ENF2]]</f>
        <v>8</v>
      </c>
      <c r="V89">
        <f t="shared" si="29"/>
        <v>0.77777777777777779</v>
      </c>
      <c r="W89">
        <f>survey_responses[[#This Row],[Tôi tin rằng Nhà nước, cơ quan thuế có đủ khả năng và công nghệ để phát hiện, xử lý nghiêm các hành vi trốn thuế. - HUMAN-ENF2]]</f>
        <v>10</v>
      </c>
      <c r="X89">
        <f t="shared" si="30"/>
        <v>1</v>
      </c>
      <c r="Y89" s="32">
        <f t="shared" si="31"/>
        <v>0.83333333333333326</v>
      </c>
      <c r="Z89" s="32">
        <f t="shared" si="32"/>
        <v>1</v>
      </c>
      <c r="AA89">
        <f>step3_validation[[#This Row],[AI_FAC1]]</f>
        <v>9</v>
      </c>
      <c r="AB89">
        <f t="shared" si="33"/>
        <v>0.88888888888888884</v>
      </c>
      <c r="AC89">
        <f>survey_responses[[#This Row],[Các thủ tục khai báo thuế VÀ/HOẶC quy trình làm việc với cơ quan thuế đơn giản, tiện lợi, nhanh chóng hơn so với trước đây. - HUMAN-FAC1]]</f>
        <v>10</v>
      </c>
      <c r="AD89">
        <f t="shared" si="34"/>
        <v>1</v>
      </c>
      <c r="AE89">
        <f>step3_validation[[#This Row],[AI_FAC2]]</f>
        <v>8</v>
      </c>
      <c r="AF89">
        <f t="shared" si="35"/>
        <v>0.77777777777777779</v>
      </c>
      <c r="AG89">
        <f>survey_responses[[#This Row],[So với trước đây, tôi thấy cách tính thuế và các bậc thuế trong phương án mới đơn giản, dễ hiểu và dễ thực hiện hơn. - HUMAN-FAC2]]</f>
        <v>10</v>
      </c>
      <c r="AH89">
        <f t="shared" si="36"/>
        <v>1</v>
      </c>
      <c r="AI89" s="32">
        <f t="shared" si="37"/>
        <v>0.83333333333333326</v>
      </c>
      <c r="AJ89" s="32">
        <f t="shared" si="38"/>
        <v>1</v>
      </c>
      <c r="AK89">
        <f>step3_validation[[#This Row],[AI_TRU1]]</f>
        <v>9</v>
      </c>
      <c r="AL89">
        <f t="shared" si="39"/>
        <v>0.88888888888888884</v>
      </c>
      <c r="AM89">
        <f>survey_responses[[#This Row],[Tôi tin rằng Nhà nước, cơ quan thuế sẽ thực thi chính sách mới một cách khách quan, công tâm và đối xử bình đẳng với mọi người nộp thuế.  - HUMAN-TRU1]]</f>
        <v>10</v>
      </c>
      <c r="AN89">
        <f t="shared" si="40"/>
        <v>1</v>
      </c>
      <c r="AO89">
        <f>step3_validation[[#This Row],[AI_TRU2]]</f>
        <v>8</v>
      </c>
      <c r="AP89">
        <f t="shared" si="41"/>
        <v>0.77777777777777779</v>
      </c>
      <c r="AQ89">
        <f>survey_responses[[#This Row],[Tôi thấy mức thuế tôi phải đóng theo phương án mới là công bằng (người thu nhập như tôi đóng mức này là hợp lý). - HUMAN-TRU2]]</f>
        <v>10</v>
      </c>
      <c r="AR89">
        <f t="shared" si="42"/>
        <v>1</v>
      </c>
      <c r="AS89">
        <f>step3_validation[[#This Row],[AI_TRU3]]</f>
        <v>7</v>
      </c>
      <c r="AT89">
        <f t="shared" si="43"/>
        <v>0.66666666666666663</v>
      </c>
      <c r="AU89">
        <f>survey_responses[[#This Row],[Tôi tin tưởng số tiền thuế tôi đóng sẽ được Nhà nước sử dụng hiệu quả để cải thiện dịch vụ công (y tế, đường xá...). - HUMAN-TRU3]]</f>
        <v>10</v>
      </c>
      <c r="AV89">
        <f t="shared" si="44"/>
        <v>1</v>
      </c>
      <c r="AW89">
        <f>step3_validation[[#This Row],[AI_TRU4]]</f>
        <v>8</v>
      </c>
      <c r="AX89">
        <f t="shared" si="45"/>
        <v>0.77777777777777779</v>
      </c>
      <c r="AY89">
        <f>survey_responses[[#This Row],[Tôi thấy Nhà nước đã giải thích rõ ràng, minh bạch về lý do và mục tiêu của việc sửa đổi thuế lần này. - HUMAN-TRU4]]</f>
        <v>10</v>
      </c>
      <c r="AZ89">
        <f t="shared" si="46"/>
        <v>1</v>
      </c>
      <c r="BA89" s="32">
        <f t="shared" si="47"/>
        <v>0.77777777777777768</v>
      </c>
      <c r="BB89" s="32">
        <f t="shared" si="48"/>
        <v>1</v>
      </c>
      <c r="BC89" s="7">
        <f t="shared" si="49"/>
        <v>0.81481481481481477</v>
      </c>
      <c r="BD89" s="7">
        <f t="shared" si="50"/>
        <v>1</v>
      </c>
      <c r="BE89">
        <f>step3_validation[[#This Row],[AI_OUT1]]</f>
        <v>9</v>
      </c>
      <c r="BF89">
        <f t="shared" si="51"/>
        <v>0.88888888888888884</v>
      </c>
      <c r="BG89">
        <f>survey_responses[[#This Row],[Sau khi xem xét các quyền lợi và nghĩa vụ, bạn có ủng hộ và tuân thủ chính sách mới hiện nay? - HUMAN-OUT1]]</f>
        <v>10</v>
      </c>
      <c r="BH89">
        <f t="shared" si="52"/>
        <v>1</v>
      </c>
      <c r="BI89" s="32">
        <f t="shared" si="53"/>
        <v>1</v>
      </c>
    </row>
    <row r="90" spans="1:61" x14ac:dyDescent="0.45">
      <c r="A90" s="30">
        <f>step3_validation[[#This Row],[Persona_ID]]</f>
        <v>89</v>
      </c>
      <c r="B90" s="31">
        <f>step3_validation[[#This Row],[Used_Seed]]</f>
        <v>2079</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6</v>
      </c>
      <c r="R90">
        <f t="shared" si="27"/>
        <v>0.55555555555555558</v>
      </c>
      <c r="S90">
        <f>survey_responses[[#This Row],[Tôi tin rằng với các quy định quản lý thuế hiện nay, hành vi gian lận hoặc trốn thuế sẽ dễ dàng bị phát hiện và xử lý nghiêm. - HUMAN-ENF1]]</f>
        <v>10</v>
      </c>
      <c r="T90">
        <f t="shared" si="28"/>
        <v>1</v>
      </c>
      <c r="U90">
        <f>step3_validation[[#This Row],[AI_ENF2]]</f>
        <v>8</v>
      </c>
      <c r="V90">
        <f t="shared" si="29"/>
        <v>0.77777777777777779</v>
      </c>
      <c r="W90">
        <f>survey_responses[[#This Row],[Tôi tin rằng Nhà nước, cơ quan thuế có đủ khả năng và công nghệ để phát hiện, xử lý nghiêm các hành vi trốn thuế. - HUMAN-ENF2]]</f>
        <v>9</v>
      </c>
      <c r="X90">
        <f t="shared" si="30"/>
        <v>0.88888888888888884</v>
      </c>
      <c r="Y90" s="32">
        <f t="shared" si="31"/>
        <v>0.66666666666666674</v>
      </c>
      <c r="Z90" s="32">
        <f t="shared" si="32"/>
        <v>0.94444444444444442</v>
      </c>
      <c r="AA90">
        <f>step3_validation[[#This Row],[AI_FAC1]]</f>
        <v>9</v>
      </c>
      <c r="AB90">
        <f t="shared" si="33"/>
        <v>0.88888888888888884</v>
      </c>
      <c r="AC90">
        <f>survey_responses[[#This Row],[Các thủ tục khai báo thuế VÀ/HOẶC quy trình làm việc với cơ quan thuế đơn giản, tiện lợi, nhanh chóng hơn so với trước đây. - HUMAN-FAC1]]</f>
        <v>9</v>
      </c>
      <c r="AD90">
        <f t="shared" si="34"/>
        <v>0.88888888888888884</v>
      </c>
      <c r="AE90">
        <f>step3_validation[[#This Row],[AI_FAC2]]</f>
        <v>8</v>
      </c>
      <c r="AF90">
        <f t="shared" si="35"/>
        <v>0.77777777777777779</v>
      </c>
      <c r="AG90">
        <f>survey_responses[[#This Row],[So với trước đây, tôi thấy cách tính thuế và các bậc thuế trong phương án mới đơn giản, dễ hiểu và dễ thực hiện hơn. - HUMAN-FAC2]]</f>
        <v>9</v>
      </c>
      <c r="AH90">
        <f t="shared" si="36"/>
        <v>0.88888888888888884</v>
      </c>
      <c r="AI90" s="32">
        <f t="shared" si="37"/>
        <v>0.83333333333333326</v>
      </c>
      <c r="AJ90" s="32">
        <f t="shared" si="38"/>
        <v>0.88888888888888884</v>
      </c>
      <c r="AK90">
        <f>step3_validation[[#This Row],[AI_TRU1]]</f>
        <v>7</v>
      </c>
      <c r="AL90">
        <f t="shared" si="39"/>
        <v>0.66666666666666663</v>
      </c>
      <c r="AM90">
        <f>survey_responses[[#This Row],[Tôi tin rằng Nhà nước, cơ quan thuế sẽ thực thi chính sách mới một cách khách quan, công tâm và đối xử bình đẳng với mọi người nộp thuế.  - HUMAN-TRU1]]</f>
        <v>10</v>
      </c>
      <c r="AN90">
        <f t="shared" si="40"/>
        <v>1</v>
      </c>
      <c r="AO90">
        <f>step3_validation[[#This Row],[AI_TRU2]]</f>
        <v>9</v>
      </c>
      <c r="AP90">
        <f t="shared" si="41"/>
        <v>0.88888888888888884</v>
      </c>
      <c r="AQ90">
        <f>survey_responses[[#This Row],[Tôi thấy mức thuế tôi phải đóng theo phương án mới là công bằng (người thu nhập như tôi đóng mức này là hợp lý). - HUMAN-TRU2]]</f>
        <v>9</v>
      </c>
      <c r="AR90">
        <f t="shared" si="42"/>
        <v>0.88888888888888884</v>
      </c>
      <c r="AS90">
        <f>step3_validation[[#This Row],[AI_TRU3]]</f>
        <v>7</v>
      </c>
      <c r="AT90">
        <f t="shared" si="43"/>
        <v>0.66666666666666663</v>
      </c>
      <c r="AU90">
        <f>survey_responses[[#This Row],[Tôi tin tưởng số tiền thuế tôi đóng sẽ được Nhà nước sử dụng hiệu quả để cải thiện dịch vụ công (y tế, đường xá...). - HUMAN-TRU3]]</f>
        <v>9</v>
      </c>
      <c r="AV90">
        <f t="shared" si="44"/>
        <v>0.88888888888888884</v>
      </c>
      <c r="AW90">
        <f>step3_validation[[#This Row],[AI_TRU4]]</f>
        <v>8</v>
      </c>
      <c r="AX90">
        <f t="shared" si="45"/>
        <v>0.77777777777777779</v>
      </c>
      <c r="AY90">
        <f>survey_responses[[#This Row],[Tôi thấy Nhà nước đã giải thích rõ ràng, minh bạch về lý do và mục tiêu của việc sửa đổi thuế lần này. - HUMAN-TRU4]]</f>
        <v>8</v>
      </c>
      <c r="AZ90">
        <f t="shared" si="46"/>
        <v>0.77777777777777779</v>
      </c>
      <c r="BA90" s="32">
        <f t="shared" si="47"/>
        <v>0.74999999999999989</v>
      </c>
      <c r="BB90" s="32">
        <f t="shared" si="48"/>
        <v>0.88888888888888884</v>
      </c>
      <c r="BC90" s="7">
        <f t="shared" si="49"/>
        <v>0.75</v>
      </c>
      <c r="BD90" s="7">
        <f t="shared" si="50"/>
        <v>0.90740740740740744</v>
      </c>
      <c r="BE90">
        <f>step3_validation[[#This Row],[AI_OUT1]]</f>
        <v>9</v>
      </c>
      <c r="BF90">
        <f t="shared" si="51"/>
        <v>0.88888888888888884</v>
      </c>
      <c r="BG90">
        <f>survey_responses[[#This Row],[Sau khi xem xét các quyền lợi và nghĩa vụ, bạn có ủng hộ và tuân thủ chính sách mới hiện nay? - HUMAN-OUT1]]</f>
        <v>9</v>
      </c>
      <c r="BH90">
        <f t="shared" si="52"/>
        <v>0.88888888888888884</v>
      </c>
      <c r="BI90" s="32">
        <f t="shared" si="53"/>
        <v>0</v>
      </c>
    </row>
    <row r="91" spans="1:61" x14ac:dyDescent="0.45">
      <c r="A91" s="30">
        <f>step3_validation[[#This Row],[Persona_ID]]</f>
        <v>90</v>
      </c>
      <c r="B91" s="31">
        <f>step3_validation[[#This Row],[Used_Seed]]</f>
        <v>2080</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6</v>
      </c>
      <c r="R91">
        <f t="shared" si="27"/>
        <v>0.55555555555555558</v>
      </c>
      <c r="S91">
        <f>survey_responses[[#This Row],[Tôi tin rằng với các quy định quản lý thuế hiện nay, hành vi gian lận hoặc trốn thuế sẽ dễ dàng bị phát hiện và xử lý nghiêm. - HUMAN-ENF1]]</f>
        <v>6</v>
      </c>
      <c r="T91">
        <f t="shared" si="28"/>
        <v>0.55555555555555558</v>
      </c>
      <c r="U91">
        <f>step3_validation[[#This Row],[AI_ENF2]]</f>
        <v>7</v>
      </c>
      <c r="V91">
        <f t="shared" si="29"/>
        <v>0.66666666666666663</v>
      </c>
      <c r="W91">
        <f>survey_responses[[#This Row],[Tôi tin rằng Nhà nước, cơ quan thuế có đủ khả năng và công nghệ để phát hiện, xử lý nghiêm các hành vi trốn thuế. - HUMAN-ENF2]]</f>
        <v>10</v>
      </c>
      <c r="X91">
        <f t="shared" si="30"/>
        <v>1</v>
      </c>
      <c r="Y91" s="32">
        <f t="shared" si="31"/>
        <v>0.61111111111111116</v>
      </c>
      <c r="Z91" s="32">
        <f t="shared" si="32"/>
        <v>0.77777777777777779</v>
      </c>
      <c r="AA91">
        <f>step3_validation[[#This Row],[AI_FAC1]]</f>
        <v>8</v>
      </c>
      <c r="AB91">
        <f t="shared" si="33"/>
        <v>0.77777777777777779</v>
      </c>
      <c r="AC91">
        <f>survey_responses[[#This Row],[Các thủ tục khai báo thuế VÀ/HOẶC quy trình làm việc với cơ quan thuế đơn giản, tiện lợi, nhanh chóng hơn so với trước đây. - HUMAN-FAC1]]</f>
        <v>8</v>
      </c>
      <c r="AD91">
        <f t="shared" si="34"/>
        <v>0.77777777777777779</v>
      </c>
      <c r="AE91">
        <f>step3_validation[[#This Row],[AI_FAC2]]</f>
        <v>9</v>
      </c>
      <c r="AF91">
        <f t="shared" si="35"/>
        <v>0.88888888888888884</v>
      </c>
      <c r="AG91">
        <f>survey_responses[[#This Row],[So với trước đây, tôi thấy cách tính thuế và các bậc thuế trong phương án mới đơn giản, dễ hiểu và dễ thực hiện hơn. - HUMAN-FAC2]]</f>
        <v>9</v>
      </c>
      <c r="AH91">
        <f t="shared" si="36"/>
        <v>0.88888888888888884</v>
      </c>
      <c r="AI91" s="32">
        <f t="shared" si="37"/>
        <v>0.83333333333333326</v>
      </c>
      <c r="AJ91" s="32">
        <f t="shared" si="38"/>
        <v>0.83333333333333326</v>
      </c>
      <c r="AK91">
        <f>step3_validation[[#This Row],[AI_TRU1]]</f>
        <v>7</v>
      </c>
      <c r="AL91">
        <f t="shared" si="39"/>
        <v>0.66666666666666663</v>
      </c>
      <c r="AM91">
        <f>survey_responses[[#This Row],[Tôi tin rằng Nhà nước, cơ quan thuế sẽ thực thi chính sách mới một cách khách quan, công tâm và đối xử bình đẳng với mọi người nộp thuế.  - HUMAN-TRU1]]</f>
        <v>9</v>
      </c>
      <c r="AN91">
        <f t="shared" si="40"/>
        <v>0.88888888888888884</v>
      </c>
      <c r="AO91">
        <f>step3_validation[[#This Row],[AI_TRU2]]</f>
        <v>9</v>
      </c>
      <c r="AP91">
        <f t="shared" si="41"/>
        <v>0.88888888888888884</v>
      </c>
      <c r="AQ91">
        <f>survey_responses[[#This Row],[Tôi thấy mức thuế tôi phải đóng theo phương án mới là công bằng (người thu nhập như tôi đóng mức này là hợp lý). - HUMAN-TRU2]]</f>
        <v>9</v>
      </c>
      <c r="AR91">
        <f t="shared" si="42"/>
        <v>0.88888888888888884</v>
      </c>
      <c r="AS91">
        <f>step3_validation[[#This Row],[AI_TRU3]]</f>
        <v>8</v>
      </c>
      <c r="AT91">
        <f t="shared" si="43"/>
        <v>0.77777777777777779</v>
      </c>
      <c r="AU91">
        <f>survey_responses[[#This Row],[Tôi tin tưởng số tiền thuế tôi đóng sẽ được Nhà nước sử dụng hiệu quả để cải thiện dịch vụ công (y tế, đường xá...). - HUMAN-TRU3]]</f>
        <v>8</v>
      </c>
      <c r="AV91">
        <f t="shared" si="44"/>
        <v>0.77777777777777779</v>
      </c>
      <c r="AW91">
        <f>step3_validation[[#This Row],[AI_TRU4]]</f>
        <v>9</v>
      </c>
      <c r="AX91">
        <f t="shared" si="45"/>
        <v>0.88888888888888884</v>
      </c>
      <c r="AY91">
        <f>survey_responses[[#This Row],[Tôi thấy Nhà nước đã giải thích rõ ràng, minh bạch về lý do và mục tiêu của việc sửa đổi thuế lần này. - HUMAN-TRU4]]</f>
        <v>8</v>
      </c>
      <c r="AZ91">
        <f t="shared" si="46"/>
        <v>0.77777777777777779</v>
      </c>
      <c r="BA91" s="32">
        <f t="shared" si="47"/>
        <v>0.80555555555555547</v>
      </c>
      <c r="BB91" s="32">
        <f t="shared" si="48"/>
        <v>0.83333333333333326</v>
      </c>
      <c r="BC91" s="7">
        <f t="shared" si="49"/>
        <v>0.75</v>
      </c>
      <c r="BD91" s="7">
        <f t="shared" si="50"/>
        <v>0.81481481481481488</v>
      </c>
      <c r="BE91">
        <f>step3_validation[[#This Row],[AI_OUT1]]</f>
        <v>9</v>
      </c>
      <c r="BF91">
        <f t="shared" si="51"/>
        <v>0.88888888888888884</v>
      </c>
      <c r="BG91">
        <f>survey_responses[[#This Row],[Sau khi xem xét các quyền lợi và nghĩa vụ, bạn có ủng hộ và tuân thủ chính sách mới hiện nay? - HUMAN-OUT1]]</f>
        <v>9</v>
      </c>
      <c r="BH91">
        <f t="shared" si="52"/>
        <v>0.88888888888888884</v>
      </c>
      <c r="BI91" s="32">
        <f t="shared" si="53"/>
        <v>0</v>
      </c>
    </row>
    <row r="92" spans="1:61" x14ac:dyDescent="0.45">
      <c r="A92" s="30">
        <f>step3_validation[[#This Row],[Persona_ID]]</f>
        <v>91</v>
      </c>
      <c r="B92" s="31">
        <f>step3_validation[[#This Row],[Used_Seed]]</f>
        <v>2081</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8</v>
      </c>
      <c r="R92">
        <f t="shared" si="27"/>
        <v>0.77777777777777779</v>
      </c>
      <c r="S92">
        <f>survey_responses[[#This Row],[Tôi tin rằng với các quy định quản lý thuế hiện nay, hành vi gian lận hoặc trốn thuế sẽ dễ dàng bị phát hiện và xử lý nghiêm. - HUMAN-ENF1]]</f>
        <v>10</v>
      </c>
      <c r="T92">
        <f t="shared" si="28"/>
        <v>1</v>
      </c>
      <c r="U92">
        <f>step3_validation[[#This Row],[AI_ENF2]]</f>
        <v>7</v>
      </c>
      <c r="V92">
        <f t="shared" si="29"/>
        <v>0.66666666666666663</v>
      </c>
      <c r="W92">
        <f>survey_responses[[#This Row],[Tôi tin rằng Nhà nước, cơ quan thuế có đủ khả năng và công nghệ để phát hiện, xử lý nghiêm các hành vi trốn thuế. - HUMAN-ENF2]]</f>
        <v>9</v>
      </c>
      <c r="X92">
        <f t="shared" si="30"/>
        <v>0.88888888888888884</v>
      </c>
      <c r="Y92" s="32">
        <f t="shared" si="31"/>
        <v>0.72222222222222221</v>
      </c>
      <c r="Z92" s="32">
        <f t="shared" si="32"/>
        <v>0.94444444444444442</v>
      </c>
      <c r="AA92">
        <f>step3_validation[[#This Row],[AI_FAC1]]</f>
        <v>9</v>
      </c>
      <c r="AB92">
        <f t="shared" si="33"/>
        <v>0.88888888888888884</v>
      </c>
      <c r="AC92">
        <f>survey_responses[[#This Row],[Các thủ tục khai báo thuế VÀ/HOẶC quy trình làm việc với cơ quan thuế đơn giản, tiện lợi, nhanh chóng hơn so với trước đây. - HUMAN-FAC1]]</f>
        <v>9</v>
      </c>
      <c r="AD92">
        <f t="shared" si="34"/>
        <v>0.88888888888888884</v>
      </c>
      <c r="AE92">
        <f>step3_validation[[#This Row],[AI_FAC2]]</f>
        <v>8</v>
      </c>
      <c r="AF92">
        <f t="shared" si="35"/>
        <v>0.77777777777777779</v>
      </c>
      <c r="AG92">
        <f>survey_responses[[#This Row],[So với trước đây, tôi thấy cách tính thuế và các bậc thuế trong phương án mới đơn giản, dễ hiểu và dễ thực hiện hơn. - HUMAN-FAC2]]</f>
        <v>9</v>
      </c>
      <c r="AH92">
        <f t="shared" si="36"/>
        <v>0.88888888888888884</v>
      </c>
      <c r="AI92" s="32">
        <f t="shared" si="37"/>
        <v>0.83333333333333326</v>
      </c>
      <c r="AJ92" s="32">
        <f t="shared" si="38"/>
        <v>0.88888888888888884</v>
      </c>
      <c r="AK92">
        <f>step3_validation[[#This Row],[AI_TRU1]]</f>
        <v>9</v>
      </c>
      <c r="AL92">
        <f t="shared" si="39"/>
        <v>0.88888888888888884</v>
      </c>
      <c r="AM92">
        <f>survey_responses[[#This Row],[Tôi tin rằng Nhà nước, cơ quan thuế sẽ thực thi chính sách mới một cách khách quan, công tâm và đối xử bình đẳng với mọi người nộp thuế.  - HUMAN-TRU1]]</f>
        <v>10</v>
      </c>
      <c r="AN92">
        <f t="shared" si="40"/>
        <v>1</v>
      </c>
      <c r="AO92">
        <f>step3_validation[[#This Row],[AI_TRU2]]</f>
        <v>8</v>
      </c>
      <c r="AP92">
        <f t="shared" si="41"/>
        <v>0.77777777777777779</v>
      </c>
      <c r="AQ92">
        <f>survey_responses[[#This Row],[Tôi thấy mức thuế tôi phải đóng theo phương án mới là công bằng (người thu nhập như tôi đóng mức này là hợp lý). - HUMAN-TRU2]]</f>
        <v>9</v>
      </c>
      <c r="AR92">
        <f t="shared" si="42"/>
        <v>0.88888888888888884</v>
      </c>
      <c r="AS92">
        <f>step3_validation[[#This Row],[AI_TRU3]]</f>
        <v>9</v>
      </c>
      <c r="AT92">
        <f t="shared" si="43"/>
        <v>0.88888888888888884</v>
      </c>
      <c r="AU92">
        <f>survey_responses[[#This Row],[Tôi tin tưởng số tiền thuế tôi đóng sẽ được Nhà nước sử dụng hiệu quả để cải thiện dịch vụ công (y tế, đường xá...). - HUMAN-TRU3]]</f>
        <v>8</v>
      </c>
      <c r="AV92">
        <f t="shared" si="44"/>
        <v>0.77777777777777779</v>
      </c>
      <c r="AW92">
        <f>step3_validation[[#This Row],[AI_TRU4]]</f>
        <v>8</v>
      </c>
      <c r="AX92">
        <f t="shared" si="45"/>
        <v>0.77777777777777779</v>
      </c>
      <c r="AY92">
        <f>survey_responses[[#This Row],[Tôi thấy Nhà nước đã giải thích rõ ràng, minh bạch về lý do và mục tiêu của việc sửa đổi thuế lần này. - HUMAN-TRU4]]</f>
        <v>8</v>
      </c>
      <c r="AZ92">
        <f t="shared" si="46"/>
        <v>0.77777777777777779</v>
      </c>
      <c r="BA92" s="32">
        <f t="shared" si="47"/>
        <v>0.83333333333333326</v>
      </c>
      <c r="BB92" s="32">
        <f t="shared" si="48"/>
        <v>0.86111111111111105</v>
      </c>
      <c r="BC92" s="7">
        <f t="shared" si="49"/>
        <v>0.79629629629629617</v>
      </c>
      <c r="BD92" s="7">
        <f t="shared" si="50"/>
        <v>0.89814814814814803</v>
      </c>
      <c r="BE92">
        <f>step3_validation[[#This Row],[AI_OUT1]]</f>
        <v>9</v>
      </c>
      <c r="BF92">
        <f t="shared" si="51"/>
        <v>0.88888888888888884</v>
      </c>
      <c r="BG92">
        <f>survey_responses[[#This Row],[Sau khi xem xét các quyền lợi và nghĩa vụ, bạn có ủng hộ và tuân thủ chính sách mới hiện nay? - HUMAN-OUT1]]</f>
        <v>10</v>
      </c>
      <c r="BH92">
        <f t="shared" si="52"/>
        <v>1</v>
      </c>
      <c r="BI92" s="32">
        <f t="shared" si="53"/>
        <v>1</v>
      </c>
    </row>
    <row r="93" spans="1:61" x14ac:dyDescent="0.45">
      <c r="A93" s="30">
        <f>step3_validation[[#This Row],[Persona_ID]]</f>
        <v>92</v>
      </c>
      <c r="B93" s="31">
        <f>step3_validation[[#This Row],[Used_Seed]]</f>
        <v>2082</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9</v>
      </c>
      <c r="R93">
        <f t="shared" si="27"/>
        <v>0.88888888888888884</v>
      </c>
      <c r="S93">
        <f>survey_responses[[#This Row],[Tôi tin rằng với các quy định quản lý thuế hiện nay, hành vi gian lận hoặc trốn thuế sẽ dễ dàng bị phát hiện và xử lý nghiêm. - HUMAN-ENF1]]</f>
        <v>10</v>
      </c>
      <c r="T93">
        <f t="shared" si="28"/>
        <v>1</v>
      </c>
      <c r="U93">
        <f>step3_validation[[#This Row],[AI_ENF2]]</f>
        <v>8</v>
      </c>
      <c r="V93">
        <f t="shared" si="29"/>
        <v>0.77777777777777779</v>
      </c>
      <c r="W93">
        <f>survey_responses[[#This Row],[Tôi tin rằng Nhà nước, cơ quan thuế có đủ khả năng và công nghệ để phát hiện, xử lý nghiêm các hành vi trốn thuế. - HUMAN-ENF2]]</f>
        <v>10</v>
      </c>
      <c r="X93">
        <f t="shared" si="30"/>
        <v>1</v>
      </c>
      <c r="Y93" s="32">
        <f t="shared" si="31"/>
        <v>0.83333333333333326</v>
      </c>
      <c r="Z93" s="32">
        <f t="shared" si="32"/>
        <v>1</v>
      </c>
      <c r="AA93">
        <f>step3_validation[[#This Row],[AI_FAC1]]</f>
        <v>7</v>
      </c>
      <c r="AB93">
        <f t="shared" si="33"/>
        <v>0.66666666666666663</v>
      </c>
      <c r="AC93">
        <f>survey_responses[[#This Row],[Các thủ tục khai báo thuế VÀ/HOẶC quy trình làm việc với cơ quan thuế đơn giản, tiện lợi, nhanh chóng hơn so với trước đây. - HUMAN-FAC1]]</f>
        <v>10</v>
      </c>
      <c r="AD93">
        <f t="shared" si="34"/>
        <v>1</v>
      </c>
      <c r="AE93">
        <f>step3_validation[[#This Row],[AI_FAC2]]</f>
        <v>9</v>
      </c>
      <c r="AF93">
        <f t="shared" si="35"/>
        <v>0.88888888888888884</v>
      </c>
      <c r="AG93">
        <f>survey_responses[[#This Row],[So với trước đây, tôi thấy cách tính thuế và các bậc thuế trong phương án mới đơn giản, dễ hiểu và dễ thực hiện hơn. - HUMAN-FAC2]]</f>
        <v>10</v>
      </c>
      <c r="AH93">
        <f t="shared" si="36"/>
        <v>1</v>
      </c>
      <c r="AI93" s="32">
        <f t="shared" si="37"/>
        <v>0.77777777777777768</v>
      </c>
      <c r="AJ93" s="32">
        <f t="shared" si="38"/>
        <v>1</v>
      </c>
      <c r="AK93">
        <f>step3_validation[[#This Row],[AI_TRU1]]</f>
        <v>8</v>
      </c>
      <c r="AL93">
        <f t="shared" si="39"/>
        <v>0.77777777777777779</v>
      </c>
      <c r="AM93">
        <f>survey_responses[[#This Row],[Tôi tin rằng Nhà nước, cơ quan thuế sẽ thực thi chính sách mới một cách khách quan, công tâm và đối xử bình đẳng với mọi người nộp thuế.  - HUMAN-TRU1]]</f>
        <v>10</v>
      </c>
      <c r="AN93">
        <f t="shared" si="40"/>
        <v>1</v>
      </c>
      <c r="AO93">
        <f>step3_validation[[#This Row],[AI_TRU2]]</f>
        <v>9</v>
      </c>
      <c r="AP93">
        <f t="shared" si="41"/>
        <v>0.88888888888888884</v>
      </c>
      <c r="AQ93">
        <f>survey_responses[[#This Row],[Tôi thấy mức thuế tôi phải đóng theo phương án mới là công bằng (người thu nhập như tôi đóng mức này là hợp lý). - HUMAN-TRU2]]</f>
        <v>1</v>
      </c>
      <c r="AR93">
        <f t="shared" si="42"/>
        <v>0</v>
      </c>
      <c r="AS93">
        <f>step3_validation[[#This Row],[AI_TRU3]]</f>
        <v>8</v>
      </c>
      <c r="AT93">
        <f t="shared" si="43"/>
        <v>0.77777777777777779</v>
      </c>
      <c r="AU93">
        <f>survey_responses[[#This Row],[Tôi tin tưởng số tiền thuế tôi đóng sẽ được Nhà nước sử dụng hiệu quả để cải thiện dịch vụ công (y tế, đường xá...). - HUMAN-TRU3]]</f>
        <v>10</v>
      </c>
      <c r="AV93">
        <f t="shared" si="44"/>
        <v>1</v>
      </c>
      <c r="AW93">
        <f>step3_validation[[#This Row],[AI_TRU4]]</f>
        <v>9</v>
      </c>
      <c r="AX93">
        <f t="shared" si="45"/>
        <v>0.88888888888888884</v>
      </c>
      <c r="AY93">
        <f>survey_responses[[#This Row],[Tôi thấy Nhà nước đã giải thích rõ ràng, minh bạch về lý do và mục tiêu của việc sửa đổi thuế lần này. - HUMAN-TRU4]]</f>
        <v>10</v>
      </c>
      <c r="AZ93">
        <f t="shared" si="46"/>
        <v>1</v>
      </c>
      <c r="BA93" s="32">
        <f t="shared" si="47"/>
        <v>0.83333333333333326</v>
      </c>
      <c r="BB93" s="32">
        <f t="shared" si="48"/>
        <v>0.75</v>
      </c>
      <c r="BC93" s="7">
        <f t="shared" si="49"/>
        <v>0.81481481481481477</v>
      </c>
      <c r="BD93" s="7">
        <f t="shared" si="50"/>
        <v>0.91666666666666663</v>
      </c>
      <c r="BE93">
        <f>step3_validation[[#This Row],[AI_OUT1]]</f>
        <v>10</v>
      </c>
      <c r="BF93">
        <f t="shared" si="51"/>
        <v>1</v>
      </c>
      <c r="BG93">
        <f>survey_responses[[#This Row],[Sau khi xem xét các quyền lợi và nghĩa vụ, bạn có ủng hộ và tuân thủ chính sách mới hiện nay? - HUMAN-OUT1]]</f>
        <v>10</v>
      </c>
      <c r="BH93">
        <f t="shared" si="52"/>
        <v>1</v>
      </c>
      <c r="BI93" s="32">
        <f t="shared" si="53"/>
        <v>0</v>
      </c>
    </row>
    <row r="94" spans="1:61" x14ac:dyDescent="0.45">
      <c r="A94" s="30">
        <f>step3_validation[[#This Row],[Persona_ID]]</f>
        <v>93</v>
      </c>
      <c r="B94" s="31">
        <f>step3_validation[[#This Row],[Used_Seed]]</f>
        <v>2083</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46.571428374809159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f t="shared" si="27"/>
        <v>0.55555555555555558</v>
      </c>
      <c r="S94">
        <f>survey_responses[[#This Row],[Tôi tin rằng với các quy định quản lý thuế hiện nay, hành vi gian lận hoặc trốn thuế sẽ dễ dàng bị phát hiện và xử lý nghiêm. - HUMAN-ENF1]]</f>
        <v>5</v>
      </c>
      <c r="T94">
        <f t="shared" si="28"/>
        <v>0.44444444444444442</v>
      </c>
      <c r="U94">
        <f>step3_validation[[#This Row],[AI_ENF2]]</f>
        <v>7</v>
      </c>
      <c r="V94">
        <f t="shared" si="29"/>
        <v>0.66666666666666663</v>
      </c>
      <c r="W94">
        <f>survey_responses[[#This Row],[Tôi tin rằng Nhà nước, cơ quan thuế có đủ khả năng và công nghệ để phát hiện, xử lý nghiêm các hành vi trốn thuế. - HUMAN-ENF2]]</f>
        <v>8</v>
      </c>
      <c r="X94">
        <f t="shared" si="30"/>
        <v>0.77777777777777779</v>
      </c>
      <c r="Y94" s="32">
        <f t="shared" si="31"/>
        <v>0.61111111111111116</v>
      </c>
      <c r="Z94" s="32">
        <f t="shared" si="32"/>
        <v>0.61111111111111116</v>
      </c>
      <c r="AA94">
        <f>step3_validation[[#This Row],[AI_FAC1]]</f>
        <v>6</v>
      </c>
      <c r="AB94">
        <f t="shared" si="33"/>
        <v>0.55555555555555558</v>
      </c>
      <c r="AC94">
        <f>survey_responses[[#This Row],[Các thủ tục khai báo thuế VÀ/HOẶC quy trình làm việc với cơ quan thuế đơn giản, tiện lợi, nhanh chóng hơn so với trước đây. - HUMAN-FAC1]]</f>
        <v>4</v>
      </c>
      <c r="AD94">
        <f t="shared" si="34"/>
        <v>0.33333333333333331</v>
      </c>
      <c r="AE94">
        <f>step3_validation[[#This Row],[AI_FAC2]]</f>
        <v>9</v>
      </c>
      <c r="AF94">
        <f t="shared" si="35"/>
        <v>0.88888888888888884</v>
      </c>
      <c r="AG94">
        <f>survey_responses[[#This Row],[So với trước đây, tôi thấy cách tính thuế và các bậc thuế trong phương án mới đơn giản, dễ hiểu và dễ thực hiện hơn. - HUMAN-FAC2]]</f>
        <v>9</v>
      </c>
      <c r="AH94">
        <f t="shared" si="36"/>
        <v>0.88888888888888884</v>
      </c>
      <c r="AI94" s="32">
        <f t="shared" si="37"/>
        <v>0.72222222222222221</v>
      </c>
      <c r="AJ94" s="32">
        <f t="shared" si="38"/>
        <v>0.61111111111111105</v>
      </c>
      <c r="AK94">
        <f>step3_validation[[#This Row],[AI_TRU1]]</f>
        <v>7</v>
      </c>
      <c r="AL94">
        <f t="shared" si="39"/>
        <v>0.66666666666666663</v>
      </c>
      <c r="AM94">
        <f>survey_responses[[#This Row],[Tôi tin rằng Nhà nước, cơ quan thuế sẽ thực thi chính sách mới một cách khách quan, công tâm và đối xử bình đẳng với mọi người nộp thuế.  - HUMAN-TRU1]]</f>
        <v>7</v>
      </c>
      <c r="AN94">
        <f t="shared" si="40"/>
        <v>0.66666666666666663</v>
      </c>
      <c r="AO94">
        <f>step3_validation[[#This Row],[AI_TRU2]]</f>
        <v>9</v>
      </c>
      <c r="AP94">
        <f t="shared" si="41"/>
        <v>0.88888888888888884</v>
      </c>
      <c r="AQ94">
        <f>survey_responses[[#This Row],[Tôi thấy mức thuế tôi phải đóng theo phương án mới là công bằng (người thu nhập như tôi đóng mức này là hợp lý). - HUMAN-TRU2]]</f>
        <v>5</v>
      </c>
      <c r="AR94">
        <f t="shared" si="42"/>
        <v>0.44444444444444442</v>
      </c>
      <c r="AS94">
        <f>step3_validation[[#This Row],[AI_TRU3]]</f>
        <v>7</v>
      </c>
      <c r="AT94">
        <f t="shared" si="43"/>
        <v>0.66666666666666663</v>
      </c>
      <c r="AU94">
        <f>survey_responses[[#This Row],[Tôi tin tưởng số tiền thuế tôi đóng sẽ được Nhà nước sử dụng hiệu quả để cải thiện dịch vụ công (y tế, đường xá...). - HUMAN-TRU3]]</f>
        <v>7</v>
      </c>
      <c r="AV94">
        <f t="shared" si="44"/>
        <v>0.66666666666666663</v>
      </c>
      <c r="AW94">
        <f>step3_validation[[#This Row],[AI_TRU4]]</f>
        <v>6</v>
      </c>
      <c r="AX94">
        <f t="shared" si="45"/>
        <v>0.55555555555555558</v>
      </c>
      <c r="AY94">
        <f>survey_responses[[#This Row],[Tôi thấy Nhà nước đã giải thích rõ ràng, minh bạch về lý do và mục tiêu của việc sửa đổi thuế lần này. - HUMAN-TRU4]]</f>
        <v>8</v>
      </c>
      <c r="AZ94">
        <f t="shared" si="46"/>
        <v>0.77777777777777779</v>
      </c>
      <c r="BA94" s="32">
        <f t="shared" si="47"/>
        <v>0.69444444444444442</v>
      </c>
      <c r="BB94" s="32">
        <f t="shared" si="48"/>
        <v>0.63888888888888884</v>
      </c>
      <c r="BC94" s="7">
        <f t="shared" si="49"/>
        <v>0.67592592592592593</v>
      </c>
      <c r="BD94" s="7">
        <f t="shared" si="50"/>
        <v>0.62037037037037035</v>
      </c>
      <c r="BE94">
        <f>step3_validation[[#This Row],[AI_OUT1]]</f>
        <v>9</v>
      </c>
      <c r="BF94">
        <f t="shared" si="51"/>
        <v>0.88888888888888884</v>
      </c>
      <c r="BG94">
        <f>survey_responses[[#This Row],[Sau khi xem xét các quyền lợi và nghĩa vụ, bạn có ủng hộ và tuân thủ chính sách mới hiện nay? - HUMAN-OUT1]]</f>
        <v>10</v>
      </c>
      <c r="BH94">
        <f t="shared" si="52"/>
        <v>1</v>
      </c>
      <c r="BI94" s="32">
        <f t="shared" si="53"/>
        <v>1</v>
      </c>
    </row>
    <row r="95" spans="1:61" x14ac:dyDescent="0.45">
      <c r="A95" s="30">
        <f>step3_validation[[#This Row],[Persona_ID]]</f>
        <v>94</v>
      </c>
      <c r="B95" s="31">
        <f>step3_validation[[#This Row],[Used_Seed]]</f>
        <v>2084</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f t="shared" si="27"/>
        <v>0.66666666666666663</v>
      </c>
      <c r="S95">
        <f>survey_responses[[#This Row],[Tôi tin rằng với các quy định quản lý thuế hiện nay, hành vi gian lận hoặc trốn thuế sẽ dễ dàng bị phát hiện và xử lý nghiêm. - HUMAN-ENF1]]</f>
        <v>9</v>
      </c>
      <c r="T95">
        <f t="shared" si="28"/>
        <v>0.88888888888888884</v>
      </c>
      <c r="U95">
        <f>step3_validation[[#This Row],[AI_ENF2]]</f>
        <v>8</v>
      </c>
      <c r="V95">
        <f t="shared" si="29"/>
        <v>0.77777777777777779</v>
      </c>
      <c r="W95">
        <f>survey_responses[[#This Row],[Tôi tin rằng Nhà nước, cơ quan thuế có đủ khả năng và công nghệ để phát hiện, xử lý nghiêm các hành vi trốn thuế. - HUMAN-ENF2]]</f>
        <v>7</v>
      </c>
      <c r="X95">
        <f t="shared" si="30"/>
        <v>0.66666666666666663</v>
      </c>
      <c r="Y95" s="32">
        <f t="shared" si="31"/>
        <v>0.72222222222222221</v>
      </c>
      <c r="Z95" s="32">
        <f t="shared" si="32"/>
        <v>0.77777777777777768</v>
      </c>
      <c r="AA95">
        <f>step3_validation[[#This Row],[AI_FAC1]]</f>
        <v>9</v>
      </c>
      <c r="AB95">
        <f t="shared" si="33"/>
        <v>0.88888888888888884</v>
      </c>
      <c r="AC95">
        <f>survey_responses[[#This Row],[Các thủ tục khai báo thuế VÀ/HOẶC quy trình làm việc với cơ quan thuế đơn giản, tiện lợi, nhanh chóng hơn so với trước đây. - HUMAN-FAC1]]</f>
        <v>5</v>
      </c>
      <c r="AD95">
        <f t="shared" si="34"/>
        <v>0.44444444444444442</v>
      </c>
      <c r="AE95">
        <f>step3_validation[[#This Row],[AI_FAC2]]</f>
        <v>8</v>
      </c>
      <c r="AF95">
        <f t="shared" si="35"/>
        <v>0.77777777777777779</v>
      </c>
      <c r="AG95">
        <f>survey_responses[[#This Row],[So với trước đây, tôi thấy cách tính thuế và các bậc thuế trong phương án mới đơn giản, dễ hiểu và dễ thực hiện hơn. - HUMAN-FAC2]]</f>
        <v>7</v>
      </c>
      <c r="AH95">
        <f t="shared" si="36"/>
        <v>0.66666666666666663</v>
      </c>
      <c r="AI95" s="32">
        <f t="shared" si="37"/>
        <v>0.83333333333333326</v>
      </c>
      <c r="AJ95" s="32">
        <f t="shared" si="38"/>
        <v>0.55555555555555558</v>
      </c>
      <c r="AK95">
        <f>step3_validation[[#This Row],[AI_TRU1]]</f>
        <v>9</v>
      </c>
      <c r="AL95">
        <f t="shared" si="39"/>
        <v>0.88888888888888884</v>
      </c>
      <c r="AM95">
        <f>survey_responses[[#This Row],[Tôi tin rằng Nhà nước, cơ quan thuế sẽ thực thi chính sách mới một cách khách quan, công tâm và đối xử bình đẳng với mọi người nộp thuế.  - HUMAN-TRU1]]</f>
        <v>5</v>
      </c>
      <c r="AN95">
        <f t="shared" si="40"/>
        <v>0.44444444444444442</v>
      </c>
      <c r="AO95">
        <f>step3_validation[[#This Row],[AI_TRU2]]</f>
        <v>8</v>
      </c>
      <c r="AP95">
        <f t="shared" si="41"/>
        <v>0.77777777777777779</v>
      </c>
      <c r="AQ95">
        <f>survey_responses[[#This Row],[Tôi thấy mức thuế tôi phải đóng theo phương án mới là công bằng (người thu nhập như tôi đóng mức này là hợp lý). - HUMAN-TRU2]]</f>
        <v>8</v>
      </c>
      <c r="AR95">
        <f t="shared" si="42"/>
        <v>0.77777777777777779</v>
      </c>
      <c r="AS95">
        <f>step3_validation[[#This Row],[AI_TRU3]]</f>
        <v>9</v>
      </c>
      <c r="AT95">
        <f t="shared" si="43"/>
        <v>0.88888888888888884</v>
      </c>
      <c r="AU95">
        <f>survey_responses[[#This Row],[Tôi tin tưởng số tiền thuế tôi đóng sẽ được Nhà nước sử dụng hiệu quả để cải thiện dịch vụ công (y tế, đường xá...). - HUMAN-TRU3]]</f>
        <v>5</v>
      </c>
      <c r="AV95">
        <f t="shared" si="44"/>
        <v>0.44444444444444442</v>
      </c>
      <c r="AW95">
        <f>step3_validation[[#This Row],[AI_TRU4]]</f>
        <v>8</v>
      </c>
      <c r="AX95">
        <f t="shared" si="45"/>
        <v>0.77777777777777779</v>
      </c>
      <c r="AY95">
        <f>survey_responses[[#This Row],[Tôi thấy Nhà nước đã giải thích rõ ràng, minh bạch về lý do và mục tiêu của việc sửa đổi thuế lần này. - HUMAN-TRU4]]</f>
        <v>5</v>
      </c>
      <c r="AZ95">
        <f t="shared" si="46"/>
        <v>0.44444444444444442</v>
      </c>
      <c r="BA95" s="32">
        <f t="shared" si="47"/>
        <v>0.83333333333333326</v>
      </c>
      <c r="BB95" s="32">
        <f t="shared" si="48"/>
        <v>0.52777777777777779</v>
      </c>
      <c r="BC95" s="7">
        <f t="shared" si="49"/>
        <v>0.79629629629629617</v>
      </c>
      <c r="BD95" s="7">
        <f t="shared" si="50"/>
        <v>0.62037037037037035</v>
      </c>
      <c r="BE95">
        <f>step3_validation[[#This Row],[AI_OUT1]]</f>
        <v>9</v>
      </c>
      <c r="BF95">
        <f t="shared" si="51"/>
        <v>0.88888888888888884</v>
      </c>
      <c r="BG95">
        <f>survey_responses[[#This Row],[Sau khi xem xét các quyền lợi và nghĩa vụ, bạn có ủng hộ và tuân thủ chính sách mới hiện nay? - HUMAN-OUT1]]</f>
        <v>7</v>
      </c>
      <c r="BH95">
        <f t="shared" si="52"/>
        <v>0.66666666666666663</v>
      </c>
      <c r="BI95" s="32">
        <f t="shared" si="53"/>
        <v>2</v>
      </c>
    </row>
    <row r="96" spans="1:61" x14ac:dyDescent="0.45">
      <c r="A96" s="30">
        <f>step3_validation[[#This Row],[Persona_ID]]</f>
        <v>95</v>
      </c>
      <c r="B96" s="31">
        <f>step3_validation[[#This Row],[Used_Seed]]</f>
        <v>2085</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41.081099114666415</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9</v>
      </c>
      <c r="R96">
        <f t="shared" si="27"/>
        <v>0.88888888888888884</v>
      </c>
      <c r="S96">
        <f>survey_responses[[#This Row],[Tôi tin rằng với các quy định quản lý thuế hiện nay, hành vi gian lận hoặc trốn thuế sẽ dễ dàng bị phát hiện và xử lý nghiêm. - HUMAN-ENF1]]</f>
        <v>4</v>
      </c>
      <c r="T96">
        <f t="shared" si="28"/>
        <v>0.33333333333333331</v>
      </c>
      <c r="U96">
        <f>step3_validation[[#This Row],[AI_ENF2]]</f>
        <v>8</v>
      </c>
      <c r="V96">
        <f t="shared" si="29"/>
        <v>0.77777777777777779</v>
      </c>
      <c r="W96">
        <f>survey_responses[[#This Row],[Tôi tin rằng Nhà nước, cơ quan thuế có đủ khả năng và công nghệ để phát hiện, xử lý nghiêm các hành vi trốn thuế. - HUMAN-ENF2]]</f>
        <v>6</v>
      </c>
      <c r="X96">
        <f t="shared" si="30"/>
        <v>0.55555555555555558</v>
      </c>
      <c r="Y96" s="32">
        <f t="shared" si="31"/>
        <v>0.83333333333333326</v>
      </c>
      <c r="Z96" s="32">
        <f t="shared" si="32"/>
        <v>0.44444444444444442</v>
      </c>
      <c r="AA96">
        <f>step3_validation[[#This Row],[AI_FAC1]]</f>
        <v>9</v>
      </c>
      <c r="AB96">
        <f t="shared" si="33"/>
        <v>0.88888888888888884</v>
      </c>
      <c r="AC96">
        <f>survey_responses[[#This Row],[Các thủ tục khai báo thuế VÀ/HOẶC quy trình làm việc với cơ quan thuế đơn giản, tiện lợi, nhanh chóng hơn so với trước đây. - HUMAN-FAC1]]</f>
        <v>5</v>
      </c>
      <c r="AD96">
        <f t="shared" si="34"/>
        <v>0.44444444444444442</v>
      </c>
      <c r="AE96">
        <f>step3_validation[[#This Row],[AI_FAC2]]</f>
        <v>8</v>
      </c>
      <c r="AF96">
        <f t="shared" si="35"/>
        <v>0.77777777777777779</v>
      </c>
      <c r="AG96">
        <f>survey_responses[[#This Row],[So với trước đây, tôi thấy cách tính thuế và các bậc thuế trong phương án mới đơn giản, dễ hiểu và dễ thực hiện hơn. - HUMAN-FAC2]]</f>
        <v>5</v>
      </c>
      <c r="AH96">
        <f t="shared" si="36"/>
        <v>0.44444444444444442</v>
      </c>
      <c r="AI96" s="32">
        <f t="shared" si="37"/>
        <v>0.83333333333333326</v>
      </c>
      <c r="AJ96" s="32">
        <f t="shared" si="38"/>
        <v>0.44444444444444442</v>
      </c>
      <c r="AK96">
        <f>step3_validation[[#This Row],[AI_TRU1]]</f>
        <v>9</v>
      </c>
      <c r="AL96">
        <f t="shared" si="39"/>
        <v>0.88888888888888884</v>
      </c>
      <c r="AM96">
        <f>survey_responses[[#This Row],[Tôi tin rằng Nhà nước, cơ quan thuế sẽ thực thi chính sách mới một cách khách quan, công tâm và đối xử bình đẳng với mọi người nộp thuế.  - HUMAN-TRU1]]</f>
        <v>4</v>
      </c>
      <c r="AN96">
        <f t="shared" si="40"/>
        <v>0.33333333333333331</v>
      </c>
      <c r="AO96">
        <f>step3_validation[[#This Row],[AI_TRU2]]</f>
        <v>8</v>
      </c>
      <c r="AP96">
        <f t="shared" si="41"/>
        <v>0.77777777777777779</v>
      </c>
      <c r="AQ96">
        <f>survey_responses[[#This Row],[Tôi thấy mức thuế tôi phải đóng theo phương án mới là công bằng (người thu nhập như tôi đóng mức này là hợp lý). - HUMAN-TRU2]]</f>
        <v>4</v>
      </c>
      <c r="AR96">
        <f t="shared" si="42"/>
        <v>0.33333333333333331</v>
      </c>
      <c r="AS96">
        <f>step3_validation[[#This Row],[AI_TRU3]]</f>
        <v>9</v>
      </c>
      <c r="AT96">
        <f t="shared" si="43"/>
        <v>0.88888888888888884</v>
      </c>
      <c r="AU96">
        <f>survey_responses[[#This Row],[Tôi tin tưởng số tiền thuế tôi đóng sẽ được Nhà nước sử dụng hiệu quả để cải thiện dịch vụ công (y tế, đường xá...). - HUMAN-TRU3]]</f>
        <v>3</v>
      </c>
      <c r="AV96">
        <f t="shared" si="44"/>
        <v>0.22222222222222221</v>
      </c>
      <c r="AW96">
        <f>step3_validation[[#This Row],[AI_TRU4]]</f>
        <v>8</v>
      </c>
      <c r="AX96">
        <f t="shared" si="45"/>
        <v>0.77777777777777779</v>
      </c>
      <c r="AY96">
        <f>survey_responses[[#This Row],[Tôi thấy Nhà nước đã giải thích rõ ràng, minh bạch về lý do và mục tiêu của việc sửa đổi thuế lần này. - HUMAN-TRU4]]</f>
        <v>4</v>
      </c>
      <c r="AZ96">
        <f t="shared" si="46"/>
        <v>0.33333333333333331</v>
      </c>
      <c r="BA96" s="32">
        <f t="shared" si="47"/>
        <v>0.83333333333333326</v>
      </c>
      <c r="BB96" s="32">
        <f t="shared" si="48"/>
        <v>0.30555555555555552</v>
      </c>
      <c r="BC96" s="7">
        <f t="shared" si="49"/>
        <v>0.83333333333333337</v>
      </c>
      <c r="BD96" s="7">
        <f t="shared" si="50"/>
        <v>0.39814814814814814</v>
      </c>
      <c r="BE96">
        <f>step3_validation[[#This Row],[AI_OUT1]]</f>
        <v>9</v>
      </c>
      <c r="BF96">
        <f t="shared" si="51"/>
        <v>0.88888888888888884</v>
      </c>
      <c r="BG96">
        <f>survey_responses[[#This Row],[Sau khi xem xét các quyền lợi và nghĩa vụ, bạn có ủng hộ và tuân thủ chính sách mới hiện nay? - HUMAN-OUT1]]</f>
        <v>3</v>
      </c>
      <c r="BH96">
        <f t="shared" si="52"/>
        <v>0.22222222222222221</v>
      </c>
      <c r="BI96" s="32">
        <f t="shared" si="53"/>
        <v>6</v>
      </c>
    </row>
    <row r="97" spans="1:61" x14ac:dyDescent="0.45">
      <c r="A97" s="30">
        <f>step3_validation[[#This Row],[Persona_ID]]</f>
        <v>96</v>
      </c>
      <c r="B97" s="31">
        <f>step3_validation[[#This Row],[Used_Seed]]</f>
        <v>2086</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f t="shared" si="27"/>
        <v>0.66666666666666663</v>
      </c>
      <c r="S97">
        <f>survey_responses[[#This Row],[Tôi tin rằng với các quy định quản lý thuế hiện nay, hành vi gian lận hoặc trốn thuế sẽ dễ dàng bị phát hiện và xử lý nghiêm. - HUMAN-ENF1]]</f>
        <v>8</v>
      </c>
      <c r="T97">
        <f t="shared" si="28"/>
        <v>0.77777777777777779</v>
      </c>
      <c r="U97">
        <f>step3_validation[[#This Row],[AI_ENF2]]</f>
        <v>8</v>
      </c>
      <c r="V97">
        <f t="shared" si="29"/>
        <v>0.77777777777777779</v>
      </c>
      <c r="W97">
        <f>survey_responses[[#This Row],[Tôi tin rằng Nhà nước, cơ quan thuế có đủ khả năng và công nghệ để phát hiện, xử lý nghiêm các hành vi trốn thuế. - HUMAN-ENF2]]</f>
        <v>7</v>
      </c>
      <c r="X97">
        <f t="shared" si="30"/>
        <v>0.66666666666666663</v>
      </c>
      <c r="Y97" s="32">
        <f t="shared" si="31"/>
        <v>0.72222222222222221</v>
      </c>
      <c r="Z97" s="32">
        <f t="shared" si="32"/>
        <v>0.72222222222222221</v>
      </c>
      <c r="AA97">
        <f>step3_validation[[#This Row],[AI_FAC1]]</f>
        <v>9</v>
      </c>
      <c r="AB97">
        <f t="shared" si="33"/>
        <v>0.88888888888888884</v>
      </c>
      <c r="AC97">
        <f>survey_responses[[#This Row],[Các thủ tục khai báo thuế VÀ/HOẶC quy trình làm việc với cơ quan thuế đơn giản, tiện lợi, nhanh chóng hơn so với trước đây. - HUMAN-FAC1]]</f>
        <v>5</v>
      </c>
      <c r="AD97">
        <f t="shared" si="34"/>
        <v>0.44444444444444442</v>
      </c>
      <c r="AE97">
        <f>step3_validation[[#This Row],[AI_FAC2]]</f>
        <v>10</v>
      </c>
      <c r="AF97">
        <f t="shared" si="35"/>
        <v>1</v>
      </c>
      <c r="AG97">
        <f>survey_responses[[#This Row],[So với trước đây, tôi thấy cách tính thuế và các bậc thuế trong phương án mới đơn giản, dễ hiểu và dễ thực hiện hơn. - HUMAN-FAC2]]</f>
        <v>7</v>
      </c>
      <c r="AH97">
        <f t="shared" si="36"/>
        <v>0.66666666666666663</v>
      </c>
      <c r="AI97" s="32">
        <f t="shared" si="37"/>
        <v>0.94444444444444442</v>
      </c>
      <c r="AJ97" s="32">
        <f t="shared" si="38"/>
        <v>0.55555555555555558</v>
      </c>
      <c r="AK97">
        <f>step3_validation[[#This Row],[AI_TRU1]]</f>
        <v>9</v>
      </c>
      <c r="AL97">
        <f t="shared" si="39"/>
        <v>0.88888888888888884</v>
      </c>
      <c r="AM97">
        <f>survey_responses[[#This Row],[Tôi tin rằng Nhà nước, cơ quan thuế sẽ thực thi chính sách mới một cách khách quan, công tâm và đối xử bình đẳng với mọi người nộp thuế.  - HUMAN-TRU1]]</f>
        <v>7</v>
      </c>
      <c r="AN97">
        <f t="shared" si="40"/>
        <v>0.66666666666666663</v>
      </c>
      <c r="AO97">
        <f>step3_validation[[#This Row],[AI_TRU2]]</f>
        <v>9</v>
      </c>
      <c r="AP97">
        <f t="shared" si="41"/>
        <v>0.88888888888888884</v>
      </c>
      <c r="AQ97">
        <f>survey_responses[[#This Row],[Tôi thấy mức thuế tôi phải đóng theo phương án mới là công bằng (người thu nhập như tôi đóng mức này là hợp lý). - HUMAN-TRU2]]</f>
        <v>5</v>
      </c>
      <c r="AR97">
        <f t="shared" si="42"/>
        <v>0.44444444444444442</v>
      </c>
      <c r="AS97">
        <f>step3_validation[[#This Row],[AI_TRU3]]</f>
        <v>8</v>
      </c>
      <c r="AT97">
        <f t="shared" si="43"/>
        <v>0.77777777777777779</v>
      </c>
      <c r="AU97">
        <f>survey_responses[[#This Row],[Tôi tin tưởng số tiền thuế tôi đóng sẽ được Nhà nước sử dụng hiệu quả để cải thiện dịch vụ công (y tế, đường xá...). - HUMAN-TRU3]]</f>
        <v>5</v>
      </c>
      <c r="AV97">
        <f t="shared" si="44"/>
        <v>0.44444444444444442</v>
      </c>
      <c r="AW97">
        <f>step3_validation[[#This Row],[AI_TRU4]]</f>
        <v>9</v>
      </c>
      <c r="AX97">
        <f t="shared" si="45"/>
        <v>0.88888888888888884</v>
      </c>
      <c r="AY97">
        <f>survey_responses[[#This Row],[Tôi thấy Nhà nước đã giải thích rõ ràng, minh bạch về lý do và mục tiêu của việc sửa đổi thuế lần này. - HUMAN-TRU4]]</f>
        <v>7</v>
      </c>
      <c r="AZ97">
        <f t="shared" si="46"/>
        <v>0.66666666666666663</v>
      </c>
      <c r="BA97" s="32">
        <f t="shared" si="47"/>
        <v>0.86111111111111105</v>
      </c>
      <c r="BB97" s="32">
        <f t="shared" si="48"/>
        <v>0.55555555555555558</v>
      </c>
      <c r="BC97" s="7">
        <f t="shared" si="49"/>
        <v>0.84259259259259256</v>
      </c>
      <c r="BD97" s="7">
        <f t="shared" si="50"/>
        <v>0.61111111111111105</v>
      </c>
      <c r="BE97">
        <f>step3_validation[[#This Row],[AI_OUT1]]</f>
        <v>8</v>
      </c>
      <c r="BF97">
        <f t="shared" si="51"/>
        <v>0.77777777777777779</v>
      </c>
      <c r="BG97">
        <f>survey_responses[[#This Row],[Sau khi xem xét các quyền lợi và nghĩa vụ, bạn có ủng hộ và tuân thủ chính sách mới hiện nay? - HUMAN-OUT1]]</f>
        <v>7</v>
      </c>
      <c r="BH97">
        <f t="shared" si="52"/>
        <v>0.66666666666666663</v>
      </c>
      <c r="BI97" s="32">
        <f t="shared" si="53"/>
        <v>1</v>
      </c>
    </row>
    <row r="98" spans="1:61" x14ac:dyDescent="0.45">
      <c r="A98" s="30">
        <f>step3_validation[[#This Row],[Persona_ID]]</f>
        <v>97</v>
      </c>
      <c r="B98" s="31">
        <f>step3_validation[[#This Row],[Used_Seed]]</f>
        <v>2087</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163.82657445953265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6</v>
      </c>
      <c r="R98">
        <f t="shared" si="27"/>
        <v>0.55555555555555558</v>
      </c>
      <c r="S98">
        <f>survey_responses[[#This Row],[Tôi tin rằng với các quy định quản lý thuế hiện nay, hành vi gian lận hoặc trốn thuế sẽ dễ dàng bị phát hiện và xử lý nghiêm. - HUMAN-ENF1]]</f>
        <v>6</v>
      </c>
      <c r="T98">
        <f t="shared" si="28"/>
        <v>0.55555555555555558</v>
      </c>
      <c r="U98">
        <f>step3_validation[[#This Row],[AI_ENF2]]</f>
        <v>7</v>
      </c>
      <c r="V98">
        <f t="shared" si="29"/>
        <v>0.66666666666666663</v>
      </c>
      <c r="W98">
        <f>survey_responses[[#This Row],[Tôi tin rằng Nhà nước, cơ quan thuế có đủ khả năng và công nghệ để phát hiện, xử lý nghiêm các hành vi trốn thuế. - HUMAN-ENF2]]</f>
        <v>6</v>
      </c>
      <c r="X98">
        <f t="shared" si="30"/>
        <v>0.55555555555555558</v>
      </c>
      <c r="Y98" s="32">
        <f t="shared" si="31"/>
        <v>0.61111111111111116</v>
      </c>
      <c r="Z98" s="32">
        <f t="shared" si="32"/>
        <v>0.55555555555555558</v>
      </c>
      <c r="AA98">
        <f>step3_validation[[#This Row],[AI_FAC1]]</f>
        <v>8</v>
      </c>
      <c r="AB98">
        <f t="shared" si="33"/>
        <v>0.77777777777777779</v>
      </c>
      <c r="AC98">
        <f>survey_responses[[#This Row],[Các thủ tục khai báo thuế VÀ/HOẶC quy trình làm việc với cơ quan thuế đơn giản, tiện lợi, nhanh chóng hơn so với trước đây. - HUMAN-FAC1]]</f>
        <v>5</v>
      </c>
      <c r="AD98">
        <f t="shared" si="34"/>
        <v>0.44444444444444442</v>
      </c>
      <c r="AE98">
        <f>step3_validation[[#This Row],[AI_FAC2]]</f>
        <v>9</v>
      </c>
      <c r="AF98">
        <f t="shared" si="35"/>
        <v>0.88888888888888884</v>
      </c>
      <c r="AG98">
        <f>survey_responses[[#This Row],[So với trước đây, tôi thấy cách tính thuế và các bậc thuế trong phương án mới đơn giản, dễ hiểu và dễ thực hiện hơn. - HUMAN-FAC2]]</f>
        <v>5</v>
      </c>
      <c r="AH98">
        <f t="shared" si="36"/>
        <v>0.44444444444444442</v>
      </c>
      <c r="AI98" s="32">
        <f t="shared" si="37"/>
        <v>0.83333333333333326</v>
      </c>
      <c r="AJ98" s="32">
        <f t="shared" si="38"/>
        <v>0.44444444444444442</v>
      </c>
      <c r="AK98">
        <f>step3_validation[[#This Row],[AI_TRU1]]</f>
        <v>7</v>
      </c>
      <c r="AL98">
        <f t="shared" si="39"/>
        <v>0.66666666666666663</v>
      </c>
      <c r="AM98">
        <f>survey_responses[[#This Row],[Tôi tin rằng Nhà nước, cơ quan thuế sẽ thực thi chính sách mới một cách khách quan, công tâm và đối xử bình đẳng với mọi người nộp thuế.  - HUMAN-TRU1]]</f>
        <v>5</v>
      </c>
      <c r="AN98">
        <f t="shared" si="40"/>
        <v>0.44444444444444442</v>
      </c>
      <c r="AO98">
        <f>step3_validation[[#This Row],[AI_TRU2]]</f>
        <v>9</v>
      </c>
      <c r="AP98">
        <f t="shared" si="41"/>
        <v>0.88888888888888884</v>
      </c>
      <c r="AQ98">
        <f>survey_responses[[#This Row],[Tôi thấy mức thuế tôi phải đóng theo phương án mới là công bằng (người thu nhập như tôi đóng mức này là hợp lý). - HUMAN-TRU2]]</f>
        <v>5</v>
      </c>
      <c r="AR98">
        <f t="shared" si="42"/>
        <v>0.44444444444444442</v>
      </c>
      <c r="AS98">
        <f>step3_validation[[#This Row],[AI_TRU3]]</f>
        <v>7</v>
      </c>
      <c r="AT98">
        <f t="shared" si="43"/>
        <v>0.66666666666666663</v>
      </c>
      <c r="AU98">
        <f>survey_responses[[#This Row],[Tôi tin tưởng số tiền thuế tôi đóng sẽ được Nhà nước sử dụng hiệu quả để cải thiện dịch vụ công (y tế, đường xá...). - HUMAN-TRU3]]</f>
        <v>5</v>
      </c>
      <c r="AV98">
        <f t="shared" si="44"/>
        <v>0.44444444444444442</v>
      </c>
      <c r="AW98">
        <f>step3_validation[[#This Row],[AI_TRU4]]</f>
        <v>8</v>
      </c>
      <c r="AX98">
        <f t="shared" si="45"/>
        <v>0.77777777777777779</v>
      </c>
      <c r="AY98">
        <f>survey_responses[[#This Row],[Tôi thấy Nhà nước đã giải thích rõ ràng, minh bạch về lý do và mục tiêu của việc sửa đổi thuế lần này. - HUMAN-TRU4]]</f>
        <v>5</v>
      </c>
      <c r="AZ98">
        <f t="shared" si="46"/>
        <v>0.44444444444444442</v>
      </c>
      <c r="BA98" s="32">
        <f t="shared" si="47"/>
        <v>0.74999999999999989</v>
      </c>
      <c r="BB98" s="32">
        <f t="shared" si="48"/>
        <v>0.44444444444444442</v>
      </c>
      <c r="BC98" s="7">
        <f t="shared" si="49"/>
        <v>0.7314814814814814</v>
      </c>
      <c r="BD98" s="7">
        <f t="shared" si="50"/>
        <v>0.48148148148148145</v>
      </c>
      <c r="BE98">
        <f>step3_validation[[#This Row],[AI_OUT1]]</f>
        <v>9</v>
      </c>
      <c r="BF98">
        <f t="shared" si="51"/>
        <v>0.88888888888888884</v>
      </c>
      <c r="BG98">
        <f>survey_responses[[#This Row],[Sau khi xem xét các quyền lợi và nghĩa vụ, bạn có ủng hộ và tuân thủ chính sách mới hiện nay? - HUMAN-OUT1]]</f>
        <v>5</v>
      </c>
      <c r="BH98">
        <f t="shared" si="52"/>
        <v>0.44444444444444442</v>
      </c>
      <c r="BI98" s="32">
        <f t="shared" si="53"/>
        <v>4</v>
      </c>
    </row>
    <row r="99" spans="1:61" x14ac:dyDescent="0.45">
      <c r="A99" s="30">
        <f>step3_validation[[#This Row],[Persona_ID]]</f>
        <v>98</v>
      </c>
      <c r="B99" s="31">
        <f>step3_validation[[#This Row],[Used_Seed]]</f>
        <v>2088</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19.176103235392247</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8</v>
      </c>
      <c r="R99">
        <f t="shared" si="27"/>
        <v>0.77777777777777779</v>
      </c>
      <c r="S99">
        <f>survey_responses[[#This Row],[Tôi tin rằng với các quy định quản lý thuế hiện nay, hành vi gian lận hoặc trốn thuế sẽ dễ dàng bị phát hiện và xử lý nghiêm. - HUMAN-ENF1]]</f>
        <v>8</v>
      </c>
      <c r="T99">
        <f t="shared" si="28"/>
        <v>0.77777777777777779</v>
      </c>
      <c r="U99">
        <f>step3_validation[[#This Row],[AI_ENF2]]</f>
        <v>7</v>
      </c>
      <c r="V99">
        <f t="shared" si="29"/>
        <v>0.66666666666666663</v>
      </c>
      <c r="W99">
        <f>survey_responses[[#This Row],[Tôi tin rằng Nhà nước, cơ quan thuế có đủ khả năng và công nghệ để phát hiện, xử lý nghiêm các hành vi trốn thuế. - HUMAN-ENF2]]</f>
        <v>8</v>
      </c>
      <c r="X99">
        <f t="shared" si="30"/>
        <v>0.77777777777777779</v>
      </c>
      <c r="Y99" s="32">
        <f t="shared" si="31"/>
        <v>0.72222222222222221</v>
      </c>
      <c r="Z99" s="32">
        <f t="shared" si="32"/>
        <v>0.77777777777777779</v>
      </c>
      <c r="AA99">
        <f>step3_validation[[#This Row],[AI_FAC1]]</f>
        <v>9</v>
      </c>
      <c r="AB99">
        <f t="shared" si="33"/>
        <v>0.88888888888888884</v>
      </c>
      <c r="AC99">
        <f>survey_responses[[#This Row],[Các thủ tục khai báo thuế VÀ/HOẶC quy trình làm việc với cơ quan thuế đơn giản, tiện lợi, nhanh chóng hơn so với trước đây. - HUMAN-FAC1]]</f>
        <v>5</v>
      </c>
      <c r="AD99">
        <f t="shared" si="34"/>
        <v>0.44444444444444442</v>
      </c>
      <c r="AE99">
        <f>step3_validation[[#This Row],[AI_FAC2]]</f>
        <v>10</v>
      </c>
      <c r="AF99">
        <f t="shared" si="35"/>
        <v>1</v>
      </c>
      <c r="AG99">
        <f>survey_responses[[#This Row],[So với trước đây, tôi thấy cách tính thuế và các bậc thuế trong phương án mới đơn giản, dễ hiểu và dễ thực hiện hơn. - HUMAN-FAC2]]</f>
        <v>8</v>
      </c>
      <c r="AH99">
        <f t="shared" si="36"/>
        <v>0.77777777777777779</v>
      </c>
      <c r="AI99" s="32">
        <f t="shared" si="37"/>
        <v>0.94444444444444442</v>
      </c>
      <c r="AJ99" s="32">
        <f t="shared" si="38"/>
        <v>0.61111111111111116</v>
      </c>
      <c r="AK99">
        <f>step3_validation[[#This Row],[AI_TRU1]]</f>
        <v>8</v>
      </c>
      <c r="AL99">
        <f t="shared" si="39"/>
        <v>0.77777777777777779</v>
      </c>
      <c r="AM99">
        <f>survey_responses[[#This Row],[Tôi tin rằng Nhà nước, cơ quan thuế sẽ thực thi chính sách mới một cách khách quan, công tâm và đối xử bình đẳng với mọi người nộp thuế.  - HUMAN-TRU1]]</f>
        <v>6</v>
      </c>
      <c r="AN99">
        <f t="shared" si="40"/>
        <v>0.55555555555555558</v>
      </c>
      <c r="AO99">
        <f>step3_validation[[#This Row],[AI_TRU2]]</f>
        <v>9</v>
      </c>
      <c r="AP99">
        <f t="shared" si="41"/>
        <v>0.88888888888888884</v>
      </c>
      <c r="AQ99">
        <f>survey_responses[[#This Row],[Tôi thấy mức thuế tôi phải đóng theo phương án mới là công bằng (người thu nhập như tôi đóng mức này là hợp lý). - HUMAN-TRU2]]</f>
        <v>9</v>
      </c>
      <c r="AR99">
        <f t="shared" si="42"/>
        <v>0.88888888888888884</v>
      </c>
      <c r="AS99">
        <f>step3_validation[[#This Row],[AI_TRU3]]</f>
        <v>8</v>
      </c>
      <c r="AT99">
        <f t="shared" si="43"/>
        <v>0.77777777777777779</v>
      </c>
      <c r="AU99">
        <f>survey_responses[[#This Row],[Tôi tin tưởng số tiền thuế tôi đóng sẽ được Nhà nước sử dụng hiệu quả để cải thiện dịch vụ công (y tế, đường xá...). - HUMAN-TRU3]]</f>
        <v>5</v>
      </c>
      <c r="AV99">
        <f t="shared" si="44"/>
        <v>0.44444444444444442</v>
      </c>
      <c r="AW99">
        <f>step3_validation[[#This Row],[AI_TRU4]]</f>
        <v>7</v>
      </c>
      <c r="AX99">
        <f t="shared" si="45"/>
        <v>0.66666666666666663</v>
      </c>
      <c r="AY99">
        <f>survey_responses[[#This Row],[Tôi thấy Nhà nước đã giải thích rõ ràng, minh bạch về lý do và mục tiêu của việc sửa đổi thuế lần này. - HUMAN-TRU4]]</f>
        <v>7</v>
      </c>
      <c r="AZ99">
        <f t="shared" si="46"/>
        <v>0.66666666666666663</v>
      </c>
      <c r="BA99" s="32">
        <f t="shared" si="47"/>
        <v>0.77777777777777768</v>
      </c>
      <c r="BB99" s="32">
        <f t="shared" si="48"/>
        <v>0.63888888888888884</v>
      </c>
      <c r="BC99" s="7">
        <f t="shared" si="49"/>
        <v>0.81481481481481477</v>
      </c>
      <c r="BD99" s="7">
        <f t="shared" si="50"/>
        <v>0.67592592592592593</v>
      </c>
      <c r="BE99">
        <f>step3_validation[[#This Row],[AI_OUT1]]</f>
        <v>9</v>
      </c>
      <c r="BF99">
        <f t="shared" si="51"/>
        <v>0.88888888888888884</v>
      </c>
      <c r="BG99">
        <f>survey_responses[[#This Row],[Sau khi xem xét các quyền lợi và nghĩa vụ, bạn có ủng hộ và tuân thủ chính sách mới hiện nay? - HUMAN-OUT1]]</f>
        <v>8</v>
      </c>
      <c r="BH99">
        <f t="shared" si="52"/>
        <v>0.77777777777777779</v>
      </c>
      <c r="BI99" s="32">
        <f t="shared" si="53"/>
        <v>1</v>
      </c>
    </row>
    <row r="100" spans="1:61" x14ac:dyDescent="0.45">
      <c r="A100" s="30">
        <f>step3_validation[[#This Row],[Persona_ID]]</f>
        <v>99</v>
      </c>
      <c r="B100" s="31">
        <f>step3_validation[[#This Row],[Used_Seed]]</f>
        <v>2089</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23.814557790619137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7</v>
      </c>
      <c r="R100">
        <f t="shared" si="27"/>
        <v>0.66666666666666663</v>
      </c>
      <c r="S100">
        <f>survey_responses[[#This Row],[Tôi tin rằng với các quy định quản lý thuế hiện nay, hành vi gian lận hoặc trốn thuế sẽ dễ dàng bị phát hiện và xử lý nghiêm. - HUMAN-ENF1]]</f>
        <v>6</v>
      </c>
      <c r="T100">
        <f t="shared" si="28"/>
        <v>0.55555555555555558</v>
      </c>
      <c r="U100">
        <f>step3_validation[[#This Row],[AI_ENF2]]</f>
        <v>8</v>
      </c>
      <c r="V100">
        <f t="shared" si="29"/>
        <v>0.77777777777777779</v>
      </c>
      <c r="W100">
        <f>survey_responses[[#This Row],[Tôi tin rằng Nhà nước, cơ quan thuế có đủ khả năng và công nghệ để phát hiện, xử lý nghiêm các hành vi trốn thuế. - HUMAN-ENF2]]</f>
        <v>6</v>
      </c>
      <c r="X100">
        <f t="shared" si="30"/>
        <v>0.55555555555555558</v>
      </c>
      <c r="Y100" s="32">
        <f t="shared" si="31"/>
        <v>0.72222222222222221</v>
      </c>
      <c r="Z100" s="32">
        <f t="shared" si="32"/>
        <v>0.55555555555555558</v>
      </c>
      <c r="AA100">
        <f>step3_validation[[#This Row],[AI_FAC1]]</f>
        <v>6</v>
      </c>
      <c r="AB100">
        <f t="shared" si="33"/>
        <v>0.55555555555555558</v>
      </c>
      <c r="AC100">
        <f>survey_responses[[#This Row],[Các thủ tục khai báo thuế VÀ/HOẶC quy trình làm việc với cơ quan thuế đơn giản, tiện lợi, nhanh chóng hơn so với trước đây. - HUMAN-FAC1]]</f>
        <v>3</v>
      </c>
      <c r="AD100">
        <f t="shared" si="34"/>
        <v>0.22222222222222221</v>
      </c>
      <c r="AE100">
        <f>step3_validation[[#This Row],[AI_FAC2]]</f>
        <v>9</v>
      </c>
      <c r="AF100">
        <f t="shared" si="35"/>
        <v>0.88888888888888884</v>
      </c>
      <c r="AG100">
        <f>survey_responses[[#This Row],[So với trước đây, tôi thấy cách tính thuế và các bậc thuế trong phương án mới đơn giản, dễ hiểu và dễ thực hiện hơn. - HUMAN-FAC2]]</f>
        <v>6</v>
      </c>
      <c r="AH100">
        <f t="shared" si="36"/>
        <v>0.55555555555555558</v>
      </c>
      <c r="AI100" s="32">
        <f t="shared" si="37"/>
        <v>0.72222222222222221</v>
      </c>
      <c r="AJ100" s="32">
        <f t="shared" si="38"/>
        <v>0.3888888888888889</v>
      </c>
      <c r="AK100">
        <f>step3_validation[[#This Row],[AI_TRU1]]</f>
        <v>8</v>
      </c>
      <c r="AL100">
        <f t="shared" si="39"/>
        <v>0.77777777777777779</v>
      </c>
      <c r="AM100">
        <f>survey_responses[[#This Row],[Tôi tin rằng Nhà nước, cơ quan thuế sẽ thực thi chính sách mới một cách khách quan, công tâm và đối xử bình đẳng với mọi người nộp thuế.  - HUMAN-TRU1]]</f>
        <v>5</v>
      </c>
      <c r="AN100">
        <f t="shared" si="40"/>
        <v>0.44444444444444442</v>
      </c>
      <c r="AO100">
        <f>step3_validation[[#This Row],[AI_TRU2]]</f>
        <v>9</v>
      </c>
      <c r="AP100">
        <f t="shared" si="41"/>
        <v>0.88888888888888884</v>
      </c>
      <c r="AQ100">
        <f>survey_responses[[#This Row],[Tôi thấy mức thuế tôi phải đóng theo phương án mới là công bằng (người thu nhập như tôi đóng mức này là hợp lý). - HUMAN-TRU2]]</f>
        <v>6</v>
      </c>
      <c r="AR100">
        <f t="shared" si="42"/>
        <v>0.55555555555555558</v>
      </c>
      <c r="AS100">
        <f>step3_validation[[#This Row],[AI_TRU3]]</f>
        <v>8</v>
      </c>
      <c r="AT100">
        <f t="shared" si="43"/>
        <v>0.77777777777777779</v>
      </c>
      <c r="AU100">
        <f>survey_responses[[#This Row],[Tôi tin tưởng số tiền thuế tôi đóng sẽ được Nhà nước sử dụng hiệu quả để cải thiện dịch vụ công (y tế, đường xá...). - HUMAN-TRU3]]</f>
        <v>5</v>
      </c>
      <c r="AV100">
        <f t="shared" si="44"/>
        <v>0.44444444444444442</v>
      </c>
      <c r="AW100">
        <f>step3_validation[[#This Row],[AI_TRU4]]</f>
        <v>7</v>
      </c>
      <c r="AX100">
        <f t="shared" si="45"/>
        <v>0.66666666666666663</v>
      </c>
      <c r="AY100">
        <f>survey_responses[[#This Row],[Tôi thấy Nhà nước đã giải thích rõ ràng, minh bạch về lý do và mục tiêu của việc sửa đổi thuế lần này. - HUMAN-TRU4]]</f>
        <v>6</v>
      </c>
      <c r="AZ100">
        <f t="shared" si="46"/>
        <v>0.55555555555555558</v>
      </c>
      <c r="BA100" s="32">
        <f t="shared" si="47"/>
        <v>0.77777777777777768</v>
      </c>
      <c r="BB100" s="32">
        <f t="shared" si="48"/>
        <v>0.5</v>
      </c>
      <c r="BC100" s="7">
        <f t="shared" si="49"/>
        <v>0.74074074074074081</v>
      </c>
      <c r="BD100" s="7">
        <f t="shared" si="50"/>
        <v>0.48148148148148145</v>
      </c>
      <c r="BE100">
        <f>step3_validation[[#This Row],[AI_OUT1]]</f>
        <v>9</v>
      </c>
      <c r="BF100">
        <f t="shared" si="51"/>
        <v>0.88888888888888884</v>
      </c>
      <c r="BG100">
        <f>survey_responses[[#This Row],[Sau khi xem xét các quyền lợi và nghĩa vụ, bạn có ủng hộ và tuân thủ chính sách mới hiện nay? - HUMAN-OUT1]]</f>
        <v>6</v>
      </c>
      <c r="BH100">
        <f t="shared" si="52"/>
        <v>0.55555555555555558</v>
      </c>
      <c r="BI100" s="32">
        <f t="shared" si="53"/>
        <v>3</v>
      </c>
    </row>
    <row r="101" spans="1:61" x14ac:dyDescent="0.45">
      <c r="A101" s="30">
        <f>step3_validation[[#This Row],[Persona_ID]]</f>
        <v>100</v>
      </c>
      <c r="B101" s="31">
        <f>step3_validation[[#This Row],[Used_Seed]]</f>
        <v>2090</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14.496198766757509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7</v>
      </c>
      <c r="R101">
        <f t="shared" si="27"/>
        <v>0.66666666666666663</v>
      </c>
      <c r="S101">
        <f>survey_responses[[#This Row],[Tôi tin rằng với các quy định quản lý thuế hiện nay, hành vi gian lận hoặc trốn thuế sẽ dễ dàng bị phát hiện và xử lý nghiêm. - HUMAN-ENF1]]</f>
        <v>8</v>
      </c>
      <c r="T101">
        <f t="shared" si="28"/>
        <v>0.77777777777777779</v>
      </c>
      <c r="U101">
        <f>step3_validation[[#This Row],[AI_ENF2]]</f>
        <v>6</v>
      </c>
      <c r="V101">
        <f t="shared" si="29"/>
        <v>0.55555555555555558</v>
      </c>
      <c r="W101">
        <f>survey_responses[[#This Row],[Tôi tin rằng Nhà nước, cơ quan thuế có đủ khả năng và công nghệ để phát hiện, xử lý nghiêm các hành vi trốn thuế. - HUMAN-ENF2]]</f>
        <v>8</v>
      </c>
      <c r="X101">
        <f t="shared" si="30"/>
        <v>0.77777777777777779</v>
      </c>
      <c r="Y101" s="32">
        <f t="shared" si="31"/>
        <v>0.61111111111111116</v>
      </c>
      <c r="Z101" s="32">
        <f t="shared" si="32"/>
        <v>0.77777777777777779</v>
      </c>
      <c r="AA101">
        <f>step3_validation[[#This Row],[AI_FAC1]]</f>
        <v>9</v>
      </c>
      <c r="AB101">
        <f t="shared" si="33"/>
        <v>0.88888888888888884</v>
      </c>
      <c r="AC101">
        <f>survey_responses[[#This Row],[Các thủ tục khai báo thuế VÀ/HOẶC quy trình làm việc với cơ quan thuế đơn giản, tiện lợi, nhanh chóng hơn so với trước đây. - HUMAN-FAC1]]</f>
        <v>8</v>
      </c>
      <c r="AD101">
        <f t="shared" si="34"/>
        <v>0.77777777777777779</v>
      </c>
      <c r="AE101">
        <f>step3_validation[[#This Row],[AI_FAC2]]</f>
        <v>8</v>
      </c>
      <c r="AF101">
        <f t="shared" si="35"/>
        <v>0.77777777777777779</v>
      </c>
      <c r="AG101">
        <f>survey_responses[[#This Row],[So với trước đây, tôi thấy cách tính thuế và các bậc thuế trong phương án mới đơn giản, dễ hiểu và dễ thực hiện hơn. - HUMAN-FAC2]]</f>
        <v>10</v>
      </c>
      <c r="AH101">
        <f t="shared" si="36"/>
        <v>1</v>
      </c>
      <c r="AI101" s="32">
        <f t="shared" si="37"/>
        <v>0.83333333333333326</v>
      </c>
      <c r="AJ101" s="32">
        <f t="shared" si="38"/>
        <v>0.88888888888888884</v>
      </c>
      <c r="AK101">
        <f>step3_validation[[#This Row],[AI_TRU1]]</f>
        <v>9</v>
      </c>
      <c r="AL101">
        <f t="shared" si="39"/>
        <v>0.88888888888888884</v>
      </c>
      <c r="AM101">
        <f>survey_responses[[#This Row],[Tôi tin rằng Nhà nước, cơ quan thuế sẽ thực thi chính sách mới một cách khách quan, công tâm và đối xử bình đẳng với mọi người nộp thuế.  - HUMAN-TRU1]]</f>
        <v>10</v>
      </c>
      <c r="AN101">
        <f t="shared" si="40"/>
        <v>1</v>
      </c>
      <c r="AO101">
        <f>step3_validation[[#This Row],[AI_TRU2]]</f>
        <v>8</v>
      </c>
      <c r="AP101">
        <f t="shared" si="41"/>
        <v>0.77777777777777779</v>
      </c>
      <c r="AQ101">
        <f>survey_responses[[#This Row],[Tôi thấy mức thuế tôi phải đóng theo phương án mới là công bằng (người thu nhập như tôi đóng mức này là hợp lý). - HUMAN-TRU2]]</f>
        <v>10</v>
      </c>
      <c r="AR101">
        <f t="shared" si="42"/>
        <v>1</v>
      </c>
      <c r="AS101">
        <f>step3_validation[[#This Row],[AI_TRU3]]</f>
        <v>9</v>
      </c>
      <c r="AT101">
        <f t="shared" si="43"/>
        <v>0.88888888888888884</v>
      </c>
      <c r="AU101">
        <f>survey_responses[[#This Row],[Tôi tin tưởng số tiền thuế tôi đóng sẽ được Nhà nước sử dụng hiệu quả để cải thiện dịch vụ công (y tế, đường xá...). - HUMAN-TRU3]]</f>
        <v>10</v>
      </c>
      <c r="AV101">
        <f t="shared" si="44"/>
        <v>1</v>
      </c>
      <c r="AW101">
        <f>step3_validation[[#This Row],[AI_TRU4]]</f>
        <v>8</v>
      </c>
      <c r="AX101">
        <f t="shared" si="45"/>
        <v>0.77777777777777779</v>
      </c>
      <c r="AY101">
        <f>survey_responses[[#This Row],[Tôi thấy Nhà nước đã giải thích rõ ràng, minh bạch về lý do và mục tiêu của việc sửa đổi thuế lần này. - HUMAN-TRU4]]</f>
        <v>10</v>
      </c>
      <c r="AZ101">
        <f t="shared" si="46"/>
        <v>1</v>
      </c>
      <c r="BA101" s="32">
        <f t="shared" si="47"/>
        <v>0.83333333333333326</v>
      </c>
      <c r="BB101" s="32">
        <f t="shared" si="48"/>
        <v>1</v>
      </c>
      <c r="BC101" s="7">
        <f t="shared" si="49"/>
        <v>0.75925925925925919</v>
      </c>
      <c r="BD101" s="7">
        <f t="shared" si="50"/>
        <v>0.88888888888888884</v>
      </c>
      <c r="BE101">
        <f>step3_validation[[#This Row],[AI_OUT1]]</f>
        <v>9</v>
      </c>
      <c r="BF101">
        <f t="shared" si="51"/>
        <v>0.88888888888888884</v>
      </c>
      <c r="BG101">
        <f>survey_responses[[#This Row],[Sau khi xem xét các quyền lợi và nghĩa vụ, bạn có ủng hộ và tuân thủ chính sách mới hiện nay? - HUMAN-OUT1]]</f>
        <v>10</v>
      </c>
      <c r="BH101">
        <f t="shared" si="52"/>
        <v>1</v>
      </c>
      <c r="BI101" s="32">
        <f t="shared" si="53"/>
        <v>1</v>
      </c>
    </row>
    <row r="102" spans="1:61" x14ac:dyDescent="0.45">
      <c r="A102" s="30">
        <f>step3_validation[[#This Row],[Persona_ID]]</f>
        <v>101</v>
      </c>
      <c r="B102" s="31">
        <f>step3_validation[[#This Row],[Used_Seed]]</f>
        <v>2091</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75.396638625455793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5</v>
      </c>
      <c r="R102">
        <f t="shared" si="27"/>
        <v>0.44444444444444442</v>
      </c>
      <c r="S102">
        <f>survey_responses[[#This Row],[Tôi tin rằng với các quy định quản lý thuế hiện nay, hành vi gian lận hoặc trốn thuế sẽ dễ dàng bị phát hiện và xử lý nghiêm. - HUMAN-ENF1]]</f>
        <v>8</v>
      </c>
      <c r="T102">
        <f t="shared" si="28"/>
        <v>0.77777777777777779</v>
      </c>
      <c r="U102">
        <f>step3_validation[[#This Row],[AI_ENF2]]</f>
        <v>4</v>
      </c>
      <c r="V102">
        <f t="shared" si="29"/>
        <v>0.33333333333333331</v>
      </c>
      <c r="W102">
        <f>survey_responses[[#This Row],[Tôi tin rằng Nhà nước, cơ quan thuế có đủ khả năng và công nghệ để phát hiện, xử lý nghiêm các hành vi trốn thuế. - HUMAN-ENF2]]</f>
        <v>8</v>
      </c>
      <c r="X102">
        <f t="shared" si="30"/>
        <v>0.77777777777777779</v>
      </c>
      <c r="Y102" s="32">
        <f t="shared" si="31"/>
        <v>0.38888888888888884</v>
      </c>
      <c r="Z102" s="32">
        <f t="shared" si="32"/>
        <v>0.77777777777777779</v>
      </c>
      <c r="AA102">
        <f>step3_validation[[#This Row],[AI_FAC1]]</f>
        <v>7</v>
      </c>
      <c r="AB102">
        <f t="shared" si="33"/>
        <v>0.66666666666666663</v>
      </c>
      <c r="AC102">
        <f>survey_responses[[#This Row],[Các thủ tục khai báo thuế VÀ/HOẶC quy trình làm việc với cơ quan thuế đơn giản, tiện lợi, nhanh chóng hơn so với trước đây. - HUMAN-FAC1]]</f>
        <v>7</v>
      </c>
      <c r="AD102">
        <f t="shared" si="34"/>
        <v>0.66666666666666663</v>
      </c>
      <c r="AE102">
        <f>step3_validation[[#This Row],[AI_FAC2]]</f>
        <v>9</v>
      </c>
      <c r="AF102">
        <f t="shared" si="35"/>
        <v>0.88888888888888884</v>
      </c>
      <c r="AG102">
        <f>survey_responses[[#This Row],[So với trước đây, tôi thấy cách tính thuế và các bậc thuế trong phương án mới đơn giản, dễ hiểu và dễ thực hiện hơn. - HUMAN-FAC2]]</f>
        <v>8</v>
      </c>
      <c r="AH102">
        <f t="shared" si="36"/>
        <v>0.77777777777777779</v>
      </c>
      <c r="AI102" s="32">
        <f t="shared" si="37"/>
        <v>0.77777777777777768</v>
      </c>
      <c r="AJ102" s="32">
        <f t="shared" si="38"/>
        <v>0.72222222222222221</v>
      </c>
      <c r="AK102">
        <f>step3_validation[[#This Row],[AI_TRU1]]</f>
        <v>6</v>
      </c>
      <c r="AL102">
        <f t="shared" si="39"/>
        <v>0.55555555555555558</v>
      </c>
      <c r="AM102">
        <f>survey_responses[[#This Row],[Tôi tin rằng Nhà nước, cơ quan thuế sẽ thực thi chính sách mới một cách khách quan, công tâm và đối xử bình đẳng với mọi người nộp thuế.  - HUMAN-TRU1]]</f>
        <v>8</v>
      </c>
      <c r="AN102">
        <f t="shared" si="40"/>
        <v>0.77777777777777779</v>
      </c>
      <c r="AO102">
        <f>step3_validation[[#This Row],[AI_TRU2]]</f>
        <v>9</v>
      </c>
      <c r="AP102">
        <f t="shared" si="41"/>
        <v>0.88888888888888884</v>
      </c>
      <c r="AQ102">
        <f>survey_responses[[#This Row],[Tôi thấy mức thuế tôi phải đóng theo phương án mới là công bằng (người thu nhập như tôi đóng mức này là hợp lý). - HUMAN-TRU2]]</f>
        <v>7</v>
      </c>
      <c r="AR102">
        <f t="shared" si="42"/>
        <v>0.66666666666666663</v>
      </c>
      <c r="AS102">
        <f>step3_validation[[#This Row],[AI_TRU3]]</f>
        <v>7</v>
      </c>
      <c r="AT102">
        <f t="shared" si="43"/>
        <v>0.66666666666666663</v>
      </c>
      <c r="AU102">
        <f>survey_responses[[#This Row],[Tôi tin tưởng số tiền thuế tôi đóng sẽ được Nhà nước sử dụng hiệu quả để cải thiện dịch vụ công (y tế, đường xá...). - HUMAN-TRU3]]</f>
        <v>7</v>
      </c>
      <c r="AV102">
        <f t="shared" si="44"/>
        <v>0.66666666666666663</v>
      </c>
      <c r="AW102">
        <f>step3_validation[[#This Row],[AI_TRU4]]</f>
        <v>8</v>
      </c>
      <c r="AX102">
        <f t="shared" si="45"/>
        <v>0.77777777777777779</v>
      </c>
      <c r="AY102">
        <f>survey_responses[[#This Row],[Tôi thấy Nhà nước đã giải thích rõ ràng, minh bạch về lý do và mục tiêu của việc sửa đổi thuế lần này. - HUMAN-TRU4]]</f>
        <v>7</v>
      </c>
      <c r="AZ102">
        <f t="shared" si="46"/>
        <v>0.66666666666666663</v>
      </c>
      <c r="BA102" s="32">
        <f t="shared" si="47"/>
        <v>0.72222222222222221</v>
      </c>
      <c r="BB102" s="32">
        <f t="shared" si="48"/>
        <v>0.69444444444444442</v>
      </c>
      <c r="BC102" s="7">
        <f t="shared" si="49"/>
        <v>0.62962962962962965</v>
      </c>
      <c r="BD102" s="7">
        <f t="shared" si="50"/>
        <v>0.73148148148148151</v>
      </c>
      <c r="BE102">
        <f>step3_validation[[#This Row],[AI_OUT1]]</f>
        <v>9</v>
      </c>
      <c r="BF102">
        <f t="shared" si="51"/>
        <v>0.88888888888888884</v>
      </c>
      <c r="BG102">
        <f>survey_responses[[#This Row],[Sau khi xem xét các quyền lợi và nghĩa vụ, bạn có ủng hộ và tuân thủ chính sách mới hiện nay? - HUMAN-OUT1]]</f>
        <v>8</v>
      </c>
      <c r="BH102">
        <f t="shared" si="52"/>
        <v>0.77777777777777779</v>
      </c>
      <c r="BI102" s="32">
        <f t="shared" si="53"/>
        <v>1</v>
      </c>
    </row>
    <row r="103" spans="1:61" x14ac:dyDescent="0.45">
      <c r="A103" s="30">
        <f>step3_validation[[#This Row],[Persona_ID]]</f>
        <v>102</v>
      </c>
      <c r="B103" s="31">
        <f>step3_validation[[#This Row],[Used_Seed]]</f>
        <v>2092</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15.68299098328216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f t="shared" si="27"/>
        <v>0.66666666666666663</v>
      </c>
      <c r="S103">
        <f>survey_responses[[#This Row],[Tôi tin rằng với các quy định quản lý thuế hiện nay, hành vi gian lận hoặc trốn thuế sẽ dễ dàng bị phát hiện và xử lý nghiêm. - HUMAN-ENF1]]</f>
        <v>5</v>
      </c>
      <c r="T103">
        <f t="shared" si="28"/>
        <v>0.44444444444444442</v>
      </c>
      <c r="U103">
        <f>step3_validation[[#This Row],[AI_ENF2]]</f>
        <v>8</v>
      </c>
      <c r="V103">
        <f t="shared" si="29"/>
        <v>0.77777777777777779</v>
      </c>
      <c r="W103">
        <f>survey_responses[[#This Row],[Tôi tin rằng Nhà nước, cơ quan thuế có đủ khả năng và công nghệ để phát hiện, xử lý nghiêm các hành vi trốn thuế. - HUMAN-ENF2]]</f>
        <v>5</v>
      </c>
      <c r="X103">
        <f t="shared" si="30"/>
        <v>0.44444444444444442</v>
      </c>
      <c r="Y103" s="32">
        <f t="shared" si="31"/>
        <v>0.72222222222222221</v>
      </c>
      <c r="Z103" s="32">
        <f t="shared" si="32"/>
        <v>0.44444444444444442</v>
      </c>
      <c r="AA103">
        <f>step3_validation[[#This Row],[AI_FAC1]]</f>
        <v>9</v>
      </c>
      <c r="AB103">
        <f t="shared" si="33"/>
        <v>0.88888888888888884</v>
      </c>
      <c r="AC103">
        <f>survey_responses[[#This Row],[Các thủ tục khai báo thuế VÀ/HOẶC quy trình làm việc với cơ quan thuế đơn giản, tiện lợi, nhanh chóng hơn so với trước đây. - HUMAN-FAC1]]</f>
        <v>5</v>
      </c>
      <c r="AD103">
        <f t="shared" si="34"/>
        <v>0.44444444444444442</v>
      </c>
      <c r="AE103">
        <f>step3_validation[[#This Row],[AI_FAC2]]</f>
        <v>10</v>
      </c>
      <c r="AF103">
        <f t="shared" si="35"/>
        <v>1</v>
      </c>
      <c r="AG103">
        <f>survey_responses[[#This Row],[So với trước đây, tôi thấy cách tính thuế và các bậc thuế trong phương án mới đơn giản, dễ hiểu và dễ thực hiện hơn. - HUMAN-FAC2]]</f>
        <v>5</v>
      </c>
      <c r="AH103">
        <f t="shared" si="36"/>
        <v>0.44444444444444442</v>
      </c>
      <c r="AI103" s="32">
        <f t="shared" si="37"/>
        <v>0.94444444444444442</v>
      </c>
      <c r="AJ103" s="32">
        <f t="shared" si="38"/>
        <v>0.44444444444444442</v>
      </c>
      <c r="AK103">
        <f>step3_validation[[#This Row],[AI_TRU1]]</f>
        <v>9</v>
      </c>
      <c r="AL103">
        <f t="shared" si="39"/>
        <v>0.88888888888888884</v>
      </c>
      <c r="AM103">
        <f>survey_responses[[#This Row],[Tôi tin rằng Nhà nước, cơ quan thuế sẽ thực thi chính sách mới một cách khách quan, công tâm và đối xử bình đẳng với mọi người nộp thuế.  - HUMAN-TRU1]]</f>
        <v>5</v>
      </c>
      <c r="AN103">
        <f t="shared" si="40"/>
        <v>0.44444444444444442</v>
      </c>
      <c r="AO103">
        <f>step3_validation[[#This Row],[AI_TRU2]]</f>
        <v>9</v>
      </c>
      <c r="AP103">
        <f t="shared" si="41"/>
        <v>0.88888888888888884</v>
      </c>
      <c r="AQ103">
        <f>survey_responses[[#This Row],[Tôi thấy mức thuế tôi phải đóng theo phương án mới là công bằng (người thu nhập như tôi đóng mức này là hợp lý). - HUMAN-TRU2]]</f>
        <v>5</v>
      </c>
      <c r="AR103">
        <f t="shared" si="42"/>
        <v>0.44444444444444442</v>
      </c>
      <c r="AS103">
        <f>step3_validation[[#This Row],[AI_TRU3]]</f>
        <v>8</v>
      </c>
      <c r="AT103">
        <f t="shared" si="43"/>
        <v>0.77777777777777779</v>
      </c>
      <c r="AU103">
        <f>survey_responses[[#This Row],[Tôi tin tưởng số tiền thuế tôi đóng sẽ được Nhà nước sử dụng hiệu quả để cải thiện dịch vụ công (y tế, đường xá...). - HUMAN-TRU3]]</f>
        <v>5</v>
      </c>
      <c r="AV103">
        <f t="shared" si="44"/>
        <v>0.44444444444444442</v>
      </c>
      <c r="AW103">
        <f>step3_validation[[#This Row],[AI_TRU4]]</f>
        <v>9</v>
      </c>
      <c r="AX103">
        <f t="shared" si="45"/>
        <v>0.88888888888888884</v>
      </c>
      <c r="AY103">
        <f>survey_responses[[#This Row],[Tôi thấy Nhà nước đã giải thích rõ ràng, minh bạch về lý do và mục tiêu của việc sửa đổi thuế lần này. - HUMAN-TRU4]]</f>
        <v>5</v>
      </c>
      <c r="AZ103">
        <f t="shared" si="46"/>
        <v>0.44444444444444442</v>
      </c>
      <c r="BA103" s="32">
        <f t="shared" si="47"/>
        <v>0.86111111111111105</v>
      </c>
      <c r="BB103" s="32">
        <f t="shared" si="48"/>
        <v>0.44444444444444442</v>
      </c>
      <c r="BC103" s="7">
        <f t="shared" si="49"/>
        <v>0.84259259259259256</v>
      </c>
      <c r="BD103" s="7">
        <f t="shared" si="50"/>
        <v>0.44444444444444442</v>
      </c>
      <c r="BE103">
        <f>step3_validation[[#This Row],[AI_OUT1]]</f>
        <v>10</v>
      </c>
      <c r="BF103">
        <f t="shared" si="51"/>
        <v>1</v>
      </c>
      <c r="BG103">
        <f>survey_responses[[#This Row],[Sau khi xem xét các quyền lợi và nghĩa vụ, bạn có ủng hộ và tuân thủ chính sách mới hiện nay? - HUMAN-OUT1]]</f>
        <v>5</v>
      </c>
      <c r="BH103">
        <f t="shared" si="52"/>
        <v>0.44444444444444442</v>
      </c>
      <c r="BI103" s="32">
        <f t="shared" si="53"/>
        <v>5</v>
      </c>
    </row>
    <row r="104" spans="1:61" x14ac:dyDescent="0.45">
      <c r="A104" s="30">
        <f>step3_validation[[#This Row],[Persona_ID]]</f>
        <v>103</v>
      </c>
      <c r="B104" s="31">
        <f>step3_validation[[#This Row],[Used_Seed]]</f>
        <v>2093</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46.528268987524349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f t="shared" si="27"/>
        <v>0.66666666666666663</v>
      </c>
      <c r="S104">
        <f>survey_responses[[#This Row],[Tôi tin rằng với các quy định quản lý thuế hiện nay, hành vi gian lận hoặc trốn thuế sẽ dễ dàng bị phát hiện và xử lý nghiêm. - HUMAN-ENF1]]</f>
        <v>8</v>
      </c>
      <c r="T104">
        <f t="shared" si="28"/>
        <v>0.77777777777777779</v>
      </c>
      <c r="U104">
        <f>step3_validation[[#This Row],[AI_ENF2]]</f>
        <v>6</v>
      </c>
      <c r="V104">
        <f t="shared" si="29"/>
        <v>0.55555555555555558</v>
      </c>
      <c r="W104">
        <f>survey_responses[[#This Row],[Tôi tin rằng Nhà nước, cơ quan thuế có đủ khả năng và công nghệ để phát hiện, xử lý nghiêm các hành vi trốn thuế. - HUMAN-ENF2]]</f>
        <v>8</v>
      </c>
      <c r="X104">
        <f t="shared" si="30"/>
        <v>0.77777777777777779</v>
      </c>
      <c r="Y104" s="32">
        <f t="shared" si="31"/>
        <v>0.61111111111111116</v>
      </c>
      <c r="Z104" s="32">
        <f t="shared" si="32"/>
        <v>0.77777777777777779</v>
      </c>
      <c r="AA104">
        <f>step3_validation[[#This Row],[AI_FAC1]]</f>
        <v>8</v>
      </c>
      <c r="AB104">
        <f t="shared" si="33"/>
        <v>0.77777777777777779</v>
      </c>
      <c r="AC104">
        <f>survey_responses[[#This Row],[Các thủ tục khai báo thuế VÀ/HOẶC quy trình làm việc với cơ quan thuế đơn giản, tiện lợi, nhanh chóng hơn so với trước đây. - HUMAN-FAC1]]</f>
        <v>5</v>
      </c>
      <c r="AD104">
        <f t="shared" si="34"/>
        <v>0.44444444444444442</v>
      </c>
      <c r="AE104">
        <f>step3_validation[[#This Row],[AI_FAC2]]</f>
        <v>9</v>
      </c>
      <c r="AF104">
        <f t="shared" si="35"/>
        <v>0.88888888888888884</v>
      </c>
      <c r="AG104">
        <f>survey_responses[[#This Row],[So với trước đây, tôi thấy cách tính thuế và các bậc thuế trong phương án mới đơn giản, dễ hiểu và dễ thực hiện hơn. - HUMAN-FAC2]]</f>
        <v>8</v>
      </c>
      <c r="AH104">
        <f t="shared" si="36"/>
        <v>0.77777777777777779</v>
      </c>
      <c r="AI104" s="32">
        <f t="shared" si="37"/>
        <v>0.83333333333333326</v>
      </c>
      <c r="AJ104" s="32">
        <f t="shared" si="38"/>
        <v>0.61111111111111116</v>
      </c>
      <c r="AK104">
        <f>step3_validation[[#This Row],[AI_TRU1]]</f>
        <v>7</v>
      </c>
      <c r="AL104">
        <f t="shared" si="39"/>
        <v>0.66666666666666663</v>
      </c>
      <c r="AM104">
        <f>survey_responses[[#This Row],[Tôi tin rằng Nhà nước, cơ quan thuế sẽ thực thi chính sách mới một cách khách quan, công tâm và đối xử bình đẳng với mọi người nộp thuế.  - HUMAN-TRU1]]</f>
        <v>5</v>
      </c>
      <c r="AN104">
        <f t="shared" si="40"/>
        <v>0.44444444444444442</v>
      </c>
      <c r="AO104">
        <f>step3_validation[[#This Row],[AI_TRU2]]</f>
        <v>9</v>
      </c>
      <c r="AP104">
        <f t="shared" si="41"/>
        <v>0.88888888888888884</v>
      </c>
      <c r="AQ104">
        <f>survey_responses[[#This Row],[Tôi thấy mức thuế tôi phải đóng theo phương án mới là công bằng (người thu nhập như tôi đóng mức này là hợp lý). - HUMAN-TRU2]]</f>
        <v>5</v>
      </c>
      <c r="AR104">
        <f t="shared" si="42"/>
        <v>0.44444444444444442</v>
      </c>
      <c r="AS104">
        <f>step3_validation[[#This Row],[AI_TRU3]]</f>
        <v>7</v>
      </c>
      <c r="AT104">
        <f t="shared" si="43"/>
        <v>0.66666666666666663</v>
      </c>
      <c r="AU104">
        <f>survey_responses[[#This Row],[Tôi tin tưởng số tiền thuế tôi đóng sẽ được Nhà nước sử dụng hiệu quả để cải thiện dịch vụ công (y tế, đường xá...). - HUMAN-TRU3]]</f>
        <v>6</v>
      </c>
      <c r="AV104">
        <f t="shared" si="44"/>
        <v>0.55555555555555558</v>
      </c>
      <c r="AW104">
        <f>step3_validation[[#This Row],[AI_TRU4]]</f>
        <v>8</v>
      </c>
      <c r="AX104">
        <f t="shared" si="45"/>
        <v>0.77777777777777779</v>
      </c>
      <c r="AY104">
        <f>survey_responses[[#This Row],[Tôi thấy Nhà nước đã giải thích rõ ràng, minh bạch về lý do và mục tiêu của việc sửa đổi thuế lần này. - HUMAN-TRU4]]</f>
        <v>6</v>
      </c>
      <c r="AZ104">
        <f t="shared" si="46"/>
        <v>0.55555555555555558</v>
      </c>
      <c r="BA104" s="32">
        <f t="shared" si="47"/>
        <v>0.74999999999999989</v>
      </c>
      <c r="BB104" s="32">
        <f t="shared" si="48"/>
        <v>0.5</v>
      </c>
      <c r="BC104" s="7">
        <f t="shared" si="49"/>
        <v>0.7314814814814814</v>
      </c>
      <c r="BD104" s="7">
        <f t="shared" si="50"/>
        <v>0.62962962962962965</v>
      </c>
      <c r="BE104">
        <f>step3_validation[[#This Row],[AI_OUT1]]</f>
        <v>9</v>
      </c>
      <c r="BF104">
        <f t="shared" si="51"/>
        <v>0.88888888888888884</v>
      </c>
      <c r="BG104">
        <f>survey_responses[[#This Row],[Sau khi xem xét các quyền lợi và nghĩa vụ, bạn có ủng hộ và tuân thủ chính sách mới hiện nay? - HUMAN-OUT1]]</f>
        <v>5</v>
      </c>
      <c r="BH104">
        <f t="shared" si="52"/>
        <v>0.44444444444444442</v>
      </c>
      <c r="BI104" s="32">
        <f t="shared" si="53"/>
        <v>4</v>
      </c>
    </row>
    <row r="105" spans="1:61" x14ac:dyDescent="0.45">
      <c r="A105" s="30">
        <f>step3_validation[[#This Row],[Persona_ID]]</f>
        <v>104</v>
      </c>
      <c r="B105" s="31">
        <f>step3_validation[[#This Row],[Used_Seed]]</f>
        <v>2094</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18.177356308135195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f t="shared" si="27"/>
        <v>0.55555555555555558</v>
      </c>
      <c r="S105">
        <f>survey_responses[[#This Row],[Tôi tin rằng với các quy định quản lý thuế hiện nay, hành vi gian lận hoặc trốn thuế sẽ dễ dàng bị phát hiện và xử lý nghiêm. - HUMAN-ENF1]]</f>
        <v>6</v>
      </c>
      <c r="T105">
        <f t="shared" si="28"/>
        <v>0.55555555555555558</v>
      </c>
      <c r="U105">
        <f>step3_validation[[#This Row],[AI_ENF2]]</f>
        <v>7</v>
      </c>
      <c r="V105">
        <f t="shared" si="29"/>
        <v>0.66666666666666663</v>
      </c>
      <c r="W105">
        <f>survey_responses[[#This Row],[Tôi tin rằng Nhà nước, cơ quan thuế có đủ khả năng và công nghệ để phát hiện, xử lý nghiêm các hành vi trốn thuế. - HUMAN-ENF2]]</f>
        <v>7</v>
      </c>
      <c r="X105">
        <f t="shared" si="30"/>
        <v>0.66666666666666663</v>
      </c>
      <c r="Y105" s="32">
        <f t="shared" si="31"/>
        <v>0.61111111111111116</v>
      </c>
      <c r="Z105" s="32">
        <f t="shared" si="32"/>
        <v>0.61111111111111116</v>
      </c>
      <c r="AA105">
        <f>step3_validation[[#This Row],[AI_FAC1]]</f>
        <v>8</v>
      </c>
      <c r="AB105">
        <f t="shared" si="33"/>
        <v>0.77777777777777779</v>
      </c>
      <c r="AC105">
        <f>survey_responses[[#This Row],[Các thủ tục khai báo thuế VÀ/HOẶC quy trình làm việc với cơ quan thuế đơn giản, tiện lợi, nhanh chóng hơn so với trước đây. - HUMAN-FAC1]]</f>
        <v>6</v>
      </c>
      <c r="AD105">
        <f t="shared" si="34"/>
        <v>0.55555555555555558</v>
      </c>
      <c r="AE105">
        <f>step3_validation[[#This Row],[AI_FAC2]]</f>
        <v>9</v>
      </c>
      <c r="AF105">
        <f t="shared" si="35"/>
        <v>0.88888888888888884</v>
      </c>
      <c r="AG105">
        <f>survey_responses[[#This Row],[So với trước đây, tôi thấy cách tính thuế và các bậc thuế trong phương án mới đơn giản, dễ hiểu và dễ thực hiện hơn. - HUMAN-FAC2]]</f>
        <v>8</v>
      </c>
      <c r="AH105">
        <f t="shared" si="36"/>
        <v>0.77777777777777779</v>
      </c>
      <c r="AI105" s="32">
        <f t="shared" si="37"/>
        <v>0.83333333333333326</v>
      </c>
      <c r="AJ105" s="32">
        <f t="shared" si="38"/>
        <v>0.66666666666666674</v>
      </c>
      <c r="AK105">
        <f>step3_validation[[#This Row],[AI_TRU1]]</f>
        <v>6</v>
      </c>
      <c r="AL105">
        <f t="shared" si="39"/>
        <v>0.55555555555555558</v>
      </c>
      <c r="AM105">
        <f>survey_responses[[#This Row],[Tôi tin rằng Nhà nước, cơ quan thuế sẽ thực thi chính sách mới một cách khách quan, công tâm và đối xử bình đẳng với mọi người nộp thuế.  - HUMAN-TRU1]]</f>
        <v>6</v>
      </c>
      <c r="AN105">
        <f t="shared" si="40"/>
        <v>0.55555555555555558</v>
      </c>
      <c r="AO105">
        <f>step3_validation[[#This Row],[AI_TRU2]]</f>
        <v>9</v>
      </c>
      <c r="AP105">
        <f t="shared" si="41"/>
        <v>0.88888888888888884</v>
      </c>
      <c r="AQ105">
        <f>survey_responses[[#This Row],[Tôi thấy mức thuế tôi phải đóng theo phương án mới là công bằng (người thu nhập như tôi đóng mức này là hợp lý). - HUMAN-TRU2]]</f>
        <v>7</v>
      </c>
      <c r="AR105">
        <f t="shared" si="42"/>
        <v>0.66666666666666663</v>
      </c>
      <c r="AS105">
        <f>step3_validation[[#This Row],[AI_TRU3]]</f>
        <v>8</v>
      </c>
      <c r="AT105">
        <f t="shared" si="43"/>
        <v>0.77777777777777779</v>
      </c>
      <c r="AU105">
        <f>survey_responses[[#This Row],[Tôi tin tưởng số tiền thuế tôi đóng sẽ được Nhà nước sử dụng hiệu quả để cải thiện dịch vụ công (y tế, đường xá...). - HUMAN-TRU3]]</f>
        <v>6</v>
      </c>
      <c r="AV105">
        <f t="shared" si="44"/>
        <v>0.55555555555555558</v>
      </c>
      <c r="AW105">
        <f>step3_validation[[#This Row],[AI_TRU4]]</f>
        <v>7</v>
      </c>
      <c r="AX105">
        <f t="shared" si="45"/>
        <v>0.66666666666666663</v>
      </c>
      <c r="AY105">
        <f>survey_responses[[#This Row],[Tôi thấy Nhà nước đã giải thích rõ ràng, minh bạch về lý do và mục tiêu của việc sửa đổi thuế lần này. - HUMAN-TRU4]]</f>
        <v>6</v>
      </c>
      <c r="AZ105">
        <f t="shared" si="46"/>
        <v>0.55555555555555558</v>
      </c>
      <c r="BA105" s="32">
        <f t="shared" si="47"/>
        <v>0.72222222222222221</v>
      </c>
      <c r="BB105" s="32">
        <f t="shared" si="48"/>
        <v>0.58333333333333337</v>
      </c>
      <c r="BC105" s="7">
        <f t="shared" si="49"/>
        <v>0.72222222222222221</v>
      </c>
      <c r="BD105" s="7">
        <f t="shared" si="50"/>
        <v>0.62037037037037035</v>
      </c>
      <c r="BE105">
        <f>step3_validation[[#This Row],[AI_OUT1]]</f>
        <v>8</v>
      </c>
      <c r="BF105">
        <f t="shared" si="51"/>
        <v>0.77777777777777779</v>
      </c>
      <c r="BG105">
        <f>survey_responses[[#This Row],[Sau khi xem xét các quyền lợi và nghĩa vụ, bạn có ủng hộ và tuân thủ chính sách mới hiện nay? - HUMAN-OUT1]]</f>
        <v>7</v>
      </c>
      <c r="BH105">
        <f t="shared" si="52"/>
        <v>0.66666666666666663</v>
      </c>
      <c r="BI105" s="32">
        <f t="shared" si="53"/>
        <v>1</v>
      </c>
    </row>
    <row r="106" spans="1:61" x14ac:dyDescent="0.45">
      <c r="A106" s="30">
        <f>step3_validation[[#This Row],[Persona_ID]]</f>
        <v>105</v>
      </c>
      <c r="B106" s="31">
        <f>step3_validation[[#This Row],[Used_Seed]]</f>
        <v>2095</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16.488618968984962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f t="shared" si="27"/>
        <v>0.66666666666666663</v>
      </c>
      <c r="S106">
        <f>survey_responses[[#This Row],[Tôi tin rằng với các quy định quản lý thuế hiện nay, hành vi gian lận hoặc trốn thuế sẽ dễ dàng bị phát hiện và xử lý nghiêm. - HUMAN-ENF1]]</f>
        <v>9</v>
      </c>
      <c r="T106">
        <f t="shared" si="28"/>
        <v>0.88888888888888884</v>
      </c>
      <c r="U106">
        <f>step3_validation[[#This Row],[AI_ENF2]]</f>
        <v>6</v>
      </c>
      <c r="V106">
        <f t="shared" si="29"/>
        <v>0.55555555555555558</v>
      </c>
      <c r="W106">
        <f>survey_responses[[#This Row],[Tôi tin rằng Nhà nước, cơ quan thuế có đủ khả năng và công nghệ để phát hiện, xử lý nghiêm các hành vi trốn thuế. - HUMAN-ENF2]]</f>
        <v>10</v>
      </c>
      <c r="X106">
        <f t="shared" si="30"/>
        <v>1</v>
      </c>
      <c r="Y106" s="32">
        <f t="shared" si="31"/>
        <v>0.61111111111111116</v>
      </c>
      <c r="Z106" s="32">
        <f t="shared" si="32"/>
        <v>0.94444444444444442</v>
      </c>
      <c r="AA106">
        <f>step3_validation[[#This Row],[AI_FAC1]]</f>
        <v>8</v>
      </c>
      <c r="AB106">
        <f t="shared" si="33"/>
        <v>0.77777777777777779</v>
      </c>
      <c r="AC106">
        <f>survey_responses[[#This Row],[Các thủ tục khai báo thuế VÀ/HOẶC quy trình làm việc với cơ quan thuế đơn giản, tiện lợi, nhanh chóng hơn so với trước đây. - HUMAN-FAC1]]</f>
        <v>8</v>
      </c>
      <c r="AD106">
        <f t="shared" si="34"/>
        <v>0.77777777777777779</v>
      </c>
      <c r="AE106">
        <f>step3_validation[[#This Row],[AI_FAC2]]</f>
        <v>9</v>
      </c>
      <c r="AF106">
        <f t="shared" si="35"/>
        <v>0.88888888888888884</v>
      </c>
      <c r="AG106">
        <f>survey_responses[[#This Row],[So với trước đây, tôi thấy cách tính thuế và các bậc thuế trong phương án mới đơn giản, dễ hiểu và dễ thực hiện hơn. - HUMAN-FAC2]]</f>
        <v>8</v>
      </c>
      <c r="AH106">
        <f t="shared" si="36"/>
        <v>0.77777777777777779</v>
      </c>
      <c r="AI106" s="32">
        <f t="shared" si="37"/>
        <v>0.83333333333333326</v>
      </c>
      <c r="AJ106" s="32">
        <f t="shared" si="38"/>
        <v>0.77777777777777779</v>
      </c>
      <c r="AK106">
        <f>step3_validation[[#This Row],[AI_TRU1]]</f>
        <v>8</v>
      </c>
      <c r="AL106">
        <f t="shared" si="39"/>
        <v>0.77777777777777779</v>
      </c>
      <c r="AM106">
        <f>survey_responses[[#This Row],[Tôi tin rằng Nhà nước, cơ quan thuế sẽ thực thi chính sách mới một cách khách quan, công tâm và đối xử bình đẳng với mọi người nộp thuế.  - HUMAN-TRU1]]</f>
        <v>9</v>
      </c>
      <c r="AN106">
        <f t="shared" si="40"/>
        <v>0.88888888888888884</v>
      </c>
      <c r="AO106">
        <f>step3_validation[[#This Row],[AI_TRU2]]</f>
        <v>9</v>
      </c>
      <c r="AP106">
        <f t="shared" si="41"/>
        <v>0.88888888888888884</v>
      </c>
      <c r="AQ106">
        <f>survey_responses[[#This Row],[Tôi thấy mức thuế tôi phải đóng theo phương án mới là công bằng (người thu nhập như tôi đóng mức này là hợp lý). - HUMAN-TRU2]]</f>
        <v>9</v>
      </c>
      <c r="AR106">
        <f t="shared" si="42"/>
        <v>0.88888888888888884</v>
      </c>
      <c r="AS106">
        <f>step3_validation[[#This Row],[AI_TRU3]]</f>
        <v>8</v>
      </c>
      <c r="AT106">
        <f t="shared" si="43"/>
        <v>0.77777777777777779</v>
      </c>
      <c r="AU106">
        <f>survey_responses[[#This Row],[Tôi tin tưởng số tiền thuế tôi đóng sẽ được Nhà nước sử dụng hiệu quả để cải thiện dịch vụ công (y tế, đường xá...). - HUMAN-TRU3]]</f>
        <v>8</v>
      </c>
      <c r="AV106">
        <f t="shared" si="44"/>
        <v>0.77777777777777779</v>
      </c>
      <c r="AW106">
        <f>step3_validation[[#This Row],[AI_TRU4]]</f>
        <v>7</v>
      </c>
      <c r="AX106">
        <f t="shared" si="45"/>
        <v>0.66666666666666663</v>
      </c>
      <c r="AY106">
        <f>survey_responses[[#This Row],[Tôi thấy Nhà nước đã giải thích rõ ràng, minh bạch về lý do và mục tiêu của việc sửa đổi thuế lần này. - HUMAN-TRU4]]</f>
        <v>6</v>
      </c>
      <c r="AZ106">
        <f t="shared" si="46"/>
        <v>0.55555555555555558</v>
      </c>
      <c r="BA106" s="32">
        <f t="shared" si="47"/>
        <v>0.77777777777777768</v>
      </c>
      <c r="BB106" s="32">
        <f t="shared" si="48"/>
        <v>0.77777777777777768</v>
      </c>
      <c r="BC106" s="7">
        <f t="shared" si="49"/>
        <v>0.74074074074074081</v>
      </c>
      <c r="BD106" s="7">
        <f t="shared" si="50"/>
        <v>0.83333333333333337</v>
      </c>
      <c r="BE106">
        <f>step3_validation[[#This Row],[AI_OUT1]]</f>
        <v>9</v>
      </c>
      <c r="BF106">
        <f t="shared" si="51"/>
        <v>0.88888888888888884</v>
      </c>
      <c r="BG106">
        <f>survey_responses[[#This Row],[Sau khi xem xét các quyền lợi và nghĩa vụ, bạn có ủng hộ và tuân thủ chính sách mới hiện nay? - HUMAN-OUT1]]</f>
        <v>9</v>
      </c>
      <c r="BH106">
        <f t="shared" si="52"/>
        <v>0.88888888888888884</v>
      </c>
      <c r="BI106" s="32">
        <f t="shared" si="53"/>
        <v>0</v>
      </c>
    </row>
    <row r="107" spans="1:61" x14ac:dyDescent="0.45">
      <c r="A107" s="30">
        <f>step3_validation[[#This Row],[Persona_ID]]</f>
        <v>106</v>
      </c>
      <c r="B107" s="31">
        <f>step3_validation[[#This Row],[Used_Seed]]</f>
        <v>2096</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8</v>
      </c>
      <c r="R107">
        <f t="shared" si="27"/>
        <v>0.77777777777777779</v>
      </c>
      <c r="S107">
        <f>survey_responses[[#This Row],[Tôi tin rằng với các quy định quản lý thuế hiện nay, hành vi gian lận hoặc trốn thuế sẽ dễ dàng bị phát hiện và xử lý nghiêm. - HUMAN-ENF1]]</f>
        <v>10</v>
      </c>
      <c r="T107">
        <f t="shared" si="28"/>
        <v>1</v>
      </c>
      <c r="U107">
        <f>step3_validation[[#This Row],[AI_ENF2]]</f>
        <v>7</v>
      </c>
      <c r="V107">
        <f t="shared" si="29"/>
        <v>0.66666666666666663</v>
      </c>
      <c r="W107">
        <f>survey_responses[[#This Row],[Tôi tin rằng Nhà nước, cơ quan thuế có đủ khả năng và công nghệ để phát hiện, xử lý nghiêm các hành vi trốn thuế. - HUMAN-ENF2]]</f>
        <v>5</v>
      </c>
      <c r="X107">
        <f t="shared" si="30"/>
        <v>0.44444444444444442</v>
      </c>
      <c r="Y107" s="32">
        <f t="shared" si="31"/>
        <v>0.72222222222222221</v>
      </c>
      <c r="Z107" s="32">
        <f t="shared" si="32"/>
        <v>0.72222222222222221</v>
      </c>
      <c r="AA107">
        <f>step3_validation[[#This Row],[AI_FAC1]]</f>
        <v>9</v>
      </c>
      <c r="AB107">
        <f t="shared" si="33"/>
        <v>0.88888888888888884</v>
      </c>
      <c r="AC107">
        <f>survey_responses[[#This Row],[Các thủ tục khai báo thuế VÀ/HOẶC quy trình làm việc với cơ quan thuế đơn giản, tiện lợi, nhanh chóng hơn so với trước đây. - HUMAN-FAC1]]</f>
        <v>8</v>
      </c>
      <c r="AD107">
        <f t="shared" si="34"/>
        <v>0.77777777777777779</v>
      </c>
      <c r="AE107">
        <f>step3_validation[[#This Row],[AI_FAC2]]</f>
        <v>9</v>
      </c>
      <c r="AF107">
        <f t="shared" si="35"/>
        <v>0.88888888888888884</v>
      </c>
      <c r="AG107">
        <f>survey_responses[[#This Row],[So với trước đây, tôi thấy cách tính thuế và các bậc thuế trong phương án mới đơn giản, dễ hiểu và dễ thực hiện hơn. - HUMAN-FAC2]]</f>
        <v>8</v>
      </c>
      <c r="AH107">
        <f t="shared" si="36"/>
        <v>0.77777777777777779</v>
      </c>
      <c r="AI107" s="32">
        <f t="shared" si="37"/>
        <v>0.88888888888888884</v>
      </c>
      <c r="AJ107" s="32">
        <f t="shared" si="38"/>
        <v>0.77777777777777779</v>
      </c>
      <c r="AK107">
        <f>step3_validation[[#This Row],[AI_TRU1]]</f>
        <v>8</v>
      </c>
      <c r="AL107">
        <f t="shared" si="39"/>
        <v>0.77777777777777779</v>
      </c>
      <c r="AM107">
        <f>survey_responses[[#This Row],[Tôi tin rằng Nhà nước, cơ quan thuế sẽ thực thi chính sách mới một cách khách quan, công tâm và đối xử bình đẳng với mọi người nộp thuế.  - HUMAN-TRU1]]</f>
        <v>10</v>
      </c>
      <c r="AN107">
        <f t="shared" si="40"/>
        <v>1</v>
      </c>
      <c r="AO107">
        <f>step3_validation[[#This Row],[AI_TRU2]]</f>
        <v>9</v>
      </c>
      <c r="AP107">
        <f t="shared" si="41"/>
        <v>0.88888888888888884</v>
      </c>
      <c r="AQ107">
        <f>survey_responses[[#This Row],[Tôi thấy mức thuế tôi phải đóng theo phương án mới là công bằng (người thu nhập như tôi đóng mức này là hợp lý). - HUMAN-TRU2]]</f>
        <v>10</v>
      </c>
      <c r="AR107">
        <f t="shared" si="42"/>
        <v>1</v>
      </c>
      <c r="AS107">
        <f>step3_validation[[#This Row],[AI_TRU3]]</f>
        <v>8</v>
      </c>
      <c r="AT107">
        <f t="shared" si="43"/>
        <v>0.77777777777777779</v>
      </c>
      <c r="AU107">
        <f>survey_responses[[#This Row],[Tôi tin tưởng số tiền thuế tôi đóng sẽ được Nhà nước sử dụng hiệu quả để cải thiện dịch vụ công (y tế, đường xá...). - HUMAN-TRU3]]</f>
        <v>10</v>
      </c>
      <c r="AV107">
        <f t="shared" si="44"/>
        <v>1</v>
      </c>
      <c r="AW107">
        <f>step3_validation[[#This Row],[AI_TRU4]]</f>
        <v>7</v>
      </c>
      <c r="AX107">
        <f t="shared" si="45"/>
        <v>0.66666666666666663</v>
      </c>
      <c r="AY107">
        <f>survey_responses[[#This Row],[Tôi thấy Nhà nước đã giải thích rõ ràng, minh bạch về lý do và mục tiêu của việc sửa đổi thuế lần này. - HUMAN-TRU4]]</f>
        <v>10</v>
      </c>
      <c r="AZ107">
        <f t="shared" si="46"/>
        <v>1</v>
      </c>
      <c r="BA107" s="32">
        <f t="shared" si="47"/>
        <v>0.77777777777777768</v>
      </c>
      <c r="BB107" s="32">
        <f t="shared" si="48"/>
        <v>1</v>
      </c>
      <c r="BC107" s="7">
        <f t="shared" si="49"/>
        <v>0.79629629629629628</v>
      </c>
      <c r="BD107" s="7">
        <f t="shared" si="50"/>
        <v>0.83333333333333337</v>
      </c>
      <c r="BE107">
        <f>step3_validation[[#This Row],[AI_OUT1]]</f>
        <v>9</v>
      </c>
      <c r="BF107">
        <f t="shared" si="51"/>
        <v>0.88888888888888884</v>
      </c>
      <c r="BG107">
        <f>survey_responses[[#This Row],[Sau khi xem xét các quyền lợi và nghĩa vụ, bạn có ủng hộ và tuân thủ chính sách mới hiện nay? - HUMAN-OUT1]]</f>
        <v>10</v>
      </c>
      <c r="BH107">
        <f t="shared" si="52"/>
        <v>1</v>
      </c>
      <c r="BI107" s="32">
        <f t="shared" si="53"/>
        <v>1</v>
      </c>
    </row>
    <row r="108" spans="1:61" x14ac:dyDescent="0.45">
      <c r="A108" s="30">
        <f>step3_validation[[#This Row],[Persona_ID]]</f>
        <v>107</v>
      </c>
      <c r="B108" s="31">
        <f>step3_validation[[#This Row],[Used_Seed]]</f>
        <v>2097</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23.823548121673934</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f t="shared" si="27"/>
        <v>0.55555555555555558</v>
      </c>
      <c r="S108">
        <f>survey_responses[[#This Row],[Tôi tin rằng với các quy định quản lý thuế hiện nay, hành vi gian lận hoặc trốn thuế sẽ dễ dàng bị phát hiện và xử lý nghiêm. - HUMAN-ENF1]]</f>
        <v>7</v>
      </c>
      <c r="T108">
        <f t="shared" si="28"/>
        <v>0.66666666666666663</v>
      </c>
      <c r="U108">
        <f>step3_validation[[#This Row],[AI_ENF2]]</f>
        <v>7</v>
      </c>
      <c r="V108">
        <f t="shared" si="29"/>
        <v>0.66666666666666663</v>
      </c>
      <c r="W108">
        <f>survey_responses[[#This Row],[Tôi tin rằng Nhà nước, cơ quan thuế có đủ khả năng và công nghệ để phát hiện, xử lý nghiêm các hành vi trốn thuế. - HUMAN-ENF2]]</f>
        <v>7</v>
      </c>
      <c r="X108">
        <f t="shared" si="30"/>
        <v>0.66666666666666663</v>
      </c>
      <c r="Y108" s="32">
        <f t="shared" si="31"/>
        <v>0.61111111111111116</v>
      </c>
      <c r="Z108" s="32">
        <f t="shared" si="32"/>
        <v>0.66666666666666663</v>
      </c>
      <c r="AA108">
        <f>step3_validation[[#This Row],[AI_FAC1]]</f>
        <v>8</v>
      </c>
      <c r="AB108">
        <f t="shared" si="33"/>
        <v>0.77777777777777779</v>
      </c>
      <c r="AC108">
        <f>survey_responses[[#This Row],[Các thủ tục khai báo thuế VÀ/HOẶC quy trình làm việc với cơ quan thuế đơn giản, tiện lợi, nhanh chóng hơn so với trước đây. - HUMAN-FAC1]]</f>
        <v>7</v>
      </c>
      <c r="AD108">
        <f t="shared" si="34"/>
        <v>0.66666666666666663</v>
      </c>
      <c r="AE108">
        <f>step3_validation[[#This Row],[AI_FAC2]]</f>
        <v>9</v>
      </c>
      <c r="AF108">
        <f t="shared" si="35"/>
        <v>0.88888888888888884</v>
      </c>
      <c r="AG108">
        <f>survey_responses[[#This Row],[So với trước đây, tôi thấy cách tính thuế và các bậc thuế trong phương án mới đơn giản, dễ hiểu và dễ thực hiện hơn. - HUMAN-FAC2]]</f>
        <v>7</v>
      </c>
      <c r="AH108">
        <f t="shared" si="36"/>
        <v>0.66666666666666663</v>
      </c>
      <c r="AI108" s="32">
        <f t="shared" si="37"/>
        <v>0.83333333333333326</v>
      </c>
      <c r="AJ108" s="32">
        <f t="shared" si="38"/>
        <v>0.66666666666666663</v>
      </c>
      <c r="AK108">
        <f>step3_validation[[#This Row],[AI_TRU1]]</f>
        <v>8</v>
      </c>
      <c r="AL108">
        <f t="shared" si="39"/>
        <v>0.77777777777777779</v>
      </c>
      <c r="AM108">
        <f>survey_responses[[#This Row],[Tôi tin rằng Nhà nước, cơ quan thuế sẽ thực thi chính sách mới một cách khách quan, công tâm và đối xử bình đẳng với mọi người nộp thuế.  - HUMAN-TRU1]]</f>
        <v>7</v>
      </c>
      <c r="AN108">
        <f t="shared" si="40"/>
        <v>0.66666666666666663</v>
      </c>
      <c r="AO108">
        <f>step3_validation[[#This Row],[AI_TRU2]]</f>
        <v>9</v>
      </c>
      <c r="AP108">
        <f t="shared" si="41"/>
        <v>0.88888888888888884</v>
      </c>
      <c r="AQ108">
        <f>survey_responses[[#This Row],[Tôi thấy mức thuế tôi phải đóng theo phương án mới là công bằng (người thu nhập như tôi đóng mức này là hợp lý). - HUMAN-TRU2]]</f>
        <v>7</v>
      </c>
      <c r="AR108">
        <f t="shared" si="42"/>
        <v>0.66666666666666663</v>
      </c>
      <c r="AS108">
        <f>step3_validation[[#This Row],[AI_TRU3]]</f>
        <v>8</v>
      </c>
      <c r="AT108">
        <f t="shared" si="43"/>
        <v>0.77777777777777779</v>
      </c>
      <c r="AU108">
        <f>survey_responses[[#This Row],[Tôi tin tưởng số tiền thuế tôi đóng sẽ được Nhà nước sử dụng hiệu quả để cải thiện dịch vụ công (y tế, đường xá...). - HUMAN-TRU3]]</f>
        <v>7</v>
      </c>
      <c r="AV108">
        <f t="shared" si="44"/>
        <v>0.66666666666666663</v>
      </c>
      <c r="AW108">
        <f>step3_validation[[#This Row],[AI_TRU4]]</f>
        <v>7</v>
      </c>
      <c r="AX108">
        <f t="shared" si="45"/>
        <v>0.66666666666666663</v>
      </c>
      <c r="AY108">
        <f>survey_responses[[#This Row],[Tôi thấy Nhà nước đã giải thích rõ ràng, minh bạch về lý do và mục tiêu của việc sửa đổi thuế lần này. - HUMAN-TRU4]]</f>
        <v>7</v>
      </c>
      <c r="AZ108">
        <f t="shared" si="46"/>
        <v>0.66666666666666663</v>
      </c>
      <c r="BA108" s="32">
        <f t="shared" si="47"/>
        <v>0.77777777777777768</v>
      </c>
      <c r="BB108" s="32">
        <f t="shared" si="48"/>
        <v>0.66666666666666663</v>
      </c>
      <c r="BC108" s="7">
        <f t="shared" si="49"/>
        <v>0.74074074074074081</v>
      </c>
      <c r="BD108" s="7">
        <f t="shared" si="50"/>
        <v>0.66666666666666663</v>
      </c>
      <c r="BE108">
        <f>step3_validation[[#This Row],[AI_OUT1]]</f>
        <v>9</v>
      </c>
      <c r="BF108">
        <f t="shared" si="51"/>
        <v>0.88888888888888884</v>
      </c>
      <c r="BG108">
        <f>survey_responses[[#This Row],[Sau khi xem xét các quyền lợi và nghĩa vụ, bạn có ủng hộ và tuân thủ chính sách mới hiện nay? - HUMAN-OUT1]]</f>
        <v>8</v>
      </c>
      <c r="BH108">
        <f t="shared" si="52"/>
        <v>0.77777777777777779</v>
      </c>
      <c r="BI108" s="32">
        <f t="shared" si="53"/>
        <v>1</v>
      </c>
    </row>
    <row r="109" spans="1:61" x14ac:dyDescent="0.45">
      <c r="A109" s="30">
        <f>step3_validation[[#This Row],[Persona_ID]]</f>
        <v>108</v>
      </c>
      <c r="B109" s="31">
        <f>step3_validation[[#This Row],[Used_Seed]]</f>
        <v>2098</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14.186306823579844</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f t="shared" si="27"/>
        <v>0.66666666666666663</v>
      </c>
      <c r="S109">
        <f>survey_responses[[#This Row],[Tôi tin rằng với các quy định quản lý thuế hiện nay, hành vi gian lận hoặc trốn thuế sẽ dễ dàng bị phát hiện và xử lý nghiêm. - HUMAN-ENF1]]</f>
        <v>5</v>
      </c>
      <c r="T109">
        <f t="shared" si="28"/>
        <v>0.44444444444444442</v>
      </c>
      <c r="U109">
        <f>step3_validation[[#This Row],[AI_ENF2]]</f>
        <v>7</v>
      </c>
      <c r="V109">
        <f t="shared" si="29"/>
        <v>0.66666666666666663</v>
      </c>
      <c r="W109">
        <f>survey_responses[[#This Row],[Tôi tin rằng Nhà nước, cơ quan thuế có đủ khả năng và công nghệ để phát hiện, xử lý nghiêm các hành vi trốn thuế. - HUMAN-ENF2]]</f>
        <v>10</v>
      </c>
      <c r="X109">
        <f t="shared" si="30"/>
        <v>1</v>
      </c>
      <c r="Y109" s="32">
        <f t="shared" si="31"/>
        <v>0.66666666666666663</v>
      </c>
      <c r="Z109" s="32">
        <f t="shared" si="32"/>
        <v>0.72222222222222221</v>
      </c>
      <c r="AA109">
        <f>step3_validation[[#This Row],[AI_FAC1]]</f>
        <v>8</v>
      </c>
      <c r="AB109">
        <f t="shared" si="33"/>
        <v>0.77777777777777779</v>
      </c>
      <c r="AC109">
        <f>survey_responses[[#This Row],[Các thủ tục khai báo thuế VÀ/HOẶC quy trình làm việc với cơ quan thuế đơn giản, tiện lợi, nhanh chóng hơn so với trước đây. - HUMAN-FAC1]]</f>
        <v>5</v>
      </c>
      <c r="AD109">
        <f t="shared" si="34"/>
        <v>0.44444444444444442</v>
      </c>
      <c r="AE109">
        <f>step3_validation[[#This Row],[AI_FAC2]]</f>
        <v>9</v>
      </c>
      <c r="AF109">
        <f t="shared" si="35"/>
        <v>0.88888888888888884</v>
      </c>
      <c r="AG109">
        <f>survey_responses[[#This Row],[So với trước đây, tôi thấy cách tính thuế và các bậc thuế trong phương án mới đơn giản, dễ hiểu và dễ thực hiện hơn. - HUMAN-FAC2]]</f>
        <v>5</v>
      </c>
      <c r="AH109">
        <f t="shared" si="36"/>
        <v>0.44444444444444442</v>
      </c>
      <c r="AI109" s="32">
        <f t="shared" si="37"/>
        <v>0.83333333333333326</v>
      </c>
      <c r="AJ109" s="32">
        <f t="shared" si="38"/>
        <v>0.44444444444444442</v>
      </c>
      <c r="AK109">
        <f>step3_validation[[#This Row],[AI_TRU1]]</f>
        <v>9</v>
      </c>
      <c r="AL109">
        <f t="shared" si="39"/>
        <v>0.88888888888888884</v>
      </c>
      <c r="AM109">
        <f>survey_responses[[#This Row],[Tôi tin rằng Nhà nước, cơ quan thuế sẽ thực thi chính sách mới một cách khách quan, công tâm và đối xử bình đẳng với mọi người nộp thuế.  - HUMAN-TRU1]]</f>
        <v>5</v>
      </c>
      <c r="AN109">
        <f t="shared" si="40"/>
        <v>0.44444444444444442</v>
      </c>
      <c r="AO109">
        <f>step3_validation[[#This Row],[AI_TRU2]]</f>
        <v>9</v>
      </c>
      <c r="AP109">
        <f t="shared" si="41"/>
        <v>0.88888888888888884</v>
      </c>
      <c r="AQ109">
        <f>survey_responses[[#This Row],[Tôi thấy mức thuế tôi phải đóng theo phương án mới là công bằng (người thu nhập như tôi đóng mức này là hợp lý). - HUMAN-TRU2]]</f>
        <v>5</v>
      </c>
      <c r="AR109">
        <f t="shared" si="42"/>
        <v>0.44444444444444442</v>
      </c>
      <c r="AS109">
        <f>step3_validation[[#This Row],[AI_TRU3]]</f>
        <v>8</v>
      </c>
      <c r="AT109">
        <f t="shared" si="43"/>
        <v>0.77777777777777779</v>
      </c>
      <c r="AU109">
        <f>survey_responses[[#This Row],[Tôi tin tưởng số tiền thuế tôi đóng sẽ được Nhà nước sử dụng hiệu quả để cải thiện dịch vụ công (y tế, đường xá...). - HUMAN-TRU3]]</f>
        <v>8</v>
      </c>
      <c r="AV109">
        <f t="shared" si="44"/>
        <v>0.77777777777777779</v>
      </c>
      <c r="AW109">
        <f>step3_validation[[#This Row],[AI_TRU4]]</f>
        <v>6</v>
      </c>
      <c r="AX109">
        <f t="shared" si="45"/>
        <v>0.55555555555555558</v>
      </c>
      <c r="AY109">
        <f>survey_responses[[#This Row],[Tôi thấy Nhà nước đã giải thích rõ ràng, minh bạch về lý do và mục tiêu của việc sửa đổi thuế lần này. - HUMAN-TRU4]]</f>
        <v>5</v>
      </c>
      <c r="AZ109">
        <f t="shared" si="46"/>
        <v>0.44444444444444442</v>
      </c>
      <c r="BA109" s="32">
        <f t="shared" si="47"/>
        <v>0.77777777777777768</v>
      </c>
      <c r="BB109" s="32">
        <f t="shared" si="48"/>
        <v>0.52777777777777768</v>
      </c>
      <c r="BC109" s="7">
        <f t="shared" si="49"/>
        <v>0.75925925925925919</v>
      </c>
      <c r="BD109" s="7">
        <f t="shared" si="50"/>
        <v>0.56481481481481477</v>
      </c>
      <c r="BE109">
        <f>step3_validation[[#This Row],[AI_OUT1]]</f>
        <v>8</v>
      </c>
      <c r="BF109">
        <f t="shared" si="51"/>
        <v>0.77777777777777779</v>
      </c>
      <c r="BG109">
        <f>survey_responses[[#This Row],[Sau khi xem xét các quyền lợi và nghĩa vụ, bạn có ủng hộ và tuân thủ chính sách mới hiện nay? - HUMAN-OUT1]]</f>
        <v>6</v>
      </c>
      <c r="BH109">
        <f t="shared" si="52"/>
        <v>0.55555555555555558</v>
      </c>
      <c r="BI109" s="32">
        <f t="shared" si="53"/>
        <v>2</v>
      </c>
    </row>
    <row r="110" spans="1:61" x14ac:dyDescent="0.45">
      <c r="A110" s="30">
        <f>step3_validation[[#This Row],[Persona_ID]]</f>
        <v>109</v>
      </c>
      <c r="B110" s="31">
        <f>step3_validation[[#This Row],[Used_Seed]]</f>
        <v>2099</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14.887271696794896</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9</v>
      </c>
      <c r="R110">
        <f t="shared" si="27"/>
        <v>0.88888888888888884</v>
      </c>
      <c r="S110">
        <f>survey_responses[[#This Row],[Tôi tin rằng với các quy định quản lý thuế hiện nay, hành vi gian lận hoặc trốn thuế sẽ dễ dàng bị phát hiện và xử lý nghiêm. - HUMAN-ENF1]]</f>
        <v>10</v>
      </c>
      <c r="T110">
        <f t="shared" si="28"/>
        <v>1</v>
      </c>
      <c r="U110">
        <f>step3_validation[[#This Row],[AI_ENF2]]</f>
        <v>8</v>
      </c>
      <c r="V110">
        <f t="shared" si="29"/>
        <v>0.77777777777777779</v>
      </c>
      <c r="W110">
        <f>survey_responses[[#This Row],[Tôi tin rằng Nhà nước, cơ quan thuế có đủ khả năng và công nghệ để phát hiện, xử lý nghiêm các hành vi trốn thuế. - HUMAN-ENF2]]</f>
        <v>10</v>
      </c>
      <c r="X110">
        <f t="shared" si="30"/>
        <v>1</v>
      </c>
      <c r="Y110" s="32">
        <f t="shared" si="31"/>
        <v>0.83333333333333326</v>
      </c>
      <c r="Z110" s="32">
        <f t="shared" si="32"/>
        <v>1</v>
      </c>
      <c r="AA110">
        <f>step3_validation[[#This Row],[AI_FAC1]]</f>
        <v>9</v>
      </c>
      <c r="AB110">
        <f t="shared" si="33"/>
        <v>0.88888888888888884</v>
      </c>
      <c r="AC110">
        <f>survey_responses[[#This Row],[Các thủ tục khai báo thuế VÀ/HOẶC quy trình làm việc với cơ quan thuế đơn giản, tiện lợi, nhanh chóng hơn so với trước đây. - HUMAN-FAC1]]</f>
        <v>10</v>
      </c>
      <c r="AD110">
        <f t="shared" si="34"/>
        <v>1</v>
      </c>
      <c r="AE110">
        <f>step3_validation[[#This Row],[AI_FAC2]]</f>
        <v>8</v>
      </c>
      <c r="AF110">
        <f t="shared" si="35"/>
        <v>0.77777777777777779</v>
      </c>
      <c r="AG110">
        <f>survey_responses[[#This Row],[So với trước đây, tôi thấy cách tính thuế và các bậc thuế trong phương án mới đơn giản, dễ hiểu và dễ thực hiện hơn. - HUMAN-FAC2]]</f>
        <v>10</v>
      </c>
      <c r="AH110">
        <f t="shared" si="36"/>
        <v>1</v>
      </c>
      <c r="AI110" s="32">
        <f t="shared" si="37"/>
        <v>0.83333333333333326</v>
      </c>
      <c r="AJ110" s="32">
        <f t="shared" si="38"/>
        <v>1</v>
      </c>
      <c r="AK110">
        <f>step3_validation[[#This Row],[AI_TRU1]]</f>
        <v>9</v>
      </c>
      <c r="AL110">
        <f t="shared" si="39"/>
        <v>0.88888888888888884</v>
      </c>
      <c r="AM110">
        <f>survey_responses[[#This Row],[Tôi tin rằng Nhà nước, cơ quan thuế sẽ thực thi chính sách mới một cách khách quan, công tâm và đối xử bình đẳng với mọi người nộp thuế.  - HUMAN-TRU1]]</f>
        <v>10</v>
      </c>
      <c r="AN110">
        <f t="shared" si="40"/>
        <v>1</v>
      </c>
      <c r="AO110">
        <f>step3_validation[[#This Row],[AI_TRU2]]</f>
        <v>8</v>
      </c>
      <c r="AP110">
        <f t="shared" si="41"/>
        <v>0.77777777777777779</v>
      </c>
      <c r="AQ110">
        <f>survey_responses[[#This Row],[Tôi thấy mức thuế tôi phải đóng theo phương án mới là công bằng (người thu nhập như tôi đóng mức này là hợp lý). - HUMAN-TRU2]]</f>
        <v>10</v>
      </c>
      <c r="AR110">
        <f t="shared" si="42"/>
        <v>1</v>
      </c>
      <c r="AS110">
        <f>step3_validation[[#This Row],[AI_TRU3]]</f>
        <v>9</v>
      </c>
      <c r="AT110">
        <f t="shared" si="43"/>
        <v>0.88888888888888884</v>
      </c>
      <c r="AU110">
        <f>survey_responses[[#This Row],[Tôi tin tưởng số tiền thuế tôi đóng sẽ được Nhà nước sử dụng hiệu quả để cải thiện dịch vụ công (y tế, đường xá...). - HUMAN-TRU3]]</f>
        <v>10</v>
      </c>
      <c r="AV110">
        <f t="shared" si="44"/>
        <v>1</v>
      </c>
      <c r="AW110">
        <f>step3_validation[[#This Row],[AI_TRU4]]</f>
        <v>8</v>
      </c>
      <c r="AX110">
        <f t="shared" si="45"/>
        <v>0.77777777777777779</v>
      </c>
      <c r="AY110">
        <f>survey_responses[[#This Row],[Tôi thấy Nhà nước đã giải thích rõ ràng, minh bạch về lý do và mục tiêu của việc sửa đổi thuế lần này. - HUMAN-TRU4]]</f>
        <v>10</v>
      </c>
      <c r="AZ110">
        <f t="shared" si="46"/>
        <v>1</v>
      </c>
      <c r="BA110" s="32">
        <f t="shared" si="47"/>
        <v>0.83333333333333326</v>
      </c>
      <c r="BB110" s="32">
        <f t="shared" si="48"/>
        <v>1</v>
      </c>
      <c r="BC110" s="7">
        <f t="shared" si="49"/>
        <v>0.83333333333333337</v>
      </c>
      <c r="BD110" s="7">
        <f t="shared" si="50"/>
        <v>1</v>
      </c>
      <c r="BE110">
        <f>step3_validation[[#This Row],[AI_OUT1]]</f>
        <v>9</v>
      </c>
      <c r="BF110">
        <f t="shared" si="51"/>
        <v>0.88888888888888884</v>
      </c>
      <c r="BG110">
        <f>survey_responses[[#This Row],[Sau khi xem xét các quyền lợi và nghĩa vụ, bạn có ủng hộ và tuân thủ chính sách mới hiện nay? - HUMAN-OUT1]]</f>
        <v>10</v>
      </c>
      <c r="BH110">
        <f t="shared" si="52"/>
        <v>1</v>
      </c>
      <c r="BI110" s="32">
        <f t="shared" si="53"/>
        <v>1</v>
      </c>
    </row>
    <row r="111" spans="1:61" x14ac:dyDescent="0.45">
      <c r="A111" s="30">
        <f>step3_validation[[#This Row],[Persona_ID]]</f>
        <v>110</v>
      </c>
      <c r="B111" s="31">
        <f>step3_validation[[#This Row],[Used_Seed]]</f>
        <v>2100</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54.279779262352179</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6</v>
      </c>
      <c r="R111">
        <f t="shared" si="27"/>
        <v>0.55555555555555558</v>
      </c>
      <c r="S111">
        <f>survey_responses[[#This Row],[Tôi tin rằng với các quy định quản lý thuế hiện nay, hành vi gian lận hoặc trốn thuế sẽ dễ dàng bị phát hiện và xử lý nghiêm. - HUMAN-ENF1]]</f>
        <v>7</v>
      </c>
      <c r="T111">
        <f t="shared" si="28"/>
        <v>0.66666666666666663</v>
      </c>
      <c r="U111">
        <f>step3_validation[[#This Row],[AI_ENF2]]</f>
        <v>7</v>
      </c>
      <c r="V111">
        <f t="shared" si="29"/>
        <v>0.66666666666666663</v>
      </c>
      <c r="W111">
        <f>survey_responses[[#This Row],[Tôi tin rằng Nhà nước, cơ quan thuế có đủ khả năng và công nghệ để phát hiện, xử lý nghiêm các hành vi trốn thuế. - HUMAN-ENF2]]</f>
        <v>6</v>
      </c>
      <c r="X111">
        <f t="shared" si="30"/>
        <v>0.55555555555555558</v>
      </c>
      <c r="Y111" s="32">
        <f t="shared" si="31"/>
        <v>0.61111111111111116</v>
      </c>
      <c r="Z111" s="32">
        <f t="shared" si="32"/>
        <v>0.61111111111111116</v>
      </c>
      <c r="AA111">
        <f>step3_validation[[#This Row],[AI_FAC1]]</f>
        <v>8</v>
      </c>
      <c r="AB111">
        <f t="shared" si="33"/>
        <v>0.77777777777777779</v>
      </c>
      <c r="AC111">
        <f>survey_responses[[#This Row],[Các thủ tục khai báo thuế VÀ/HOẶC quy trình làm việc với cơ quan thuế đơn giản, tiện lợi, nhanh chóng hơn so với trước đây. - HUMAN-FAC1]]</f>
        <v>8</v>
      </c>
      <c r="AD111">
        <f t="shared" si="34"/>
        <v>0.77777777777777779</v>
      </c>
      <c r="AE111">
        <f>step3_validation[[#This Row],[AI_FAC2]]</f>
        <v>9</v>
      </c>
      <c r="AF111">
        <f t="shared" si="35"/>
        <v>0.88888888888888884</v>
      </c>
      <c r="AG111">
        <f>survey_responses[[#This Row],[So với trước đây, tôi thấy cách tính thuế và các bậc thuế trong phương án mới đơn giản, dễ hiểu và dễ thực hiện hơn. - HUMAN-FAC2]]</f>
        <v>8</v>
      </c>
      <c r="AH111">
        <f t="shared" si="36"/>
        <v>0.77777777777777779</v>
      </c>
      <c r="AI111" s="32">
        <f t="shared" si="37"/>
        <v>0.83333333333333326</v>
      </c>
      <c r="AJ111" s="32">
        <f t="shared" si="38"/>
        <v>0.77777777777777779</v>
      </c>
      <c r="AK111">
        <f>step3_validation[[#This Row],[AI_TRU1]]</f>
        <v>8</v>
      </c>
      <c r="AL111">
        <f t="shared" si="39"/>
        <v>0.77777777777777779</v>
      </c>
      <c r="AM111">
        <f>survey_responses[[#This Row],[Tôi tin rằng Nhà nước, cơ quan thuế sẽ thực thi chính sách mới một cách khách quan, công tâm và đối xử bình đẳng với mọi người nộp thuế.  - HUMAN-TRU1]]</f>
        <v>7</v>
      </c>
      <c r="AN111">
        <f t="shared" si="40"/>
        <v>0.66666666666666663</v>
      </c>
      <c r="AO111">
        <f>step3_validation[[#This Row],[AI_TRU2]]</f>
        <v>9</v>
      </c>
      <c r="AP111">
        <f t="shared" si="41"/>
        <v>0.88888888888888884</v>
      </c>
      <c r="AQ111">
        <f>survey_responses[[#This Row],[Tôi thấy mức thuế tôi phải đóng theo phương án mới là công bằng (người thu nhập như tôi đóng mức này là hợp lý). - HUMAN-TRU2]]</f>
        <v>6</v>
      </c>
      <c r="AR111">
        <f t="shared" si="42"/>
        <v>0.55555555555555558</v>
      </c>
      <c r="AS111">
        <f>step3_validation[[#This Row],[AI_TRU3]]</f>
        <v>8</v>
      </c>
      <c r="AT111">
        <f t="shared" si="43"/>
        <v>0.77777777777777779</v>
      </c>
      <c r="AU111">
        <f>survey_responses[[#This Row],[Tôi tin tưởng số tiền thuế tôi đóng sẽ được Nhà nước sử dụng hiệu quả để cải thiện dịch vụ công (y tế, đường xá...). - HUMAN-TRU3]]</f>
        <v>5</v>
      </c>
      <c r="AV111">
        <f t="shared" si="44"/>
        <v>0.44444444444444442</v>
      </c>
      <c r="AW111">
        <f>step3_validation[[#This Row],[AI_TRU4]]</f>
        <v>7</v>
      </c>
      <c r="AX111">
        <f t="shared" si="45"/>
        <v>0.66666666666666663</v>
      </c>
      <c r="AY111">
        <f>survey_responses[[#This Row],[Tôi thấy Nhà nước đã giải thích rõ ràng, minh bạch về lý do và mục tiêu của việc sửa đổi thuế lần này. - HUMAN-TRU4]]</f>
        <v>5</v>
      </c>
      <c r="AZ111">
        <f t="shared" si="46"/>
        <v>0.44444444444444442</v>
      </c>
      <c r="BA111" s="32">
        <f t="shared" si="47"/>
        <v>0.77777777777777768</v>
      </c>
      <c r="BB111" s="32">
        <f t="shared" si="48"/>
        <v>0.52777777777777779</v>
      </c>
      <c r="BC111" s="7">
        <f t="shared" si="49"/>
        <v>0.74074074074074081</v>
      </c>
      <c r="BD111" s="7">
        <f t="shared" si="50"/>
        <v>0.63888888888888884</v>
      </c>
      <c r="BE111">
        <f>step3_validation[[#This Row],[AI_OUT1]]</f>
        <v>9</v>
      </c>
      <c r="BF111">
        <f t="shared" si="51"/>
        <v>0.88888888888888884</v>
      </c>
      <c r="BG111">
        <f>survey_responses[[#This Row],[Sau khi xem xét các quyền lợi và nghĩa vụ, bạn có ủng hộ và tuân thủ chính sách mới hiện nay? - HUMAN-OUT1]]</f>
        <v>8</v>
      </c>
      <c r="BH111">
        <f t="shared" si="52"/>
        <v>0.77777777777777779</v>
      </c>
      <c r="BI111" s="32">
        <f t="shared" si="53"/>
        <v>1</v>
      </c>
    </row>
    <row r="112" spans="1:61" x14ac:dyDescent="0.45">
      <c r="A112" s="30">
        <f>step3_validation[[#This Row],[Persona_ID]]</f>
        <v>111</v>
      </c>
      <c r="B112" s="31">
        <f>step3_validation[[#This Row],[Used_Seed]]</f>
        <v>2101</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23.865364861513175</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f t="shared" si="27"/>
        <v>0.77777777777777779</v>
      </c>
      <c r="S112">
        <f>survey_responses[[#This Row],[Tôi tin rằng với các quy định quản lý thuế hiện nay, hành vi gian lận hoặc trốn thuế sẽ dễ dàng bị phát hiện và xử lý nghiêm. - HUMAN-ENF1]]</f>
        <v>8</v>
      </c>
      <c r="T112">
        <f t="shared" si="28"/>
        <v>0.77777777777777779</v>
      </c>
      <c r="U112">
        <f>step3_validation[[#This Row],[AI_ENF2]]</f>
        <v>7</v>
      </c>
      <c r="V112">
        <f t="shared" si="29"/>
        <v>0.66666666666666663</v>
      </c>
      <c r="W112">
        <f>survey_responses[[#This Row],[Tôi tin rằng Nhà nước, cơ quan thuế có đủ khả năng và công nghệ để phát hiện, xử lý nghiêm các hành vi trốn thuế. - HUMAN-ENF2]]</f>
        <v>8</v>
      </c>
      <c r="X112">
        <f t="shared" si="30"/>
        <v>0.77777777777777779</v>
      </c>
      <c r="Y112" s="32">
        <f t="shared" si="31"/>
        <v>0.72222222222222221</v>
      </c>
      <c r="Z112" s="32">
        <f t="shared" si="32"/>
        <v>0.77777777777777779</v>
      </c>
      <c r="AA112">
        <f>step3_validation[[#This Row],[AI_FAC1]]</f>
        <v>9</v>
      </c>
      <c r="AB112">
        <f t="shared" si="33"/>
        <v>0.88888888888888884</v>
      </c>
      <c r="AC112">
        <f>survey_responses[[#This Row],[Các thủ tục khai báo thuế VÀ/HOẶC quy trình làm việc với cơ quan thuế đơn giản, tiện lợi, nhanh chóng hơn so với trước đây. - HUMAN-FAC1]]</f>
        <v>6</v>
      </c>
      <c r="AD112">
        <f t="shared" si="34"/>
        <v>0.55555555555555558</v>
      </c>
      <c r="AE112">
        <f>step3_validation[[#This Row],[AI_FAC2]]</f>
        <v>9</v>
      </c>
      <c r="AF112">
        <f t="shared" si="35"/>
        <v>0.88888888888888884</v>
      </c>
      <c r="AG112">
        <f>survey_responses[[#This Row],[So với trước đây, tôi thấy cách tính thuế và các bậc thuế trong phương án mới đơn giản, dễ hiểu và dễ thực hiện hơn. - HUMAN-FAC2]]</f>
        <v>7</v>
      </c>
      <c r="AH112">
        <f t="shared" si="36"/>
        <v>0.66666666666666663</v>
      </c>
      <c r="AI112" s="32">
        <f t="shared" si="37"/>
        <v>0.88888888888888884</v>
      </c>
      <c r="AJ112" s="32">
        <f t="shared" si="38"/>
        <v>0.61111111111111116</v>
      </c>
      <c r="AK112">
        <f>step3_validation[[#This Row],[AI_TRU1]]</f>
        <v>8</v>
      </c>
      <c r="AL112">
        <f t="shared" si="39"/>
        <v>0.77777777777777779</v>
      </c>
      <c r="AM112">
        <f>survey_responses[[#This Row],[Tôi tin rằng Nhà nước, cơ quan thuế sẽ thực thi chính sách mới một cách khách quan, công tâm và đối xử bình đẳng với mọi người nộp thuế.  - HUMAN-TRU1]]</f>
        <v>6</v>
      </c>
      <c r="AN112">
        <f t="shared" si="40"/>
        <v>0.55555555555555558</v>
      </c>
      <c r="AO112">
        <f>step3_validation[[#This Row],[AI_TRU2]]</f>
        <v>9</v>
      </c>
      <c r="AP112">
        <f t="shared" si="41"/>
        <v>0.88888888888888884</v>
      </c>
      <c r="AQ112">
        <f>survey_responses[[#This Row],[Tôi thấy mức thuế tôi phải đóng theo phương án mới là công bằng (người thu nhập như tôi đóng mức này là hợp lý). - HUMAN-TRU2]]</f>
        <v>7</v>
      </c>
      <c r="AR112">
        <f t="shared" si="42"/>
        <v>0.66666666666666663</v>
      </c>
      <c r="AS112">
        <f>step3_validation[[#This Row],[AI_TRU3]]</f>
        <v>8</v>
      </c>
      <c r="AT112">
        <f t="shared" si="43"/>
        <v>0.77777777777777779</v>
      </c>
      <c r="AU112">
        <f>survey_responses[[#This Row],[Tôi tin tưởng số tiền thuế tôi đóng sẽ được Nhà nước sử dụng hiệu quả để cải thiện dịch vụ công (y tế, đường xá...). - HUMAN-TRU3]]</f>
        <v>5</v>
      </c>
      <c r="AV112">
        <f t="shared" si="44"/>
        <v>0.44444444444444442</v>
      </c>
      <c r="AW112">
        <f>step3_validation[[#This Row],[AI_TRU4]]</f>
        <v>7</v>
      </c>
      <c r="AX112">
        <f t="shared" si="45"/>
        <v>0.66666666666666663</v>
      </c>
      <c r="AY112">
        <f>survey_responses[[#This Row],[Tôi thấy Nhà nước đã giải thích rõ ràng, minh bạch về lý do và mục tiêu của việc sửa đổi thuế lần này. - HUMAN-TRU4]]</f>
        <v>5</v>
      </c>
      <c r="AZ112">
        <f t="shared" si="46"/>
        <v>0.44444444444444442</v>
      </c>
      <c r="BA112" s="32">
        <f t="shared" si="47"/>
        <v>0.77777777777777768</v>
      </c>
      <c r="BB112" s="32">
        <f t="shared" si="48"/>
        <v>0.52777777777777779</v>
      </c>
      <c r="BC112" s="7">
        <f t="shared" si="49"/>
        <v>0.79629629629629628</v>
      </c>
      <c r="BD112" s="7">
        <f t="shared" si="50"/>
        <v>0.63888888888888884</v>
      </c>
      <c r="BE112">
        <f>step3_validation[[#This Row],[AI_OUT1]]</f>
        <v>8</v>
      </c>
      <c r="BF112">
        <f t="shared" si="51"/>
        <v>0.77777777777777779</v>
      </c>
      <c r="BG112">
        <f>survey_responses[[#This Row],[Sau khi xem xét các quyền lợi và nghĩa vụ, bạn có ủng hộ và tuân thủ chính sách mới hiện nay? - HUMAN-OUT1]]</f>
        <v>5</v>
      </c>
      <c r="BH112">
        <f t="shared" si="52"/>
        <v>0.44444444444444442</v>
      </c>
      <c r="BI112" s="32">
        <f t="shared" si="53"/>
        <v>3</v>
      </c>
    </row>
    <row r="113" spans="1:61" x14ac:dyDescent="0.45">
      <c r="A113" s="30">
        <f>step3_validation[[#This Row],[Persona_ID]]</f>
        <v>112</v>
      </c>
      <c r="B113" s="31">
        <f>step3_validation[[#This Row],[Used_Seed]]</f>
        <v>2102</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18.581680431978473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f t="shared" si="27"/>
        <v>0.66666666666666663</v>
      </c>
      <c r="S113">
        <f>survey_responses[[#This Row],[Tôi tin rằng với các quy định quản lý thuế hiện nay, hành vi gian lận hoặc trốn thuế sẽ dễ dàng bị phát hiện và xử lý nghiêm. - HUMAN-ENF1]]</f>
        <v>7</v>
      </c>
      <c r="T113">
        <f t="shared" si="28"/>
        <v>0.66666666666666663</v>
      </c>
      <c r="U113">
        <f>step3_validation[[#This Row],[AI_ENF2]]</f>
        <v>6</v>
      </c>
      <c r="V113">
        <f t="shared" si="29"/>
        <v>0.55555555555555558</v>
      </c>
      <c r="W113">
        <f>survey_responses[[#This Row],[Tôi tin rằng Nhà nước, cơ quan thuế có đủ khả năng và công nghệ để phát hiện, xử lý nghiêm các hành vi trốn thuế. - HUMAN-ENF2]]</f>
        <v>8</v>
      </c>
      <c r="X113">
        <f t="shared" si="30"/>
        <v>0.77777777777777779</v>
      </c>
      <c r="Y113" s="32">
        <f t="shared" si="31"/>
        <v>0.61111111111111116</v>
      </c>
      <c r="Z113" s="32">
        <f t="shared" si="32"/>
        <v>0.72222222222222221</v>
      </c>
      <c r="AA113">
        <f>step3_validation[[#This Row],[AI_FAC1]]</f>
        <v>9</v>
      </c>
      <c r="AB113">
        <f t="shared" si="33"/>
        <v>0.88888888888888884</v>
      </c>
      <c r="AC113">
        <f>survey_responses[[#This Row],[Các thủ tục khai báo thuế VÀ/HOẶC quy trình làm việc với cơ quan thuế đơn giản, tiện lợi, nhanh chóng hơn so với trước đây. - HUMAN-FAC1]]</f>
        <v>8</v>
      </c>
      <c r="AD113">
        <f t="shared" si="34"/>
        <v>0.77777777777777779</v>
      </c>
      <c r="AE113">
        <f>step3_validation[[#This Row],[AI_FAC2]]</f>
        <v>8</v>
      </c>
      <c r="AF113">
        <f t="shared" si="35"/>
        <v>0.77777777777777779</v>
      </c>
      <c r="AG113">
        <f>survey_responses[[#This Row],[So với trước đây, tôi thấy cách tính thuế và các bậc thuế trong phương án mới đơn giản, dễ hiểu và dễ thực hiện hơn. - HUMAN-FAC2]]</f>
        <v>8</v>
      </c>
      <c r="AH113">
        <f t="shared" si="36"/>
        <v>0.77777777777777779</v>
      </c>
      <c r="AI113" s="32">
        <f t="shared" si="37"/>
        <v>0.83333333333333326</v>
      </c>
      <c r="AJ113" s="32">
        <f t="shared" si="38"/>
        <v>0.77777777777777779</v>
      </c>
      <c r="AK113">
        <f>step3_validation[[#This Row],[AI_TRU1]]</f>
        <v>9</v>
      </c>
      <c r="AL113">
        <f t="shared" si="39"/>
        <v>0.88888888888888884</v>
      </c>
      <c r="AM113">
        <f>survey_responses[[#This Row],[Tôi tin rằng Nhà nước, cơ quan thuế sẽ thực thi chính sách mới một cách khách quan, công tâm và đối xử bình đẳng với mọi người nộp thuế.  - HUMAN-TRU1]]</f>
        <v>8</v>
      </c>
      <c r="AN113">
        <f t="shared" si="40"/>
        <v>0.77777777777777779</v>
      </c>
      <c r="AO113">
        <f>step3_validation[[#This Row],[AI_TRU2]]</f>
        <v>8</v>
      </c>
      <c r="AP113">
        <f t="shared" si="41"/>
        <v>0.77777777777777779</v>
      </c>
      <c r="AQ113">
        <f>survey_responses[[#This Row],[Tôi thấy mức thuế tôi phải đóng theo phương án mới là công bằng (người thu nhập như tôi đóng mức này là hợp lý). - HUMAN-TRU2]]</f>
        <v>8</v>
      </c>
      <c r="AR113">
        <f t="shared" si="42"/>
        <v>0.77777777777777779</v>
      </c>
      <c r="AS113">
        <f>step3_validation[[#This Row],[AI_TRU3]]</f>
        <v>9</v>
      </c>
      <c r="AT113">
        <f t="shared" si="43"/>
        <v>0.88888888888888884</v>
      </c>
      <c r="AU113">
        <f>survey_responses[[#This Row],[Tôi tin tưởng số tiền thuế tôi đóng sẽ được Nhà nước sử dụng hiệu quả để cải thiện dịch vụ công (y tế, đường xá...). - HUMAN-TRU3]]</f>
        <v>8</v>
      </c>
      <c r="AV113">
        <f t="shared" si="44"/>
        <v>0.77777777777777779</v>
      </c>
      <c r="AW113">
        <f>step3_validation[[#This Row],[AI_TRU4]]</f>
        <v>8</v>
      </c>
      <c r="AX113">
        <f t="shared" si="45"/>
        <v>0.77777777777777779</v>
      </c>
      <c r="AY113">
        <f>survey_responses[[#This Row],[Tôi thấy Nhà nước đã giải thích rõ ràng, minh bạch về lý do và mục tiêu của việc sửa đổi thuế lần này. - HUMAN-TRU4]]</f>
        <v>8</v>
      </c>
      <c r="AZ113">
        <f t="shared" si="46"/>
        <v>0.77777777777777779</v>
      </c>
      <c r="BA113" s="32">
        <f t="shared" si="47"/>
        <v>0.83333333333333326</v>
      </c>
      <c r="BB113" s="32">
        <f t="shared" si="48"/>
        <v>0.77777777777777779</v>
      </c>
      <c r="BC113" s="7">
        <f t="shared" si="49"/>
        <v>0.75925925925925919</v>
      </c>
      <c r="BD113" s="7">
        <f t="shared" si="50"/>
        <v>0.75925925925925919</v>
      </c>
      <c r="BE113">
        <f>step3_validation[[#This Row],[AI_OUT1]]</f>
        <v>9</v>
      </c>
      <c r="BF113">
        <f t="shared" si="51"/>
        <v>0.88888888888888884</v>
      </c>
      <c r="BG113">
        <f>survey_responses[[#This Row],[Sau khi xem xét các quyền lợi và nghĩa vụ, bạn có ủng hộ và tuân thủ chính sách mới hiện nay? - HUMAN-OUT1]]</f>
        <v>8</v>
      </c>
      <c r="BH113">
        <f t="shared" si="52"/>
        <v>0.77777777777777779</v>
      </c>
      <c r="BI113" s="32">
        <f t="shared" si="53"/>
        <v>1</v>
      </c>
    </row>
    <row r="114" spans="1:61" x14ac:dyDescent="0.45">
      <c r="A114" s="30">
        <f>step3_validation[[#This Row],[Persona_ID]]</f>
        <v>113</v>
      </c>
      <c r="B114" s="31">
        <f>step3_validation[[#This Row],[Used_Seed]]</f>
        <v>2103</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f t="shared" si="27"/>
        <v>0.66666666666666663</v>
      </c>
      <c r="S114">
        <f>survey_responses[[#This Row],[Tôi tin rằng với các quy định quản lý thuế hiện nay, hành vi gian lận hoặc trốn thuế sẽ dễ dàng bị phát hiện và xử lý nghiêm. - HUMAN-ENF1]]</f>
        <v>1</v>
      </c>
      <c r="T114">
        <f t="shared" si="28"/>
        <v>0</v>
      </c>
      <c r="U114">
        <f>step3_validation[[#This Row],[AI_ENF2]]</f>
        <v>6</v>
      </c>
      <c r="V114">
        <f t="shared" si="29"/>
        <v>0.55555555555555558</v>
      </c>
      <c r="W114">
        <f>survey_responses[[#This Row],[Tôi tin rằng Nhà nước, cơ quan thuế có đủ khả năng và công nghệ để phát hiện, xử lý nghiêm các hành vi trốn thuế. - HUMAN-ENF2]]</f>
        <v>1</v>
      </c>
      <c r="X114">
        <f t="shared" si="30"/>
        <v>0</v>
      </c>
      <c r="Y114" s="32">
        <f t="shared" si="31"/>
        <v>0.61111111111111116</v>
      </c>
      <c r="Z114" s="32">
        <f t="shared" si="32"/>
        <v>0</v>
      </c>
      <c r="AA114">
        <f>step3_validation[[#This Row],[AI_FAC1]]</f>
        <v>8</v>
      </c>
      <c r="AB114">
        <f t="shared" si="33"/>
        <v>0.77777777777777779</v>
      </c>
      <c r="AC114">
        <f>survey_responses[[#This Row],[Các thủ tục khai báo thuế VÀ/HOẶC quy trình làm việc với cơ quan thuế đơn giản, tiện lợi, nhanh chóng hơn so với trước đây. - HUMAN-FAC1]]</f>
        <v>1</v>
      </c>
      <c r="AD114">
        <f t="shared" si="34"/>
        <v>0</v>
      </c>
      <c r="AE114">
        <f>step3_validation[[#This Row],[AI_FAC2]]</f>
        <v>9</v>
      </c>
      <c r="AF114">
        <f t="shared" si="35"/>
        <v>0.88888888888888884</v>
      </c>
      <c r="AG114">
        <f>survey_responses[[#This Row],[So với trước đây, tôi thấy cách tính thuế và các bậc thuế trong phương án mới đơn giản, dễ hiểu và dễ thực hiện hơn. - HUMAN-FAC2]]</f>
        <v>1</v>
      </c>
      <c r="AH114">
        <f t="shared" si="36"/>
        <v>0</v>
      </c>
      <c r="AI114" s="32">
        <f t="shared" si="37"/>
        <v>0.83333333333333326</v>
      </c>
      <c r="AJ114" s="32">
        <f t="shared" si="38"/>
        <v>0</v>
      </c>
      <c r="AK114">
        <f>step3_validation[[#This Row],[AI_TRU1]]</f>
        <v>8</v>
      </c>
      <c r="AL114">
        <f t="shared" si="39"/>
        <v>0.77777777777777779</v>
      </c>
      <c r="AM114">
        <f>survey_responses[[#This Row],[Tôi tin rằng Nhà nước, cơ quan thuế sẽ thực thi chính sách mới một cách khách quan, công tâm và đối xử bình đẳng với mọi người nộp thuế.  - HUMAN-TRU1]]</f>
        <v>1</v>
      </c>
      <c r="AN114">
        <f t="shared" si="40"/>
        <v>0</v>
      </c>
      <c r="AO114">
        <f>step3_validation[[#This Row],[AI_TRU2]]</f>
        <v>7</v>
      </c>
      <c r="AP114">
        <f t="shared" si="41"/>
        <v>0.66666666666666663</v>
      </c>
      <c r="AQ114">
        <f>survey_responses[[#This Row],[Tôi thấy mức thuế tôi phải đóng theo phương án mới là công bằng (người thu nhập như tôi đóng mức này là hợp lý). - HUMAN-TRU2]]</f>
        <v>1</v>
      </c>
      <c r="AR114">
        <f t="shared" si="42"/>
        <v>0</v>
      </c>
      <c r="AS114">
        <f>step3_validation[[#This Row],[AI_TRU3]]</f>
        <v>8</v>
      </c>
      <c r="AT114">
        <f t="shared" si="43"/>
        <v>0.77777777777777779</v>
      </c>
      <c r="AU114">
        <f>survey_responses[[#This Row],[Tôi tin tưởng số tiền thuế tôi đóng sẽ được Nhà nước sử dụng hiệu quả để cải thiện dịch vụ công (y tế, đường xá...). - HUMAN-TRU3]]</f>
        <v>1</v>
      </c>
      <c r="AV114">
        <f t="shared" si="44"/>
        <v>0</v>
      </c>
      <c r="AW114">
        <f>step3_validation[[#This Row],[AI_TRU4]]</f>
        <v>9</v>
      </c>
      <c r="AX114">
        <f t="shared" si="45"/>
        <v>0.88888888888888884</v>
      </c>
      <c r="AY114">
        <f>survey_responses[[#This Row],[Tôi thấy Nhà nước đã giải thích rõ ràng, minh bạch về lý do và mục tiêu của việc sửa đổi thuế lần này. - HUMAN-TRU4]]</f>
        <v>1</v>
      </c>
      <c r="AZ114">
        <f t="shared" si="46"/>
        <v>0</v>
      </c>
      <c r="BA114" s="32">
        <f t="shared" si="47"/>
        <v>0.77777777777777779</v>
      </c>
      <c r="BB114" s="32">
        <f t="shared" si="48"/>
        <v>0</v>
      </c>
      <c r="BC114" s="7">
        <f t="shared" si="49"/>
        <v>0.74074074074074081</v>
      </c>
      <c r="BD114" s="7">
        <f t="shared" si="50"/>
        <v>0</v>
      </c>
      <c r="BE114">
        <f>step3_validation[[#This Row],[AI_OUT1]]</f>
        <v>8</v>
      </c>
      <c r="BF114">
        <f t="shared" si="51"/>
        <v>0.77777777777777779</v>
      </c>
      <c r="BG114">
        <f>survey_responses[[#This Row],[Sau khi xem xét các quyền lợi và nghĩa vụ, bạn có ủng hộ và tuân thủ chính sách mới hiện nay? - HUMAN-OUT1]]</f>
        <v>1</v>
      </c>
      <c r="BH114">
        <f t="shared" si="52"/>
        <v>0</v>
      </c>
      <c r="BI114" s="32">
        <f t="shared" si="53"/>
        <v>7</v>
      </c>
    </row>
    <row r="115" spans="1:61" x14ac:dyDescent="0.45">
      <c r="A115" s="30">
        <f>step3_validation[[#This Row],[Persona_ID]]</f>
        <v>114</v>
      </c>
      <c r="B115" s="31">
        <f>step3_validation[[#This Row],[Used_Seed]]</f>
        <v>2104</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20.635026001096445</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f t="shared" si="27"/>
        <v>0.77777777777777779</v>
      </c>
      <c r="S115">
        <f>survey_responses[[#This Row],[Tôi tin rằng với các quy định quản lý thuế hiện nay, hành vi gian lận hoặc trốn thuế sẽ dễ dàng bị phát hiện và xử lý nghiêm. - HUMAN-ENF1]]</f>
        <v>10</v>
      </c>
      <c r="T115">
        <f t="shared" si="28"/>
        <v>1</v>
      </c>
      <c r="U115">
        <f>step3_validation[[#This Row],[AI_ENF2]]</f>
        <v>7</v>
      </c>
      <c r="V115">
        <f t="shared" si="29"/>
        <v>0.66666666666666663</v>
      </c>
      <c r="W115">
        <f>survey_responses[[#This Row],[Tôi tin rằng Nhà nước, cơ quan thuế có đủ khả năng và công nghệ để phát hiện, xử lý nghiêm các hành vi trốn thuế. - HUMAN-ENF2]]</f>
        <v>10</v>
      </c>
      <c r="X115">
        <f t="shared" si="30"/>
        <v>1</v>
      </c>
      <c r="Y115" s="32">
        <f t="shared" si="31"/>
        <v>0.72222222222222221</v>
      </c>
      <c r="Z115" s="32">
        <f t="shared" si="32"/>
        <v>1</v>
      </c>
      <c r="AA115">
        <f>step3_validation[[#This Row],[AI_FAC1]]</f>
        <v>9</v>
      </c>
      <c r="AB115">
        <f t="shared" si="33"/>
        <v>0.88888888888888884</v>
      </c>
      <c r="AC115">
        <f>survey_responses[[#This Row],[Các thủ tục khai báo thuế VÀ/HOẶC quy trình làm việc với cơ quan thuế đơn giản, tiện lợi, nhanh chóng hơn so với trước đây. - HUMAN-FAC1]]</f>
        <v>10</v>
      </c>
      <c r="AD115">
        <f t="shared" si="34"/>
        <v>1</v>
      </c>
      <c r="AE115">
        <f>step3_validation[[#This Row],[AI_FAC2]]</f>
        <v>9</v>
      </c>
      <c r="AF115">
        <f t="shared" si="35"/>
        <v>0.88888888888888884</v>
      </c>
      <c r="AG115">
        <f>survey_responses[[#This Row],[So với trước đây, tôi thấy cách tính thuế và các bậc thuế trong phương án mới đơn giản, dễ hiểu và dễ thực hiện hơn. - HUMAN-FAC2]]</f>
        <v>10</v>
      </c>
      <c r="AH115">
        <f t="shared" si="36"/>
        <v>1</v>
      </c>
      <c r="AI115" s="32">
        <f t="shared" si="37"/>
        <v>0.88888888888888884</v>
      </c>
      <c r="AJ115" s="32">
        <f t="shared" si="38"/>
        <v>1</v>
      </c>
      <c r="AK115">
        <f>step3_validation[[#This Row],[AI_TRU1]]</f>
        <v>8</v>
      </c>
      <c r="AL115">
        <f t="shared" si="39"/>
        <v>0.77777777777777779</v>
      </c>
      <c r="AM115">
        <f>survey_responses[[#This Row],[Tôi tin rằng Nhà nước, cơ quan thuế sẽ thực thi chính sách mới một cách khách quan, công tâm và đối xử bình đẳng với mọi người nộp thuế.  - HUMAN-TRU1]]</f>
        <v>10</v>
      </c>
      <c r="AN115">
        <f t="shared" si="40"/>
        <v>1</v>
      </c>
      <c r="AO115">
        <f>step3_validation[[#This Row],[AI_TRU2]]</f>
        <v>9</v>
      </c>
      <c r="AP115">
        <f t="shared" si="41"/>
        <v>0.88888888888888884</v>
      </c>
      <c r="AQ115">
        <f>survey_responses[[#This Row],[Tôi thấy mức thuế tôi phải đóng theo phương án mới là công bằng (người thu nhập như tôi đóng mức này là hợp lý). - HUMAN-TRU2]]</f>
        <v>10</v>
      </c>
      <c r="AR115">
        <f t="shared" si="42"/>
        <v>1</v>
      </c>
      <c r="AS115">
        <f>step3_validation[[#This Row],[AI_TRU3]]</f>
        <v>8</v>
      </c>
      <c r="AT115">
        <f t="shared" si="43"/>
        <v>0.77777777777777779</v>
      </c>
      <c r="AU115">
        <f>survey_responses[[#This Row],[Tôi tin tưởng số tiền thuế tôi đóng sẽ được Nhà nước sử dụng hiệu quả để cải thiện dịch vụ công (y tế, đường xá...). - HUMAN-TRU3]]</f>
        <v>10</v>
      </c>
      <c r="AV115">
        <f t="shared" si="44"/>
        <v>1</v>
      </c>
      <c r="AW115">
        <f>step3_validation[[#This Row],[AI_TRU4]]</f>
        <v>7</v>
      </c>
      <c r="AX115">
        <f t="shared" si="45"/>
        <v>0.66666666666666663</v>
      </c>
      <c r="AY115">
        <f>survey_responses[[#This Row],[Tôi thấy Nhà nước đã giải thích rõ ràng, minh bạch về lý do và mục tiêu của việc sửa đổi thuế lần này. - HUMAN-TRU4]]</f>
        <v>10</v>
      </c>
      <c r="AZ115">
        <f t="shared" si="46"/>
        <v>1</v>
      </c>
      <c r="BA115" s="32">
        <f t="shared" si="47"/>
        <v>0.77777777777777768</v>
      </c>
      <c r="BB115" s="32">
        <f t="shared" si="48"/>
        <v>1</v>
      </c>
      <c r="BC115" s="7">
        <f t="shared" si="49"/>
        <v>0.79629629629629628</v>
      </c>
      <c r="BD115" s="7">
        <f t="shared" si="50"/>
        <v>1</v>
      </c>
      <c r="BE115">
        <f>step3_validation[[#This Row],[AI_OUT1]]</f>
        <v>9</v>
      </c>
      <c r="BF115">
        <f t="shared" si="51"/>
        <v>0.88888888888888884</v>
      </c>
      <c r="BG115">
        <f>survey_responses[[#This Row],[Sau khi xem xét các quyền lợi và nghĩa vụ, bạn có ủng hộ và tuân thủ chính sách mới hiện nay? - HUMAN-OUT1]]</f>
        <v>10</v>
      </c>
      <c r="BH115">
        <f t="shared" si="52"/>
        <v>1</v>
      </c>
      <c r="BI115" s="32">
        <f t="shared" si="53"/>
        <v>1</v>
      </c>
    </row>
    <row r="116" spans="1:61" x14ac:dyDescent="0.45">
      <c r="A116" s="30">
        <f>step3_validation[[#This Row],[Persona_ID]]</f>
        <v>115</v>
      </c>
      <c r="B116" s="31">
        <f>step3_validation[[#This Row],[Used_Seed]]</f>
        <v>2105</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16.660673825493227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3</v>
      </c>
      <c r="R116">
        <f t="shared" si="27"/>
        <v>0.22222222222222221</v>
      </c>
      <c r="S116">
        <f>survey_responses[[#This Row],[Tôi tin rằng với các quy định quản lý thuế hiện nay, hành vi gian lận hoặc trốn thuế sẽ dễ dàng bị phát hiện và xử lý nghiêm. - HUMAN-ENF1]]</f>
        <v>1</v>
      </c>
      <c r="T116">
        <f t="shared" si="28"/>
        <v>0</v>
      </c>
      <c r="U116">
        <f>step3_validation[[#This Row],[AI_ENF2]]</f>
        <v>3</v>
      </c>
      <c r="V116">
        <f t="shared" si="29"/>
        <v>0.22222222222222221</v>
      </c>
      <c r="W116">
        <f>survey_responses[[#This Row],[Tôi tin rằng Nhà nước, cơ quan thuế có đủ khả năng và công nghệ để phát hiện, xử lý nghiêm các hành vi trốn thuế. - HUMAN-ENF2]]</f>
        <v>1</v>
      </c>
      <c r="X116">
        <f t="shared" si="30"/>
        <v>0</v>
      </c>
      <c r="Y116" s="32">
        <f t="shared" si="31"/>
        <v>0.22222222222222221</v>
      </c>
      <c r="Z116" s="32">
        <f t="shared" si="32"/>
        <v>0</v>
      </c>
      <c r="AA116">
        <f>step3_validation[[#This Row],[AI_FAC1]]</f>
        <v>8</v>
      </c>
      <c r="AB116">
        <f t="shared" si="33"/>
        <v>0.77777777777777779</v>
      </c>
      <c r="AC116">
        <f>survey_responses[[#This Row],[Các thủ tục khai báo thuế VÀ/HOẶC quy trình làm việc với cơ quan thuế đơn giản, tiện lợi, nhanh chóng hơn so với trước đây. - HUMAN-FAC1]]</f>
        <v>1</v>
      </c>
      <c r="AD116">
        <f t="shared" si="34"/>
        <v>0</v>
      </c>
      <c r="AE116">
        <f>step3_validation[[#This Row],[AI_FAC2]]</f>
        <v>9</v>
      </c>
      <c r="AF116">
        <f t="shared" si="35"/>
        <v>0.88888888888888884</v>
      </c>
      <c r="AG116">
        <f>survey_responses[[#This Row],[So với trước đây, tôi thấy cách tính thuế và các bậc thuế trong phương án mới đơn giản, dễ hiểu và dễ thực hiện hơn. - HUMAN-FAC2]]</f>
        <v>1</v>
      </c>
      <c r="AH116">
        <f t="shared" si="36"/>
        <v>0</v>
      </c>
      <c r="AI116" s="32">
        <f t="shared" si="37"/>
        <v>0.83333333333333326</v>
      </c>
      <c r="AJ116" s="32">
        <f t="shared" si="38"/>
        <v>0</v>
      </c>
      <c r="AK116">
        <f>step3_validation[[#This Row],[AI_TRU1]]</f>
        <v>7</v>
      </c>
      <c r="AL116">
        <f t="shared" si="39"/>
        <v>0.66666666666666663</v>
      </c>
      <c r="AM116">
        <f>survey_responses[[#This Row],[Tôi tin rằng Nhà nước, cơ quan thuế sẽ thực thi chính sách mới một cách khách quan, công tâm và đối xử bình đẳng với mọi người nộp thuế.  - HUMAN-TRU1]]</f>
        <v>1</v>
      </c>
      <c r="AN116">
        <f t="shared" si="40"/>
        <v>0</v>
      </c>
      <c r="AO116">
        <f>step3_validation[[#This Row],[AI_TRU2]]</f>
        <v>8</v>
      </c>
      <c r="AP116">
        <f t="shared" si="41"/>
        <v>0.77777777777777779</v>
      </c>
      <c r="AQ116">
        <f>survey_responses[[#This Row],[Tôi thấy mức thuế tôi phải đóng theo phương án mới là công bằng (người thu nhập như tôi đóng mức này là hợp lý). - HUMAN-TRU2]]</f>
        <v>1</v>
      </c>
      <c r="AR116">
        <f t="shared" si="42"/>
        <v>0</v>
      </c>
      <c r="AS116">
        <f>step3_validation[[#This Row],[AI_TRU3]]</f>
        <v>7</v>
      </c>
      <c r="AT116">
        <f t="shared" si="43"/>
        <v>0.66666666666666663</v>
      </c>
      <c r="AU116">
        <f>survey_responses[[#This Row],[Tôi tin tưởng số tiền thuế tôi đóng sẽ được Nhà nước sử dụng hiệu quả để cải thiện dịch vụ công (y tế, đường xá...). - HUMAN-TRU3]]</f>
        <v>1</v>
      </c>
      <c r="AV116">
        <f t="shared" si="44"/>
        <v>0</v>
      </c>
      <c r="AW116">
        <f>step3_validation[[#This Row],[AI_TRU4]]</f>
        <v>8</v>
      </c>
      <c r="AX116">
        <f t="shared" si="45"/>
        <v>0.77777777777777779</v>
      </c>
      <c r="AY116">
        <f>survey_responses[[#This Row],[Tôi thấy Nhà nước đã giải thích rõ ràng, minh bạch về lý do và mục tiêu của việc sửa đổi thuế lần này. - HUMAN-TRU4]]</f>
        <v>1</v>
      </c>
      <c r="AZ116">
        <f t="shared" si="46"/>
        <v>0</v>
      </c>
      <c r="BA116" s="32">
        <f t="shared" si="47"/>
        <v>0.72222222222222221</v>
      </c>
      <c r="BB116" s="32">
        <f t="shared" si="48"/>
        <v>0</v>
      </c>
      <c r="BC116" s="7">
        <f t="shared" si="49"/>
        <v>0.59259259259259256</v>
      </c>
      <c r="BD116" s="7">
        <f t="shared" si="50"/>
        <v>0</v>
      </c>
      <c r="BE116">
        <f>step3_validation[[#This Row],[AI_OUT1]]</f>
        <v>9</v>
      </c>
      <c r="BF116">
        <f t="shared" si="51"/>
        <v>0.88888888888888884</v>
      </c>
      <c r="BG116">
        <f>survey_responses[[#This Row],[Sau khi xem xét các quyền lợi và nghĩa vụ, bạn có ủng hộ và tuân thủ chính sách mới hiện nay? - HUMAN-OUT1]]</f>
        <v>1</v>
      </c>
      <c r="BH116">
        <f t="shared" si="52"/>
        <v>0</v>
      </c>
      <c r="BI116" s="32">
        <f t="shared" si="53"/>
        <v>8</v>
      </c>
    </row>
    <row r="117" spans="1:61" x14ac:dyDescent="0.45">
      <c r="A117" s="30">
        <f>step3_validation[[#This Row],[Persona_ID]]</f>
        <v>116</v>
      </c>
      <c r="B117" s="31">
        <f>step3_validation[[#This Row],[Used_Seed]]</f>
        <v>2106</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14.311612335351752</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f t="shared" si="27"/>
        <v>0.55555555555555558</v>
      </c>
      <c r="S117">
        <f>survey_responses[[#This Row],[Tôi tin rằng với các quy định quản lý thuế hiện nay, hành vi gian lận hoặc trốn thuế sẽ dễ dàng bị phát hiện và xử lý nghiêm. - HUMAN-ENF1]]</f>
        <v>9</v>
      </c>
      <c r="T117">
        <f t="shared" si="28"/>
        <v>0.88888888888888884</v>
      </c>
      <c r="U117">
        <f>step3_validation[[#This Row],[AI_ENF2]]</f>
        <v>7</v>
      </c>
      <c r="V117">
        <f t="shared" si="29"/>
        <v>0.66666666666666663</v>
      </c>
      <c r="W117">
        <f>survey_responses[[#This Row],[Tôi tin rằng Nhà nước, cơ quan thuế có đủ khả năng và công nghệ để phát hiện, xử lý nghiêm các hành vi trốn thuế. - HUMAN-ENF2]]</f>
        <v>9</v>
      </c>
      <c r="X117">
        <f t="shared" si="30"/>
        <v>0.88888888888888884</v>
      </c>
      <c r="Y117" s="32">
        <f t="shared" si="31"/>
        <v>0.61111111111111116</v>
      </c>
      <c r="Z117" s="32">
        <f t="shared" si="32"/>
        <v>0.88888888888888884</v>
      </c>
      <c r="AA117">
        <f>step3_validation[[#This Row],[AI_FAC1]]</f>
        <v>8</v>
      </c>
      <c r="AB117">
        <f t="shared" si="33"/>
        <v>0.77777777777777779</v>
      </c>
      <c r="AC117">
        <f>survey_responses[[#This Row],[Các thủ tục khai báo thuế VÀ/HOẶC quy trình làm việc với cơ quan thuế đơn giản, tiện lợi, nhanh chóng hơn so với trước đây. - HUMAN-FAC1]]</f>
        <v>9</v>
      </c>
      <c r="AD117">
        <f t="shared" si="34"/>
        <v>0.88888888888888884</v>
      </c>
      <c r="AE117">
        <f>step3_validation[[#This Row],[AI_FAC2]]</f>
        <v>9</v>
      </c>
      <c r="AF117">
        <f t="shared" si="35"/>
        <v>0.88888888888888884</v>
      </c>
      <c r="AG117">
        <f>survey_responses[[#This Row],[So với trước đây, tôi thấy cách tính thuế và các bậc thuế trong phương án mới đơn giản, dễ hiểu và dễ thực hiện hơn. - HUMAN-FAC2]]</f>
        <v>9</v>
      </c>
      <c r="AH117">
        <f t="shared" si="36"/>
        <v>0.88888888888888884</v>
      </c>
      <c r="AI117" s="32">
        <f t="shared" si="37"/>
        <v>0.83333333333333326</v>
      </c>
      <c r="AJ117" s="32">
        <f t="shared" si="38"/>
        <v>0.88888888888888884</v>
      </c>
      <c r="AK117">
        <f>step3_validation[[#This Row],[AI_TRU1]]</f>
        <v>7</v>
      </c>
      <c r="AL117">
        <f t="shared" si="39"/>
        <v>0.66666666666666663</v>
      </c>
      <c r="AM117">
        <f>survey_responses[[#This Row],[Tôi tin rằng Nhà nước, cơ quan thuế sẽ thực thi chính sách mới một cách khách quan, công tâm và đối xử bình đẳng với mọi người nộp thuế.  - HUMAN-TRU1]]</f>
        <v>9</v>
      </c>
      <c r="AN117">
        <f t="shared" si="40"/>
        <v>0.88888888888888884</v>
      </c>
      <c r="AO117">
        <f>step3_validation[[#This Row],[AI_TRU2]]</f>
        <v>9</v>
      </c>
      <c r="AP117">
        <f t="shared" si="41"/>
        <v>0.88888888888888884</v>
      </c>
      <c r="AQ117">
        <f>survey_responses[[#This Row],[Tôi thấy mức thuế tôi phải đóng theo phương án mới là công bằng (người thu nhập như tôi đóng mức này là hợp lý). - HUMAN-TRU2]]</f>
        <v>9</v>
      </c>
      <c r="AR117">
        <f t="shared" si="42"/>
        <v>0.88888888888888884</v>
      </c>
      <c r="AS117">
        <f>step3_validation[[#This Row],[AI_TRU3]]</f>
        <v>8</v>
      </c>
      <c r="AT117">
        <f t="shared" si="43"/>
        <v>0.77777777777777779</v>
      </c>
      <c r="AU117">
        <f>survey_responses[[#This Row],[Tôi tin tưởng số tiền thuế tôi đóng sẽ được Nhà nước sử dụng hiệu quả để cải thiện dịch vụ công (y tế, đường xá...). - HUMAN-TRU3]]</f>
        <v>9</v>
      </c>
      <c r="AV117">
        <f t="shared" si="44"/>
        <v>0.88888888888888884</v>
      </c>
      <c r="AW117">
        <f>step3_validation[[#This Row],[AI_TRU4]]</f>
        <v>9</v>
      </c>
      <c r="AX117">
        <f t="shared" si="45"/>
        <v>0.88888888888888884</v>
      </c>
      <c r="AY117">
        <f>survey_responses[[#This Row],[Tôi thấy Nhà nước đã giải thích rõ ràng, minh bạch về lý do và mục tiêu của việc sửa đổi thuế lần này. - HUMAN-TRU4]]</f>
        <v>8</v>
      </c>
      <c r="AZ117">
        <f t="shared" si="46"/>
        <v>0.77777777777777779</v>
      </c>
      <c r="BA117" s="32">
        <f t="shared" si="47"/>
        <v>0.80555555555555547</v>
      </c>
      <c r="BB117" s="32">
        <f t="shared" si="48"/>
        <v>0.86111111111111105</v>
      </c>
      <c r="BC117" s="7">
        <f t="shared" si="49"/>
        <v>0.75</v>
      </c>
      <c r="BD117" s="7">
        <f t="shared" si="50"/>
        <v>0.87962962962962965</v>
      </c>
      <c r="BE117">
        <f>step3_validation[[#This Row],[AI_OUT1]]</f>
        <v>10</v>
      </c>
      <c r="BF117">
        <f t="shared" si="51"/>
        <v>1</v>
      </c>
      <c r="BG117">
        <f>survey_responses[[#This Row],[Sau khi xem xét các quyền lợi và nghĩa vụ, bạn có ủng hộ và tuân thủ chính sách mới hiện nay? - HUMAN-OUT1]]</f>
        <v>9</v>
      </c>
      <c r="BH117">
        <f t="shared" si="52"/>
        <v>0.88888888888888884</v>
      </c>
      <c r="BI117" s="32">
        <f t="shared" si="53"/>
        <v>1</v>
      </c>
    </row>
    <row r="118" spans="1:61" x14ac:dyDescent="0.45">
      <c r="A118" s="30">
        <f>step3_validation[[#This Row],[Persona_ID]]</f>
        <v>117</v>
      </c>
      <c r="B118" s="31">
        <f>step3_validation[[#This Row],[Used_Seed]]</f>
        <v>2107</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55.422761197604416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8</v>
      </c>
      <c r="R118">
        <f t="shared" si="27"/>
        <v>0.77777777777777779</v>
      </c>
      <c r="S118">
        <f>survey_responses[[#This Row],[Tôi tin rằng với các quy định quản lý thuế hiện nay, hành vi gian lận hoặc trốn thuế sẽ dễ dàng bị phát hiện và xử lý nghiêm. - HUMAN-ENF1]]</f>
        <v>8</v>
      </c>
      <c r="T118">
        <f t="shared" si="28"/>
        <v>0.77777777777777779</v>
      </c>
      <c r="U118">
        <f>step3_validation[[#This Row],[AI_ENF2]]</f>
        <v>9</v>
      </c>
      <c r="V118">
        <f t="shared" si="29"/>
        <v>0.88888888888888884</v>
      </c>
      <c r="W118">
        <f>survey_responses[[#This Row],[Tôi tin rằng Nhà nước, cơ quan thuế có đủ khả năng và công nghệ để phát hiện, xử lý nghiêm các hành vi trốn thuế. - HUMAN-ENF2]]</f>
        <v>9</v>
      </c>
      <c r="X118">
        <f t="shared" si="30"/>
        <v>0.88888888888888884</v>
      </c>
      <c r="Y118" s="32">
        <f t="shared" si="31"/>
        <v>0.83333333333333326</v>
      </c>
      <c r="Z118" s="32">
        <f t="shared" si="32"/>
        <v>0.83333333333333326</v>
      </c>
      <c r="AA118">
        <f>step3_validation[[#This Row],[AI_FAC1]]</f>
        <v>8</v>
      </c>
      <c r="AB118">
        <f t="shared" si="33"/>
        <v>0.77777777777777779</v>
      </c>
      <c r="AC118">
        <f>survey_responses[[#This Row],[Các thủ tục khai báo thuế VÀ/HOẶC quy trình làm việc với cơ quan thuế đơn giản, tiện lợi, nhanh chóng hơn so với trước đây. - HUMAN-FAC1]]</f>
        <v>8</v>
      </c>
      <c r="AD118">
        <f t="shared" si="34"/>
        <v>0.77777777777777779</v>
      </c>
      <c r="AE118">
        <f>step3_validation[[#This Row],[AI_FAC2]]</f>
        <v>9</v>
      </c>
      <c r="AF118">
        <f t="shared" si="35"/>
        <v>0.88888888888888884</v>
      </c>
      <c r="AG118">
        <f>survey_responses[[#This Row],[So với trước đây, tôi thấy cách tính thuế và các bậc thuế trong phương án mới đơn giản, dễ hiểu và dễ thực hiện hơn. - HUMAN-FAC2]]</f>
        <v>6</v>
      </c>
      <c r="AH118">
        <f t="shared" si="36"/>
        <v>0.55555555555555558</v>
      </c>
      <c r="AI118" s="32">
        <f t="shared" si="37"/>
        <v>0.83333333333333326</v>
      </c>
      <c r="AJ118" s="32">
        <f t="shared" si="38"/>
        <v>0.66666666666666674</v>
      </c>
      <c r="AK118">
        <f>step3_validation[[#This Row],[AI_TRU1]]</f>
        <v>7</v>
      </c>
      <c r="AL118">
        <f t="shared" si="39"/>
        <v>0.66666666666666663</v>
      </c>
      <c r="AM118">
        <f>survey_responses[[#This Row],[Tôi tin rằng Nhà nước, cơ quan thuế sẽ thực thi chính sách mới một cách khách quan, công tâm và đối xử bình đẳng với mọi người nộp thuế.  - HUMAN-TRU1]]</f>
        <v>8</v>
      </c>
      <c r="AN118">
        <f t="shared" si="40"/>
        <v>0.77777777777777779</v>
      </c>
      <c r="AO118">
        <f>step3_validation[[#This Row],[AI_TRU2]]</f>
        <v>9</v>
      </c>
      <c r="AP118">
        <f t="shared" si="41"/>
        <v>0.88888888888888884</v>
      </c>
      <c r="AQ118">
        <f>survey_responses[[#This Row],[Tôi thấy mức thuế tôi phải đóng theo phương án mới là công bằng (người thu nhập như tôi đóng mức này là hợp lý). - HUMAN-TRU2]]</f>
        <v>8</v>
      </c>
      <c r="AR118">
        <f t="shared" si="42"/>
        <v>0.77777777777777779</v>
      </c>
      <c r="AS118">
        <f>step3_validation[[#This Row],[AI_TRU3]]</f>
        <v>8</v>
      </c>
      <c r="AT118">
        <f t="shared" si="43"/>
        <v>0.77777777777777779</v>
      </c>
      <c r="AU118">
        <f>survey_responses[[#This Row],[Tôi tin tưởng số tiền thuế tôi đóng sẽ được Nhà nước sử dụng hiệu quả để cải thiện dịch vụ công (y tế, đường xá...). - HUMAN-TRU3]]</f>
        <v>8</v>
      </c>
      <c r="AV118">
        <f t="shared" si="44"/>
        <v>0.77777777777777779</v>
      </c>
      <c r="AW118">
        <f>step3_validation[[#This Row],[AI_TRU4]]</f>
        <v>7</v>
      </c>
      <c r="AX118">
        <f t="shared" si="45"/>
        <v>0.66666666666666663</v>
      </c>
      <c r="AY118">
        <f>survey_responses[[#This Row],[Tôi thấy Nhà nước đã giải thích rõ ràng, minh bạch về lý do và mục tiêu của việc sửa đổi thuế lần này. - HUMAN-TRU4]]</f>
        <v>8</v>
      </c>
      <c r="AZ118">
        <f t="shared" si="46"/>
        <v>0.77777777777777779</v>
      </c>
      <c r="BA118" s="32">
        <f t="shared" si="47"/>
        <v>0.74999999999999989</v>
      </c>
      <c r="BB118" s="32">
        <f t="shared" si="48"/>
        <v>0.77777777777777779</v>
      </c>
      <c r="BC118" s="7">
        <f t="shared" si="49"/>
        <v>0.80555555555555547</v>
      </c>
      <c r="BD118" s="7">
        <f t="shared" si="50"/>
        <v>0.75925925925925919</v>
      </c>
      <c r="BE118">
        <f>step3_validation[[#This Row],[AI_OUT1]]</f>
        <v>8</v>
      </c>
      <c r="BF118">
        <f t="shared" si="51"/>
        <v>0.77777777777777779</v>
      </c>
      <c r="BG118">
        <f>survey_responses[[#This Row],[Sau khi xem xét các quyền lợi và nghĩa vụ, bạn có ủng hộ và tuân thủ chính sách mới hiện nay? - HUMAN-OUT1]]</f>
        <v>6</v>
      </c>
      <c r="BH118">
        <f t="shared" si="52"/>
        <v>0.55555555555555558</v>
      </c>
      <c r="BI118" s="32">
        <f t="shared" si="53"/>
        <v>2</v>
      </c>
    </row>
    <row r="119" spans="1:61" x14ac:dyDescent="0.45">
      <c r="A119" s="30">
        <f>step3_validation[[#This Row],[Persona_ID]]</f>
        <v>118</v>
      </c>
      <c r="B119" s="31">
        <f>step3_validation[[#This Row],[Used_Seed]]</f>
        <v>2108</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38.873279714361246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f t="shared" si="27"/>
        <v>0.66666666666666663</v>
      </c>
      <c r="S119">
        <f>survey_responses[[#This Row],[Tôi tin rằng với các quy định quản lý thuế hiện nay, hành vi gian lận hoặc trốn thuế sẽ dễ dàng bị phát hiện và xử lý nghiêm. - HUMAN-ENF1]]</f>
        <v>4</v>
      </c>
      <c r="T119">
        <f t="shared" si="28"/>
        <v>0.33333333333333331</v>
      </c>
      <c r="U119">
        <f>step3_validation[[#This Row],[AI_ENF2]]</f>
        <v>8</v>
      </c>
      <c r="V119">
        <f t="shared" si="29"/>
        <v>0.77777777777777779</v>
      </c>
      <c r="W119">
        <f>survey_responses[[#This Row],[Tôi tin rằng Nhà nước, cơ quan thuế có đủ khả năng và công nghệ để phát hiện, xử lý nghiêm các hành vi trốn thuế. - HUMAN-ENF2]]</f>
        <v>1</v>
      </c>
      <c r="X119">
        <f t="shared" si="30"/>
        <v>0</v>
      </c>
      <c r="Y119" s="32">
        <f t="shared" si="31"/>
        <v>0.72222222222222221</v>
      </c>
      <c r="Z119" s="32">
        <f t="shared" si="32"/>
        <v>0.16666666666666666</v>
      </c>
      <c r="AA119">
        <f>step3_validation[[#This Row],[AI_FAC1]]</f>
        <v>6</v>
      </c>
      <c r="AB119">
        <f t="shared" si="33"/>
        <v>0.55555555555555558</v>
      </c>
      <c r="AC119">
        <f>survey_responses[[#This Row],[Các thủ tục khai báo thuế VÀ/HOẶC quy trình làm việc với cơ quan thuế đơn giản, tiện lợi, nhanh chóng hơn so với trước đây. - HUMAN-FAC1]]</f>
        <v>1</v>
      </c>
      <c r="AD119">
        <f t="shared" si="34"/>
        <v>0</v>
      </c>
      <c r="AE119">
        <f>step3_validation[[#This Row],[AI_FAC2]]</f>
        <v>9</v>
      </c>
      <c r="AF119">
        <f t="shared" si="35"/>
        <v>0.88888888888888884</v>
      </c>
      <c r="AG119">
        <f>survey_responses[[#This Row],[So với trước đây, tôi thấy cách tính thuế và các bậc thuế trong phương án mới đơn giản, dễ hiểu và dễ thực hiện hơn. - HUMAN-FAC2]]</f>
        <v>5</v>
      </c>
      <c r="AH119">
        <f t="shared" si="36"/>
        <v>0.44444444444444442</v>
      </c>
      <c r="AI119" s="32">
        <f t="shared" si="37"/>
        <v>0.72222222222222221</v>
      </c>
      <c r="AJ119" s="32">
        <f t="shared" si="38"/>
        <v>0.22222222222222221</v>
      </c>
      <c r="AK119">
        <f>step3_validation[[#This Row],[AI_TRU1]]</f>
        <v>8</v>
      </c>
      <c r="AL119">
        <f t="shared" si="39"/>
        <v>0.77777777777777779</v>
      </c>
      <c r="AM119">
        <f>survey_responses[[#This Row],[Tôi tin rằng Nhà nước, cơ quan thuế sẽ thực thi chính sách mới một cách khách quan, công tâm và đối xử bình đẳng với mọi người nộp thuế.  - HUMAN-TRU1]]</f>
        <v>1</v>
      </c>
      <c r="AN119">
        <f t="shared" si="40"/>
        <v>0</v>
      </c>
      <c r="AO119">
        <f>step3_validation[[#This Row],[AI_TRU2]]</f>
        <v>9</v>
      </c>
      <c r="AP119">
        <f t="shared" si="41"/>
        <v>0.88888888888888884</v>
      </c>
      <c r="AQ119">
        <f>survey_responses[[#This Row],[Tôi thấy mức thuế tôi phải đóng theo phương án mới là công bằng (người thu nhập như tôi đóng mức này là hợp lý). - HUMAN-TRU2]]</f>
        <v>3</v>
      </c>
      <c r="AR119">
        <f t="shared" si="42"/>
        <v>0.22222222222222221</v>
      </c>
      <c r="AS119">
        <f>step3_validation[[#This Row],[AI_TRU3]]</f>
        <v>8</v>
      </c>
      <c r="AT119">
        <f t="shared" si="43"/>
        <v>0.77777777777777779</v>
      </c>
      <c r="AU119">
        <f>survey_responses[[#This Row],[Tôi tin tưởng số tiền thuế tôi đóng sẽ được Nhà nước sử dụng hiệu quả để cải thiện dịch vụ công (y tế, đường xá...). - HUMAN-TRU3]]</f>
        <v>1</v>
      </c>
      <c r="AV119">
        <f t="shared" si="44"/>
        <v>0</v>
      </c>
      <c r="AW119">
        <f>step3_validation[[#This Row],[AI_TRU4]]</f>
        <v>7</v>
      </c>
      <c r="AX119">
        <f t="shared" si="45"/>
        <v>0.66666666666666663</v>
      </c>
      <c r="AY119">
        <f>survey_responses[[#This Row],[Tôi thấy Nhà nước đã giải thích rõ ràng, minh bạch về lý do và mục tiêu của việc sửa đổi thuế lần này. - HUMAN-TRU4]]</f>
        <v>1</v>
      </c>
      <c r="AZ119">
        <f t="shared" si="46"/>
        <v>0</v>
      </c>
      <c r="BA119" s="32">
        <f t="shared" si="47"/>
        <v>0.77777777777777768</v>
      </c>
      <c r="BB119" s="32">
        <f t="shared" si="48"/>
        <v>5.5555555555555552E-2</v>
      </c>
      <c r="BC119" s="7">
        <f t="shared" si="49"/>
        <v>0.74074074074074081</v>
      </c>
      <c r="BD119" s="7">
        <f t="shared" si="50"/>
        <v>0.14814814814814814</v>
      </c>
      <c r="BE119">
        <f>step3_validation[[#This Row],[AI_OUT1]]</f>
        <v>9</v>
      </c>
      <c r="BF119">
        <f t="shared" si="51"/>
        <v>0.88888888888888884</v>
      </c>
      <c r="BG119">
        <f>survey_responses[[#This Row],[Sau khi xem xét các quyền lợi và nghĩa vụ, bạn có ủng hộ và tuân thủ chính sách mới hiện nay? - HUMAN-OUT1]]</f>
        <v>5</v>
      </c>
      <c r="BH119">
        <f t="shared" si="52"/>
        <v>0.44444444444444442</v>
      </c>
      <c r="BI119" s="32">
        <f t="shared" si="53"/>
        <v>4</v>
      </c>
    </row>
    <row r="120" spans="1:61" x14ac:dyDescent="0.45">
      <c r="A120" s="30">
        <f>step3_validation[[#This Row],[Persona_ID]]</f>
        <v>119</v>
      </c>
      <c r="B120" s="31">
        <f>step3_validation[[#This Row],[Used_Seed]]</f>
        <v>2109</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52.814063505627445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6</v>
      </c>
      <c r="R120">
        <f t="shared" si="27"/>
        <v>0.55555555555555558</v>
      </c>
      <c r="S120">
        <f>survey_responses[[#This Row],[Tôi tin rằng với các quy định quản lý thuế hiện nay, hành vi gian lận hoặc trốn thuế sẽ dễ dàng bị phát hiện và xử lý nghiêm. - HUMAN-ENF1]]</f>
        <v>8</v>
      </c>
      <c r="T120">
        <f t="shared" si="28"/>
        <v>0.77777777777777779</v>
      </c>
      <c r="U120">
        <f>step3_validation[[#This Row],[AI_ENF2]]</f>
        <v>8</v>
      </c>
      <c r="V120">
        <f t="shared" si="29"/>
        <v>0.77777777777777779</v>
      </c>
      <c r="W120">
        <f>survey_responses[[#This Row],[Tôi tin rằng Nhà nước, cơ quan thuế có đủ khả năng và công nghệ để phát hiện, xử lý nghiêm các hành vi trốn thuế. - HUMAN-ENF2]]</f>
        <v>8</v>
      </c>
      <c r="X120">
        <f t="shared" si="30"/>
        <v>0.77777777777777779</v>
      </c>
      <c r="Y120" s="32">
        <f t="shared" si="31"/>
        <v>0.66666666666666674</v>
      </c>
      <c r="Z120" s="32">
        <f t="shared" si="32"/>
        <v>0.77777777777777779</v>
      </c>
      <c r="AA120">
        <f>step3_validation[[#This Row],[AI_FAC1]]</f>
        <v>9</v>
      </c>
      <c r="AB120">
        <f t="shared" si="33"/>
        <v>0.88888888888888884</v>
      </c>
      <c r="AC120">
        <f>survey_responses[[#This Row],[Các thủ tục khai báo thuế VÀ/HOẶC quy trình làm việc với cơ quan thuế đơn giản, tiện lợi, nhanh chóng hơn so với trước đây. - HUMAN-FAC1]]</f>
        <v>6</v>
      </c>
      <c r="AD120">
        <f t="shared" si="34"/>
        <v>0.55555555555555558</v>
      </c>
      <c r="AE120">
        <f>step3_validation[[#This Row],[AI_FAC2]]</f>
        <v>8</v>
      </c>
      <c r="AF120">
        <f t="shared" si="35"/>
        <v>0.77777777777777779</v>
      </c>
      <c r="AG120">
        <f>survey_responses[[#This Row],[So với trước đây, tôi thấy cách tính thuế và các bậc thuế trong phương án mới đơn giản, dễ hiểu và dễ thực hiện hơn. - HUMAN-FAC2]]</f>
        <v>9</v>
      </c>
      <c r="AH120">
        <f t="shared" si="36"/>
        <v>0.88888888888888884</v>
      </c>
      <c r="AI120" s="32">
        <f t="shared" si="37"/>
        <v>0.83333333333333326</v>
      </c>
      <c r="AJ120" s="32">
        <f t="shared" si="38"/>
        <v>0.72222222222222221</v>
      </c>
      <c r="AK120">
        <f>step3_validation[[#This Row],[AI_TRU1]]</f>
        <v>7</v>
      </c>
      <c r="AL120">
        <f t="shared" si="39"/>
        <v>0.66666666666666663</v>
      </c>
      <c r="AM120">
        <f>survey_responses[[#This Row],[Tôi tin rằng Nhà nước, cơ quan thuế sẽ thực thi chính sách mới một cách khách quan, công tâm và đối xử bình đẳng với mọi người nộp thuế.  - HUMAN-TRU1]]</f>
        <v>8</v>
      </c>
      <c r="AN120">
        <f t="shared" si="40"/>
        <v>0.77777777777777779</v>
      </c>
      <c r="AO120">
        <f>step3_validation[[#This Row],[AI_TRU2]]</f>
        <v>9</v>
      </c>
      <c r="AP120">
        <f t="shared" si="41"/>
        <v>0.88888888888888884</v>
      </c>
      <c r="AQ120">
        <f>survey_responses[[#This Row],[Tôi thấy mức thuế tôi phải đóng theo phương án mới là công bằng (người thu nhập như tôi đóng mức này là hợp lý). - HUMAN-TRU2]]</f>
        <v>7</v>
      </c>
      <c r="AR120">
        <f t="shared" si="42"/>
        <v>0.66666666666666663</v>
      </c>
      <c r="AS120">
        <f>step3_validation[[#This Row],[AI_TRU3]]</f>
        <v>8</v>
      </c>
      <c r="AT120">
        <f t="shared" si="43"/>
        <v>0.77777777777777779</v>
      </c>
      <c r="AU120">
        <f>survey_responses[[#This Row],[Tôi tin tưởng số tiền thuế tôi đóng sẽ được Nhà nước sử dụng hiệu quả để cải thiện dịch vụ công (y tế, đường xá...). - HUMAN-TRU3]]</f>
        <v>7</v>
      </c>
      <c r="AV120">
        <f t="shared" si="44"/>
        <v>0.66666666666666663</v>
      </c>
      <c r="AW120">
        <f>step3_validation[[#This Row],[AI_TRU4]]</f>
        <v>6</v>
      </c>
      <c r="AX120">
        <f t="shared" si="45"/>
        <v>0.55555555555555558</v>
      </c>
      <c r="AY120">
        <f>survey_responses[[#This Row],[Tôi thấy Nhà nước đã giải thích rõ ràng, minh bạch về lý do và mục tiêu của việc sửa đổi thuế lần này. - HUMAN-TRU4]]</f>
        <v>7</v>
      </c>
      <c r="AZ120">
        <f t="shared" si="46"/>
        <v>0.66666666666666663</v>
      </c>
      <c r="BA120" s="32">
        <f t="shared" si="47"/>
        <v>0.7222222222222221</v>
      </c>
      <c r="BB120" s="32">
        <f t="shared" si="48"/>
        <v>0.69444444444444442</v>
      </c>
      <c r="BC120" s="7">
        <f t="shared" si="49"/>
        <v>0.74074074074074081</v>
      </c>
      <c r="BD120" s="7">
        <f t="shared" si="50"/>
        <v>0.73148148148148151</v>
      </c>
      <c r="BE120">
        <f>step3_validation[[#This Row],[AI_OUT1]]</f>
        <v>9</v>
      </c>
      <c r="BF120">
        <f t="shared" si="51"/>
        <v>0.88888888888888884</v>
      </c>
      <c r="BG120">
        <f>survey_responses[[#This Row],[Sau khi xem xét các quyền lợi và nghĩa vụ, bạn có ủng hộ và tuân thủ chính sách mới hiện nay? - HUMAN-OUT1]]</f>
        <v>7</v>
      </c>
      <c r="BH120">
        <f t="shared" si="52"/>
        <v>0.66666666666666663</v>
      </c>
      <c r="BI120" s="32">
        <f t="shared" si="53"/>
        <v>2</v>
      </c>
    </row>
    <row r="121" spans="1:61" x14ac:dyDescent="0.45">
      <c r="A121" s="30">
        <f>step3_validation[[#This Row],[Persona_ID]]</f>
        <v>120</v>
      </c>
      <c r="B121" s="31">
        <f>step3_validation[[#This Row],[Used_Seed]]</f>
        <v>2110</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26.65643394692502</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f t="shared" si="27"/>
        <v>0.66666666666666663</v>
      </c>
      <c r="S121">
        <f>survey_responses[[#This Row],[Tôi tin rằng với các quy định quản lý thuế hiện nay, hành vi gian lận hoặc trốn thuế sẽ dễ dàng bị phát hiện và xử lý nghiêm. - HUMAN-ENF1]]</f>
        <v>6</v>
      </c>
      <c r="T121">
        <f t="shared" si="28"/>
        <v>0.55555555555555558</v>
      </c>
      <c r="U121">
        <f>step3_validation[[#This Row],[AI_ENF2]]</f>
        <v>6</v>
      </c>
      <c r="V121">
        <f t="shared" si="29"/>
        <v>0.55555555555555558</v>
      </c>
      <c r="W121">
        <f>survey_responses[[#This Row],[Tôi tin rằng Nhà nước, cơ quan thuế có đủ khả năng và công nghệ để phát hiện, xử lý nghiêm các hành vi trốn thuế. - HUMAN-ENF2]]</f>
        <v>6</v>
      </c>
      <c r="X121">
        <f t="shared" si="30"/>
        <v>0.55555555555555558</v>
      </c>
      <c r="Y121" s="32">
        <f t="shared" si="31"/>
        <v>0.61111111111111116</v>
      </c>
      <c r="Z121" s="32">
        <f t="shared" si="32"/>
        <v>0.55555555555555558</v>
      </c>
      <c r="AA121">
        <f>step3_validation[[#This Row],[AI_FAC1]]</f>
        <v>9</v>
      </c>
      <c r="AB121">
        <f t="shared" si="33"/>
        <v>0.88888888888888884</v>
      </c>
      <c r="AC121">
        <f>survey_responses[[#This Row],[Các thủ tục khai báo thuế VÀ/HOẶC quy trình làm việc với cơ quan thuế đơn giản, tiện lợi, nhanh chóng hơn so với trước đây. - HUMAN-FAC1]]</f>
        <v>6</v>
      </c>
      <c r="AD121">
        <f t="shared" si="34"/>
        <v>0.55555555555555558</v>
      </c>
      <c r="AE121">
        <f>step3_validation[[#This Row],[AI_FAC2]]</f>
        <v>8</v>
      </c>
      <c r="AF121">
        <f t="shared" si="35"/>
        <v>0.77777777777777779</v>
      </c>
      <c r="AG121">
        <f>survey_responses[[#This Row],[So với trước đây, tôi thấy cách tính thuế và các bậc thuế trong phương án mới đơn giản, dễ hiểu và dễ thực hiện hơn. - HUMAN-FAC2]]</f>
        <v>6</v>
      </c>
      <c r="AH121">
        <f t="shared" si="36"/>
        <v>0.55555555555555558</v>
      </c>
      <c r="AI121" s="32">
        <f t="shared" si="37"/>
        <v>0.83333333333333326</v>
      </c>
      <c r="AJ121" s="32">
        <f t="shared" si="38"/>
        <v>0.55555555555555558</v>
      </c>
      <c r="AK121">
        <f>step3_validation[[#This Row],[AI_TRU1]]</f>
        <v>7</v>
      </c>
      <c r="AL121">
        <f t="shared" si="39"/>
        <v>0.66666666666666663</v>
      </c>
      <c r="AM121">
        <f>survey_responses[[#This Row],[Tôi tin rằng Nhà nước, cơ quan thuế sẽ thực thi chính sách mới một cách khách quan, công tâm và đối xử bình đẳng với mọi người nộp thuế.  - HUMAN-TRU1]]</f>
        <v>6</v>
      </c>
      <c r="AN121">
        <f t="shared" si="40"/>
        <v>0.55555555555555558</v>
      </c>
      <c r="AO121">
        <f>step3_validation[[#This Row],[AI_TRU2]]</f>
        <v>8</v>
      </c>
      <c r="AP121">
        <f t="shared" si="41"/>
        <v>0.77777777777777779</v>
      </c>
      <c r="AQ121">
        <f>survey_responses[[#This Row],[Tôi thấy mức thuế tôi phải đóng theo phương án mới là công bằng (người thu nhập như tôi đóng mức này là hợp lý). - HUMAN-TRU2]]</f>
        <v>6</v>
      </c>
      <c r="AR121">
        <f t="shared" si="42"/>
        <v>0.55555555555555558</v>
      </c>
      <c r="AS121">
        <f>step3_validation[[#This Row],[AI_TRU3]]</f>
        <v>6</v>
      </c>
      <c r="AT121">
        <f t="shared" si="43"/>
        <v>0.55555555555555558</v>
      </c>
      <c r="AU121">
        <f>survey_responses[[#This Row],[Tôi tin tưởng số tiền thuế tôi đóng sẽ được Nhà nước sử dụng hiệu quả để cải thiện dịch vụ công (y tế, đường xá...). - HUMAN-TRU3]]</f>
        <v>6</v>
      </c>
      <c r="AV121">
        <f t="shared" si="44"/>
        <v>0.55555555555555558</v>
      </c>
      <c r="AW121">
        <f>step3_validation[[#This Row],[AI_TRU4]]</f>
        <v>9</v>
      </c>
      <c r="AX121">
        <f t="shared" si="45"/>
        <v>0.88888888888888884</v>
      </c>
      <c r="AY121">
        <f>survey_responses[[#This Row],[Tôi thấy Nhà nước đã giải thích rõ ràng, minh bạch về lý do và mục tiêu của việc sửa đổi thuế lần này. - HUMAN-TRU4]]</f>
        <v>6</v>
      </c>
      <c r="AZ121">
        <f t="shared" si="46"/>
        <v>0.55555555555555558</v>
      </c>
      <c r="BA121" s="32">
        <f t="shared" si="47"/>
        <v>0.72222222222222221</v>
      </c>
      <c r="BB121" s="32">
        <f t="shared" si="48"/>
        <v>0.55555555555555558</v>
      </c>
      <c r="BC121" s="7">
        <f t="shared" si="49"/>
        <v>0.72222222222222221</v>
      </c>
      <c r="BD121" s="7">
        <f t="shared" si="50"/>
        <v>0.55555555555555558</v>
      </c>
      <c r="BE121">
        <f>step3_validation[[#This Row],[AI_OUT1]]</f>
        <v>7</v>
      </c>
      <c r="BF121">
        <f t="shared" si="51"/>
        <v>0.66666666666666663</v>
      </c>
      <c r="BG121">
        <f>survey_responses[[#This Row],[Sau khi xem xét các quyền lợi và nghĩa vụ, bạn có ủng hộ và tuân thủ chính sách mới hiện nay? - HUMAN-OUT1]]</f>
        <v>6</v>
      </c>
      <c r="BH121">
        <f t="shared" si="52"/>
        <v>0.55555555555555558</v>
      </c>
      <c r="BI121" s="32">
        <f t="shared" si="53"/>
        <v>1</v>
      </c>
    </row>
    <row r="122" spans="1:61" x14ac:dyDescent="0.45">
      <c r="A122" s="30">
        <f>step3_validation[[#This Row],[Persona_ID]]</f>
        <v>121</v>
      </c>
      <c r="B122" s="31">
        <f>step3_validation[[#This Row],[Used_Seed]]</f>
        <v>2111</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201.27275496241441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f t="shared" si="27"/>
        <v>0.66666666666666663</v>
      </c>
      <c r="S122">
        <f>survey_responses[[#This Row],[Tôi tin rằng với các quy định quản lý thuế hiện nay, hành vi gian lận hoặc trốn thuế sẽ dễ dàng bị phát hiện và xử lý nghiêm. - HUMAN-ENF1]]</f>
        <v>1</v>
      </c>
      <c r="T122">
        <f t="shared" si="28"/>
        <v>0</v>
      </c>
      <c r="U122">
        <f>step3_validation[[#This Row],[AI_ENF2]]</f>
        <v>6</v>
      </c>
      <c r="V122">
        <f t="shared" si="29"/>
        <v>0.55555555555555558</v>
      </c>
      <c r="W122">
        <f>survey_responses[[#This Row],[Tôi tin rằng Nhà nước, cơ quan thuế có đủ khả năng và công nghệ để phát hiện, xử lý nghiêm các hành vi trốn thuế. - HUMAN-ENF2]]</f>
        <v>1</v>
      </c>
      <c r="X122">
        <f t="shared" si="30"/>
        <v>0</v>
      </c>
      <c r="Y122" s="32">
        <f t="shared" si="31"/>
        <v>0.61111111111111116</v>
      </c>
      <c r="Z122" s="32">
        <f t="shared" si="32"/>
        <v>0</v>
      </c>
      <c r="AA122">
        <f>step3_validation[[#This Row],[AI_FAC1]]</f>
        <v>8</v>
      </c>
      <c r="AB122">
        <f t="shared" si="33"/>
        <v>0.77777777777777779</v>
      </c>
      <c r="AC122">
        <f>survey_responses[[#This Row],[Các thủ tục khai báo thuế VÀ/HOẶC quy trình làm việc với cơ quan thuế đơn giản, tiện lợi, nhanh chóng hơn so với trước đây. - HUMAN-FAC1]]</f>
        <v>1</v>
      </c>
      <c r="AD122">
        <f t="shared" si="34"/>
        <v>0</v>
      </c>
      <c r="AE122">
        <f>step3_validation[[#This Row],[AI_FAC2]]</f>
        <v>9</v>
      </c>
      <c r="AF122">
        <f t="shared" si="35"/>
        <v>0.88888888888888884</v>
      </c>
      <c r="AG122">
        <f>survey_responses[[#This Row],[So với trước đây, tôi thấy cách tính thuế và các bậc thuế trong phương án mới đơn giản, dễ hiểu và dễ thực hiện hơn. - HUMAN-FAC2]]</f>
        <v>5</v>
      </c>
      <c r="AH122">
        <f t="shared" si="36"/>
        <v>0.44444444444444442</v>
      </c>
      <c r="AI122" s="32">
        <f t="shared" si="37"/>
        <v>0.83333333333333326</v>
      </c>
      <c r="AJ122" s="32">
        <f t="shared" si="38"/>
        <v>0.22222222222222221</v>
      </c>
      <c r="AK122">
        <f>step3_validation[[#This Row],[AI_TRU1]]</f>
        <v>7</v>
      </c>
      <c r="AL122">
        <f t="shared" si="39"/>
        <v>0.66666666666666663</v>
      </c>
      <c r="AM122">
        <f>survey_responses[[#This Row],[Tôi tin rằng Nhà nước, cơ quan thuế sẽ thực thi chính sách mới một cách khách quan, công tâm và đối xử bình đẳng với mọi người nộp thuế.  - HUMAN-TRU1]]</f>
        <v>1</v>
      </c>
      <c r="AN122">
        <f t="shared" si="40"/>
        <v>0</v>
      </c>
      <c r="AO122">
        <f>step3_validation[[#This Row],[AI_TRU2]]</f>
        <v>9</v>
      </c>
      <c r="AP122">
        <f t="shared" si="41"/>
        <v>0.88888888888888884</v>
      </c>
      <c r="AQ122">
        <f>survey_responses[[#This Row],[Tôi thấy mức thuế tôi phải đóng theo phương án mới là công bằng (người thu nhập như tôi đóng mức này là hợp lý). - HUMAN-TRU2]]</f>
        <v>1</v>
      </c>
      <c r="AR122">
        <f t="shared" si="42"/>
        <v>0</v>
      </c>
      <c r="AS122">
        <f>step3_validation[[#This Row],[AI_TRU3]]</f>
        <v>8</v>
      </c>
      <c r="AT122">
        <f t="shared" si="43"/>
        <v>0.77777777777777779</v>
      </c>
      <c r="AU122">
        <f>survey_responses[[#This Row],[Tôi tin tưởng số tiền thuế tôi đóng sẽ được Nhà nước sử dụng hiệu quả để cải thiện dịch vụ công (y tế, đường xá...). - HUMAN-TRU3]]</f>
        <v>1</v>
      </c>
      <c r="AV122">
        <f t="shared" si="44"/>
        <v>0</v>
      </c>
      <c r="AW122">
        <f>step3_validation[[#This Row],[AI_TRU4]]</f>
        <v>7</v>
      </c>
      <c r="AX122">
        <f t="shared" si="45"/>
        <v>0.66666666666666663</v>
      </c>
      <c r="AY122">
        <f>survey_responses[[#This Row],[Tôi thấy Nhà nước đã giải thích rõ ràng, minh bạch về lý do và mục tiêu của việc sửa đổi thuế lần này. - HUMAN-TRU4]]</f>
        <v>1</v>
      </c>
      <c r="AZ122">
        <f t="shared" si="46"/>
        <v>0</v>
      </c>
      <c r="BA122" s="32">
        <f t="shared" si="47"/>
        <v>0.74999999999999989</v>
      </c>
      <c r="BB122" s="32">
        <f t="shared" si="48"/>
        <v>0</v>
      </c>
      <c r="BC122" s="7">
        <f t="shared" si="49"/>
        <v>0.7314814814814814</v>
      </c>
      <c r="BD122" s="7">
        <f t="shared" si="50"/>
        <v>7.407407407407407E-2</v>
      </c>
      <c r="BE122">
        <f>step3_validation[[#This Row],[AI_OUT1]]</f>
        <v>9</v>
      </c>
      <c r="BF122">
        <f t="shared" si="51"/>
        <v>0.88888888888888884</v>
      </c>
      <c r="BG122">
        <f>survey_responses[[#This Row],[Sau khi xem xét các quyền lợi và nghĩa vụ, bạn có ủng hộ và tuân thủ chính sách mới hiện nay? - HUMAN-OUT1]]</f>
        <v>5</v>
      </c>
      <c r="BH122">
        <f t="shared" si="52"/>
        <v>0.44444444444444442</v>
      </c>
      <c r="BI122" s="32">
        <f t="shared" si="53"/>
        <v>4</v>
      </c>
    </row>
    <row r="123" spans="1:61" x14ac:dyDescent="0.45">
      <c r="A123" s="30">
        <f>step3_validation[[#This Row],[Persona_ID]]</f>
        <v>122</v>
      </c>
      <c r="B123" s="31">
        <f>step3_validation[[#This Row],[Used_Seed]]</f>
        <v>2112</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114.48265751466442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f t="shared" si="27"/>
        <v>0.88888888888888884</v>
      </c>
      <c r="S123">
        <f>survey_responses[[#This Row],[Tôi tin rằng với các quy định quản lý thuế hiện nay, hành vi gian lận hoặc trốn thuế sẽ dễ dàng bị phát hiện và xử lý nghiêm. - HUMAN-ENF1]]</f>
        <v>4</v>
      </c>
      <c r="T123">
        <f t="shared" si="28"/>
        <v>0.33333333333333331</v>
      </c>
      <c r="U123">
        <f>step3_validation[[#This Row],[AI_ENF2]]</f>
        <v>8</v>
      </c>
      <c r="V123">
        <f t="shared" si="29"/>
        <v>0.77777777777777779</v>
      </c>
      <c r="W123">
        <f>survey_responses[[#This Row],[Tôi tin rằng Nhà nước, cơ quan thuế có đủ khả năng và công nghệ để phát hiện, xử lý nghiêm các hành vi trốn thuế. - HUMAN-ENF2]]</f>
        <v>4</v>
      </c>
      <c r="X123">
        <f t="shared" si="30"/>
        <v>0.33333333333333331</v>
      </c>
      <c r="Y123" s="32">
        <f t="shared" si="31"/>
        <v>0.83333333333333326</v>
      </c>
      <c r="Z123" s="32">
        <f t="shared" si="32"/>
        <v>0.33333333333333331</v>
      </c>
      <c r="AA123">
        <f>step3_validation[[#This Row],[AI_FAC1]]</f>
        <v>9</v>
      </c>
      <c r="AB123">
        <f t="shared" si="33"/>
        <v>0.88888888888888884</v>
      </c>
      <c r="AC123">
        <f>survey_responses[[#This Row],[Các thủ tục khai báo thuế VÀ/HOẶC quy trình làm việc với cơ quan thuế đơn giản, tiện lợi, nhanh chóng hơn so với trước đây. - HUMAN-FAC1]]</f>
        <v>2</v>
      </c>
      <c r="AD123">
        <f t="shared" si="34"/>
        <v>0.1111111111111111</v>
      </c>
      <c r="AE123">
        <f>step3_validation[[#This Row],[AI_FAC2]]</f>
        <v>8</v>
      </c>
      <c r="AF123">
        <f t="shared" si="35"/>
        <v>0.77777777777777779</v>
      </c>
      <c r="AG123">
        <f>survey_responses[[#This Row],[So với trước đây, tôi thấy cách tính thuế và các bậc thuế trong phương án mới đơn giản, dễ hiểu và dễ thực hiện hơn. - HUMAN-FAC2]]</f>
        <v>5</v>
      </c>
      <c r="AH123">
        <f t="shared" si="36"/>
        <v>0.44444444444444442</v>
      </c>
      <c r="AI123" s="32">
        <f t="shared" si="37"/>
        <v>0.83333333333333326</v>
      </c>
      <c r="AJ123" s="32">
        <f t="shared" si="38"/>
        <v>0.27777777777777779</v>
      </c>
      <c r="AK123">
        <f>step3_validation[[#This Row],[AI_TRU1]]</f>
        <v>9</v>
      </c>
      <c r="AL123">
        <f t="shared" si="39"/>
        <v>0.88888888888888884</v>
      </c>
      <c r="AM123">
        <f>survey_responses[[#This Row],[Tôi tin rằng Nhà nước, cơ quan thuế sẽ thực thi chính sách mới một cách khách quan, công tâm và đối xử bình đẳng với mọi người nộp thuế.  - HUMAN-TRU1]]</f>
        <v>1</v>
      </c>
      <c r="AN123">
        <f t="shared" si="40"/>
        <v>0</v>
      </c>
      <c r="AO123">
        <f>step3_validation[[#This Row],[AI_TRU2]]</f>
        <v>8</v>
      </c>
      <c r="AP123">
        <f t="shared" si="41"/>
        <v>0.77777777777777779</v>
      </c>
      <c r="AQ123">
        <f>survey_responses[[#This Row],[Tôi thấy mức thuế tôi phải đóng theo phương án mới là công bằng (người thu nhập như tôi đóng mức này là hợp lý). - HUMAN-TRU2]]</f>
        <v>1</v>
      </c>
      <c r="AR123">
        <f t="shared" si="42"/>
        <v>0</v>
      </c>
      <c r="AS123">
        <f>step3_validation[[#This Row],[AI_TRU3]]</f>
        <v>9</v>
      </c>
      <c r="AT123">
        <f t="shared" si="43"/>
        <v>0.88888888888888884</v>
      </c>
      <c r="AU123">
        <f>survey_responses[[#This Row],[Tôi tin tưởng số tiền thuế tôi đóng sẽ được Nhà nước sử dụng hiệu quả để cải thiện dịch vụ công (y tế, đường xá...). - HUMAN-TRU3]]</f>
        <v>1</v>
      </c>
      <c r="AV123">
        <f t="shared" si="44"/>
        <v>0</v>
      </c>
      <c r="AW123">
        <f>step3_validation[[#This Row],[AI_TRU4]]</f>
        <v>8</v>
      </c>
      <c r="AX123">
        <f t="shared" si="45"/>
        <v>0.77777777777777779</v>
      </c>
      <c r="AY123">
        <f>survey_responses[[#This Row],[Tôi thấy Nhà nước đã giải thích rõ ràng, minh bạch về lý do và mục tiêu của việc sửa đổi thuế lần này. - HUMAN-TRU4]]</f>
        <v>4</v>
      </c>
      <c r="AZ123">
        <f t="shared" si="46"/>
        <v>0.33333333333333331</v>
      </c>
      <c r="BA123" s="32">
        <f t="shared" si="47"/>
        <v>0.83333333333333326</v>
      </c>
      <c r="BB123" s="32">
        <f t="shared" si="48"/>
        <v>8.3333333333333329E-2</v>
      </c>
      <c r="BC123" s="7">
        <f t="shared" si="49"/>
        <v>0.83333333333333337</v>
      </c>
      <c r="BD123" s="7">
        <f t="shared" si="50"/>
        <v>0.23148148148148151</v>
      </c>
      <c r="BE123">
        <f>step3_validation[[#This Row],[AI_OUT1]]</f>
        <v>9</v>
      </c>
      <c r="BF123">
        <f t="shared" si="51"/>
        <v>0.88888888888888884</v>
      </c>
      <c r="BG123">
        <f>survey_responses[[#This Row],[Sau khi xem xét các quyền lợi và nghĩa vụ, bạn có ủng hộ và tuân thủ chính sách mới hiện nay? - HUMAN-OUT1]]</f>
        <v>4</v>
      </c>
      <c r="BH123">
        <f t="shared" si="52"/>
        <v>0.33333333333333331</v>
      </c>
      <c r="BI123" s="32">
        <f t="shared" si="53"/>
        <v>5</v>
      </c>
    </row>
    <row r="124" spans="1:61" x14ac:dyDescent="0.45">
      <c r="A124" s="30">
        <f>step3_validation[[#This Row],[Persona_ID]]</f>
        <v>123</v>
      </c>
      <c r="B124" s="31">
        <f>step3_validation[[#This Row],[Used_Seed]]</f>
        <v>2113</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f t="shared" si="27"/>
        <v>0.77777777777777779</v>
      </c>
      <c r="S124">
        <f>survey_responses[[#This Row],[Tôi tin rằng với các quy định quản lý thuế hiện nay, hành vi gian lận hoặc trốn thuế sẽ dễ dàng bị phát hiện và xử lý nghiêm. - HUMAN-ENF1]]</f>
        <v>7</v>
      </c>
      <c r="T124">
        <f t="shared" si="28"/>
        <v>0.66666666666666663</v>
      </c>
      <c r="U124">
        <f>step3_validation[[#This Row],[AI_ENF2]]</f>
        <v>7</v>
      </c>
      <c r="V124">
        <f t="shared" si="29"/>
        <v>0.66666666666666663</v>
      </c>
      <c r="W124">
        <f>survey_responses[[#This Row],[Tôi tin rằng Nhà nước, cơ quan thuế có đủ khả năng và công nghệ để phát hiện, xử lý nghiêm các hành vi trốn thuế. - HUMAN-ENF2]]</f>
        <v>7</v>
      </c>
      <c r="X124">
        <f t="shared" si="30"/>
        <v>0.66666666666666663</v>
      </c>
      <c r="Y124" s="32">
        <f t="shared" si="31"/>
        <v>0.72222222222222221</v>
      </c>
      <c r="Z124" s="32">
        <f t="shared" si="32"/>
        <v>0.66666666666666663</v>
      </c>
      <c r="AA124">
        <f>step3_validation[[#This Row],[AI_FAC1]]</f>
        <v>9</v>
      </c>
      <c r="AB124">
        <f t="shared" si="33"/>
        <v>0.88888888888888884</v>
      </c>
      <c r="AC124">
        <f>survey_responses[[#This Row],[Các thủ tục khai báo thuế VÀ/HOẶC quy trình làm việc với cơ quan thuế đơn giản, tiện lợi, nhanh chóng hơn so với trước đây. - HUMAN-FAC1]]</f>
        <v>7</v>
      </c>
      <c r="AD124">
        <f t="shared" si="34"/>
        <v>0.66666666666666663</v>
      </c>
      <c r="AE124">
        <f>step3_validation[[#This Row],[AI_FAC2]]</f>
        <v>9</v>
      </c>
      <c r="AF124">
        <f t="shared" si="35"/>
        <v>0.88888888888888884</v>
      </c>
      <c r="AG124">
        <f>survey_responses[[#This Row],[So với trước đây, tôi thấy cách tính thuế và các bậc thuế trong phương án mới đơn giản, dễ hiểu và dễ thực hiện hơn. - HUMAN-FAC2]]</f>
        <v>7</v>
      </c>
      <c r="AH124">
        <f t="shared" si="36"/>
        <v>0.66666666666666663</v>
      </c>
      <c r="AI124" s="32">
        <f t="shared" si="37"/>
        <v>0.88888888888888884</v>
      </c>
      <c r="AJ124" s="32">
        <f t="shared" si="38"/>
        <v>0.66666666666666663</v>
      </c>
      <c r="AK124">
        <f>step3_validation[[#This Row],[AI_TRU1]]</f>
        <v>8</v>
      </c>
      <c r="AL124">
        <f t="shared" si="39"/>
        <v>0.77777777777777779</v>
      </c>
      <c r="AM124">
        <f>survey_responses[[#This Row],[Tôi tin rằng Nhà nước, cơ quan thuế sẽ thực thi chính sách mới một cách khách quan, công tâm và đối xử bình đẳng với mọi người nộp thuế.  - HUMAN-TRU1]]</f>
        <v>7</v>
      </c>
      <c r="AN124">
        <f t="shared" si="40"/>
        <v>0.66666666666666663</v>
      </c>
      <c r="AO124">
        <f>step3_validation[[#This Row],[AI_TRU2]]</f>
        <v>9</v>
      </c>
      <c r="AP124">
        <f t="shared" si="41"/>
        <v>0.88888888888888884</v>
      </c>
      <c r="AQ124">
        <f>survey_responses[[#This Row],[Tôi thấy mức thuế tôi phải đóng theo phương án mới là công bằng (người thu nhập như tôi đóng mức này là hợp lý). - HUMAN-TRU2]]</f>
        <v>7</v>
      </c>
      <c r="AR124">
        <f t="shared" si="42"/>
        <v>0.66666666666666663</v>
      </c>
      <c r="AS124">
        <f>step3_validation[[#This Row],[AI_TRU3]]</f>
        <v>8</v>
      </c>
      <c r="AT124">
        <f t="shared" si="43"/>
        <v>0.77777777777777779</v>
      </c>
      <c r="AU124">
        <f>survey_responses[[#This Row],[Tôi tin tưởng số tiền thuế tôi đóng sẽ được Nhà nước sử dụng hiệu quả để cải thiện dịch vụ công (y tế, đường xá...). - HUMAN-TRU3]]</f>
        <v>7</v>
      </c>
      <c r="AV124">
        <f t="shared" si="44"/>
        <v>0.66666666666666663</v>
      </c>
      <c r="AW124">
        <f>step3_validation[[#This Row],[AI_TRU4]]</f>
        <v>9</v>
      </c>
      <c r="AX124">
        <f t="shared" si="45"/>
        <v>0.88888888888888884</v>
      </c>
      <c r="AY124">
        <f>survey_responses[[#This Row],[Tôi thấy Nhà nước đã giải thích rõ ràng, minh bạch về lý do và mục tiêu của việc sửa đổi thuế lần này. - HUMAN-TRU4]]</f>
        <v>7</v>
      </c>
      <c r="AZ124">
        <f t="shared" si="46"/>
        <v>0.66666666666666663</v>
      </c>
      <c r="BA124" s="32">
        <f t="shared" si="47"/>
        <v>0.83333333333333326</v>
      </c>
      <c r="BB124" s="32">
        <f t="shared" si="48"/>
        <v>0.66666666666666663</v>
      </c>
      <c r="BC124" s="7">
        <f t="shared" si="49"/>
        <v>0.81481481481481488</v>
      </c>
      <c r="BD124" s="7">
        <f t="shared" si="50"/>
        <v>0.66666666666666663</v>
      </c>
      <c r="BE124">
        <f>step3_validation[[#This Row],[AI_OUT1]]</f>
        <v>10</v>
      </c>
      <c r="BF124">
        <f t="shared" si="51"/>
        <v>1</v>
      </c>
      <c r="BG124">
        <f>survey_responses[[#This Row],[Sau khi xem xét các quyền lợi và nghĩa vụ, bạn có ủng hộ và tuân thủ chính sách mới hiện nay? - HUMAN-OUT1]]</f>
        <v>8</v>
      </c>
      <c r="BH124">
        <f t="shared" si="52"/>
        <v>0.77777777777777779</v>
      </c>
      <c r="BI124" s="32">
        <f t="shared" si="53"/>
        <v>2</v>
      </c>
    </row>
    <row r="125" spans="1:61" x14ac:dyDescent="0.45">
      <c r="A125" s="30">
        <f>step3_validation[[#This Row],[Persona_ID]]</f>
        <v>124</v>
      </c>
      <c r="B125" s="31">
        <f>step3_validation[[#This Row],[Used_Seed]]</f>
        <v>2114</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43.908955926566975</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f t="shared" si="27"/>
        <v>0.66666666666666663</v>
      </c>
      <c r="S125">
        <f>survey_responses[[#This Row],[Tôi tin rằng với các quy định quản lý thuế hiện nay, hành vi gian lận hoặc trốn thuế sẽ dễ dàng bị phát hiện và xử lý nghiêm. - HUMAN-ENF1]]</f>
        <v>10</v>
      </c>
      <c r="T125">
        <f t="shared" si="28"/>
        <v>1</v>
      </c>
      <c r="U125">
        <f>step3_validation[[#This Row],[AI_ENF2]]</f>
        <v>8</v>
      </c>
      <c r="V125">
        <f t="shared" si="29"/>
        <v>0.77777777777777779</v>
      </c>
      <c r="W125">
        <f>survey_responses[[#This Row],[Tôi tin rằng Nhà nước, cơ quan thuế có đủ khả năng và công nghệ để phát hiện, xử lý nghiêm các hành vi trốn thuế. - HUMAN-ENF2]]</f>
        <v>9</v>
      </c>
      <c r="X125">
        <f t="shared" si="30"/>
        <v>0.88888888888888884</v>
      </c>
      <c r="Y125" s="32">
        <f t="shared" si="31"/>
        <v>0.72222222222222221</v>
      </c>
      <c r="Z125" s="32">
        <f t="shared" si="32"/>
        <v>0.94444444444444442</v>
      </c>
      <c r="AA125">
        <f>step3_validation[[#This Row],[AI_FAC1]]</f>
        <v>9</v>
      </c>
      <c r="AB125">
        <f t="shared" si="33"/>
        <v>0.88888888888888884</v>
      </c>
      <c r="AC125">
        <f>survey_responses[[#This Row],[Các thủ tục khai báo thuế VÀ/HOẶC quy trình làm việc với cơ quan thuế đơn giản, tiện lợi, nhanh chóng hơn so với trước đây. - HUMAN-FAC1]]</f>
        <v>10</v>
      </c>
      <c r="AD125">
        <f t="shared" si="34"/>
        <v>1</v>
      </c>
      <c r="AE125">
        <f>step3_validation[[#This Row],[AI_FAC2]]</f>
        <v>8</v>
      </c>
      <c r="AF125">
        <f t="shared" si="35"/>
        <v>0.77777777777777779</v>
      </c>
      <c r="AG125">
        <f>survey_responses[[#This Row],[So với trước đây, tôi thấy cách tính thuế và các bậc thuế trong phương án mới đơn giản, dễ hiểu và dễ thực hiện hơn. - HUMAN-FAC2]]</f>
        <v>10</v>
      </c>
      <c r="AH125">
        <f t="shared" si="36"/>
        <v>1</v>
      </c>
      <c r="AI125" s="32">
        <f t="shared" si="37"/>
        <v>0.83333333333333326</v>
      </c>
      <c r="AJ125" s="32">
        <f t="shared" si="38"/>
        <v>1</v>
      </c>
      <c r="AK125">
        <f>step3_validation[[#This Row],[AI_TRU1]]</f>
        <v>7</v>
      </c>
      <c r="AL125">
        <f t="shared" si="39"/>
        <v>0.66666666666666663</v>
      </c>
      <c r="AM125">
        <f>survey_responses[[#This Row],[Tôi tin rằng Nhà nước, cơ quan thuế sẽ thực thi chính sách mới một cách khách quan, công tâm và đối xử bình đẳng với mọi người nộp thuế.  - HUMAN-TRU1]]</f>
        <v>10</v>
      </c>
      <c r="AN125">
        <f t="shared" si="40"/>
        <v>1</v>
      </c>
      <c r="AO125">
        <f>step3_validation[[#This Row],[AI_TRU2]]</f>
        <v>9</v>
      </c>
      <c r="AP125">
        <f t="shared" si="41"/>
        <v>0.88888888888888884</v>
      </c>
      <c r="AQ125">
        <f>survey_responses[[#This Row],[Tôi thấy mức thuế tôi phải đóng theo phương án mới là công bằng (người thu nhập như tôi đóng mức này là hợp lý). - HUMAN-TRU2]]</f>
        <v>8</v>
      </c>
      <c r="AR125">
        <f t="shared" si="42"/>
        <v>0.77777777777777779</v>
      </c>
      <c r="AS125">
        <f>step3_validation[[#This Row],[AI_TRU3]]</f>
        <v>7</v>
      </c>
      <c r="AT125">
        <f t="shared" si="43"/>
        <v>0.66666666666666663</v>
      </c>
      <c r="AU125">
        <f>survey_responses[[#This Row],[Tôi tin tưởng số tiền thuế tôi đóng sẽ được Nhà nước sử dụng hiệu quả để cải thiện dịch vụ công (y tế, đường xá...). - HUMAN-TRU3]]</f>
        <v>9</v>
      </c>
      <c r="AV125">
        <f t="shared" si="44"/>
        <v>0.88888888888888884</v>
      </c>
      <c r="AW125">
        <f>step3_validation[[#This Row],[AI_TRU4]]</f>
        <v>8</v>
      </c>
      <c r="AX125">
        <f t="shared" si="45"/>
        <v>0.77777777777777779</v>
      </c>
      <c r="AY125">
        <f>survey_responses[[#This Row],[Tôi thấy Nhà nước đã giải thích rõ ràng, minh bạch về lý do và mục tiêu của việc sửa đổi thuế lần này. - HUMAN-TRU4]]</f>
        <v>9</v>
      </c>
      <c r="AZ125">
        <f t="shared" si="46"/>
        <v>0.88888888888888884</v>
      </c>
      <c r="BA125" s="32">
        <f t="shared" si="47"/>
        <v>0.74999999999999989</v>
      </c>
      <c r="BB125" s="32">
        <f t="shared" si="48"/>
        <v>0.88888888888888884</v>
      </c>
      <c r="BC125" s="7">
        <f t="shared" si="49"/>
        <v>0.76851851851851849</v>
      </c>
      <c r="BD125" s="7">
        <f t="shared" si="50"/>
        <v>0.94444444444444431</v>
      </c>
      <c r="BE125">
        <f>step3_validation[[#This Row],[AI_OUT1]]</f>
        <v>9</v>
      </c>
      <c r="BF125">
        <f t="shared" si="51"/>
        <v>0.88888888888888884</v>
      </c>
      <c r="BG125">
        <f>survey_responses[[#This Row],[Sau khi xem xét các quyền lợi và nghĩa vụ, bạn có ủng hộ và tuân thủ chính sách mới hiện nay? - HUMAN-OUT1]]</f>
        <v>9</v>
      </c>
      <c r="BH125">
        <f t="shared" si="52"/>
        <v>0.88888888888888884</v>
      </c>
      <c r="BI125" s="32">
        <f t="shared" si="53"/>
        <v>0</v>
      </c>
    </row>
    <row r="126" spans="1:61" x14ac:dyDescent="0.45">
      <c r="A126" s="30">
        <f>step3_validation[[#This Row],[Persona_ID]]</f>
        <v>125</v>
      </c>
      <c r="B126" s="31">
        <f>step3_validation[[#This Row],[Used_Seed]]</f>
        <v>2115</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14.281202914237561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7</v>
      </c>
      <c r="R126">
        <f t="shared" si="27"/>
        <v>0.66666666666666663</v>
      </c>
      <c r="S126">
        <f>survey_responses[[#This Row],[Tôi tin rằng với các quy định quản lý thuế hiện nay, hành vi gian lận hoặc trốn thuế sẽ dễ dàng bị phát hiện và xử lý nghiêm. - HUMAN-ENF1]]</f>
        <v>10</v>
      </c>
      <c r="T126">
        <f t="shared" si="28"/>
        <v>1</v>
      </c>
      <c r="U126">
        <f>step3_validation[[#This Row],[AI_ENF2]]</f>
        <v>8</v>
      </c>
      <c r="V126">
        <f t="shared" si="29"/>
        <v>0.77777777777777779</v>
      </c>
      <c r="W126">
        <f>survey_responses[[#This Row],[Tôi tin rằng Nhà nước, cơ quan thuế có đủ khả năng và công nghệ để phát hiện, xử lý nghiêm các hành vi trốn thuế. - HUMAN-ENF2]]</f>
        <v>10</v>
      </c>
      <c r="X126">
        <f t="shared" si="30"/>
        <v>1</v>
      </c>
      <c r="Y126" s="32">
        <f t="shared" si="31"/>
        <v>0.72222222222222221</v>
      </c>
      <c r="Z126" s="32">
        <f t="shared" si="32"/>
        <v>1</v>
      </c>
      <c r="AA126">
        <f>step3_validation[[#This Row],[AI_FAC1]]</f>
        <v>6</v>
      </c>
      <c r="AB126">
        <f t="shared" si="33"/>
        <v>0.55555555555555558</v>
      </c>
      <c r="AC126">
        <f>survey_responses[[#This Row],[Các thủ tục khai báo thuế VÀ/HOẶC quy trình làm việc với cơ quan thuế đơn giản, tiện lợi, nhanh chóng hơn so với trước đây. - HUMAN-FAC1]]</f>
        <v>10</v>
      </c>
      <c r="AD126">
        <f t="shared" si="34"/>
        <v>1</v>
      </c>
      <c r="AE126">
        <f>step3_validation[[#This Row],[AI_FAC2]]</f>
        <v>9</v>
      </c>
      <c r="AF126">
        <f t="shared" si="35"/>
        <v>0.88888888888888884</v>
      </c>
      <c r="AG126">
        <f>survey_responses[[#This Row],[So với trước đây, tôi thấy cách tính thuế và các bậc thuế trong phương án mới đơn giản, dễ hiểu và dễ thực hiện hơn. - HUMAN-FAC2]]</f>
        <v>10</v>
      </c>
      <c r="AH126">
        <f t="shared" si="36"/>
        <v>1</v>
      </c>
      <c r="AI126" s="32">
        <f t="shared" si="37"/>
        <v>0.72222222222222221</v>
      </c>
      <c r="AJ126" s="32">
        <f t="shared" si="38"/>
        <v>1</v>
      </c>
      <c r="AK126">
        <f>step3_validation[[#This Row],[AI_TRU1]]</f>
        <v>7</v>
      </c>
      <c r="AL126">
        <f t="shared" si="39"/>
        <v>0.66666666666666663</v>
      </c>
      <c r="AM126">
        <f>survey_responses[[#This Row],[Tôi tin rằng Nhà nước, cơ quan thuế sẽ thực thi chính sách mới một cách khách quan, công tâm và đối xử bình đẳng với mọi người nộp thuế.  - HUMAN-TRU1]]</f>
        <v>10</v>
      </c>
      <c r="AN126">
        <f t="shared" si="40"/>
        <v>1</v>
      </c>
      <c r="AO126">
        <f>step3_validation[[#This Row],[AI_TRU2]]</f>
        <v>8</v>
      </c>
      <c r="AP126">
        <f t="shared" si="41"/>
        <v>0.77777777777777779</v>
      </c>
      <c r="AQ126">
        <f>survey_responses[[#This Row],[Tôi thấy mức thuế tôi phải đóng theo phương án mới là công bằng (người thu nhập như tôi đóng mức này là hợp lý). - HUMAN-TRU2]]</f>
        <v>10</v>
      </c>
      <c r="AR126">
        <f t="shared" si="42"/>
        <v>1</v>
      </c>
      <c r="AS126">
        <f>step3_validation[[#This Row],[AI_TRU3]]</f>
        <v>7</v>
      </c>
      <c r="AT126">
        <f t="shared" si="43"/>
        <v>0.66666666666666663</v>
      </c>
      <c r="AU126">
        <f>survey_responses[[#This Row],[Tôi tin tưởng số tiền thuế tôi đóng sẽ được Nhà nước sử dụng hiệu quả để cải thiện dịch vụ công (y tế, đường xá...). - HUMAN-TRU3]]</f>
        <v>10</v>
      </c>
      <c r="AV126">
        <f t="shared" si="44"/>
        <v>1</v>
      </c>
      <c r="AW126">
        <f>step3_validation[[#This Row],[AI_TRU4]]</f>
        <v>6</v>
      </c>
      <c r="AX126">
        <f t="shared" si="45"/>
        <v>0.55555555555555558</v>
      </c>
      <c r="AY126">
        <f>survey_responses[[#This Row],[Tôi thấy Nhà nước đã giải thích rõ ràng, minh bạch về lý do và mục tiêu của việc sửa đổi thuế lần này. - HUMAN-TRU4]]</f>
        <v>10</v>
      </c>
      <c r="AZ126">
        <f t="shared" si="46"/>
        <v>1</v>
      </c>
      <c r="BA126" s="32">
        <f t="shared" si="47"/>
        <v>0.66666666666666674</v>
      </c>
      <c r="BB126" s="32">
        <f t="shared" si="48"/>
        <v>1</v>
      </c>
      <c r="BC126" s="7">
        <f t="shared" si="49"/>
        <v>0.70370370370370372</v>
      </c>
      <c r="BD126" s="7">
        <f t="shared" si="50"/>
        <v>1</v>
      </c>
      <c r="BE126">
        <f>step3_validation[[#This Row],[AI_OUT1]]</f>
        <v>8</v>
      </c>
      <c r="BF126">
        <f t="shared" si="51"/>
        <v>0.77777777777777779</v>
      </c>
      <c r="BG126">
        <f>survey_responses[[#This Row],[Sau khi xem xét các quyền lợi và nghĩa vụ, bạn có ủng hộ và tuân thủ chính sách mới hiện nay? - HUMAN-OUT1]]</f>
        <v>10</v>
      </c>
      <c r="BH126">
        <f t="shared" si="52"/>
        <v>1</v>
      </c>
      <c r="BI126" s="32">
        <f t="shared" si="53"/>
        <v>2</v>
      </c>
    </row>
    <row r="127" spans="1:61" x14ac:dyDescent="0.45">
      <c r="A127" s="30">
        <f>step3_validation[[#This Row],[Persona_ID]]</f>
        <v>126</v>
      </c>
      <c r="B127" s="31">
        <f>step3_validation[[#This Row],[Used_Seed]]</f>
        <v>2116</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29.500889130141879</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f t="shared" si="27"/>
        <v>0.66666666666666663</v>
      </c>
      <c r="S127">
        <f>survey_responses[[#This Row],[Tôi tin rằng với các quy định quản lý thuế hiện nay, hành vi gian lận hoặc trốn thuế sẽ dễ dàng bị phát hiện và xử lý nghiêm. - HUMAN-ENF1]]</f>
        <v>8</v>
      </c>
      <c r="T127">
        <f t="shared" si="28"/>
        <v>0.77777777777777779</v>
      </c>
      <c r="U127">
        <f>step3_validation[[#This Row],[AI_ENF2]]</f>
        <v>8</v>
      </c>
      <c r="V127">
        <f t="shared" si="29"/>
        <v>0.77777777777777779</v>
      </c>
      <c r="W127">
        <f>survey_responses[[#This Row],[Tôi tin rằng Nhà nước, cơ quan thuế có đủ khả năng và công nghệ để phát hiện, xử lý nghiêm các hành vi trốn thuế. - HUMAN-ENF2]]</f>
        <v>8</v>
      </c>
      <c r="X127">
        <f t="shared" si="30"/>
        <v>0.77777777777777779</v>
      </c>
      <c r="Y127" s="32">
        <f t="shared" si="31"/>
        <v>0.72222222222222221</v>
      </c>
      <c r="Z127" s="32">
        <f t="shared" si="32"/>
        <v>0.77777777777777779</v>
      </c>
      <c r="AA127">
        <f>step3_validation[[#This Row],[AI_FAC1]]</f>
        <v>6</v>
      </c>
      <c r="AB127">
        <f t="shared" si="33"/>
        <v>0.55555555555555558</v>
      </c>
      <c r="AC127">
        <f>survey_responses[[#This Row],[Các thủ tục khai báo thuế VÀ/HOẶC quy trình làm việc với cơ quan thuế đơn giản, tiện lợi, nhanh chóng hơn so với trước đây. - HUMAN-FAC1]]</f>
        <v>5</v>
      </c>
      <c r="AD127">
        <f t="shared" si="34"/>
        <v>0.44444444444444442</v>
      </c>
      <c r="AE127">
        <f>step3_validation[[#This Row],[AI_FAC2]]</f>
        <v>5</v>
      </c>
      <c r="AF127">
        <f t="shared" si="35"/>
        <v>0.44444444444444442</v>
      </c>
      <c r="AG127">
        <f>survey_responses[[#This Row],[So với trước đây, tôi thấy cách tính thuế và các bậc thuế trong phương án mới đơn giản, dễ hiểu và dễ thực hiện hơn. - HUMAN-FAC2]]</f>
        <v>8</v>
      </c>
      <c r="AH127">
        <f t="shared" si="36"/>
        <v>0.77777777777777779</v>
      </c>
      <c r="AI127" s="32">
        <f t="shared" si="37"/>
        <v>0.5</v>
      </c>
      <c r="AJ127" s="32">
        <f t="shared" si="38"/>
        <v>0.61111111111111116</v>
      </c>
      <c r="AK127">
        <f>step3_validation[[#This Row],[AI_TRU1]]</f>
        <v>7</v>
      </c>
      <c r="AL127">
        <f t="shared" si="39"/>
        <v>0.66666666666666663</v>
      </c>
      <c r="AM127">
        <f>survey_responses[[#This Row],[Tôi tin rằng Nhà nước, cơ quan thuế sẽ thực thi chính sách mới một cách khách quan, công tâm và đối xử bình đẳng với mọi người nộp thuế.  - HUMAN-TRU1]]</f>
        <v>8</v>
      </c>
      <c r="AN127">
        <f t="shared" si="40"/>
        <v>0.77777777777777779</v>
      </c>
      <c r="AO127">
        <f>step3_validation[[#This Row],[AI_TRU2]]</f>
        <v>6</v>
      </c>
      <c r="AP127">
        <f t="shared" si="41"/>
        <v>0.55555555555555558</v>
      </c>
      <c r="AQ127">
        <f>survey_responses[[#This Row],[Tôi thấy mức thuế tôi phải đóng theo phương án mới là công bằng (người thu nhập như tôi đóng mức này là hợp lý). - HUMAN-TRU2]]</f>
        <v>8</v>
      </c>
      <c r="AR127">
        <f t="shared" si="42"/>
        <v>0.77777777777777779</v>
      </c>
      <c r="AS127">
        <f>step3_validation[[#This Row],[AI_TRU3]]</f>
        <v>7</v>
      </c>
      <c r="AT127">
        <f t="shared" si="43"/>
        <v>0.66666666666666663</v>
      </c>
      <c r="AU127">
        <f>survey_responses[[#This Row],[Tôi tin tưởng số tiền thuế tôi đóng sẽ được Nhà nước sử dụng hiệu quả để cải thiện dịch vụ công (y tế, đường xá...). - HUMAN-TRU3]]</f>
        <v>7</v>
      </c>
      <c r="AV127">
        <f t="shared" si="44"/>
        <v>0.66666666666666663</v>
      </c>
      <c r="AW127">
        <f>step3_validation[[#This Row],[AI_TRU4]]</f>
        <v>6</v>
      </c>
      <c r="AX127">
        <f t="shared" si="45"/>
        <v>0.55555555555555558</v>
      </c>
      <c r="AY127">
        <f>survey_responses[[#This Row],[Tôi thấy Nhà nước đã giải thích rõ ràng, minh bạch về lý do và mục tiêu của việc sửa đổi thuế lần này. - HUMAN-TRU4]]</f>
        <v>7</v>
      </c>
      <c r="AZ127">
        <f t="shared" si="46"/>
        <v>0.66666666666666663</v>
      </c>
      <c r="BA127" s="32">
        <f t="shared" si="47"/>
        <v>0.61111111111111116</v>
      </c>
      <c r="BB127" s="32">
        <f t="shared" si="48"/>
        <v>0.72222222222222221</v>
      </c>
      <c r="BC127" s="7">
        <f t="shared" si="49"/>
        <v>0.61111111111111116</v>
      </c>
      <c r="BD127" s="7">
        <f t="shared" si="50"/>
        <v>0.70370370370370372</v>
      </c>
      <c r="BE127">
        <f>step3_validation[[#This Row],[AI_OUT1]]</f>
        <v>8</v>
      </c>
      <c r="BF127">
        <f t="shared" si="51"/>
        <v>0.77777777777777779</v>
      </c>
      <c r="BG127">
        <f>survey_responses[[#This Row],[Sau khi xem xét các quyền lợi và nghĩa vụ, bạn có ủng hộ và tuân thủ chính sách mới hiện nay? - HUMAN-OUT1]]</f>
        <v>8</v>
      </c>
      <c r="BH127">
        <f t="shared" si="52"/>
        <v>0.77777777777777779</v>
      </c>
      <c r="BI127" s="32">
        <f t="shared" si="53"/>
        <v>0</v>
      </c>
    </row>
    <row r="128" spans="1:61" x14ac:dyDescent="0.45">
      <c r="A128" s="30">
        <f>step3_validation[[#This Row],[Persona_ID]]</f>
        <v>127</v>
      </c>
      <c r="B128" s="31">
        <f>step3_validation[[#This Row],[Used_Seed]]</f>
        <v>2117</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152.15850504787139</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f t="shared" si="27"/>
        <v>0.66666666666666663</v>
      </c>
      <c r="S128">
        <f>survey_responses[[#This Row],[Tôi tin rằng với các quy định quản lý thuế hiện nay, hành vi gian lận hoặc trốn thuế sẽ dễ dàng bị phát hiện và xử lý nghiêm. - HUMAN-ENF1]]</f>
        <v>1</v>
      </c>
      <c r="T128">
        <f t="shared" si="28"/>
        <v>0</v>
      </c>
      <c r="U128">
        <f>step3_validation[[#This Row],[AI_ENF2]]</f>
        <v>6</v>
      </c>
      <c r="V128">
        <f t="shared" si="29"/>
        <v>0.55555555555555558</v>
      </c>
      <c r="W128">
        <f>survey_responses[[#This Row],[Tôi tin rằng Nhà nước, cơ quan thuế có đủ khả năng và công nghệ để phát hiện, xử lý nghiêm các hành vi trốn thuế. - HUMAN-ENF2]]</f>
        <v>1</v>
      </c>
      <c r="X128">
        <f t="shared" si="30"/>
        <v>0</v>
      </c>
      <c r="Y128" s="32">
        <f t="shared" si="31"/>
        <v>0.61111111111111116</v>
      </c>
      <c r="Z128" s="32">
        <f t="shared" si="32"/>
        <v>0</v>
      </c>
      <c r="AA128">
        <f>step3_validation[[#This Row],[AI_FAC1]]</f>
        <v>9</v>
      </c>
      <c r="AB128">
        <f t="shared" si="33"/>
        <v>0.88888888888888884</v>
      </c>
      <c r="AC128">
        <f>survey_responses[[#This Row],[Các thủ tục khai báo thuế VÀ/HOẶC quy trình làm việc với cơ quan thuế đơn giản, tiện lợi, nhanh chóng hơn so với trước đây. - HUMAN-FAC1]]</f>
        <v>1</v>
      </c>
      <c r="AD128">
        <f t="shared" si="34"/>
        <v>0</v>
      </c>
      <c r="AE128">
        <f>step3_validation[[#This Row],[AI_FAC2]]</f>
        <v>8</v>
      </c>
      <c r="AF128">
        <f t="shared" si="35"/>
        <v>0.77777777777777779</v>
      </c>
      <c r="AG128">
        <f>survey_responses[[#This Row],[So với trước đây, tôi thấy cách tính thuế và các bậc thuế trong phương án mới đơn giản, dễ hiểu và dễ thực hiện hơn. - HUMAN-FAC2]]</f>
        <v>5</v>
      </c>
      <c r="AH128">
        <f t="shared" si="36"/>
        <v>0.44444444444444442</v>
      </c>
      <c r="AI128" s="32">
        <f t="shared" si="37"/>
        <v>0.83333333333333326</v>
      </c>
      <c r="AJ128" s="32">
        <f t="shared" si="38"/>
        <v>0.22222222222222221</v>
      </c>
      <c r="AK128">
        <f>step3_validation[[#This Row],[AI_TRU1]]</f>
        <v>7</v>
      </c>
      <c r="AL128">
        <f t="shared" si="39"/>
        <v>0.66666666666666663</v>
      </c>
      <c r="AM128">
        <f>survey_responses[[#This Row],[Tôi tin rằng Nhà nước, cơ quan thuế sẽ thực thi chính sách mới một cách khách quan, công tâm và đối xử bình đẳng với mọi người nộp thuế.  - HUMAN-TRU1]]</f>
        <v>1</v>
      </c>
      <c r="AN128">
        <f t="shared" si="40"/>
        <v>0</v>
      </c>
      <c r="AO128">
        <f>step3_validation[[#This Row],[AI_TRU2]]</f>
        <v>8</v>
      </c>
      <c r="AP128">
        <f t="shared" si="41"/>
        <v>0.77777777777777779</v>
      </c>
      <c r="AQ128">
        <f>survey_responses[[#This Row],[Tôi thấy mức thuế tôi phải đóng theo phương án mới là công bằng (người thu nhập như tôi đóng mức này là hợp lý). - HUMAN-TRU2]]</f>
        <v>1</v>
      </c>
      <c r="AR128">
        <f t="shared" si="42"/>
        <v>0</v>
      </c>
      <c r="AS128">
        <f>step3_validation[[#This Row],[AI_TRU3]]</f>
        <v>7</v>
      </c>
      <c r="AT128">
        <f t="shared" si="43"/>
        <v>0.66666666666666663</v>
      </c>
      <c r="AU128">
        <f>survey_responses[[#This Row],[Tôi tin tưởng số tiền thuế tôi đóng sẽ được Nhà nước sử dụng hiệu quả để cải thiện dịch vụ công (y tế, đường xá...). - HUMAN-TRU3]]</f>
        <v>1</v>
      </c>
      <c r="AV128">
        <f t="shared" si="44"/>
        <v>0</v>
      </c>
      <c r="AW128">
        <f>step3_validation[[#This Row],[AI_TRU4]]</f>
        <v>6</v>
      </c>
      <c r="AX128">
        <f t="shared" si="45"/>
        <v>0.55555555555555558</v>
      </c>
      <c r="AY128">
        <f>survey_responses[[#This Row],[Tôi thấy Nhà nước đã giải thích rõ ràng, minh bạch về lý do và mục tiêu của việc sửa đổi thuế lần này. - HUMAN-TRU4]]</f>
        <v>5</v>
      </c>
      <c r="AZ128">
        <f t="shared" si="46"/>
        <v>0.44444444444444442</v>
      </c>
      <c r="BA128" s="32">
        <f t="shared" si="47"/>
        <v>0.66666666666666674</v>
      </c>
      <c r="BB128" s="32">
        <f t="shared" si="48"/>
        <v>0.1111111111111111</v>
      </c>
      <c r="BC128" s="7">
        <f t="shared" si="49"/>
        <v>0.70370370370370372</v>
      </c>
      <c r="BD128" s="7">
        <f t="shared" si="50"/>
        <v>0.1111111111111111</v>
      </c>
      <c r="BE128">
        <f>step3_validation[[#This Row],[AI_OUT1]]</f>
        <v>8</v>
      </c>
      <c r="BF128">
        <f t="shared" si="51"/>
        <v>0.77777777777777779</v>
      </c>
      <c r="BG128">
        <f>survey_responses[[#This Row],[Sau khi xem xét các quyền lợi và nghĩa vụ, bạn có ủng hộ và tuân thủ chính sách mới hiện nay? - HUMAN-OUT1]]</f>
        <v>5</v>
      </c>
      <c r="BH128">
        <f t="shared" si="52"/>
        <v>0.44444444444444442</v>
      </c>
      <c r="BI128" s="32">
        <f t="shared" si="53"/>
        <v>3</v>
      </c>
    </row>
    <row r="129" spans="1:61" x14ac:dyDescent="0.45">
      <c r="A129" s="30">
        <f>step3_validation[[#This Row],[Persona_ID]]</f>
        <v>128</v>
      </c>
      <c r="B129" s="31">
        <f>step3_validation[[#This Row],[Used_Seed]]</f>
        <v>2118</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149.1450310838473</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f t="shared" si="27"/>
        <v>0.66666666666666663</v>
      </c>
      <c r="S129">
        <f>survey_responses[[#This Row],[Tôi tin rằng với các quy định quản lý thuế hiện nay, hành vi gian lận hoặc trốn thuế sẽ dễ dàng bị phát hiện và xử lý nghiêm. - HUMAN-ENF1]]</f>
        <v>6</v>
      </c>
      <c r="T129">
        <f t="shared" si="28"/>
        <v>0.55555555555555558</v>
      </c>
      <c r="U129">
        <f>step3_validation[[#This Row],[AI_ENF2]]</f>
        <v>8</v>
      </c>
      <c r="V129">
        <f t="shared" si="29"/>
        <v>0.77777777777777779</v>
      </c>
      <c r="W129">
        <f>survey_responses[[#This Row],[Tôi tin rằng Nhà nước, cơ quan thuế có đủ khả năng và công nghệ để phát hiện, xử lý nghiêm các hành vi trốn thuế. - HUMAN-ENF2]]</f>
        <v>6</v>
      </c>
      <c r="X129">
        <f t="shared" si="30"/>
        <v>0.55555555555555558</v>
      </c>
      <c r="Y129" s="32">
        <f t="shared" si="31"/>
        <v>0.72222222222222221</v>
      </c>
      <c r="Z129" s="32">
        <f t="shared" si="32"/>
        <v>0.55555555555555558</v>
      </c>
      <c r="AA129">
        <f>step3_validation[[#This Row],[AI_FAC1]]</f>
        <v>9</v>
      </c>
      <c r="AB129">
        <f t="shared" si="33"/>
        <v>0.88888888888888884</v>
      </c>
      <c r="AC129">
        <f>survey_responses[[#This Row],[Các thủ tục khai báo thuế VÀ/HOẶC quy trình làm việc với cơ quan thuế đơn giản, tiện lợi, nhanh chóng hơn so với trước đây. - HUMAN-FAC1]]</f>
        <v>6</v>
      </c>
      <c r="AD129">
        <f t="shared" si="34"/>
        <v>0.55555555555555558</v>
      </c>
      <c r="AE129">
        <f>step3_validation[[#This Row],[AI_FAC2]]</f>
        <v>8</v>
      </c>
      <c r="AF129">
        <f t="shared" si="35"/>
        <v>0.77777777777777779</v>
      </c>
      <c r="AG129">
        <f>survey_responses[[#This Row],[So với trước đây, tôi thấy cách tính thuế và các bậc thuế trong phương án mới đơn giản, dễ hiểu và dễ thực hiện hơn. - HUMAN-FAC2]]</f>
        <v>8</v>
      </c>
      <c r="AH129">
        <f t="shared" si="36"/>
        <v>0.77777777777777779</v>
      </c>
      <c r="AI129" s="32">
        <f t="shared" si="37"/>
        <v>0.83333333333333326</v>
      </c>
      <c r="AJ129" s="32">
        <f t="shared" si="38"/>
        <v>0.66666666666666674</v>
      </c>
      <c r="AK129">
        <f>step3_validation[[#This Row],[AI_TRU1]]</f>
        <v>9</v>
      </c>
      <c r="AL129">
        <f t="shared" si="39"/>
        <v>0.88888888888888884</v>
      </c>
      <c r="AM129">
        <f>survey_responses[[#This Row],[Tôi tin rằng Nhà nước, cơ quan thuế sẽ thực thi chính sách mới một cách khách quan, công tâm và đối xử bình đẳng với mọi người nộp thuế.  - HUMAN-TRU1]]</f>
        <v>6</v>
      </c>
      <c r="AN129">
        <f t="shared" si="40"/>
        <v>0.55555555555555558</v>
      </c>
      <c r="AO129">
        <f>step3_validation[[#This Row],[AI_TRU2]]</f>
        <v>9</v>
      </c>
      <c r="AP129">
        <f t="shared" si="41"/>
        <v>0.88888888888888884</v>
      </c>
      <c r="AQ129">
        <f>survey_responses[[#This Row],[Tôi thấy mức thuế tôi phải đóng theo phương án mới là công bằng (người thu nhập như tôi đóng mức này là hợp lý). - HUMAN-TRU2]]</f>
        <v>3</v>
      </c>
      <c r="AR129">
        <f t="shared" si="42"/>
        <v>0.22222222222222221</v>
      </c>
      <c r="AS129">
        <f>step3_validation[[#This Row],[AI_TRU3]]</f>
        <v>9</v>
      </c>
      <c r="AT129">
        <f t="shared" si="43"/>
        <v>0.88888888888888884</v>
      </c>
      <c r="AU129">
        <f>survey_responses[[#This Row],[Tôi tin tưởng số tiền thuế tôi đóng sẽ được Nhà nước sử dụng hiệu quả để cải thiện dịch vụ công (y tế, đường xá...). - HUMAN-TRU3]]</f>
        <v>5</v>
      </c>
      <c r="AV129">
        <f t="shared" si="44"/>
        <v>0.44444444444444442</v>
      </c>
      <c r="AW129">
        <f>step3_validation[[#This Row],[AI_TRU4]]</f>
        <v>7</v>
      </c>
      <c r="AX129">
        <f t="shared" si="45"/>
        <v>0.66666666666666663</v>
      </c>
      <c r="AY129">
        <f>survey_responses[[#This Row],[Tôi thấy Nhà nước đã giải thích rõ ràng, minh bạch về lý do và mục tiêu của việc sửa đổi thuế lần này. - HUMAN-TRU4]]</f>
        <v>5</v>
      </c>
      <c r="AZ129">
        <f t="shared" si="46"/>
        <v>0.44444444444444442</v>
      </c>
      <c r="BA129" s="32">
        <f t="shared" si="47"/>
        <v>0.83333333333333326</v>
      </c>
      <c r="BB129" s="32">
        <f t="shared" si="48"/>
        <v>0.41666666666666669</v>
      </c>
      <c r="BC129" s="7">
        <f t="shared" si="49"/>
        <v>0.79629629629629617</v>
      </c>
      <c r="BD129" s="7">
        <f t="shared" si="50"/>
        <v>0.54629629629629639</v>
      </c>
      <c r="BE129">
        <f>step3_validation[[#This Row],[AI_OUT1]]</f>
        <v>9</v>
      </c>
      <c r="BF129">
        <f t="shared" si="51"/>
        <v>0.88888888888888884</v>
      </c>
      <c r="BG129">
        <f>survey_responses[[#This Row],[Sau khi xem xét các quyền lợi và nghĩa vụ, bạn có ủng hộ và tuân thủ chính sách mới hiện nay? - HUMAN-OUT1]]</f>
        <v>4</v>
      </c>
      <c r="BH129">
        <f t="shared" si="52"/>
        <v>0.33333333333333331</v>
      </c>
      <c r="BI129" s="32">
        <f t="shared" si="53"/>
        <v>5</v>
      </c>
    </row>
    <row r="130" spans="1:61" x14ac:dyDescent="0.45">
      <c r="A130" s="30">
        <f>step3_validation[[#This Row],[Persona_ID]]</f>
        <v>129</v>
      </c>
      <c r="B130" s="31">
        <f>step3_validation[[#This Row],[Used_Seed]]</f>
        <v>2119</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118.84447262218022</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9</v>
      </c>
      <c r="R130">
        <f t="shared" si="27"/>
        <v>0.88888888888888884</v>
      </c>
      <c r="S130">
        <f>survey_responses[[#This Row],[Tôi tin rằng với các quy định quản lý thuế hiện nay, hành vi gian lận hoặc trốn thuế sẽ dễ dàng bị phát hiện và xử lý nghiêm. - HUMAN-ENF1]]</f>
        <v>6</v>
      </c>
      <c r="T130">
        <f t="shared" si="28"/>
        <v>0.55555555555555558</v>
      </c>
      <c r="U130">
        <f>step3_validation[[#This Row],[AI_ENF2]]</f>
        <v>8</v>
      </c>
      <c r="V130">
        <f t="shared" si="29"/>
        <v>0.77777777777777779</v>
      </c>
      <c r="W130">
        <f>survey_responses[[#This Row],[Tôi tin rằng Nhà nước, cơ quan thuế có đủ khả năng và công nghệ để phát hiện, xử lý nghiêm các hành vi trốn thuế. - HUMAN-ENF2]]</f>
        <v>6</v>
      </c>
      <c r="X130">
        <f t="shared" si="30"/>
        <v>0.55555555555555558</v>
      </c>
      <c r="Y130" s="32">
        <f t="shared" si="31"/>
        <v>0.83333333333333326</v>
      </c>
      <c r="Z130" s="32">
        <f t="shared" si="32"/>
        <v>0.55555555555555558</v>
      </c>
      <c r="AA130">
        <f>step3_validation[[#This Row],[AI_FAC1]]</f>
        <v>9</v>
      </c>
      <c r="AB130">
        <f t="shared" si="33"/>
        <v>0.88888888888888884</v>
      </c>
      <c r="AC130">
        <f>survey_responses[[#This Row],[Các thủ tục khai báo thuế VÀ/HOẶC quy trình làm việc với cơ quan thuế đơn giản, tiện lợi, nhanh chóng hơn so với trước đây. - HUMAN-FAC1]]</f>
        <v>4</v>
      </c>
      <c r="AD130">
        <f t="shared" si="34"/>
        <v>0.33333333333333331</v>
      </c>
      <c r="AE130">
        <f>step3_validation[[#This Row],[AI_FAC2]]</f>
        <v>8</v>
      </c>
      <c r="AF130">
        <f t="shared" si="35"/>
        <v>0.77777777777777779</v>
      </c>
      <c r="AG130">
        <f>survey_responses[[#This Row],[So với trước đây, tôi thấy cách tính thuế và các bậc thuế trong phương án mới đơn giản, dễ hiểu và dễ thực hiện hơn. - HUMAN-FAC2]]</f>
        <v>5</v>
      </c>
      <c r="AH130">
        <f t="shared" si="36"/>
        <v>0.44444444444444442</v>
      </c>
      <c r="AI130" s="32">
        <f t="shared" si="37"/>
        <v>0.83333333333333326</v>
      </c>
      <c r="AJ130" s="32">
        <f t="shared" si="38"/>
        <v>0.38888888888888884</v>
      </c>
      <c r="AK130">
        <f>step3_validation[[#This Row],[AI_TRU1]]</f>
        <v>9</v>
      </c>
      <c r="AL130">
        <f t="shared" si="39"/>
        <v>0.88888888888888884</v>
      </c>
      <c r="AM130">
        <f>survey_responses[[#This Row],[Tôi tin rằng Nhà nước, cơ quan thuế sẽ thực thi chính sách mới một cách khách quan, công tâm và đối xử bình đẳng với mọi người nộp thuế.  - HUMAN-TRU1]]</f>
        <v>5</v>
      </c>
      <c r="AN130">
        <f t="shared" si="40"/>
        <v>0.44444444444444442</v>
      </c>
      <c r="AO130">
        <f>step3_validation[[#This Row],[AI_TRU2]]</f>
        <v>8</v>
      </c>
      <c r="AP130">
        <f t="shared" si="41"/>
        <v>0.77777777777777779</v>
      </c>
      <c r="AQ130">
        <f>survey_responses[[#This Row],[Tôi thấy mức thuế tôi phải đóng theo phương án mới là công bằng (người thu nhập như tôi đóng mức này là hợp lý). - HUMAN-TRU2]]</f>
        <v>1</v>
      </c>
      <c r="AR130">
        <f t="shared" si="42"/>
        <v>0</v>
      </c>
      <c r="AS130">
        <f>step3_validation[[#This Row],[AI_TRU3]]</f>
        <v>9</v>
      </c>
      <c r="AT130">
        <f t="shared" si="43"/>
        <v>0.88888888888888884</v>
      </c>
      <c r="AU130">
        <f>survey_responses[[#This Row],[Tôi tin tưởng số tiền thuế tôi đóng sẽ được Nhà nước sử dụng hiệu quả để cải thiện dịch vụ công (y tế, đường xá...). - HUMAN-TRU3]]</f>
        <v>5</v>
      </c>
      <c r="AV130">
        <f t="shared" si="44"/>
        <v>0.44444444444444442</v>
      </c>
      <c r="AW130">
        <f>step3_validation[[#This Row],[AI_TRU4]]</f>
        <v>8</v>
      </c>
      <c r="AX130">
        <f t="shared" si="45"/>
        <v>0.77777777777777779</v>
      </c>
      <c r="AY130">
        <f>survey_responses[[#This Row],[Tôi thấy Nhà nước đã giải thích rõ ràng, minh bạch về lý do và mục tiêu của việc sửa đổi thuế lần này. - HUMAN-TRU4]]</f>
        <v>4</v>
      </c>
      <c r="AZ130">
        <f t="shared" si="46"/>
        <v>0.33333333333333331</v>
      </c>
      <c r="BA130" s="32">
        <f t="shared" si="47"/>
        <v>0.83333333333333326</v>
      </c>
      <c r="BB130" s="32">
        <f t="shared" si="48"/>
        <v>0.30555555555555552</v>
      </c>
      <c r="BC130" s="7">
        <f t="shared" si="49"/>
        <v>0.83333333333333337</v>
      </c>
      <c r="BD130" s="7">
        <f t="shared" si="50"/>
        <v>0.41666666666666669</v>
      </c>
      <c r="BE130">
        <f>step3_validation[[#This Row],[AI_OUT1]]</f>
        <v>9</v>
      </c>
      <c r="BF130">
        <f t="shared" si="51"/>
        <v>0.88888888888888884</v>
      </c>
      <c r="BG130">
        <f>survey_responses[[#This Row],[Sau khi xem xét các quyền lợi và nghĩa vụ, bạn có ủng hộ và tuân thủ chính sách mới hiện nay? - HUMAN-OUT1]]</f>
        <v>5</v>
      </c>
      <c r="BH130">
        <f t="shared" si="52"/>
        <v>0.44444444444444442</v>
      </c>
      <c r="BI130" s="32">
        <f t="shared" si="53"/>
        <v>4</v>
      </c>
    </row>
    <row r="131" spans="1:61" x14ac:dyDescent="0.45">
      <c r="A131" s="30">
        <f>step3_validation[[#This Row],[Persona_ID]]</f>
        <v>130</v>
      </c>
      <c r="B131" s="31">
        <f>step3_validation[[#This Row],[Used_Seed]]</f>
        <v>2120</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71.647553831807301</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7</v>
      </c>
      <c r="R131">
        <f t="shared" ref="R131:R194" si="54">(Q131-1)/9</f>
        <v>0.66666666666666663</v>
      </c>
      <c r="S131">
        <f>survey_responses[[#This Row],[Tôi tin rằng với các quy định quản lý thuế hiện nay, hành vi gian lận hoặc trốn thuế sẽ dễ dàng bị phát hiện và xử lý nghiêm. - HUMAN-ENF1]]</f>
        <v>5</v>
      </c>
      <c r="T131">
        <f t="shared" ref="T131:T194" si="55">(S131-1)/9</f>
        <v>0.44444444444444442</v>
      </c>
      <c r="U131">
        <f>step3_validation[[#This Row],[AI_ENF2]]</f>
        <v>6</v>
      </c>
      <c r="V131">
        <f t="shared" ref="V131:V194" si="56">(U131-1)/9</f>
        <v>0.55555555555555558</v>
      </c>
      <c r="W131">
        <f>survey_responses[[#This Row],[Tôi tin rằng Nhà nước, cơ quan thuế có đủ khả năng và công nghệ để phát hiện, xử lý nghiêm các hành vi trốn thuế. - HUMAN-ENF2]]</f>
        <v>5</v>
      </c>
      <c r="X131">
        <f t="shared" ref="X131:X194" si="57">(W131-1)/9</f>
        <v>0.44444444444444442</v>
      </c>
      <c r="Y131" s="32">
        <f t="shared" ref="Y131:Y194" si="58">AVERAGE(R131,V131)</f>
        <v>0.61111111111111116</v>
      </c>
      <c r="Z131" s="32">
        <f t="shared" ref="Z131:Z194" si="59">AVERAGE(T131,X131)</f>
        <v>0.44444444444444442</v>
      </c>
      <c r="AA131">
        <f>step3_validation[[#This Row],[AI_FAC1]]</f>
        <v>8</v>
      </c>
      <c r="AB131">
        <f t="shared" ref="AB131:AB194" si="60">(AA131-1)/9</f>
        <v>0.77777777777777779</v>
      </c>
      <c r="AC131">
        <f>survey_responses[[#This Row],[Các thủ tục khai báo thuế VÀ/HOẶC quy trình làm việc với cơ quan thuế đơn giản, tiện lợi, nhanh chóng hơn so với trước đây. - HUMAN-FAC1]]</f>
        <v>1</v>
      </c>
      <c r="AD131">
        <f t="shared" ref="AD131:AD194" si="61">(AC131-1)/9</f>
        <v>0</v>
      </c>
      <c r="AE131">
        <f>step3_validation[[#This Row],[AI_FAC2]]</f>
        <v>9</v>
      </c>
      <c r="AF131">
        <f t="shared" ref="AF131:AF194" si="62">(AE131-1)/9</f>
        <v>0.88888888888888884</v>
      </c>
      <c r="AG131">
        <f>survey_responses[[#This Row],[So với trước đây, tôi thấy cách tính thuế và các bậc thuế trong phương án mới đơn giản, dễ hiểu và dễ thực hiện hơn. - HUMAN-FAC2]]</f>
        <v>4</v>
      </c>
      <c r="AH131">
        <f t="shared" ref="AH131:AH194" si="63">(AG131-1)/9</f>
        <v>0.33333333333333331</v>
      </c>
      <c r="AI131" s="32">
        <f t="shared" ref="AI131:AI194" si="64">AVERAGE(AB131,AF131)</f>
        <v>0.83333333333333326</v>
      </c>
      <c r="AJ131" s="32">
        <f t="shared" ref="AJ131:AJ194" si="65">AVERAGE(AD131,AH131)</f>
        <v>0.16666666666666666</v>
      </c>
      <c r="AK131">
        <f>step3_validation[[#This Row],[AI_TRU1]]</f>
        <v>7</v>
      </c>
      <c r="AL131">
        <f t="shared" ref="AL131:AL194" si="66">(AK131-1)/9</f>
        <v>0.66666666666666663</v>
      </c>
      <c r="AM131">
        <f>survey_responses[[#This Row],[Tôi tin rằng Nhà nước, cơ quan thuế sẽ thực thi chính sách mới một cách khách quan, công tâm và đối xử bình đẳng với mọi người nộp thuế.  - HUMAN-TRU1]]</f>
        <v>2</v>
      </c>
      <c r="AN131">
        <f t="shared" ref="AN131:AN194" si="67">(AM131-1)/9</f>
        <v>0.1111111111111111</v>
      </c>
      <c r="AO131">
        <f>step3_validation[[#This Row],[AI_TRU2]]</f>
        <v>8</v>
      </c>
      <c r="AP131">
        <f t="shared" ref="AP131:AP194" si="68">(AO131-1)/9</f>
        <v>0.77777777777777779</v>
      </c>
      <c r="AQ131">
        <f>survey_responses[[#This Row],[Tôi thấy mức thuế tôi phải đóng theo phương án mới là công bằng (người thu nhập như tôi đóng mức này là hợp lý). - HUMAN-TRU2]]</f>
        <v>1</v>
      </c>
      <c r="AR131">
        <f t="shared" ref="AR131:AR194" si="69">(AQ131-1)/9</f>
        <v>0</v>
      </c>
      <c r="AS131">
        <f>step3_validation[[#This Row],[AI_TRU3]]</f>
        <v>7</v>
      </c>
      <c r="AT131">
        <f t="shared" ref="AT131:AT194" si="70">(AS131-1)/9</f>
        <v>0.66666666666666663</v>
      </c>
      <c r="AU131">
        <f>survey_responses[[#This Row],[Tôi tin tưởng số tiền thuế tôi đóng sẽ được Nhà nước sử dụng hiệu quả để cải thiện dịch vụ công (y tế, đường xá...). - HUMAN-TRU3]]</f>
        <v>1</v>
      </c>
      <c r="AV131">
        <f t="shared" ref="AV131:AV194" si="71">(AU131-1)/9</f>
        <v>0</v>
      </c>
      <c r="AW131">
        <f>step3_validation[[#This Row],[AI_TRU4]]</f>
        <v>6</v>
      </c>
      <c r="AX131">
        <f t="shared" ref="AX131:AX194" si="72">(AW131-1)/9</f>
        <v>0.55555555555555558</v>
      </c>
      <c r="AY131">
        <f>survey_responses[[#This Row],[Tôi thấy Nhà nước đã giải thích rõ ràng, minh bạch về lý do và mục tiêu của việc sửa đổi thuế lần này. - HUMAN-TRU4]]</f>
        <v>1</v>
      </c>
      <c r="AZ131">
        <f t="shared" ref="AZ131:AZ194" si="73">(AY131-1)/9</f>
        <v>0</v>
      </c>
      <c r="BA131" s="32">
        <f t="shared" ref="BA131:BA194" si="74">AVERAGE(AL131,AP131,AT131,AX131)</f>
        <v>0.66666666666666674</v>
      </c>
      <c r="BB131" s="32">
        <f t="shared" ref="BB131:BB194" si="75">AVERAGE(AN131,AR131,AV131,AZ131)</f>
        <v>2.7777777777777776E-2</v>
      </c>
      <c r="BC131" s="7">
        <f t="shared" ref="BC131:BC194" si="76">(Y131+AI131+BA131)/3</f>
        <v>0.70370370370370372</v>
      </c>
      <c r="BD131" s="7">
        <f t="shared" ref="BD131:BD194" si="77">(Z131+AJ131+BB131)/3</f>
        <v>0.21296296296296294</v>
      </c>
      <c r="BE131">
        <f>step3_validation[[#This Row],[AI_OUT1]]</f>
        <v>9</v>
      </c>
      <c r="BF131">
        <f t="shared" ref="BF131:BF194" si="78">(BE131-1)/9</f>
        <v>0.88888888888888884</v>
      </c>
      <c r="BG131">
        <f>survey_responses[[#This Row],[Sau khi xem xét các quyền lợi và nghĩa vụ, bạn có ủng hộ và tuân thủ chính sách mới hiện nay? - HUMAN-OUT1]]</f>
        <v>5</v>
      </c>
      <c r="BH131">
        <f t="shared" ref="BH131:BH194" si="79">(BG131-1)/9</f>
        <v>0.44444444444444442</v>
      </c>
      <c r="BI131" s="32">
        <f t="shared" ref="BI131:BI194" si="80">ABS(BG131-BE131)</f>
        <v>4</v>
      </c>
    </row>
    <row r="132" spans="1:61" x14ac:dyDescent="0.45">
      <c r="A132" s="30">
        <f>step3_validation[[#This Row],[Persona_ID]]</f>
        <v>131</v>
      </c>
      <c r="B132" s="31">
        <f>step3_validation[[#This Row],[Used_Seed]]</f>
        <v>2121</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84.822633815383583</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8</v>
      </c>
      <c r="R132">
        <f t="shared" si="54"/>
        <v>0.77777777777777779</v>
      </c>
      <c r="S132">
        <f>survey_responses[[#This Row],[Tôi tin rằng với các quy định quản lý thuế hiện nay, hành vi gian lận hoặc trốn thuế sẽ dễ dàng bị phát hiện và xử lý nghiêm. - HUMAN-ENF1]]</f>
        <v>8</v>
      </c>
      <c r="T132">
        <f t="shared" si="55"/>
        <v>0.77777777777777779</v>
      </c>
      <c r="U132">
        <f>step3_validation[[#This Row],[AI_ENF2]]</f>
        <v>8</v>
      </c>
      <c r="V132">
        <f t="shared" si="56"/>
        <v>0.77777777777777779</v>
      </c>
      <c r="W132">
        <f>survey_responses[[#This Row],[Tôi tin rằng Nhà nước, cơ quan thuế có đủ khả năng và công nghệ để phát hiện, xử lý nghiêm các hành vi trốn thuế. - HUMAN-ENF2]]</f>
        <v>9</v>
      </c>
      <c r="X132">
        <f t="shared" si="57"/>
        <v>0.88888888888888884</v>
      </c>
      <c r="Y132" s="32">
        <f t="shared" si="58"/>
        <v>0.77777777777777779</v>
      </c>
      <c r="Z132" s="32">
        <f t="shared" si="59"/>
        <v>0.83333333333333326</v>
      </c>
      <c r="AA132">
        <f>step3_validation[[#This Row],[AI_FAC1]]</f>
        <v>9</v>
      </c>
      <c r="AB132">
        <f t="shared" si="60"/>
        <v>0.88888888888888884</v>
      </c>
      <c r="AC132">
        <f>survey_responses[[#This Row],[Các thủ tục khai báo thuế VÀ/HOẶC quy trình làm việc với cơ quan thuế đơn giản, tiện lợi, nhanh chóng hơn so với trước đây. - HUMAN-FAC1]]</f>
        <v>5</v>
      </c>
      <c r="AD132">
        <f t="shared" si="61"/>
        <v>0.44444444444444442</v>
      </c>
      <c r="AE132">
        <f>step3_validation[[#This Row],[AI_FAC2]]</f>
        <v>9</v>
      </c>
      <c r="AF132">
        <f t="shared" si="62"/>
        <v>0.88888888888888884</v>
      </c>
      <c r="AG132">
        <f>survey_responses[[#This Row],[So với trước đây, tôi thấy cách tính thuế và các bậc thuế trong phương án mới đơn giản, dễ hiểu và dễ thực hiện hơn. - HUMAN-FAC2]]</f>
        <v>5</v>
      </c>
      <c r="AH132">
        <f t="shared" si="63"/>
        <v>0.44444444444444442</v>
      </c>
      <c r="AI132" s="32">
        <f t="shared" si="64"/>
        <v>0.88888888888888884</v>
      </c>
      <c r="AJ132" s="32">
        <f t="shared" si="65"/>
        <v>0.44444444444444442</v>
      </c>
      <c r="AK132">
        <f>step3_validation[[#This Row],[AI_TRU1]]</f>
        <v>8</v>
      </c>
      <c r="AL132">
        <f t="shared" si="66"/>
        <v>0.77777777777777779</v>
      </c>
      <c r="AM132">
        <f>survey_responses[[#This Row],[Tôi tin rằng Nhà nước, cơ quan thuế sẽ thực thi chính sách mới một cách khách quan, công tâm và đối xử bình đẳng với mọi người nộp thuế.  - HUMAN-TRU1]]</f>
        <v>5</v>
      </c>
      <c r="AN132">
        <f t="shared" si="67"/>
        <v>0.44444444444444442</v>
      </c>
      <c r="AO132">
        <f>step3_validation[[#This Row],[AI_TRU2]]</f>
        <v>8</v>
      </c>
      <c r="AP132">
        <f t="shared" si="68"/>
        <v>0.77777777777777779</v>
      </c>
      <c r="AQ132">
        <f>survey_responses[[#This Row],[Tôi thấy mức thuế tôi phải đóng theo phương án mới là công bằng (người thu nhập như tôi đóng mức này là hợp lý). - HUMAN-TRU2]]</f>
        <v>4</v>
      </c>
      <c r="AR132">
        <f t="shared" si="69"/>
        <v>0.33333333333333331</v>
      </c>
      <c r="AS132">
        <f>step3_validation[[#This Row],[AI_TRU3]]</f>
        <v>8</v>
      </c>
      <c r="AT132">
        <f t="shared" si="70"/>
        <v>0.77777777777777779</v>
      </c>
      <c r="AU132">
        <f>survey_responses[[#This Row],[Tôi tin tưởng số tiền thuế tôi đóng sẽ được Nhà nước sử dụng hiệu quả để cải thiện dịch vụ công (y tế, đường xá...). - HUMAN-TRU3]]</f>
        <v>5</v>
      </c>
      <c r="AV132">
        <f t="shared" si="71"/>
        <v>0.44444444444444442</v>
      </c>
      <c r="AW132">
        <f>step3_validation[[#This Row],[AI_TRU4]]</f>
        <v>8</v>
      </c>
      <c r="AX132">
        <f t="shared" si="72"/>
        <v>0.77777777777777779</v>
      </c>
      <c r="AY132">
        <f>survey_responses[[#This Row],[Tôi thấy Nhà nước đã giải thích rõ ràng, minh bạch về lý do và mục tiêu của việc sửa đổi thuế lần này. - HUMAN-TRU4]]</f>
        <v>5</v>
      </c>
      <c r="AZ132">
        <f t="shared" si="73"/>
        <v>0.44444444444444442</v>
      </c>
      <c r="BA132" s="32">
        <f t="shared" si="74"/>
        <v>0.77777777777777779</v>
      </c>
      <c r="BB132" s="32">
        <f t="shared" si="75"/>
        <v>0.41666666666666663</v>
      </c>
      <c r="BC132" s="7">
        <f t="shared" si="76"/>
        <v>0.81481481481481477</v>
      </c>
      <c r="BD132" s="7">
        <f t="shared" si="77"/>
        <v>0.56481481481481477</v>
      </c>
      <c r="BE132">
        <f>step3_validation[[#This Row],[AI_OUT1]]</f>
        <v>9</v>
      </c>
      <c r="BF132">
        <f t="shared" si="78"/>
        <v>0.88888888888888884</v>
      </c>
      <c r="BG132">
        <f>survey_responses[[#This Row],[Sau khi xem xét các quyền lợi và nghĩa vụ, bạn có ủng hộ và tuân thủ chính sách mới hiện nay? - HUMAN-OUT1]]</f>
        <v>5</v>
      </c>
      <c r="BH132">
        <f t="shared" si="79"/>
        <v>0.44444444444444442</v>
      </c>
      <c r="BI132" s="32">
        <f t="shared" si="80"/>
        <v>4</v>
      </c>
    </row>
    <row r="133" spans="1:61" x14ac:dyDescent="0.45">
      <c r="A133" s="30">
        <f>step3_validation[[#This Row],[Persona_ID]]</f>
        <v>132</v>
      </c>
      <c r="B133" s="31">
        <f>step3_validation[[#This Row],[Used_Seed]]</f>
        <v>2122</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15.286572647208111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8</v>
      </c>
      <c r="R133">
        <f t="shared" si="54"/>
        <v>0.77777777777777779</v>
      </c>
      <c r="S133">
        <f>survey_responses[[#This Row],[Tôi tin rằng với các quy định quản lý thuế hiện nay, hành vi gian lận hoặc trốn thuế sẽ dễ dàng bị phát hiện và xử lý nghiêm. - HUMAN-ENF1]]</f>
        <v>9</v>
      </c>
      <c r="T133">
        <f t="shared" si="55"/>
        <v>0.88888888888888884</v>
      </c>
      <c r="U133">
        <f>step3_validation[[#This Row],[AI_ENF2]]</f>
        <v>9</v>
      </c>
      <c r="V133">
        <f t="shared" si="56"/>
        <v>0.88888888888888884</v>
      </c>
      <c r="W133">
        <f>survey_responses[[#This Row],[Tôi tin rằng Nhà nước, cơ quan thuế có đủ khả năng và công nghệ để phát hiện, xử lý nghiêm các hành vi trốn thuế. - HUMAN-ENF2]]</f>
        <v>9</v>
      </c>
      <c r="X133">
        <f t="shared" si="57"/>
        <v>0.88888888888888884</v>
      </c>
      <c r="Y133" s="32">
        <f t="shared" si="58"/>
        <v>0.83333333333333326</v>
      </c>
      <c r="Z133" s="32">
        <f t="shared" si="59"/>
        <v>0.88888888888888884</v>
      </c>
      <c r="AA133">
        <f>step3_validation[[#This Row],[AI_FAC1]]</f>
        <v>10</v>
      </c>
      <c r="AB133">
        <f t="shared" si="60"/>
        <v>1</v>
      </c>
      <c r="AC133">
        <f>survey_responses[[#This Row],[Các thủ tục khai báo thuế VÀ/HOẶC quy trình làm việc với cơ quan thuế đơn giản, tiện lợi, nhanh chóng hơn so với trước đây. - HUMAN-FAC1]]</f>
        <v>9</v>
      </c>
      <c r="AD133">
        <f t="shared" si="61"/>
        <v>0.88888888888888884</v>
      </c>
      <c r="AE133">
        <f>step3_validation[[#This Row],[AI_FAC2]]</f>
        <v>9</v>
      </c>
      <c r="AF133">
        <f t="shared" si="62"/>
        <v>0.88888888888888884</v>
      </c>
      <c r="AG133">
        <f>survey_responses[[#This Row],[So với trước đây, tôi thấy cách tính thuế và các bậc thuế trong phương án mới đơn giản, dễ hiểu và dễ thực hiện hơn. - HUMAN-FAC2]]</f>
        <v>9</v>
      </c>
      <c r="AH133">
        <f t="shared" si="63"/>
        <v>0.88888888888888884</v>
      </c>
      <c r="AI133" s="32">
        <f t="shared" si="64"/>
        <v>0.94444444444444442</v>
      </c>
      <c r="AJ133" s="32">
        <f t="shared" si="65"/>
        <v>0.88888888888888884</v>
      </c>
      <c r="AK133">
        <f>step3_validation[[#This Row],[AI_TRU1]]</f>
        <v>8</v>
      </c>
      <c r="AL133">
        <f t="shared" si="66"/>
        <v>0.77777777777777779</v>
      </c>
      <c r="AM133">
        <f>survey_responses[[#This Row],[Tôi tin rằng Nhà nước, cơ quan thuế sẽ thực thi chính sách mới một cách khách quan, công tâm và đối xử bình đẳng với mọi người nộp thuế.  - HUMAN-TRU1]]</f>
        <v>7</v>
      </c>
      <c r="AN133">
        <f t="shared" si="67"/>
        <v>0.66666666666666663</v>
      </c>
      <c r="AO133">
        <f>step3_validation[[#This Row],[AI_TRU2]]</f>
        <v>9</v>
      </c>
      <c r="AP133">
        <f t="shared" si="68"/>
        <v>0.88888888888888884</v>
      </c>
      <c r="AQ133">
        <f>survey_responses[[#This Row],[Tôi thấy mức thuế tôi phải đóng theo phương án mới là công bằng (người thu nhập như tôi đóng mức này là hợp lý). - HUMAN-TRU2]]</f>
        <v>10</v>
      </c>
      <c r="AR133">
        <f t="shared" si="69"/>
        <v>1</v>
      </c>
      <c r="AS133">
        <f>step3_validation[[#This Row],[AI_TRU3]]</f>
        <v>8</v>
      </c>
      <c r="AT133">
        <f t="shared" si="70"/>
        <v>0.77777777777777779</v>
      </c>
      <c r="AU133">
        <f>survey_responses[[#This Row],[Tôi tin tưởng số tiền thuế tôi đóng sẽ được Nhà nước sử dụng hiệu quả để cải thiện dịch vụ công (y tế, đường xá...). - HUMAN-TRU3]]</f>
        <v>5</v>
      </c>
      <c r="AV133">
        <f t="shared" si="71"/>
        <v>0.44444444444444442</v>
      </c>
      <c r="AW133">
        <f>step3_validation[[#This Row],[AI_TRU4]]</f>
        <v>9</v>
      </c>
      <c r="AX133">
        <f t="shared" si="72"/>
        <v>0.88888888888888884</v>
      </c>
      <c r="AY133">
        <f>survey_responses[[#This Row],[Tôi thấy Nhà nước đã giải thích rõ ràng, minh bạch về lý do và mục tiêu của việc sửa đổi thuế lần này. - HUMAN-TRU4]]</f>
        <v>5</v>
      </c>
      <c r="AZ133">
        <f t="shared" si="73"/>
        <v>0.44444444444444442</v>
      </c>
      <c r="BA133" s="32">
        <f t="shared" si="74"/>
        <v>0.83333333333333326</v>
      </c>
      <c r="BB133" s="32">
        <f t="shared" si="75"/>
        <v>0.63888888888888884</v>
      </c>
      <c r="BC133" s="7">
        <f t="shared" si="76"/>
        <v>0.87037037037037024</v>
      </c>
      <c r="BD133" s="7">
        <f t="shared" si="77"/>
        <v>0.80555555555555547</v>
      </c>
      <c r="BE133">
        <f>step3_validation[[#This Row],[AI_OUT1]]</f>
        <v>10</v>
      </c>
      <c r="BF133">
        <f t="shared" si="78"/>
        <v>1</v>
      </c>
      <c r="BG133">
        <f>survey_responses[[#This Row],[Sau khi xem xét các quyền lợi và nghĩa vụ, bạn có ủng hộ và tuân thủ chính sách mới hiện nay? - HUMAN-OUT1]]</f>
        <v>9</v>
      </c>
      <c r="BH133">
        <f t="shared" si="79"/>
        <v>0.88888888888888884</v>
      </c>
      <c r="BI133" s="32">
        <f t="shared" si="80"/>
        <v>1</v>
      </c>
    </row>
    <row r="134" spans="1:61" x14ac:dyDescent="0.45">
      <c r="A134" s="30">
        <f>step3_validation[[#This Row],[Persona_ID]]</f>
        <v>133</v>
      </c>
      <c r="B134" s="31">
        <f>step3_validation[[#This Row],[Used_Seed]]</f>
        <v>2123</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35.477346230917526</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9</v>
      </c>
      <c r="R134">
        <f t="shared" si="54"/>
        <v>0.88888888888888884</v>
      </c>
      <c r="S134">
        <f>survey_responses[[#This Row],[Tôi tin rằng với các quy định quản lý thuế hiện nay, hành vi gian lận hoặc trốn thuế sẽ dễ dàng bị phát hiện và xử lý nghiêm. - HUMAN-ENF1]]</f>
        <v>5</v>
      </c>
      <c r="T134">
        <f t="shared" si="55"/>
        <v>0.44444444444444442</v>
      </c>
      <c r="U134">
        <f>step3_validation[[#This Row],[AI_ENF2]]</f>
        <v>8</v>
      </c>
      <c r="V134">
        <f t="shared" si="56"/>
        <v>0.77777777777777779</v>
      </c>
      <c r="W134">
        <f>survey_responses[[#This Row],[Tôi tin rằng Nhà nước, cơ quan thuế có đủ khả năng và công nghệ để phát hiện, xử lý nghiêm các hành vi trốn thuế. - HUMAN-ENF2]]</f>
        <v>5</v>
      </c>
      <c r="X134">
        <f t="shared" si="57"/>
        <v>0.44444444444444442</v>
      </c>
      <c r="Y134" s="32">
        <f t="shared" si="58"/>
        <v>0.83333333333333326</v>
      </c>
      <c r="Z134" s="32">
        <f t="shared" si="59"/>
        <v>0.44444444444444442</v>
      </c>
      <c r="AA134">
        <f>step3_validation[[#This Row],[AI_FAC1]]</f>
        <v>9</v>
      </c>
      <c r="AB134">
        <f t="shared" si="60"/>
        <v>0.88888888888888884</v>
      </c>
      <c r="AC134">
        <f>survey_responses[[#This Row],[Các thủ tục khai báo thuế VÀ/HOẶC quy trình làm việc với cơ quan thuế đơn giản, tiện lợi, nhanh chóng hơn so với trước đây. - HUMAN-FAC1]]</f>
        <v>5</v>
      </c>
      <c r="AD134">
        <f t="shared" si="61"/>
        <v>0.44444444444444442</v>
      </c>
      <c r="AE134">
        <f>step3_validation[[#This Row],[AI_FAC2]]</f>
        <v>8</v>
      </c>
      <c r="AF134">
        <f t="shared" si="62"/>
        <v>0.77777777777777779</v>
      </c>
      <c r="AG134">
        <f>survey_responses[[#This Row],[So với trước đây, tôi thấy cách tính thuế và các bậc thuế trong phương án mới đơn giản, dễ hiểu và dễ thực hiện hơn. - HUMAN-FAC2]]</f>
        <v>5</v>
      </c>
      <c r="AH134">
        <f t="shared" si="63"/>
        <v>0.44444444444444442</v>
      </c>
      <c r="AI134" s="32">
        <f t="shared" si="64"/>
        <v>0.83333333333333326</v>
      </c>
      <c r="AJ134" s="32">
        <f t="shared" si="65"/>
        <v>0.44444444444444442</v>
      </c>
      <c r="AK134">
        <f>step3_validation[[#This Row],[AI_TRU1]]</f>
        <v>9</v>
      </c>
      <c r="AL134">
        <f t="shared" si="66"/>
        <v>0.88888888888888884</v>
      </c>
      <c r="AM134">
        <f>survey_responses[[#This Row],[Tôi tin rằng Nhà nước, cơ quan thuế sẽ thực thi chính sách mới một cách khách quan, công tâm và đối xử bình đẳng với mọi người nộp thuế.  - HUMAN-TRU1]]</f>
        <v>5</v>
      </c>
      <c r="AN134">
        <f t="shared" si="67"/>
        <v>0.44444444444444442</v>
      </c>
      <c r="AO134">
        <f>step3_validation[[#This Row],[AI_TRU2]]</f>
        <v>8</v>
      </c>
      <c r="AP134">
        <f t="shared" si="68"/>
        <v>0.77777777777777779</v>
      </c>
      <c r="AQ134">
        <f>survey_responses[[#This Row],[Tôi thấy mức thuế tôi phải đóng theo phương án mới là công bằng (người thu nhập như tôi đóng mức này là hợp lý). - HUMAN-TRU2]]</f>
        <v>5</v>
      </c>
      <c r="AR134">
        <f t="shared" si="69"/>
        <v>0.44444444444444442</v>
      </c>
      <c r="AS134">
        <f>step3_validation[[#This Row],[AI_TRU3]]</f>
        <v>9</v>
      </c>
      <c r="AT134">
        <f t="shared" si="70"/>
        <v>0.88888888888888884</v>
      </c>
      <c r="AU134">
        <f>survey_responses[[#This Row],[Tôi tin tưởng số tiền thuế tôi đóng sẽ được Nhà nước sử dụng hiệu quả để cải thiện dịch vụ công (y tế, đường xá...). - HUMAN-TRU3]]</f>
        <v>5</v>
      </c>
      <c r="AV134">
        <f t="shared" si="71"/>
        <v>0.44444444444444442</v>
      </c>
      <c r="AW134">
        <f>step3_validation[[#This Row],[AI_TRU4]]</f>
        <v>8</v>
      </c>
      <c r="AX134">
        <f t="shared" si="72"/>
        <v>0.77777777777777779</v>
      </c>
      <c r="AY134">
        <f>survey_responses[[#This Row],[Tôi thấy Nhà nước đã giải thích rõ ràng, minh bạch về lý do và mục tiêu của việc sửa đổi thuế lần này. - HUMAN-TRU4]]</f>
        <v>5</v>
      </c>
      <c r="AZ134">
        <f t="shared" si="73"/>
        <v>0.44444444444444442</v>
      </c>
      <c r="BA134" s="32">
        <f t="shared" si="74"/>
        <v>0.83333333333333326</v>
      </c>
      <c r="BB134" s="32">
        <f t="shared" si="75"/>
        <v>0.44444444444444442</v>
      </c>
      <c r="BC134" s="7">
        <f t="shared" si="76"/>
        <v>0.83333333333333337</v>
      </c>
      <c r="BD134" s="7">
        <f t="shared" si="77"/>
        <v>0.44444444444444442</v>
      </c>
      <c r="BE134">
        <f>step3_validation[[#This Row],[AI_OUT1]]</f>
        <v>9</v>
      </c>
      <c r="BF134">
        <f t="shared" si="78"/>
        <v>0.88888888888888884</v>
      </c>
      <c r="BG134">
        <f>survey_responses[[#This Row],[Sau khi xem xét các quyền lợi và nghĩa vụ, bạn có ủng hộ và tuân thủ chính sách mới hiện nay? - HUMAN-OUT1]]</f>
        <v>5</v>
      </c>
      <c r="BH134">
        <f t="shared" si="79"/>
        <v>0.44444444444444442</v>
      </c>
      <c r="BI134" s="32">
        <f t="shared" si="80"/>
        <v>4</v>
      </c>
    </row>
    <row r="135" spans="1:61" x14ac:dyDescent="0.45">
      <c r="A135" s="30">
        <f>step3_validation[[#This Row],[Persona_ID]]</f>
        <v>134</v>
      </c>
      <c r="B135" s="31">
        <f>step3_validation[[#This Row],[Used_Seed]]</f>
        <v>2124</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19.621506850513263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8</v>
      </c>
      <c r="R135">
        <f t="shared" si="54"/>
        <v>0.77777777777777779</v>
      </c>
      <c r="S135">
        <f>survey_responses[[#This Row],[Tôi tin rằng với các quy định quản lý thuế hiện nay, hành vi gian lận hoặc trốn thuế sẽ dễ dàng bị phát hiện và xử lý nghiêm. - HUMAN-ENF1]]</f>
        <v>9</v>
      </c>
      <c r="T135">
        <f t="shared" si="55"/>
        <v>0.88888888888888884</v>
      </c>
      <c r="U135">
        <f>step3_validation[[#This Row],[AI_ENF2]]</f>
        <v>8</v>
      </c>
      <c r="V135">
        <f t="shared" si="56"/>
        <v>0.77777777777777779</v>
      </c>
      <c r="W135">
        <f>survey_responses[[#This Row],[Tôi tin rằng Nhà nước, cơ quan thuế có đủ khả năng và công nghệ để phát hiện, xử lý nghiêm các hành vi trốn thuế. - HUMAN-ENF2]]</f>
        <v>9</v>
      </c>
      <c r="X135">
        <f t="shared" si="57"/>
        <v>0.88888888888888884</v>
      </c>
      <c r="Y135" s="32">
        <f t="shared" si="58"/>
        <v>0.77777777777777779</v>
      </c>
      <c r="Z135" s="32">
        <f t="shared" si="59"/>
        <v>0.88888888888888884</v>
      </c>
      <c r="AA135">
        <f>step3_validation[[#This Row],[AI_FAC1]]</f>
        <v>7</v>
      </c>
      <c r="AB135">
        <f t="shared" si="60"/>
        <v>0.66666666666666663</v>
      </c>
      <c r="AC135">
        <f>survey_responses[[#This Row],[Các thủ tục khai báo thuế VÀ/HOẶC quy trình làm việc với cơ quan thuế đơn giản, tiện lợi, nhanh chóng hơn so với trước đây. - HUMAN-FAC1]]</f>
        <v>5</v>
      </c>
      <c r="AD135">
        <f t="shared" si="61"/>
        <v>0.44444444444444442</v>
      </c>
      <c r="AE135">
        <f>step3_validation[[#This Row],[AI_FAC2]]</f>
        <v>9</v>
      </c>
      <c r="AF135">
        <f t="shared" si="62"/>
        <v>0.88888888888888884</v>
      </c>
      <c r="AG135">
        <f>survey_responses[[#This Row],[So với trước đây, tôi thấy cách tính thuế và các bậc thuế trong phương án mới đơn giản, dễ hiểu và dễ thực hiện hơn. - HUMAN-FAC2]]</f>
        <v>9</v>
      </c>
      <c r="AH135">
        <f t="shared" si="63"/>
        <v>0.88888888888888884</v>
      </c>
      <c r="AI135" s="32">
        <f t="shared" si="64"/>
        <v>0.77777777777777768</v>
      </c>
      <c r="AJ135" s="32">
        <f t="shared" si="65"/>
        <v>0.66666666666666663</v>
      </c>
      <c r="AK135">
        <f>step3_validation[[#This Row],[AI_TRU1]]</f>
        <v>9</v>
      </c>
      <c r="AL135">
        <f t="shared" si="66"/>
        <v>0.88888888888888884</v>
      </c>
      <c r="AM135">
        <f>survey_responses[[#This Row],[Tôi tin rằng Nhà nước, cơ quan thuế sẽ thực thi chính sách mới một cách khách quan, công tâm và đối xử bình đẳng với mọi người nộp thuế.  - HUMAN-TRU1]]</f>
        <v>8</v>
      </c>
      <c r="AN135">
        <f t="shared" si="67"/>
        <v>0.77777777777777779</v>
      </c>
      <c r="AO135">
        <f>step3_validation[[#This Row],[AI_TRU2]]</f>
        <v>9</v>
      </c>
      <c r="AP135">
        <f t="shared" si="68"/>
        <v>0.88888888888888884</v>
      </c>
      <c r="AQ135">
        <f>survey_responses[[#This Row],[Tôi thấy mức thuế tôi phải đóng theo phương án mới là công bằng (người thu nhập như tôi đóng mức này là hợp lý). - HUMAN-TRU2]]</f>
        <v>10</v>
      </c>
      <c r="AR135">
        <f t="shared" si="69"/>
        <v>1</v>
      </c>
      <c r="AS135">
        <f>step3_validation[[#This Row],[AI_TRU3]]</f>
        <v>8</v>
      </c>
      <c r="AT135">
        <f t="shared" si="70"/>
        <v>0.77777777777777779</v>
      </c>
      <c r="AU135">
        <f>survey_responses[[#This Row],[Tôi tin tưởng số tiền thuế tôi đóng sẽ được Nhà nước sử dụng hiệu quả để cải thiện dịch vụ công (y tế, đường xá...). - HUMAN-TRU3]]</f>
        <v>5</v>
      </c>
      <c r="AV135">
        <f t="shared" si="71"/>
        <v>0.44444444444444442</v>
      </c>
      <c r="AW135">
        <f>step3_validation[[#This Row],[AI_TRU4]]</f>
        <v>7</v>
      </c>
      <c r="AX135">
        <f t="shared" si="72"/>
        <v>0.66666666666666663</v>
      </c>
      <c r="AY135">
        <f>survey_responses[[#This Row],[Tôi thấy Nhà nước đã giải thích rõ ràng, minh bạch về lý do và mục tiêu của việc sửa đổi thuế lần này. - HUMAN-TRU4]]</f>
        <v>5</v>
      </c>
      <c r="AZ135">
        <f t="shared" si="73"/>
        <v>0.44444444444444442</v>
      </c>
      <c r="BA135" s="32">
        <f t="shared" si="74"/>
        <v>0.80555555555555547</v>
      </c>
      <c r="BB135" s="32">
        <f t="shared" si="75"/>
        <v>0.66666666666666674</v>
      </c>
      <c r="BC135" s="7">
        <f t="shared" si="76"/>
        <v>0.78703703703703687</v>
      </c>
      <c r="BD135" s="7">
        <f t="shared" si="77"/>
        <v>0.74074074074074081</v>
      </c>
      <c r="BE135">
        <f>step3_validation[[#This Row],[AI_OUT1]]</f>
        <v>9</v>
      </c>
      <c r="BF135">
        <f t="shared" si="78"/>
        <v>0.88888888888888884</v>
      </c>
      <c r="BG135">
        <f>survey_responses[[#This Row],[Sau khi xem xét các quyền lợi và nghĩa vụ, bạn có ủng hộ và tuân thủ chính sách mới hiện nay? - HUMAN-OUT1]]</f>
        <v>7</v>
      </c>
      <c r="BH135">
        <f t="shared" si="79"/>
        <v>0.66666666666666663</v>
      </c>
      <c r="BI135" s="32">
        <f t="shared" si="80"/>
        <v>2</v>
      </c>
    </row>
    <row r="136" spans="1:61" x14ac:dyDescent="0.45">
      <c r="A136" s="30">
        <f>step3_validation[[#This Row],[Persona_ID]]</f>
        <v>135</v>
      </c>
      <c r="B136" s="31">
        <f>step3_validation[[#This Row],[Used_Seed]]</f>
        <v>2125</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13.971867425319756</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f t="shared" si="54"/>
        <v>0.66666666666666663</v>
      </c>
      <c r="S136">
        <f>survey_responses[[#This Row],[Tôi tin rằng với các quy định quản lý thuế hiện nay, hành vi gian lận hoặc trốn thuế sẽ dễ dàng bị phát hiện và xử lý nghiêm. - HUMAN-ENF1]]</f>
        <v>5</v>
      </c>
      <c r="T136">
        <f t="shared" si="55"/>
        <v>0.44444444444444442</v>
      </c>
      <c r="U136">
        <f>step3_validation[[#This Row],[AI_ENF2]]</f>
        <v>6</v>
      </c>
      <c r="V136">
        <f t="shared" si="56"/>
        <v>0.55555555555555558</v>
      </c>
      <c r="W136">
        <f>survey_responses[[#This Row],[Tôi tin rằng Nhà nước, cơ quan thuế có đủ khả năng và công nghệ để phát hiện, xử lý nghiêm các hành vi trốn thuế. - HUMAN-ENF2]]</f>
        <v>5</v>
      </c>
      <c r="X136">
        <f t="shared" si="57"/>
        <v>0.44444444444444442</v>
      </c>
      <c r="Y136" s="32">
        <f t="shared" si="58"/>
        <v>0.61111111111111116</v>
      </c>
      <c r="Z136" s="32">
        <f t="shared" si="59"/>
        <v>0.44444444444444442</v>
      </c>
      <c r="AA136">
        <f>step3_validation[[#This Row],[AI_FAC1]]</f>
        <v>8</v>
      </c>
      <c r="AB136">
        <f t="shared" si="60"/>
        <v>0.77777777777777779</v>
      </c>
      <c r="AC136">
        <f>survey_responses[[#This Row],[Các thủ tục khai báo thuế VÀ/HOẶC quy trình làm việc với cơ quan thuế đơn giản, tiện lợi, nhanh chóng hơn so với trước đây. - HUMAN-FAC1]]</f>
        <v>5</v>
      </c>
      <c r="AD136">
        <f t="shared" si="61"/>
        <v>0.44444444444444442</v>
      </c>
      <c r="AE136">
        <f>step3_validation[[#This Row],[AI_FAC2]]</f>
        <v>9</v>
      </c>
      <c r="AF136">
        <f t="shared" si="62"/>
        <v>0.88888888888888884</v>
      </c>
      <c r="AG136">
        <f>survey_responses[[#This Row],[So với trước đây, tôi thấy cách tính thuế và các bậc thuế trong phương án mới đơn giản, dễ hiểu và dễ thực hiện hơn. - HUMAN-FAC2]]</f>
        <v>6</v>
      </c>
      <c r="AH136">
        <f t="shared" si="63"/>
        <v>0.55555555555555558</v>
      </c>
      <c r="AI136" s="32">
        <f t="shared" si="64"/>
        <v>0.83333333333333326</v>
      </c>
      <c r="AJ136" s="32">
        <f t="shared" si="65"/>
        <v>0.5</v>
      </c>
      <c r="AK136">
        <f>step3_validation[[#This Row],[AI_TRU1]]</f>
        <v>8</v>
      </c>
      <c r="AL136">
        <f t="shared" si="66"/>
        <v>0.77777777777777779</v>
      </c>
      <c r="AM136">
        <f>survey_responses[[#This Row],[Tôi tin rằng Nhà nước, cơ quan thuế sẽ thực thi chính sách mới một cách khách quan, công tâm và đối xử bình đẳng với mọi người nộp thuế.  - HUMAN-TRU1]]</f>
        <v>6</v>
      </c>
      <c r="AN136">
        <f t="shared" si="67"/>
        <v>0.55555555555555558</v>
      </c>
      <c r="AO136">
        <f>step3_validation[[#This Row],[AI_TRU2]]</f>
        <v>9</v>
      </c>
      <c r="AP136">
        <f t="shared" si="68"/>
        <v>0.88888888888888884</v>
      </c>
      <c r="AQ136">
        <f>survey_responses[[#This Row],[Tôi thấy mức thuế tôi phải đóng theo phương án mới là công bằng (người thu nhập như tôi đóng mức này là hợp lý). - HUMAN-TRU2]]</f>
        <v>6</v>
      </c>
      <c r="AR136">
        <f t="shared" si="69"/>
        <v>0.55555555555555558</v>
      </c>
      <c r="AS136">
        <f>step3_validation[[#This Row],[AI_TRU3]]</f>
        <v>8</v>
      </c>
      <c r="AT136">
        <f t="shared" si="70"/>
        <v>0.77777777777777779</v>
      </c>
      <c r="AU136">
        <f>survey_responses[[#This Row],[Tôi tin tưởng số tiền thuế tôi đóng sẽ được Nhà nước sử dụng hiệu quả để cải thiện dịch vụ công (y tế, đường xá...). - HUMAN-TRU3]]</f>
        <v>6</v>
      </c>
      <c r="AV136">
        <f t="shared" si="71"/>
        <v>0.55555555555555558</v>
      </c>
      <c r="AW136">
        <f>step3_validation[[#This Row],[AI_TRU4]]</f>
        <v>9</v>
      </c>
      <c r="AX136">
        <f t="shared" si="72"/>
        <v>0.88888888888888884</v>
      </c>
      <c r="AY136">
        <f>survey_responses[[#This Row],[Tôi thấy Nhà nước đã giải thích rõ ràng, minh bạch về lý do và mục tiêu của việc sửa đổi thuế lần này. - HUMAN-TRU4]]</f>
        <v>6</v>
      </c>
      <c r="AZ136">
        <f t="shared" si="73"/>
        <v>0.55555555555555558</v>
      </c>
      <c r="BA136" s="32">
        <f t="shared" si="74"/>
        <v>0.83333333333333326</v>
      </c>
      <c r="BB136" s="32">
        <f t="shared" si="75"/>
        <v>0.55555555555555558</v>
      </c>
      <c r="BC136" s="7">
        <f t="shared" si="76"/>
        <v>0.75925925925925919</v>
      </c>
      <c r="BD136" s="7">
        <f t="shared" si="77"/>
        <v>0.5</v>
      </c>
      <c r="BE136">
        <f>step3_validation[[#This Row],[AI_OUT1]]</f>
        <v>9</v>
      </c>
      <c r="BF136">
        <f t="shared" si="78"/>
        <v>0.88888888888888884</v>
      </c>
      <c r="BG136">
        <f>survey_responses[[#This Row],[Sau khi xem xét các quyền lợi và nghĩa vụ, bạn có ủng hộ và tuân thủ chính sách mới hiện nay? - HUMAN-OUT1]]</f>
        <v>6</v>
      </c>
      <c r="BH136">
        <f t="shared" si="79"/>
        <v>0.55555555555555558</v>
      </c>
      <c r="BI136" s="32">
        <f t="shared" si="80"/>
        <v>3</v>
      </c>
    </row>
    <row r="137" spans="1:61" x14ac:dyDescent="0.45">
      <c r="A137" s="30">
        <f>step3_validation[[#This Row],[Persona_ID]]</f>
        <v>136</v>
      </c>
      <c r="B137" s="31">
        <f>step3_validation[[#This Row],[Used_Seed]]</f>
        <v>2126</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7</v>
      </c>
      <c r="R137">
        <f t="shared" si="54"/>
        <v>0.66666666666666663</v>
      </c>
      <c r="S137">
        <f>survey_responses[[#This Row],[Tôi tin rằng với các quy định quản lý thuế hiện nay, hành vi gian lận hoặc trốn thuế sẽ dễ dàng bị phát hiện và xử lý nghiêm. - HUMAN-ENF1]]</f>
        <v>8</v>
      </c>
      <c r="T137">
        <f t="shared" si="55"/>
        <v>0.77777777777777779</v>
      </c>
      <c r="U137">
        <f>step3_validation[[#This Row],[AI_ENF2]]</f>
        <v>7</v>
      </c>
      <c r="V137">
        <f t="shared" si="56"/>
        <v>0.66666666666666663</v>
      </c>
      <c r="W137">
        <f>survey_responses[[#This Row],[Tôi tin rằng Nhà nước, cơ quan thuế có đủ khả năng và công nghệ để phát hiện, xử lý nghiêm các hành vi trốn thuế. - HUMAN-ENF2]]</f>
        <v>8</v>
      </c>
      <c r="X137">
        <f t="shared" si="57"/>
        <v>0.77777777777777779</v>
      </c>
      <c r="Y137" s="32">
        <f t="shared" si="58"/>
        <v>0.66666666666666663</v>
      </c>
      <c r="Z137" s="32">
        <f t="shared" si="59"/>
        <v>0.77777777777777779</v>
      </c>
      <c r="AA137">
        <f>step3_validation[[#This Row],[AI_FAC1]]</f>
        <v>9</v>
      </c>
      <c r="AB137">
        <f t="shared" si="60"/>
        <v>0.88888888888888884</v>
      </c>
      <c r="AC137">
        <f>survey_responses[[#This Row],[Các thủ tục khai báo thuế VÀ/HOẶC quy trình làm việc với cơ quan thuế đơn giản, tiện lợi, nhanh chóng hơn so với trước đây. - HUMAN-FAC1]]</f>
        <v>8</v>
      </c>
      <c r="AD137">
        <f t="shared" si="61"/>
        <v>0.77777777777777779</v>
      </c>
      <c r="AE137">
        <f>step3_validation[[#This Row],[AI_FAC2]]</f>
        <v>9</v>
      </c>
      <c r="AF137">
        <f t="shared" si="62"/>
        <v>0.88888888888888884</v>
      </c>
      <c r="AG137">
        <f>survey_responses[[#This Row],[So với trước đây, tôi thấy cách tính thuế và các bậc thuế trong phương án mới đơn giản, dễ hiểu và dễ thực hiện hơn. - HUMAN-FAC2]]</f>
        <v>8</v>
      </c>
      <c r="AH137">
        <f t="shared" si="63"/>
        <v>0.77777777777777779</v>
      </c>
      <c r="AI137" s="32">
        <f t="shared" si="64"/>
        <v>0.88888888888888884</v>
      </c>
      <c r="AJ137" s="32">
        <f t="shared" si="65"/>
        <v>0.77777777777777779</v>
      </c>
      <c r="AK137">
        <f>step3_validation[[#This Row],[AI_TRU1]]</f>
        <v>8</v>
      </c>
      <c r="AL137">
        <f t="shared" si="66"/>
        <v>0.77777777777777779</v>
      </c>
      <c r="AM137">
        <f>survey_responses[[#This Row],[Tôi tin rằng Nhà nước, cơ quan thuế sẽ thực thi chính sách mới một cách khách quan, công tâm và đối xử bình đẳng với mọi người nộp thuế.  - HUMAN-TRU1]]</f>
        <v>10</v>
      </c>
      <c r="AN137">
        <f t="shared" si="67"/>
        <v>1</v>
      </c>
      <c r="AO137">
        <f>step3_validation[[#This Row],[AI_TRU2]]</f>
        <v>9</v>
      </c>
      <c r="AP137">
        <f t="shared" si="68"/>
        <v>0.88888888888888884</v>
      </c>
      <c r="AQ137">
        <f>survey_responses[[#This Row],[Tôi thấy mức thuế tôi phải đóng theo phương án mới là công bằng (người thu nhập như tôi đóng mức này là hợp lý). - HUMAN-TRU2]]</f>
        <v>10</v>
      </c>
      <c r="AR137">
        <f t="shared" si="69"/>
        <v>1</v>
      </c>
      <c r="AS137">
        <f>step3_validation[[#This Row],[AI_TRU3]]</f>
        <v>8</v>
      </c>
      <c r="AT137">
        <f t="shared" si="70"/>
        <v>0.77777777777777779</v>
      </c>
      <c r="AU137">
        <f>survey_responses[[#This Row],[Tôi tin tưởng số tiền thuế tôi đóng sẽ được Nhà nước sử dụng hiệu quả để cải thiện dịch vụ công (y tế, đường xá...). - HUMAN-TRU3]]</f>
        <v>10</v>
      </c>
      <c r="AV137">
        <f t="shared" si="71"/>
        <v>1</v>
      </c>
      <c r="AW137">
        <f>step3_validation[[#This Row],[AI_TRU4]]</f>
        <v>7</v>
      </c>
      <c r="AX137">
        <f t="shared" si="72"/>
        <v>0.66666666666666663</v>
      </c>
      <c r="AY137">
        <f>survey_responses[[#This Row],[Tôi thấy Nhà nước đã giải thích rõ ràng, minh bạch về lý do và mục tiêu của việc sửa đổi thuế lần này. - HUMAN-TRU4]]</f>
        <v>10</v>
      </c>
      <c r="AZ137">
        <f t="shared" si="73"/>
        <v>1</v>
      </c>
      <c r="BA137" s="32">
        <f t="shared" si="74"/>
        <v>0.77777777777777768</v>
      </c>
      <c r="BB137" s="32">
        <f t="shared" si="75"/>
        <v>1</v>
      </c>
      <c r="BC137" s="7">
        <f t="shared" si="76"/>
        <v>0.77777777777777768</v>
      </c>
      <c r="BD137" s="7">
        <f t="shared" si="77"/>
        <v>0.85185185185185175</v>
      </c>
      <c r="BE137">
        <f>step3_validation[[#This Row],[AI_OUT1]]</f>
        <v>9</v>
      </c>
      <c r="BF137">
        <f t="shared" si="78"/>
        <v>0.88888888888888884</v>
      </c>
      <c r="BG137">
        <f>survey_responses[[#This Row],[Sau khi xem xét các quyền lợi và nghĩa vụ, bạn có ủng hộ và tuân thủ chính sách mới hiện nay? - HUMAN-OUT1]]</f>
        <v>10</v>
      </c>
      <c r="BH137">
        <f t="shared" si="79"/>
        <v>1</v>
      </c>
      <c r="BI137" s="32">
        <f t="shared" si="80"/>
        <v>1</v>
      </c>
    </row>
    <row r="138" spans="1:61" x14ac:dyDescent="0.45">
      <c r="A138" s="30">
        <f>step3_validation[[#This Row],[Persona_ID]]</f>
        <v>137</v>
      </c>
      <c r="B138" s="31">
        <f>step3_validation[[#This Row],[Used_Seed]]</f>
        <v>2127</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247.94099676182358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9</v>
      </c>
      <c r="R138">
        <f t="shared" si="54"/>
        <v>0.88888888888888884</v>
      </c>
      <c r="S138">
        <f>survey_responses[[#This Row],[Tôi tin rằng với các quy định quản lý thuế hiện nay, hành vi gian lận hoặc trốn thuế sẽ dễ dàng bị phát hiện và xử lý nghiêm. - HUMAN-ENF1]]</f>
        <v>8</v>
      </c>
      <c r="T138">
        <f t="shared" si="55"/>
        <v>0.77777777777777779</v>
      </c>
      <c r="U138">
        <f>step3_validation[[#This Row],[AI_ENF2]]</f>
        <v>8</v>
      </c>
      <c r="V138">
        <f t="shared" si="56"/>
        <v>0.77777777777777779</v>
      </c>
      <c r="W138">
        <f>survey_responses[[#This Row],[Tôi tin rằng Nhà nước, cơ quan thuế có đủ khả năng và công nghệ để phát hiện, xử lý nghiêm các hành vi trốn thuế. - HUMAN-ENF2]]</f>
        <v>8</v>
      </c>
      <c r="X138">
        <f t="shared" si="57"/>
        <v>0.77777777777777779</v>
      </c>
      <c r="Y138" s="32">
        <f t="shared" si="58"/>
        <v>0.83333333333333326</v>
      </c>
      <c r="Z138" s="32">
        <f t="shared" si="59"/>
        <v>0.77777777777777779</v>
      </c>
      <c r="AA138">
        <f>step3_validation[[#This Row],[AI_FAC1]]</f>
        <v>9</v>
      </c>
      <c r="AB138">
        <f t="shared" si="60"/>
        <v>0.88888888888888884</v>
      </c>
      <c r="AC138">
        <f>survey_responses[[#This Row],[Các thủ tục khai báo thuế VÀ/HOẶC quy trình làm việc với cơ quan thuế đơn giản, tiện lợi, nhanh chóng hơn so với trước đây. - HUMAN-FAC1]]</f>
        <v>8</v>
      </c>
      <c r="AD138">
        <f t="shared" si="61"/>
        <v>0.77777777777777779</v>
      </c>
      <c r="AE138">
        <f>step3_validation[[#This Row],[AI_FAC2]]</f>
        <v>8</v>
      </c>
      <c r="AF138">
        <f t="shared" si="62"/>
        <v>0.77777777777777779</v>
      </c>
      <c r="AG138">
        <f>survey_responses[[#This Row],[So với trước đây, tôi thấy cách tính thuế và các bậc thuế trong phương án mới đơn giản, dễ hiểu và dễ thực hiện hơn. - HUMAN-FAC2]]</f>
        <v>8</v>
      </c>
      <c r="AH138">
        <f t="shared" si="63"/>
        <v>0.77777777777777779</v>
      </c>
      <c r="AI138" s="32">
        <f t="shared" si="64"/>
        <v>0.83333333333333326</v>
      </c>
      <c r="AJ138" s="32">
        <f t="shared" si="65"/>
        <v>0.77777777777777779</v>
      </c>
      <c r="AK138">
        <f>step3_validation[[#This Row],[AI_TRU1]]</f>
        <v>9</v>
      </c>
      <c r="AL138">
        <f t="shared" si="66"/>
        <v>0.88888888888888884</v>
      </c>
      <c r="AM138">
        <f>survey_responses[[#This Row],[Tôi tin rằng Nhà nước, cơ quan thuế sẽ thực thi chính sách mới một cách khách quan, công tâm và đối xử bình đẳng với mọi người nộp thuế.  - HUMAN-TRU1]]</f>
        <v>8</v>
      </c>
      <c r="AN138">
        <f t="shared" si="67"/>
        <v>0.77777777777777779</v>
      </c>
      <c r="AO138">
        <f>step3_validation[[#This Row],[AI_TRU2]]</f>
        <v>9</v>
      </c>
      <c r="AP138">
        <f t="shared" si="68"/>
        <v>0.88888888888888884</v>
      </c>
      <c r="AQ138">
        <f>survey_responses[[#This Row],[Tôi thấy mức thuế tôi phải đóng theo phương án mới là công bằng (người thu nhập như tôi đóng mức này là hợp lý). - HUMAN-TRU2]]</f>
        <v>8</v>
      </c>
      <c r="AR138">
        <f t="shared" si="69"/>
        <v>0.77777777777777779</v>
      </c>
      <c r="AS138">
        <f>step3_validation[[#This Row],[AI_TRU3]]</f>
        <v>9</v>
      </c>
      <c r="AT138">
        <f t="shared" si="70"/>
        <v>0.88888888888888884</v>
      </c>
      <c r="AU138">
        <f>survey_responses[[#This Row],[Tôi tin tưởng số tiền thuế tôi đóng sẽ được Nhà nước sử dụng hiệu quả để cải thiện dịch vụ công (y tế, đường xá...). - HUMAN-TRU3]]</f>
        <v>5</v>
      </c>
      <c r="AV138">
        <f t="shared" si="71"/>
        <v>0.44444444444444442</v>
      </c>
      <c r="AW138">
        <f>step3_validation[[#This Row],[AI_TRU4]]</f>
        <v>8</v>
      </c>
      <c r="AX138">
        <f t="shared" si="72"/>
        <v>0.77777777777777779</v>
      </c>
      <c r="AY138">
        <f>survey_responses[[#This Row],[Tôi thấy Nhà nước đã giải thích rõ ràng, minh bạch về lý do và mục tiêu của việc sửa đổi thuế lần này. - HUMAN-TRU4]]</f>
        <v>7</v>
      </c>
      <c r="AZ138">
        <f t="shared" si="73"/>
        <v>0.66666666666666663</v>
      </c>
      <c r="BA138" s="32">
        <f t="shared" si="74"/>
        <v>0.86111111111111105</v>
      </c>
      <c r="BB138" s="32">
        <f t="shared" si="75"/>
        <v>0.66666666666666663</v>
      </c>
      <c r="BC138" s="7">
        <f t="shared" si="76"/>
        <v>0.84259259259259256</v>
      </c>
      <c r="BD138" s="7">
        <f t="shared" si="77"/>
        <v>0.74074074074074081</v>
      </c>
      <c r="BE138">
        <f>step3_validation[[#This Row],[AI_OUT1]]</f>
        <v>9</v>
      </c>
      <c r="BF138">
        <f t="shared" si="78"/>
        <v>0.88888888888888884</v>
      </c>
      <c r="BG138">
        <f>survey_responses[[#This Row],[Sau khi xem xét các quyền lợi và nghĩa vụ, bạn có ủng hộ và tuân thủ chính sách mới hiện nay? - HUMAN-OUT1]]</f>
        <v>8</v>
      </c>
      <c r="BH138">
        <f t="shared" si="79"/>
        <v>0.77777777777777779</v>
      </c>
      <c r="BI138" s="32">
        <f t="shared" si="80"/>
        <v>1</v>
      </c>
    </row>
    <row r="139" spans="1:61" x14ac:dyDescent="0.45">
      <c r="A139" s="30">
        <f>step3_validation[[#This Row],[Persona_ID]]</f>
        <v>138</v>
      </c>
      <c r="B139" s="31">
        <f>step3_validation[[#This Row],[Used_Seed]]</f>
        <v>2128</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15.774999141099268</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f t="shared" si="54"/>
        <v>0.66666666666666663</v>
      </c>
      <c r="S139">
        <f>survey_responses[[#This Row],[Tôi tin rằng với các quy định quản lý thuế hiện nay, hành vi gian lận hoặc trốn thuế sẽ dễ dàng bị phát hiện và xử lý nghiêm. - HUMAN-ENF1]]</f>
        <v>8</v>
      </c>
      <c r="T139">
        <f t="shared" si="55"/>
        <v>0.77777777777777779</v>
      </c>
      <c r="U139">
        <f>step3_validation[[#This Row],[AI_ENF2]]</f>
        <v>8</v>
      </c>
      <c r="V139">
        <f t="shared" si="56"/>
        <v>0.77777777777777779</v>
      </c>
      <c r="W139">
        <f>survey_responses[[#This Row],[Tôi tin rằng Nhà nước, cơ quan thuế có đủ khả năng và công nghệ để phát hiện, xử lý nghiêm các hành vi trốn thuế. - HUMAN-ENF2]]</f>
        <v>9</v>
      </c>
      <c r="X139">
        <f t="shared" si="57"/>
        <v>0.88888888888888884</v>
      </c>
      <c r="Y139" s="32">
        <f t="shared" si="58"/>
        <v>0.72222222222222221</v>
      </c>
      <c r="Z139" s="32">
        <f t="shared" si="59"/>
        <v>0.83333333333333326</v>
      </c>
      <c r="AA139">
        <f>step3_validation[[#This Row],[AI_FAC1]]</f>
        <v>9</v>
      </c>
      <c r="AB139">
        <f t="shared" si="60"/>
        <v>0.88888888888888884</v>
      </c>
      <c r="AC139">
        <f>survey_responses[[#This Row],[Các thủ tục khai báo thuế VÀ/HOẶC quy trình làm việc với cơ quan thuế đơn giản, tiện lợi, nhanh chóng hơn so với trước đây. - HUMAN-FAC1]]</f>
        <v>7</v>
      </c>
      <c r="AD139">
        <f t="shared" si="61"/>
        <v>0.66666666666666663</v>
      </c>
      <c r="AE139">
        <f>step3_validation[[#This Row],[AI_FAC2]]</f>
        <v>9</v>
      </c>
      <c r="AF139">
        <f t="shared" si="62"/>
        <v>0.88888888888888884</v>
      </c>
      <c r="AG139">
        <f>survey_responses[[#This Row],[So với trước đây, tôi thấy cách tính thuế và các bậc thuế trong phương án mới đơn giản, dễ hiểu và dễ thực hiện hơn. - HUMAN-FAC2]]</f>
        <v>7</v>
      </c>
      <c r="AH139">
        <f t="shared" si="63"/>
        <v>0.66666666666666663</v>
      </c>
      <c r="AI139" s="32">
        <f t="shared" si="64"/>
        <v>0.88888888888888884</v>
      </c>
      <c r="AJ139" s="32">
        <f t="shared" si="65"/>
        <v>0.66666666666666663</v>
      </c>
      <c r="AK139">
        <f>step3_validation[[#This Row],[AI_TRU1]]</f>
        <v>6</v>
      </c>
      <c r="AL139">
        <f t="shared" si="66"/>
        <v>0.55555555555555558</v>
      </c>
      <c r="AM139">
        <f>survey_responses[[#This Row],[Tôi tin rằng Nhà nước, cơ quan thuế sẽ thực thi chính sách mới một cách khách quan, công tâm và đối xử bình đẳng với mọi người nộp thuế.  - HUMAN-TRU1]]</f>
        <v>6</v>
      </c>
      <c r="AN139">
        <f t="shared" si="67"/>
        <v>0.55555555555555558</v>
      </c>
      <c r="AO139">
        <f>step3_validation[[#This Row],[AI_TRU2]]</f>
        <v>8</v>
      </c>
      <c r="AP139">
        <f t="shared" si="68"/>
        <v>0.77777777777777779</v>
      </c>
      <c r="AQ139">
        <f>survey_responses[[#This Row],[Tôi thấy mức thuế tôi phải đóng theo phương án mới là công bằng (người thu nhập như tôi đóng mức này là hợp lý). - HUMAN-TRU2]]</f>
        <v>6</v>
      </c>
      <c r="AR139">
        <f t="shared" si="69"/>
        <v>0.55555555555555558</v>
      </c>
      <c r="AS139">
        <f>step3_validation[[#This Row],[AI_TRU3]]</f>
        <v>7</v>
      </c>
      <c r="AT139">
        <f t="shared" si="70"/>
        <v>0.66666666666666663</v>
      </c>
      <c r="AU139">
        <f>survey_responses[[#This Row],[Tôi tin tưởng số tiền thuế tôi đóng sẽ được Nhà nước sử dụng hiệu quả để cải thiện dịch vụ công (y tế, đường xá...). - HUMAN-TRU3]]</f>
        <v>2</v>
      </c>
      <c r="AV139">
        <f t="shared" si="71"/>
        <v>0.1111111111111111</v>
      </c>
      <c r="AW139">
        <f>step3_validation[[#This Row],[AI_TRU4]]</f>
        <v>6</v>
      </c>
      <c r="AX139">
        <f t="shared" si="72"/>
        <v>0.55555555555555558</v>
      </c>
      <c r="AY139">
        <f>survey_responses[[#This Row],[Tôi thấy Nhà nước đã giải thích rõ ràng, minh bạch về lý do và mục tiêu của việc sửa đổi thuế lần này. - HUMAN-TRU4]]</f>
        <v>5</v>
      </c>
      <c r="AZ139">
        <f t="shared" si="73"/>
        <v>0.44444444444444442</v>
      </c>
      <c r="BA139" s="32">
        <f t="shared" si="74"/>
        <v>0.63888888888888884</v>
      </c>
      <c r="BB139" s="32">
        <f t="shared" si="75"/>
        <v>0.41666666666666669</v>
      </c>
      <c r="BC139" s="7">
        <f t="shared" si="76"/>
        <v>0.75</v>
      </c>
      <c r="BD139" s="7">
        <f t="shared" si="77"/>
        <v>0.63888888888888895</v>
      </c>
      <c r="BE139">
        <f>step3_validation[[#This Row],[AI_OUT1]]</f>
        <v>9</v>
      </c>
      <c r="BF139">
        <f t="shared" si="78"/>
        <v>0.88888888888888884</v>
      </c>
      <c r="BG139">
        <f>survey_responses[[#This Row],[Sau khi xem xét các quyền lợi và nghĩa vụ, bạn có ủng hộ và tuân thủ chính sách mới hiện nay? - HUMAN-OUT1]]</f>
        <v>6</v>
      </c>
      <c r="BH139">
        <f t="shared" si="79"/>
        <v>0.55555555555555558</v>
      </c>
      <c r="BI139" s="32">
        <f t="shared" si="80"/>
        <v>3</v>
      </c>
    </row>
    <row r="140" spans="1:61" x14ac:dyDescent="0.45">
      <c r="A140" s="30">
        <f>step3_validation[[#This Row],[Persona_ID]]</f>
        <v>139</v>
      </c>
      <c r="B140" s="31">
        <f>step3_validation[[#This Row],[Used_Seed]]</f>
        <v>2129</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224.80140609221547</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8</v>
      </c>
      <c r="R140">
        <f t="shared" si="54"/>
        <v>0.77777777777777779</v>
      </c>
      <c r="S140">
        <f>survey_responses[[#This Row],[Tôi tin rằng với các quy định quản lý thuế hiện nay, hành vi gian lận hoặc trốn thuế sẽ dễ dàng bị phát hiện và xử lý nghiêm. - HUMAN-ENF1]]</f>
        <v>5</v>
      </c>
      <c r="T140">
        <f t="shared" si="55"/>
        <v>0.44444444444444442</v>
      </c>
      <c r="U140">
        <f>step3_validation[[#This Row],[AI_ENF2]]</f>
        <v>7</v>
      </c>
      <c r="V140">
        <f t="shared" si="56"/>
        <v>0.66666666666666663</v>
      </c>
      <c r="W140">
        <f>survey_responses[[#This Row],[Tôi tin rằng Nhà nước, cơ quan thuế có đủ khả năng và công nghệ để phát hiện, xử lý nghiêm các hành vi trốn thuế. - HUMAN-ENF2]]</f>
        <v>4</v>
      </c>
      <c r="X140">
        <f t="shared" si="57"/>
        <v>0.33333333333333331</v>
      </c>
      <c r="Y140" s="32">
        <f t="shared" si="58"/>
        <v>0.72222222222222221</v>
      </c>
      <c r="Z140" s="32">
        <f t="shared" si="59"/>
        <v>0.38888888888888884</v>
      </c>
      <c r="AA140">
        <f>step3_validation[[#This Row],[AI_FAC1]]</f>
        <v>6</v>
      </c>
      <c r="AB140">
        <f t="shared" si="60"/>
        <v>0.55555555555555558</v>
      </c>
      <c r="AC140">
        <f>survey_responses[[#This Row],[Các thủ tục khai báo thuế VÀ/HOẶC quy trình làm việc với cơ quan thuế đơn giản, tiện lợi, nhanh chóng hơn so với trước đây. - HUMAN-FAC1]]</f>
        <v>7</v>
      </c>
      <c r="AD140">
        <f t="shared" si="61"/>
        <v>0.66666666666666663</v>
      </c>
      <c r="AE140">
        <f>step3_validation[[#This Row],[AI_FAC2]]</f>
        <v>9</v>
      </c>
      <c r="AF140">
        <f t="shared" si="62"/>
        <v>0.88888888888888884</v>
      </c>
      <c r="AG140">
        <f>survey_responses[[#This Row],[So với trước đây, tôi thấy cách tính thuế và các bậc thuế trong phương án mới đơn giản, dễ hiểu và dễ thực hiện hơn. - HUMAN-FAC2]]</f>
        <v>6</v>
      </c>
      <c r="AH140">
        <f t="shared" si="63"/>
        <v>0.55555555555555558</v>
      </c>
      <c r="AI140" s="32">
        <f t="shared" si="64"/>
        <v>0.72222222222222221</v>
      </c>
      <c r="AJ140" s="32">
        <f t="shared" si="65"/>
        <v>0.61111111111111116</v>
      </c>
      <c r="AK140">
        <f>step3_validation[[#This Row],[AI_TRU1]]</f>
        <v>8</v>
      </c>
      <c r="AL140">
        <f t="shared" si="66"/>
        <v>0.77777777777777779</v>
      </c>
      <c r="AM140">
        <f>survey_responses[[#This Row],[Tôi tin rằng Nhà nước, cơ quan thuế sẽ thực thi chính sách mới một cách khách quan, công tâm và đối xử bình đẳng với mọi người nộp thuế.  - HUMAN-TRU1]]</f>
        <v>3</v>
      </c>
      <c r="AN140">
        <f t="shared" si="67"/>
        <v>0.22222222222222221</v>
      </c>
      <c r="AO140">
        <f>step3_validation[[#This Row],[AI_TRU2]]</f>
        <v>9</v>
      </c>
      <c r="AP140">
        <f t="shared" si="68"/>
        <v>0.88888888888888884</v>
      </c>
      <c r="AQ140">
        <f>survey_responses[[#This Row],[Tôi thấy mức thuế tôi phải đóng theo phương án mới là công bằng (người thu nhập như tôi đóng mức này là hợp lý). - HUMAN-TRU2]]</f>
        <v>4</v>
      </c>
      <c r="AR140">
        <f t="shared" si="69"/>
        <v>0.33333333333333331</v>
      </c>
      <c r="AS140">
        <f>step3_validation[[#This Row],[AI_TRU3]]</f>
        <v>8</v>
      </c>
      <c r="AT140">
        <f t="shared" si="70"/>
        <v>0.77777777777777779</v>
      </c>
      <c r="AU140">
        <f>survey_responses[[#This Row],[Tôi tin tưởng số tiền thuế tôi đóng sẽ được Nhà nước sử dụng hiệu quả để cải thiện dịch vụ công (y tế, đường xá...). - HUMAN-TRU3]]</f>
        <v>4</v>
      </c>
      <c r="AV140">
        <f t="shared" si="71"/>
        <v>0.33333333333333331</v>
      </c>
      <c r="AW140">
        <f>step3_validation[[#This Row],[AI_TRU4]]</f>
        <v>7</v>
      </c>
      <c r="AX140">
        <f t="shared" si="72"/>
        <v>0.66666666666666663</v>
      </c>
      <c r="AY140">
        <f>survey_responses[[#This Row],[Tôi thấy Nhà nước đã giải thích rõ ràng, minh bạch về lý do và mục tiêu của việc sửa đổi thuế lần này. - HUMAN-TRU4]]</f>
        <v>5</v>
      </c>
      <c r="AZ140">
        <f t="shared" si="73"/>
        <v>0.44444444444444442</v>
      </c>
      <c r="BA140" s="32">
        <f t="shared" si="74"/>
        <v>0.77777777777777768</v>
      </c>
      <c r="BB140" s="32">
        <f t="shared" si="75"/>
        <v>0.33333333333333331</v>
      </c>
      <c r="BC140" s="7">
        <f t="shared" si="76"/>
        <v>0.74074074074074081</v>
      </c>
      <c r="BD140" s="7">
        <f t="shared" si="77"/>
        <v>0.44444444444444442</v>
      </c>
      <c r="BE140">
        <f>step3_validation[[#This Row],[AI_OUT1]]</f>
        <v>9</v>
      </c>
      <c r="BF140">
        <f t="shared" si="78"/>
        <v>0.88888888888888884</v>
      </c>
      <c r="BG140">
        <f>survey_responses[[#This Row],[Sau khi xem xét các quyền lợi và nghĩa vụ, bạn có ủng hộ và tuân thủ chính sách mới hiện nay? - HUMAN-OUT1]]</f>
        <v>5</v>
      </c>
      <c r="BH140">
        <f t="shared" si="79"/>
        <v>0.44444444444444442</v>
      </c>
      <c r="BI140" s="32">
        <f t="shared" si="80"/>
        <v>4</v>
      </c>
    </row>
    <row r="141" spans="1:61" x14ac:dyDescent="0.45">
      <c r="A141" s="30">
        <f>step3_validation[[#This Row],[Persona_ID]]</f>
        <v>140</v>
      </c>
      <c r="B141" s="31">
        <f>step3_validation[[#This Row],[Used_Seed]]</f>
        <v>2130</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30.440778914880052</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8</v>
      </c>
      <c r="R141">
        <f t="shared" si="54"/>
        <v>0.77777777777777779</v>
      </c>
      <c r="S141">
        <f>survey_responses[[#This Row],[Tôi tin rằng với các quy định quản lý thuế hiện nay, hành vi gian lận hoặc trốn thuế sẽ dễ dàng bị phát hiện và xử lý nghiêm. - HUMAN-ENF1]]</f>
        <v>10</v>
      </c>
      <c r="T141">
        <f t="shared" si="55"/>
        <v>1</v>
      </c>
      <c r="U141">
        <f>step3_validation[[#This Row],[AI_ENF2]]</f>
        <v>8</v>
      </c>
      <c r="V141">
        <f t="shared" si="56"/>
        <v>0.77777777777777779</v>
      </c>
      <c r="W141">
        <f>survey_responses[[#This Row],[Tôi tin rằng Nhà nước, cơ quan thuế có đủ khả năng và công nghệ để phát hiện, xử lý nghiêm các hành vi trốn thuế. - HUMAN-ENF2]]</f>
        <v>9</v>
      </c>
      <c r="X141">
        <f t="shared" si="57"/>
        <v>0.88888888888888884</v>
      </c>
      <c r="Y141" s="32">
        <f t="shared" si="58"/>
        <v>0.77777777777777779</v>
      </c>
      <c r="Z141" s="32">
        <f t="shared" si="59"/>
        <v>0.94444444444444442</v>
      </c>
      <c r="AA141">
        <f>step3_validation[[#This Row],[AI_FAC1]]</f>
        <v>9</v>
      </c>
      <c r="AB141">
        <f t="shared" si="60"/>
        <v>0.88888888888888884</v>
      </c>
      <c r="AC141">
        <f>survey_responses[[#This Row],[Các thủ tục khai báo thuế VÀ/HOẶC quy trình làm việc với cơ quan thuế đơn giản, tiện lợi, nhanh chóng hơn so với trước đây. - HUMAN-FAC1]]</f>
        <v>9</v>
      </c>
      <c r="AD141">
        <f t="shared" si="61"/>
        <v>0.88888888888888884</v>
      </c>
      <c r="AE141">
        <f>step3_validation[[#This Row],[AI_FAC2]]</f>
        <v>9</v>
      </c>
      <c r="AF141">
        <f t="shared" si="62"/>
        <v>0.88888888888888884</v>
      </c>
      <c r="AG141">
        <f>survey_responses[[#This Row],[So với trước đây, tôi thấy cách tính thuế và các bậc thuế trong phương án mới đơn giản, dễ hiểu và dễ thực hiện hơn. - HUMAN-FAC2]]</f>
        <v>9</v>
      </c>
      <c r="AH141">
        <f t="shared" si="63"/>
        <v>0.88888888888888884</v>
      </c>
      <c r="AI141" s="32">
        <f t="shared" si="64"/>
        <v>0.88888888888888884</v>
      </c>
      <c r="AJ141" s="32">
        <f t="shared" si="65"/>
        <v>0.88888888888888884</v>
      </c>
      <c r="AK141">
        <f>step3_validation[[#This Row],[AI_TRU1]]</f>
        <v>8</v>
      </c>
      <c r="AL141">
        <f t="shared" si="66"/>
        <v>0.77777777777777779</v>
      </c>
      <c r="AM141">
        <f>survey_responses[[#This Row],[Tôi tin rằng Nhà nước, cơ quan thuế sẽ thực thi chính sách mới một cách khách quan, công tâm và đối xử bình đẳng với mọi người nộp thuế.  - HUMAN-TRU1]]</f>
        <v>8</v>
      </c>
      <c r="AN141">
        <f t="shared" si="67"/>
        <v>0.77777777777777779</v>
      </c>
      <c r="AO141">
        <f>step3_validation[[#This Row],[AI_TRU2]]</f>
        <v>9</v>
      </c>
      <c r="AP141">
        <f t="shared" si="68"/>
        <v>0.88888888888888884</v>
      </c>
      <c r="AQ141">
        <f>survey_responses[[#This Row],[Tôi thấy mức thuế tôi phải đóng theo phương án mới là công bằng (người thu nhập như tôi đóng mức này là hợp lý). - HUMAN-TRU2]]</f>
        <v>8</v>
      </c>
      <c r="AR141">
        <f t="shared" si="69"/>
        <v>0.77777777777777779</v>
      </c>
      <c r="AS141">
        <f>step3_validation[[#This Row],[AI_TRU3]]</f>
        <v>8</v>
      </c>
      <c r="AT141">
        <f t="shared" si="70"/>
        <v>0.77777777777777779</v>
      </c>
      <c r="AU141">
        <f>survey_responses[[#This Row],[Tôi tin tưởng số tiền thuế tôi đóng sẽ được Nhà nước sử dụng hiệu quả để cải thiện dịch vụ công (y tế, đường xá...). - HUMAN-TRU3]]</f>
        <v>8</v>
      </c>
      <c r="AV141">
        <f t="shared" si="71"/>
        <v>0.77777777777777779</v>
      </c>
      <c r="AW141">
        <f>step3_validation[[#This Row],[AI_TRU4]]</f>
        <v>8</v>
      </c>
      <c r="AX141">
        <f t="shared" si="72"/>
        <v>0.77777777777777779</v>
      </c>
      <c r="AY141">
        <f>survey_responses[[#This Row],[Tôi thấy Nhà nước đã giải thích rõ ràng, minh bạch về lý do và mục tiêu của việc sửa đổi thuế lần này. - HUMAN-TRU4]]</f>
        <v>8</v>
      </c>
      <c r="AZ141">
        <f t="shared" si="73"/>
        <v>0.77777777777777779</v>
      </c>
      <c r="BA141" s="32">
        <f t="shared" si="74"/>
        <v>0.80555555555555547</v>
      </c>
      <c r="BB141" s="32">
        <f t="shared" si="75"/>
        <v>0.77777777777777779</v>
      </c>
      <c r="BC141" s="7">
        <f t="shared" si="76"/>
        <v>0.82407407407407396</v>
      </c>
      <c r="BD141" s="7">
        <f t="shared" si="77"/>
        <v>0.87037037037037035</v>
      </c>
      <c r="BE141">
        <f>step3_validation[[#This Row],[AI_OUT1]]</f>
        <v>9</v>
      </c>
      <c r="BF141">
        <f t="shared" si="78"/>
        <v>0.88888888888888884</v>
      </c>
      <c r="BG141">
        <f>survey_responses[[#This Row],[Sau khi xem xét các quyền lợi và nghĩa vụ, bạn có ủng hộ và tuân thủ chính sách mới hiện nay? - HUMAN-OUT1]]</f>
        <v>10</v>
      </c>
      <c r="BH141">
        <f t="shared" si="79"/>
        <v>1</v>
      </c>
      <c r="BI141" s="32">
        <f t="shared" si="80"/>
        <v>1</v>
      </c>
    </row>
    <row r="142" spans="1:61" x14ac:dyDescent="0.45">
      <c r="A142" s="30">
        <f>step3_validation[[#This Row],[Persona_ID]]</f>
        <v>141</v>
      </c>
      <c r="B142" s="31">
        <f>step3_validation[[#This Row],[Used_Seed]]</f>
        <v>2131</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23.367160816515419</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f t="shared" si="54"/>
        <v>0.77777777777777779</v>
      </c>
      <c r="S142">
        <f>survey_responses[[#This Row],[Tôi tin rằng với các quy định quản lý thuế hiện nay, hành vi gian lận hoặc trốn thuế sẽ dễ dàng bị phát hiện và xử lý nghiêm. - HUMAN-ENF1]]</f>
        <v>8</v>
      </c>
      <c r="T142">
        <f t="shared" si="55"/>
        <v>0.77777777777777779</v>
      </c>
      <c r="U142">
        <f>step3_validation[[#This Row],[AI_ENF2]]</f>
        <v>7</v>
      </c>
      <c r="V142">
        <f t="shared" si="56"/>
        <v>0.66666666666666663</v>
      </c>
      <c r="W142">
        <f>survey_responses[[#This Row],[Tôi tin rằng Nhà nước, cơ quan thuế có đủ khả năng và công nghệ để phát hiện, xử lý nghiêm các hành vi trốn thuế. - HUMAN-ENF2]]</f>
        <v>7</v>
      </c>
      <c r="X142">
        <f t="shared" si="57"/>
        <v>0.66666666666666663</v>
      </c>
      <c r="Y142" s="32">
        <f t="shared" si="58"/>
        <v>0.72222222222222221</v>
      </c>
      <c r="Z142" s="32">
        <f t="shared" si="59"/>
        <v>0.72222222222222221</v>
      </c>
      <c r="AA142">
        <f>step3_validation[[#This Row],[AI_FAC1]]</f>
        <v>6</v>
      </c>
      <c r="AB142">
        <f t="shared" si="60"/>
        <v>0.55555555555555558</v>
      </c>
      <c r="AC142">
        <f>survey_responses[[#This Row],[Các thủ tục khai báo thuế VÀ/HOẶC quy trình làm việc với cơ quan thuế đơn giản, tiện lợi, nhanh chóng hơn so với trước đây. - HUMAN-FAC1]]</f>
        <v>6</v>
      </c>
      <c r="AD142">
        <f t="shared" si="61"/>
        <v>0.55555555555555558</v>
      </c>
      <c r="AE142">
        <f>step3_validation[[#This Row],[AI_FAC2]]</f>
        <v>9</v>
      </c>
      <c r="AF142">
        <f t="shared" si="62"/>
        <v>0.88888888888888884</v>
      </c>
      <c r="AG142">
        <f>survey_responses[[#This Row],[So với trước đây, tôi thấy cách tính thuế và các bậc thuế trong phương án mới đơn giản, dễ hiểu và dễ thực hiện hơn. - HUMAN-FAC2]]</f>
        <v>6</v>
      </c>
      <c r="AH142">
        <f t="shared" si="63"/>
        <v>0.55555555555555558</v>
      </c>
      <c r="AI142" s="32">
        <f t="shared" si="64"/>
        <v>0.72222222222222221</v>
      </c>
      <c r="AJ142" s="32">
        <f t="shared" si="65"/>
        <v>0.55555555555555558</v>
      </c>
      <c r="AK142">
        <f>step3_validation[[#This Row],[AI_TRU1]]</f>
        <v>7</v>
      </c>
      <c r="AL142">
        <f t="shared" si="66"/>
        <v>0.66666666666666663</v>
      </c>
      <c r="AM142">
        <f>survey_responses[[#This Row],[Tôi tin rằng Nhà nước, cơ quan thuế sẽ thực thi chính sách mới một cách khách quan, công tâm và đối xử bình đẳng với mọi người nộp thuế.  - HUMAN-TRU1]]</f>
        <v>5</v>
      </c>
      <c r="AN142">
        <f t="shared" si="67"/>
        <v>0.44444444444444442</v>
      </c>
      <c r="AO142">
        <f>step3_validation[[#This Row],[AI_TRU2]]</f>
        <v>8</v>
      </c>
      <c r="AP142">
        <f t="shared" si="68"/>
        <v>0.77777777777777779</v>
      </c>
      <c r="AQ142">
        <f>survey_responses[[#This Row],[Tôi thấy mức thuế tôi phải đóng theo phương án mới là công bằng (người thu nhập như tôi đóng mức này là hợp lý). - HUMAN-TRU2]]</f>
        <v>5</v>
      </c>
      <c r="AR142">
        <f t="shared" si="69"/>
        <v>0.44444444444444442</v>
      </c>
      <c r="AS142">
        <f>step3_validation[[#This Row],[AI_TRU3]]</f>
        <v>6</v>
      </c>
      <c r="AT142">
        <f t="shared" si="70"/>
        <v>0.55555555555555558</v>
      </c>
      <c r="AU142">
        <f>survey_responses[[#This Row],[Tôi tin tưởng số tiền thuế tôi đóng sẽ được Nhà nước sử dụng hiệu quả để cải thiện dịch vụ công (y tế, đường xá...). - HUMAN-TRU3]]</f>
        <v>3</v>
      </c>
      <c r="AV142">
        <f t="shared" si="71"/>
        <v>0.22222222222222221</v>
      </c>
      <c r="AW142">
        <f>step3_validation[[#This Row],[AI_TRU4]]</f>
        <v>7</v>
      </c>
      <c r="AX142">
        <f t="shared" si="72"/>
        <v>0.66666666666666663</v>
      </c>
      <c r="AY142">
        <f>survey_responses[[#This Row],[Tôi thấy Nhà nước đã giải thích rõ ràng, minh bạch về lý do và mục tiêu của việc sửa đổi thuế lần này. - HUMAN-TRU4]]</f>
        <v>3</v>
      </c>
      <c r="AZ142">
        <f t="shared" si="73"/>
        <v>0.22222222222222221</v>
      </c>
      <c r="BA142" s="32">
        <f t="shared" si="74"/>
        <v>0.66666666666666663</v>
      </c>
      <c r="BB142" s="32">
        <f t="shared" si="75"/>
        <v>0.33333333333333337</v>
      </c>
      <c r="BC142" s="7">
        <f t="shared" si="76"/>
        <v>0.70370370370370372</v>
      </c>
      <c r="BD142" s="7">
        <f t="shared" si="77"/>
        <v>0.53703703703703709</v>
      </c>
      <c r="BE142">
        <f>step3_validation[[#This Row],[AI_OUT1]]</f>
        <v>8</v>
      </c>
      <c r="BF142">
        <f t="shared" si="78"/>
        <v>0.77777777777777779</v>
      </c>
      <c r="BG142">
        <f>survey_responses[[#This Row],[Sau khi xem xét các quyền lợi và nghĩa vụ, bạn có ủng hộ và tuân thủ chính sách mới hiện nay? - HUMAN-OUT1]]</f>
        <v>5</v>
      </c>
      <c r="BH142">
        <f t="shared" si="79"/>
        <v>0.44444444444444442</v>
      </c>
      <c r="BI142" s="32">
        <f t="shared" si="80"/>
        <v>3</v>
      </c>
    </row>
    <row r="143" spans="1:61" x14ac:dyDescent="0.45">
      <c r="A143" s="30">
        <f>step3_validation[[#This Row],[Persona_ID]]</f>
        <v>142</v>
      </c>
      <c r="B143" s="31">
        <f>step3_validation[[#This Row],[Used_Seed]]</f>
        <v>2132</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5</v>
      </c>
      <c r="R143">
        <f t="shared" si="54"/>
        <v>0.44444444444444442</v>
      </c>
      <c r="S143">
        <f>survey_responses[[#This Row],[Tôi tin rằng với các quy định quản lý thuế hiện nay, hành vi gian lận hoặc trốn thuế sẽ dễ dàng bị phát hiện và xử lý nghiêm. - HUMAN-ENF1]]</f>
        <v>5</v>
      </c>
      <c r="T143">
        <f t="shared" si="55"/>
        <v>0.44444444444444442</v>
      </c>
      <c r="U143">
        <f>step3_validation[[#This Row],[AI_ENF2]]</f>
        <v>7</v>
      </c>
      <c r="V143">
        <f t="shared" si="56"/>
        <v>0.66666666666666663</v>
      </c>
      <c r="W143">
        <f>survey_responses[[#This Row],[Tôi tin rằng Nhà nước, cơ quan thuế có đủ khả năng và công nghệ để phát hiện, xử lý nghiêm các hành vi trốn thuế. - HUMAN-ENF2]]</f>
        <v>6</v>
      </c>
      <c r="X143">
        <f t="shared" si="57"/>
        <v>0.55555555555555558</v>
      </c>
      <c r="Y143" s="32">
        <f t="shared" si="58"/>
        <v>0.55555555555555558</v>
      </c>
      <c r="Z143" s="32">
        <f t="shared" si="59"/>
        <v>0.5</v>
      </c>
      <c r="AA143">
        <f>step3_validation[[#This Row],[AI_FAC1]]</f>
        <v>8</v>
      </c>
      <c r="AB143">
        <f t="shared" si="60"/>
        <v>0.77777777777777779</v>
      </c>
      <c r="AC143">
        <f>survey_responses[[#This Row],[Các thủ tục khai báo thuế VÀ/HOẶC quy trình làm việc với cơ quan thuế đơn giản, tiện lợi, nhanh chóng hơn so với trước đây. - HUMAN-FAC1]]</f>
        <v>5</v>
      </c>
      <c r="AD143">
        <f t="shared" si="61"/>
        <v>0.44444444444444442</v>
      </c>
      <c r="AE143">
        <f>step3_validation[[#This Row],[AI_FAC2]]</f>
        <v>9</v>
      </c>
      <c r="AF143">
        <f t="shared" si="62"/>
        <v>0.88888888888888884</v>
      </c>
      <c r="AG143">
        <f>survey_responses[[#This Row],[So với trước đây, tôi thấy cách tính thuế và các bậc thuế trong phương án mới đơn giản, dễ hiểu và dễ thực hiện hơn. - HUMAN-FAC2]]</f>
        <v>7</v>
      </c>
      <c r="AH143">
        <f t="shared" si="63"/>
        <v>0.66666666666666663</v>
      </c>
      <c r="AI143" s="32">
        <f t="shared" si="64"/>
        <v>0.83333333333333326</v>
      </c>
      <c r="AJ143" s="32">
        <f t="shared" si="65"/>
        <v>0.55555555555555558</v>
      </c>
      <c r="AK143">
        <f>step3_validation[[#This Row],[AI_TRU1]]</f>
        <v>6</v>
      </c>
      <c r="AL143">
        <f t="shared" si="66"/>
        <v>0.55555555555555558</v>
      </c>
      <c r="AM143">
        <f>survey_responses[[#This Row],[Tôi tin rằng Nhà nước, cơ quan thuế sẽ thực thi chính sách mới một cách khách quan, công tâm và đối xử bình đẳng với mọi người nộp thuế.  - HUMAN-TRU1]]</f>
        <v>6</v>
      </c>
      <c r="AN143">
        <f t="shared" si="67"/>
        <v>0.55555555555555558</v>
      </c>
      <c r="AO143">
        <f>step3_validation[[#This Row],[AI_TRU2]]</f>
        <v>9</v>
      </c>
      <c r="AP143">
        <f t="shared" si="68"/>
        <v>0.88888888888888884</v>
      </c>
      <c r="AQ143">
        <f>survey_responses[[#This Row],[Tôi thấy mức thuế tôi phải đóng theo phương án mới là công bằng (người thu nhập như tôi đóng mức này là hợp lý). - HUMAN-TRU2]]</f>
        <v>6</v>
      </c>
      <c r="AR143">
        <f t="shared" si="69"/>
        <v>0.55555555555555558</v>
      </c>
      <c r="AS143">
        <f>step3_validation[[#This Row],[AI_TRU3]]</f>
        <v>6</v>
      </c>
      <c r="AT143">
        <f t="shared" si="70"/>
        <v>0.55555555555555558</v>
      </c>
      <c r="AU143">
        <f>survey_responses[[#This Row],[Tôi tin tưởng số tiền thuế tôi đóng sẽ được Nhà nước sử dụng hiệu quả để cải thiện dịch vụ công (y tế, đường xá...). - HUMAN-TRU3]]</f>
        <v>6</v>
      </c>
      <c r="AV143">
        <f t="shared" si="71"/>
        <v>0.55555555555555558</v>
      </c>
      <c r="AW143">
        <f>step3_validation[[#This Row],[AI_TRU4]]</f>
        <v>7</v>
      </c>
      <c r="AX143">
        <f t="shared" si="72"/>
        <v>0.66666666666666663</v>
      </c>
      <c r="AY143">
        <f>survey_responses[[#This Row],[Tôi thấy Nhà nước đã giải thích rõ ràng, minh bạch về lý do và mục tiêu của việc sửa đổi thuế lần này. - HUMAN-TRU4]]</f>
        <v>7</v>
      </c>
      <c r="AZ143">
        <f t="shared" si="73"/>
        <v>0.66666666666666663</v>
      </c>
      <c r="BA143" s="32">
        <f t="shared" si="74"/>
        <v>0.66666666666666663</v>
      </c>
      <c r="BB143" s="32">
        <f t="shared" si="75"/>
        <v>0.58333333333333337</v>
      </c>
      <c r="BC143" s="7">
        <f t="shared" si="76"/>
        <v>0.68518518518518512</v>
      </c>
      <c r="BD143" s="7">
        <f t="shared" si="77"/>
        <v>0.54629629629629628</v>
      </c>
      <c r="BE143">
        <f>step3_validation[[#This Row],[AI_OUT1]]</f>
        <v>6</v>
      </c>
      <c r="BF143">
        <f t="shared" si="78"/>
        <v>0.55555555555555558</v>
      </c>
      <c r="BG143">
        <f>survey_responses[[#This Row],[Sau khi xem xét các quyền lợi và nghĩa vụ, bạn có ủng hộ và tuân thủ chính sách mới hiện nay? - HUMAN-OUT1]]</f>
        <v>7</v>
      </c>
      <c r="BH143">
        <f t="shared" si="79"/>
        <v>0.66666666666666663</v>
      </c>
      <c r="BI143" s="32">
        <f t="shared" si="80"/>
        <v>1</v>
      </c>
    </row>
    <row r="144" spans="1:61" x14ac:dyDescent="0.45">
      <c r="A144" s="30">
        <f>step3_validation[[#This Row],[Persona_ID]]</f>
        <v>143</v>
      </c>
      <c r="B144" s="31">
        <f>step3_validation[[#This Row],[Used_Seed]]</f>
        <v>2133</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139.02703250999451</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f t="shared" si="54"/>
        <v>0.66666666666666663</v>
      </c>
      <c r="S144">
        <f>survey_responses[[#This Row],[Tôi tin rằng với các quy định quản lý thuế hiện nay, hành vi gian lận hoặc trốn thuế sẽ dễ dàng bị phát hiện và xử lý nghiêm. - HUMAN-ENF1]]</f>
        <v>1</v>
      </c>
      <c r="T144">
        <f t="shared" si="55"/>
        <v>0</v>
      </c>
      <c r="U144">
        <f>step3_validation[[#This Row],[AI_ENF2]]</f>
        <v>8</v>
      </c>
      <c r="V144">
        <f t="shared" si="56"/>
        <v>0.77777777777777779</v>
      </c>
      <c r="W144">
        <f>survey_responses[[#This Row],[Tôi tin rằng Nhà nước, cơ quan thuế có đủ khả năng và công nghệ để phát hiện, xử lý nghiêm các hành vi trốn thuế. - HUMAN-ENF2]]</f>
        <v>1</v>
      </c>
      <c r="X144">
        <f t="shared" si="57"/>
        <v>0</v>
      </c>
      <c r="Y144" s="32">
        <f t="shared" si="58"/>
        <v>0.72222222222222221</v>
      </c>
      <c r="Z144" s="32">
        <f t="shared" si="59"/>
        <v>0</v>
      </c>
      <c r="AA144">
        <f>step3_validation[[#This Row],[AI_FAC1]]</f>
        <v>9</v>
      </c>
      <c r="AB144">
        <f t="shared" si="60"/>
        <v>0.88888888888888884</v>
      </c>
      <c r="AC144">
        <f>survey_responses[[#This Row],[Các thủ tục khai báo thuế VÀ/HOẶC quy trình làm việc với cơ quan thuế đơn giản, tiện lợi, nhanh chóng hơn so với trước đây. - HUMAN-FAC1]]</f>
        <v>8</v>
      </c>
      <c r="AD144">
        <f t="shared" si="61"/>
        <v>0.77777777777777779</v>
      </c>
      <c r="AE144">
        <f>step3_validation[[#This Row],[AI_FAC2]]</f>
        <v>9</v>
      </c>
      <c r="AF144">
        <f t="shared" si="62"/>
        <v>0.88888888888888884</v>
      </c>
      <c r="AG144">
        <f>survey_responses[[#This Row],[So với trước đây, tôi thấy cách tính thuế và các bậc thuế trong phương án mới đơn giản, dễ hiểu và dễ thực hiện hơn. - HUMAN-FAC2]]</f>
        <v>8</v>
      </c>
      <c r="AH144">
        <f t="shared" si="63"/>
        <v>0.77777777777777779</v>
      </c>
      <c r="AI144" s="32">
        <f t="shared" si="64"/>
        <v>0.88888888888888884</v>
      </c>
      <c r="AJ144" s="32">
        <f t="shared" si="65"/>
        <v>0.77777777777777779</v>
      </c>
      <c r="AK144">
        <f>step3_validation[[#This Row],[AI_TRU1]]</f>
        <v>8</v>
      </c>
      <c r="AL144">
        <f t="shared" si="66"/>
        <v>0.77777777777777779</v>
      </c>
      <c r="AM144">
        <f>survey_responses[[#This Row],[Tôi tin rằng Nhà nước, cơ quan thuế sẽ thực thi chính sách mới một cách khách quan, công tâm và đối xử bình đẳng với mọi người nộp thuế.  - HUMAN-TRU1]]</f>
        <v>8</v>
      </c>
      <c r="AN144">
        <f t="shared" si="67"/>
        <v>0.77777777777777779</v>
      </c>
      <c r="AO144">
        <f>step3_validation[[#This Row],[AI_TRU2]]</f>
        <v>9</v>
      </c>
      <c r="AP144">
        <f t="shared" si="68"/>
        <v>0.88888888888888884</v>
      </c>
      <c r="AQ144">
        <f>survey_responses[[#This Row],[Tôi thấy mức thuế tôi phải đóng theo phương án mới là công bằng (người thu nhập như tôi đóng mức này là hợp lý). - HUMAN-TRU2]]</f>
        <v>8</v>
      </c>
      <c r="AR144">
        <f t="shared" si="69"/>
        <v>0.77777777777777779</v>
      </c>
      <c r="AS144">
        <f>step3_validation[[#This Row],[AI_TRU3]]</f>
        <v>8</v>
      </c>
      <c r="AT144">
        <f t="shared" si="70"/>
        <v>0.77777777777777779</v>
      </c>
      <c r="AU144">
        <f>survey_responses[[#This Row],[Tôi tin tưởng số tiền thuế tôi đóng sẽ được Nhà nước sử dụng hiệu quả để cải thiện dịch vụ công (y tế, đường xá...). - HUMAN-TRU3]]</f>
        <v>8</v>
      </c>
      <c r="AV144">
        <f t="shared" si="71"/>
        <v>0.77777777777777779</v>
      </c>
      <c r="AW144">
        <f>step3_validation[[#This Row],[AI_TRU4]]</f>
        <v>9</v>
      </c>
      <c r="AX144">
        <f t="shared" si="72"/>
        <v>0.88888888888888884</v>
      </c>
      <c r="AY144">
        <f>survey_responses[[#This Row],[Tôi thấy Nhà nước đã giải thích rõ ràng, minh bạch về lý do và mục tiêu của việc sửa đổi thuế lần này. - HUMAN-TRU4]]</f>
        <v>8</v>
      </c>
      <c r="AZ144">
        <f t="shared" si="73"/>
        <v>0.77777777777777779</v>
      </c>
      <c r="BA144" s="32">
        <f t="shared" si="74"/>
        <v>0.83333333333333326</v>
      </c>
      <c r="BB144" s="32">
        <f t="shared" si="75"/>
        <v>0.77777777777777779</v>
      </c>
      <c r="BC144" s="7">
        <f t="shared" si="76"/>
        <v>0.81481481481481488</v>
      </c>
      <c r="BD144" s="7">
        <f t="shared" si="77"/>
        <v>0.51851851851851849</v>
      </c>
      <c r="BE144">
        <f>step3_validation[[#This Row],[AI_OUT1]]</f>
        <v>8</v>
      </c>
      <c r="BF144">
        <f t="shared" si="78"/>
        <v>0.77777777777777779</v>
      </c>
      <c r="BG144">
        <f>survey_responses[[#This Row],[Sau khi xem xét các quyền lợi và nghĩa vụ, bạn có ủng hộ và tuân thủ chính sách mới hiện nay? - HUMAN-OUT1]]</f>
        <v>8</v>
      </c>
      <c r="BH144">
        <f t="shared" si="79"/>
        <v>0.77777777777777779</v>
      </c>
      <c r="BI144" s="32">
        <f t="shared" si="80"/>
        <v>0</v>
      </c>
    </row>
    <row r="145" spans="1:61" x14ac:dyDescent="0.45">
      <c r="A145" s="30">
        <f>step3_validation[[#This Row],[Persona_ID]]</f>
        <v>144</v>
      </c>
      <c r="B145" s="31">
        <f>step3_validation[[#This Row],[Used_Seed]]</f>
        <v>2134</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62.626696236284886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f t="shared" si="54"/>
        <v>0.66666666666666663</v>
      </c>
      <c r="S145">
        <f>survey_responses[[#This Row],[Tôi tin rằng với các quy định quản lý thuế hiện nay, hành vi gian lận hoặc trốn thuế sẽ dễ dàng bị phát hiện và xử lý nghiêm. - HUMAN-ENF1]]</f>
        <v>9</v>
      </c>
      <c r="T145">
        <f t="shared" si="55"/>
        <v>0.88888888888888884</v>
      </c>
      <c r="U145">
        <f>step3_validation[[#This Row],[AI_ENF2]]</f>
        <v>8</v>
      </c>
      <c r="V145">
        <f t="shared" si="56"/>
        <v>0.77777777777777779</v>
      </c>
      <c r="W145">
        <f>survey_responses[[#This Row],[Tôi tin rằng Nhà nước, cơ quan thuế có đủ khả năng và công nghệ để phát hiện, xử lý nghiêm các hành vi trốn thuế. - HUMAN-ENF2]]</f>
        <v>9</v>
      </c>
      <c r="X145">
        <f t="shared" si="57"/>
        <v>0.88888888888888884</v>
      </c>
      <c r="Y145" s="32">
        <f t="shared" si="58"/>
        <v>0.72222222222222221</v>
      </c>
      <c r="Z145" s="32">
        <f t="shared" si="59"/>
        <v>0.88888888888888884</v>
      </c>
      <c r="AA145">
        <f>step3_validation[[#This Row],[AI_FAC1]]</f>
        <v>9</v>
      </c>
      <c r="AB145">
        <f t="shared" si="60"/>
        <v>0.88888888888888884</v>
      </c>
      <c r="AC145">
        <f>survey_responses[[#This Row],[Các thủ tục khai báo thuế VÀ/HOẶC quy trình làm việc với cơ quan thuế đơn giản, tiện lợi, nhanh chóng hơn so với trước đây. - HUMAN-FAC1]]</f>
        <v>9</v>
      </c>
      <c r="AD145">
        <f t="shared" si="61"/>
        <v>0.88888888888888884</v>
      </c>
      <c r="AE145">
        <f>step3_validation[[#This Row],[AI_FAC2]]</f>
        <v>9</v>
      </c>
      <c r="AF145">
        <f t="shared" si="62"/>
        <v>0.88888888888888884</v>
      </c>
      <c r="AG145">
        <f>survey_responses[[#This Row],[So với trước đây, tôi thấy cách tính thuế và các bậc thuế trong phương án mới đơn giản, dễ hiểu và dễ thực hiện hơn. - HUMAN-FAC2]]</f>
        <v>9</v>
      </c>
      <c r="AH145">
        <f t="shared" si="63"/>
        <v>0.88888888888888884</v>
      </c>
      <c r="AI145" s="32">
        <f t="shared" si="64"/>
        <v>0.88888888888888884</v>
      </c>
      <c r="AJ145" s="32">
        <f t="shared" si="65"/>
        <v>0.88888888888888884</v>
      </c>
      <c r="AK145">
        <f>step3_validation[[#This Row],[AI_TRU1]]</f>
        <v>7</v>
      </c>
      <c r="AL145">
        <f t="shared" si="66"/>
        <v>0.66666666666666663</v>
      </c>
      <c r="AM145">
        <f>survey_responses[[#This Row],[Tôi tin rằng Nhà nước, cơ quan thuế sẽ thực thi chính sách mới một cách khách quan, công tâm và đối xử bình đẳng với mọi người nộp thuế.  - HUMAN-TRU1]]</f>
        <v>10</v>
      </c>
      <c r="AN145">
        <f t="shared" si="67"/>
        <v>1</v>
      </c>
      <c r="AO145">
        <f>step3_validation[[#This Row],[AI_TRU2]]</f>
        <v>9</v>
      </c>
      <c r="AP145">
        <f t="shared" si="68"/>
        <v>0.88888888888888884</v>
      </c>
      <c r="AQ145">
        <f>survey_responses[[#This Row],[Tôi thấy mức thuế tôi phải đóng theo phương án mới là công bằng (người thu nhập như tôi đóng mức này là hợp lý). - HUMAN-TRU2]]</f>
        <v>5</v>
      </c>
      <c r="AR145">
        <f t="shared" si="69"/>
        <v>0.44444444444444442</v>
      </c>
      <c r="AS145">
        <f>step3_validation[[#This Row],[AI_TRU3]]</f>
        <v>8</v>
      </c>
      <c r="AT145">
        <f t="shared" si="70"/>
        <v>0.77777777777777779</v>
      </c>
      <c r="AU145">
        <f>survey_responses[[#This Row],[Tôi tin tưởng số tiền thuế tôi đóng sẽ được Nhà nước sử dụng hiệu quả để cải thiện dịch vụ công (y tế, đường xá...). - HUMAN-TRU3]]</f>
        <v>9</v>
      </c>
      <c r="AV145">
        <f t="shared" si="71"/>
        <v>0.88888888888888884</v>
      </c>
      <c r="AW145">
        <f>step3_validation[[#This Row],[AI_TRU4]]</f>
        <v>6</v>
      </c>
      <c r="AX145">
        <f t="shared" si="72"/>
        <v>0.55555555555555558</v>
      </c>
      <c r="AY145">
        <f>survey_responses[[#This Row],[Tôi thấy Nhà nước đã giải thích rõ ràng, minh bạch về lý do và mục tiêu của việc sửa đổi thuế lần này. - HUMAN-TRU4]]</f>
        <v>9</v>
      </c>
      <c r="AZ145">
        <f t="shared" si="73"/>
        <v>0.88888888888888884</v>
      </c>
      <c r="BA145" s="32">
        <f t="shared" si="74"/>
        <v>0.7222222222222221</v>
      </c>
      <c r="BB145" s="32">
        <f t="shared" si="75"/>
        <v>0.80555555555555547</v>
      </c>
      <c r="BC145" s="7">
        <f t="shared" si="76"/>
        <v>0.77777777777777768</v>
      </c>
      <c r="BD145" s="7">
        <f t="shared" si="77"/>
        <v>0.86111111111111105</v>
      </c>
      <c r="BE145">
        <f>step3_validation[[#This Row],[AI_OUT1]]</f>
        <v>8</v>
      </c>
      <c r="BF145">
        <f t="shared" si="78"/>
        <v>0.77777777777777779</v>
      </c>
      <c r="BG145">
        <f>survey_responses[[#This Row],[Sau khi xem xét các quyền lợi và nghĩa vụ, bạn có ủng hộ và tuân thủ chính sách mới hiện nay? - HUMAN-OUT1]]</f>
        <v>10</v>
      </c>
      <c r="BH145">
        <f t="shared" si="79"/>
        <v>1</v>
      </c>
      <c r="BI145" s="32">
        <f t="shared" si="80"/>
        <v>2</v>
      </c>
    </row>
    <row r="146" spans="1:61" x14ac:dyDescent="0.45">
      <c r="A146" s="30">
        <f>step3_validation[[#This Row],[Persona_ID]]</f>
        <v>145</v>
      </c>
      <c r="B146" s="31">
        <f>step3_validation[[#This Row],[Used_Seed]]</f>
        <v>2135</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57.646688879409737</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f t="shared" si="54"/>
        <v>0.66666666666666663</v>
      </c>
      <c r="S146">
        <f>survey_responses[[#This Row],[Tôi tin rằng với các quy định quản lý thuế hiện nay, hành vi gian lận hoặc trốn thuế sẽ dễ dàng bị phát hiện và xử lý nghiêm. - HUMAN-ENF1]]</f>
        <v>10</v>
      </c>
      <c r="T146">
        <f t="shared" si="55"/>
        <v>1</v>
      </c>
      <c r="U146">
        <f>step3_validation[[#This Row],[AI_ENF2]]</f>
        <v>6</v>
      </c>
      <c r="V146">
        <f t="shared" si="56"/>
        <v>0.55555555555555558</v>
      </c>
      <c r="W146">
        <f>survey_responses[[#This Row],[Tôi tin rằng Nhà nước, cơ quan thuế có đủ khả năng và công nghệ để phát hiện, xử lý nghiêm các hành vi trốn thuế. - HUMAN-ENF2]]</f>
        <v>10</v>
      </c>
      <c r="X146">
        <f t="shared" si="57"/>
        <v>1</v>
      </c>
      <c r="Y146" s="32">
        <f t="shared" si="58"/>
        <v>0.61111111111111116</v>
      </c>
      <c r="Z146" s="32">
        <f t="shared" si="59"/>
        <v>1</v>
      </c>
      <c r="AA146">
        <f>step3_validation[[#This Row],[AI_FAC1]]</f>
        <v>9</v>
      </c>
      <c r="AB146">
        <f t="shared" si="60"/>
        <v>0.88888888888888884</v>
      </c>
      <c r="AC146">
        <f>survey_responses[[#This Row],[Các thủ tục khai báo thuế VÀ/HOẶC quy trình làm việc với cơ quan thuế đơn giản, tiện lợi, nhanh chóng hơn so với trước đây. - HUMAN-FAC1]]</f>
        <v>9</v>
      </c>
      <c r="AD146">
        <f t="shared" si="61"/>
        <v>0.88888888888888884</v>
      </c>
      <c r="AE146">
        <f>step3_validation[[#This Row],[AI_FAC2]]</f>
        <v>8</v>
      </c>
      <c r="AF146">
        <f t="shared" si="62"/>
        <v>0.77777777777777779</v>
      </c>
      <c r="AG146">
        <f>survey_responses[[#This Row],[So với trước đây, tôi thấy cách tính thuế và các bậc thuế trong phương án mới đơn giản, dễ hiểu và dễ thực hiện hơn. - HUMAN-FAC2]]</f>
        <v>6</v>
      </c>
      <c r="AH146">
        <f t="shared" si="63"/>
        <v>0.55555555555555558</v>
      </c>
      <c r="AI146" s="32">
        <f t="shared" si="64"/>
        <v>0.83333333333333326</v>
      </c>
      <c r="AJ146" s="32">
        <f t="shared" si="65"/>
        <v>0.72222222222222221</v>
      </c>
      <c r="AK146">
        <f>step3_validation[[#This Row],[AI_TRU1]]</f>
        <v>7</v>
      </c>
      <c r="AL146">
        <f t="shared" si="66"/>
        <v>0.66666666666666663</v>
      </c>
      <c r="AM146">
        <f>survey_responses[[#This Row],[Tôi tin rằng Nhà nước, cơ quan thuế sẽ thực thi chính sách mới một cách khách quan, công tâm và đối xử bình đẳng với mọi người nộp thuế.  - HUMAN-TRU1]]</f>
        <v>6</v>
      </c>
      <c r="AN146">
        <f t="shared" si="67"/>
        <v>0.55555555555555558</v>
      </c>
      <c r="AO146">
        <f>step3_validation[[#This Row],[AI_TRU2]]</f>
        <v>9</v>
      </c>
      <c r="AP146">
        <f t="shared" si="68"/>
        <v>0.88888888888888884</v>
      </c>
      <c r="AQ146">
        <f>survey_responses[[#This Row],[Tôi thấy mức thuế tôi phải đóng theo phương án mới là công bằng (người thu nhập như tôi đóng mức này là hợp lý). - HUMAN-TRU2]]</f>
        <v>3</v>
      </c>
      <c r="AR146">
        <f t="shared" si="69"/>
        <v>0.22222222222222221</v>
      </c>
      <c r="AS146">
        <f>step3_validation[[#This Row],[AI_TRU3]]</f>
        <v>8</v>
      </c>
      <c r="AT146">
        <f t="shared" si="70"/>
        <v>0.77777777777777779</v>
      </c>
      <c r="AU146">
        <f>survey_responses[[#This Row],[Tôi tin tưởng số tiền thuế tôi đóng sẽ được Nhà nước sử dụng hiệu quả để cải thiện dịch vụ công (y tế, đường xá...). - HUMAN-TRU3]]</f>
        <v>5</v>
      </c>
      <c r="AV146">
        <f t="shared" si="71"/>
        <v>0.44444444444444442</v>
      </c>
      <c r="AW146">
        <f>step3_validation[[#This Row],[AI_TRU4]]</f>
        <v>7</v>
      </c>
      <c r="AX146">
        <f t="shared" si="72"/>
        <v>0.66666666666666663</v>
      </c>
      <c r="AY146">
        <f>survey_responses[[#This Row],[Tôi thấy Nhà nước đã giải thích rõ ràng, minh bạch về lý do và mục tiêu của việc sửa đổi thuế lần này. - HUMAN-TRU4]]</f>
        <v>5</v>
      </c>
      <c r="AZ146">
        <f t="shared" si="73"/>
        <v>0.44444444444444442</v>
      </c>
      <c r="BA146" s="32">
        <f t="shared" si="74"/>
        <v>0.74999999999999989</v>
      </c>
      <c r="BB146" s="32">
        <f t="shared" si="75"/>
        <v>0.41666666666666669</v>
      </c>
      <c r="BC146" s="7">
        <f t="shared" si="76"/>
        <v>0.7314814814814814</v>
      </c>
      <c r="BD146" s="7">
        <f t="shared" si="77"/>
        <v>0.71296296296296291</v>
      </c>
      <c r="BE146">
        <f>step3_validation[[#This Row],[AI_OUT1]]</f>
        <v>9</v>
      </c>
      <c r="BF146">
        <f t="shared" si="78"/>
        <v>0.88888888888888884</v>
      </c>
      <c r="BG146">
        <f>survey_responses[[#This Row],[Sau khi xem xét các quyền lợi và nghĩa vụ, bạn có ủng hộ và tuân thủ chính sách mới hiện nay? - HUMAN-OUT1]]</f>
        <v>1</v>
      </c>
      <c r="BH146">
        <f t="shared" si="79"/>
        <v>0</v>
      </c>
      <c r="BI146" s="32">
        <f t="shared" si="80"/>
        <v>8</v>
      </c>
    </row>
    <row r="147" spans="1:61" x14ac:dyDescent="0.45">
      <c r="A147" s="30">
        <f>step3_validation[[#This Row],[Persona_ID]]</f>
        <v>146</v>
      </c>
      <c r="B147" s="31">
        <f>step3_validation[[#This Row],[Used_Seed]]</f>
        <v>2136</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85.619123253570223</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f t="shared" si="54"/>
        <v>0.66666666666666663</v>
      </c>
      <c r="S147">
        <f>survey_responses[[#This Row],[Tôi tin rằng với các quy định quản lý thuế hiện nay, hành vi gian lận hoặc trốn thuế sẽ dễ dàng bị phát hiện và xử lý nghiêm. - HUMAN-ENF1]]</f>
        <v>8</v>
      </c>
      <c r="T147">
        <f t="shared" si="55"/>
        <v>0.77777777777777779</v>
      </c>
      <c r="U147">
        <f>step3_validation[[#This Row],[AI_ENF2]]</f>
        <v>6</v>
      </c>
      <c r="V147">
        <f t="shared" si="56"/>
        <v>0.55555555555555558</v>
      </c>
      <c r="W147">
        <f>survey_responses[[#This Row],[Tôi tin rằng Nhà nước, cơ quan thuế có đủ khả năng và công nghệ để phát hiện, xử lý nghiêm các hành vi trốn thuế. - HUMAN-ENF2]]</f>
        <v>8</v>
      </c>
      <c r="X147">
        <f t="shared" si="57"/>
        <v>0.77777777777777779</v>
      </c>
      <c r="Y147" s="32">
        <f t="shared" si="58"/>
        <v>0.61111111111111116</v>
      </c>
      <c r="Z147" s="32">
        <f t="shared" si="59"/>
        <v>0.77777777777777779</v>
      </c>
      <c r="AA147">
        <f>step3_validation[[#This Row],[AI_FAC1]]</f>
        <v>9</v>
      </c>
      <c r="AB147">
        <f t="shared" si="60"/>
        <v>0.88888888888888884</v>
      </c>
      <c r="AC147">
        <f>survey_responses[[#This Row],[Các thủ tục khai báo thuế VÀ/HOẶC quy trình làm việc với cơ quan thuế đơn giản, tiện lợi, nhanh chóng hơn so với trước đây. - HUMAN-FAC1]]</f>
        <v>5</v>
      </c>
      <c r="AD147">
        <f t="shared" si="61"/>
        <v>0.44444444444444442</v>
      </c>
      <c r="AE147">
        <f>step3_validation[[#This Row],[AI_FAC2]]</f>
        <v>8</v>
      </c>
      <c r="AF147">
        <f t="shared" si="62"/>
        <v>0.77777777777777779</v>
      </c>
      <c r="AG147">
        <f>survey_responses[[#This Row],[So với trước đây, tôi thấy cách tính thuế và các bậc thuế trong phương án mới đơn giản, dễ hiểu và dễ thực hiện hơn. - HUMAN-FAC2]]</f>
        <v>5</v>
      </c>
      <c r="AH147">
        <f t="shared" si="63"/>
        <v>0.44444444444444442</v>
      </c>
      <c r="AI147" s="32">
        <f t="shared" si="64"/>
        <v>0.83333333333333326</v>
      </c>
      <c r="AJ147" s="32">
        <f t="shared" si="65"/>
        <v>0.44444444444444442</v>
      </c>
      <c r="AK147">
        <f>step3_validation[[#This Row],[AI_TRU1]]</f>
        <v>7</v>
      </c>
      <c r="AL147">
        <f t="shared" si="66"/>
        <v>0.66666666666666663</v>
      </c>
      <c r="AM147">
        <f>survey_responses[[#This Row],[Tôi tin rằng Nhà nước, cơ quan thuế sẽ thực thi chính sách mới một cách khách quan, công tâm và đối xử bình đẳng với mọi người nộp thuế.  - HUMAN-TRU1]]</f>
        <v>5</v>
      </c>
      <c r="AN147">
        <f t="shared" si="67"/>
        <v>0.44444444444444442</v>
      </c>
      <c r="AO147">
        <f>step3_validation[[#This Row],[AI_TRU2]]</f>
        <v>9</v>
      </c>
      <c r="AP147">
        <f t="shared" si="68"/>
        <v>0.88888888888888884</v>
      </c>
      <c r="AQ147">
        <f>survey_responses[[#This Row],[Tôi thấy mức thuế tôi phải đóng theo phương án mới là công bằng (người thu nhập như tôi đóng mức này là hợp lý). - HUMAN-TRU2]]</f>
        <v>3</v>
      </c>
      <c r="AR147">
        <f t="shared" si="69"/>
        <v>0.22222222222222221</v>
      </c>
      <c r="AS147">
        <f>step3_validation[[#This Row],[AI_TRU3]]</f>
        <v>7</v>
      </c>
      <c r="AT147">
        <f t="shared" si="70"/>
        <v>0.66666666666666663</v>
      </c>
      <c r="AU147">
        <f>survey_responses[[#This Row],[Tôi tin tưởng số tiền thuế tôi đóng sẽ được Nhà nước sử dụng hiệu quả để cải thiện dịch vụ công (y tế, đường xá...). - HUMAN-TRU3]]</f>
        <v>5</v>
      </c>
      <c r="AV147">
        <f t="shared" si="71"/>
        <v>0.44444444444444442</v>
      </c>
      <c r="AW147">
        <f>step3_validation[[#This Row],[AI_TRU4]]</f>
        <v>8</v>
      </c>
      <c r="AX147">
        <f t="shared" si="72"/>
        <v>0.77777777777777779</v>
      </c>
      <c r="AY147">
        <f>survey_responses[[#This Row],[Tôi thấy Nhà nước đã giải thích rõ ràng, minh bạch về lý do và mục tiêu của việc sửa đổi thuế lần này. - HUMAN-TRU4]]</f>
        <v>5</v>
      </c>
      <c r="AZ147">
        <f t="shared" si="73"/>
        <v>0.44444444444444442</v>
      </c>
      <c r="BA147" s="32">
        <f t="shared" si="74"/>
        <v>0.74999999999999989</v>
      </c>
      <c r="BB147" s="32">
        <f t="shared" si="75"/>
        <v>0.3888888888888889</v>
      </c>
      <c r="BC147" s="7">
        <f t="shared" si="76"/>
        <v>0.7314814814814814</v>
      </c>
      <c r="BD147" s="7">
        <f t="shared" si="77"/>
        <v>0.53703703703703709</v>
      </c>
      <c r="BE147">
        <f>step3_validation[[#This Row],[AI_OUT1]]</f>
        <v>9</v>
      </c>
      <c r="BF147">
        <f t="shared" si="78"/>
        <v>0.88888888888888884</v>
      </c>
      <c r="BG147">
        <f>survey_responses[[#This Row],[Sau khi xem xét các quyền lợi và nghĩa vụ, bạn có ủng hộ và tuân thủ chính sách mới hiện nay? - HUMAN-OUT1]]</f>
        <v>5</v>
      </c>
      <c r="BH147">
        <f t="shared" si="79"/>
        <v>0.44444444444444442</v>
      </c>
      <c r="BI147" s="32">
        <f t="shared" si="80"/>
        <v>4</v>
      </c>
    </row>
    <row r="148" spans="1:61" x14ac:dyDescent="0.45">
      <c r="A148" s="30">
        <f>step3_validation[[#This Row],[Persona_ID]]</f>
        <v>147</v>
      </c>
      <c r="B148" s="31">
        <f>step3_validation[[#This Row],[Used_Seed]]</f>
        <v>2137</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157.45553892629545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f t="shared" si="54"/>
        <v>0.77777777777777779</v>
      </c>
      <c r="S148">
        <f>survey_responses[[#This Row],[Tôi tin rằng với các quy định quản lý thuế hiện nay, hành vi gian lận hoặc trốn thuế sẽ dễ dàng bị phát hiện và xử lý nghiêm. - HUMAN-ENF1]]</f>
        <v>7</v>
      </c>
      <c r="T148">
        <f t="shared" si="55"/>
        <v>0.66666666666666663</v>
      </c>
      <c r="U148">
        <f>step3_validation[[#This Row],[AI_ENF2]]</f>
        <v>9</v>
      </c>
      <c r="V148">
        <f t="shared" si="56"/>
        <v>0.88888888888888884</v>
      </c>
      <c r="W148">
        <f>survey_responses[[#This Row],[Tôi tin rằng Nhà nước, cơ quan thuế có đủ khả năng và công nghệ để phát hiện, xử lý nghiêm các hành vi trốn thuế. - HUMAN-ENF2]]</f>
        <v>7</v>
      </c>
      <c r="X148">
        <f t="shared" si="57"/>
        <v>0.66666666666666663</v>
      </c>
      <c r="Y148" s="32">
        <f t="shared" si="58"/>
        <v>0.83333333333333326</v>
      </c>
      <c r="Z148" s="32">
        <f t="shared" si="59"/>
        <v>0.66666666666666663</v>
      </c>
      <c r="AA148">
        <f>step3_validation[[#This Row],[AI_FAC1]]</f>
        <v>9</v>
      </c>
      <c r="AB148">
        <f t="shared" si="60"/>
        <v>0.88888888888888884</v>
      </c>
      <c r="AC148">
        <f>survey_responses[[#This Row],[Các thủ tục khai báo thuế VÀ/HOẶC quy trình làm việc với cơ quan thuế đơn giản, tiện lợi, nhanh chóng hơn so với trước đây. - HUMAN-FAC1]]</f>
        <v>1</v>
      </c>
      <c r="AD148">
        <f t="shared" si="61"/>
        <v>0</v>
      </c>
      <c r="AE148">
        <f>step3_validation[[#This Row],[AI_FAC2]]</f>
        <v>8</v>
      </c>
      <c r="AF148">
        <f t="shared" si="62"/>
        <v>0.77777777777777779</v>
      </c>
      <c r="AG148">
        <f>survey_responses[[#This Row],[So với trước đây, tôi thấy cách tính thuế và các bậc thuế trong phương án mới đơn giản, dễ hiểu và dễ thực hiện hơn. - HUMAN-FAC2]]</f>
        <v>6</v>
      </c>
      <c r="AH148">
        <f t="shared" si="63"/>
        <v>0.55555555555555558</v>
      </c>
      <c r="AI148" s="32">
        <f t="shared" si="64"/>
        <v>0.83333333333333326</v>
      </c>
      <c r="AJ148" s="32">
        <f t="shared" si="65"/>
        <v>0.27777777777777779</v>
      </c>
      <c r="AK148">
        <f>step3_validation[[#This Row],[AI_TRU1]]</f>
        <v>9</v>
      </c>
      <c r="AL148">
        <f t="shared" si="66"/>
        <v>0.88888888888888884</v>
      </c>
      <c r="AM148">
        <f>survey_responses[[#This Row],[Tôi tin rằng Nhà nước, cơ quan thuế sẽ thực thi chính sách mới một cách khách quan, công tâm và đối xử bình đẳng với mọi người nộp thuế.  - HUMAN-TRU1]]</f>
        <v>3</v>
      </c>
      <c r="AN148">
        <f t="shared" si="67"/>
        <v>0.22222222222222221</v>
      </c>
      <c r="AO148">
        <f>step3_validation[[#This Row],[AI_TRU2]]</f>
        <v>8</v>
      </c>
      <c r="AP148">
        <f t="shared" si="68"/>
        <v>0.77777777777777779</v>
      </c>
      <c r="AQ148">
        <f>survey_responses[[#This Row],[Tôi thấy mức thuế tôi phải đóng theo phương án mới là công bằng (người thu nhập như tôi đóng mức này là hợp lý). - HUMAN-TRU2]]</f>
        <v>5</v>
      </c>
      <c r="AR148">
        <f t="shared" si="69"/>
        <v>0.44444444444444442</v>
      </c>
      <c r="AS148">
        <f>step3_validation[[#This Row],[AI_TRU3]]</f>
        <v>9</v>
      </c>
      <c r="AT148">
        <f t="shared" si="70"/>
        <v>0.88888888888888884</v>
      </c>
      <c r="AU148">
        <f>survey_responses[[#This Row],[Tôi tin tưởng số tiền thuế tôi đóng sẽ được Nhà nước sử dụng hiệu quả để cải thiện dịch vụ công (y tế, đường xá...). - HUMAN-TRU3]]</f>
        <v>1</v>
      </c>
      <c r="AV148">
        <f t="shared" si="71"/>
        <v>0</v>
      </c>
      <c r="AW148">
        <f>step3_validation[[#This Row],[AI_TRU4]]</f>
        <v>8</v>
      </c>
      <c r="AX148">
        <f t="shared" si="72"/>
        <v>0.77777777777777779</v>
      </c>
      <c r="AY148">
        <f>survey_responses[[#This Row],[Tôi thấy Nhà nước đã giải thích rõ ràng, minh bạch về lý do và mục tiêu của việc sửa đổi thuế lần này. - HUMAN-TRU4]]</f>
        <v>4</v>
      </c>
      <c r="AZ148">
        <f t="shared" si="73"/>
        <v>0.33333333333333331</v>
      </c>
      <c r="BA148" s="32">
        <f t="shared" si="74"/>
        <v>0.83333333333333326</v>
      </c>
      <c r="BB148" s="32">
        <f t="shared" si="75"/>
        <v>0.25</v>
      </c>
      <c r="BC148" s="7">
        <f t="shared" si="76"/>
        <v>0.83333333333333337</v>
      </c>
      <c r="BD148" s="7">
        <f t="shared" si="77"/>
        <v>0.39814814814814814</v>
      </c>
      <c r="BE148">
        <f>step3_validation[[#This Row],[AI_OUT1]]</f>
        <v>9</v>
      </c>
      <c r="BF148">
        <f t="shared" si="78"/>
        <v>0.88888888888888884</v>
      </c>
      <c r="BG148">
        <f>survey_responses[[#This Row],[Sau khi xem xét các quyền lợi và nghĩa vụ, bạn có ủng hộ và tuân thủ chính sách mới hiện nay? - HUMAN-OUT1]]</f>
        <v>5</v>
      </c>
      <c r="BH148">
        <f t="shared" si="79"/>
        <v>0.44444444444444442</v>
      </c>
      <c r="BI148" s="32">
        <f t="shared" si="80"/>
        <v>4</v>
      </c>
    </row>
    <row r="149" spans="1:61" x14ac:dyDescent="0.45">
      <c r="A149" s="30">
        <f>step3_validation[[#This Row],[Persona_ID]]</f>
        <v>148</v>
      </c>
      <c r="B149" s="31">
        <f>step3_validation[[#This Row],[Used_Seed]]</f>
        <v>2138</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19.480538476970402</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f t="shared" si="54"/>
        <v>0.66666666666666663</v>
      </c>
      <c r="S149">
        <f>survey_responses[[#This Row],[Tôi tin rằng với các quy định quản lý thuế hiện nay, hành vi gian lận hoặc trốn thuế sẽ dễ dàng bị phát hiện và xử lý nghiêm. - HUMAN-ENF1]]</f>
        <v>6</v>
      </c>
      <c r="T149">
        <f t="shared" si="55"/>
        <v>0.55555555555555558</v>
      </c>
      <c r="U149">
        <f>step3_validation[[#This Row],[AI_ENF2]]</f>
        <v>6</v>
      </c>
      <c r="V149">
        <f t="shared" si="56"/>
        <v>0.55555555555555558</v>
      </c>
      <c r="W149">
        <f>survey_responses[[#This Row],[Tôi tin rằng Nhà nước, cơ quan thuế có đủ khả năng và công nghệ để phát hiện, xử lý nghiêm các hành vi trốn thuế. - HUMAN-ENF2]]</f>
        <v>6</v>
      </c>
      <c r="X149">
        <f t="shared" si="57"/>
        <v>0.55555555555555558</v>
      </c>
      <c r="Y149" s="32">
        <f t="shared" si="58"/>
        <v>0.61111111111111116</v>
      </c>
      <c r="Z149" s="32">
        <f t="shared" si="59"/>
        <v>0.55555555555555558</v>
      </c>
      <c r="AA149">
        <f>step3_validation[[#This Row],[AI_FAC1]]</f>
        <v>8</v>
      </c>
      <c r="AB149">
        <f t="shared" si="60"/>
        <v>0.77777777777777779</v>
      </c>
      <c r="AC149">
        <f>survey_responses[[#This Row],[Các thủ tục khai báo thuế VÀ/HOẶC quy trình làm việc với cơ quan thuế đơn giản, tiện lợi, nhanh chóng hơn so với trước đây. - HUMAN-FAC1]]</f>
        <v>5</v>
      </c>
      <c r="AD149">
        <f t="shared" si="61"/>
        <v>0.44444444444444442</v>
      </c>
      <c r="AE149">
        <f>step3_validation[[#This Row],[AI_FAC2]]</f>
        <v>9</v>
      </c>
      <c r="AF149">
        <f t="shared" si="62"/>
        <v>0.88888888888888884</v>
      </c>
      <c r="AG149">
        <f>survey_responses[[#This Row],[So với trước đây, tôi thấy cách tính thuế và các bậc thuế trong phương án mới đơn giản, dễ hiểu và dễ thực hiện hơn. - HUMAN-FAC2]]</f>
        <v>7</v>
      </c>
      <c r="AH149">
        <f t="shared" si="63"/>
        <v>0.66666666666666663</v>
      </c>
      <c r="AI149" s="32">
        <f t="shared" si="64"/>
        <v>0.83333333333333326</v>
      </c>
      <c r="AJ149" s="32">
        <f t="shared" si="65"/>
        <v>0.55555555555555558</v>
      </c>
      <c r="AK149">
        <f>step3_validation[[#This Row],[AI_TRU1]]</f>
        <v>7</v>
      </c>
      <c r="AL149">
        <f t="shared" si="66"/>
        <v>0.66666666666666663</v>
      </c>
      <c r="AM149">
        <f>survey_responses[[#This Row],[Tôi tin rằng Nhà nước, cơ quan thuế sẽ thực thi chính sách mới một cách khách quan, công tâm và đối xử bình đẳng với mọi người nộp thuế.  - HUMAN-TRU1]]</f>
        <v>5</v>
      </c>
      <c r="AN149">
        <f t="shared" si="67"/>
        <v>0.44444444444444442</v>
      </c>
      <c r="AO149">
        <f>step3_validation[[#This Row],[AI_TRU2]]</f>
        <v>9</v>
      </c>
      <c r="AP149">
        <f t="shared" si="68"/>
        <v>0.88888888888888884</v>
      </c>
      <c r="AQ149">
        <f>survey_responses[[#This Row],[Tôi thấy mức thuế tôi phải đóng theo phương án mới là công bằng (người thu nhập như tôi đóng mức này là hợp lý). - HUMAN-TRU2]]</f>
        <v>7</v>
      </c>
      <c r="AR149">
        <f t="shared" si="69"/>
        <v>0.66666666666666663</v>
      </c>
      <c r="AS149">
        <f>step3_validation[[#This Row],[AI_TRU3]]</f>
        <v>8</v>
      </c>
      <c r="AT149">
        <f t="shared" si="70"/>
        <v>0.77777777777777779</v>
      </c>
      <c r="AU149">
        <f>survey_responses[[#This Row],[Tôi tin tưởng số tiền thuế tôi đóng sẽ được Nhà nước sử dụng hiệu quả để cải thiện dịch vụ công (y tế, đường xá...). - HUMAN-TRU3]]</f>
        <v>5</v>
      </c>
      <c r="AV149">
        <f t="shared" si="71"/>
        <v>0.44444444444444442</v>
      </c>
      <c r="AW149">
        <f>step3_validation[[#This Row],[AI_TRU4]]</f>
        <v>7</v>
      </c>
      <c r="AX149">
        <f t="shared" si="72"/>
        <v>0.66666666666666663</v>
      </c>
      <c r="AY149">
        <f>survey_responses[[#This Row],[Tôi thấy Nhà nước đã giải thích rõ ràng, minh bạch về lý do và mục tiêu của việc sửa đổi thuế lần này. - HUMAN-TRU4]]</f>
        <v>6</v>
      </c>
      <c r="AZ149">
        <f t="shared" si="73"/>
        <v>0.55555555555555558</v>
      </c>
      <c r="BA149" s="32">
        <f t="shared" si="74"/>
        <v>0.74999999999999989</v>
      </c>
      <c r="BB149" s="32">
        <f t="shared" si="75"/>
        <v>0.52777777777777779</v>
      </c>
      <c r="BC149" s="7">
        <f t="shared" si="76"/>
        <v>0.7314814814814814</v>
      </c>
      <c r="BD149" s="7">
        <f t="shared" si="77"/>
        <v>0.54629629629629628</v>
      </c>
      <c r="BE149">
        <f>step3_validation[[#This Row],[AI_OUT1]]</f>
        <v>9</v>
      </c>
      <c r="BF149">
        <f t="shared" si="78"/>
        <v>0.88888888888888884</v>
      </c>
      <c r="BG149">
        <f>survey_responses[[#This Row],[Sau khi xem xét các quyền lợi và nghĩa vụ, bạn có ủng hộ và tuân thủ chính sách mới hiện nay? - HUMAN-OUT1]]</f>
        <v>7</v>
      </c>
      <c r="BH149">
        <f t="shared" si="79"/>
        <v>0.66666666666666663</v>
      </c>
      <c r="BI149" s="32">
        <f t="shared" si="80"/>
        <v>2</v>
      </c>
    </row>
    <row r="150" spans="1:61" x14ac:dyDescent="0.45">
      <c r="A150" s="30">
        <f>step3_validation[[#This Row],[Persona_ID]]</f>
        <v>149</v>
      </c>
      <c r="B150" s="31">
        <f>step3_validation[[#This Row],[Used_Seed]]</f>
        <v>2139</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224.2269893145295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8</v>
      </c>
      <c r="R150">
        <f t="shared" si="54"/>
        <v>0.77777777777777779</v>
      </c>
      <c r="S150">
        <f>survey_responses[[#This Row],[Tôi tin rằng với các quy định quản lý thuế hiện nay, hành vi gian lận hoặc trốn thuế sẽ dễ dàng bị phát hiện và xử lý nghiêm. - HUMAN-ENF1]]</f>
        <v>10</v>
      </c>
      <c r="T150">
        <f t="shared" si="55"/>
        <v>1</v>
      </c>
      <c r="U150">
        <f>step3_validation[[#This Row],[AI_ENF2]]</f>
        <v>7</v>
      </c>
      <c r="V150">
        <f t="shared" si="56"/>
        <v>0.66666666666666663</v>
      </c>
      <c r="W150">
        <f>survey_responses[[#This Row],[Tôi tin rằng Nhà nước, cơ quan thuế có đủ khả năng và công nghệ để phát hiện, xử lý nghiêm các hành vi trốn thuế. - HUMAN-ENF2]]</f>
        <v>10</v>
      </c>
      <c r="X150">
        <f t="shared" si="57"/>
        <v>1</v>
      </c>
      <c r="Y150" s="32">
        <f t="shared" si="58"/>
        <v>0.72222222222222221</v>
      </c>
      <c r="Z150" s="32">
        <f t="shared" si="59"/>
        <v>1</v>
      </c>
      <c r="AA150">
        <f>step3_validation[[#This Row],[AI_FAC1]]</f>
        <v>7</v>
      </c>
      <c r="AB150">
        <f t="shared" si="60"/>
        <v>0.66666666666666663</v>
      </c>
      <c r="AC150">
        <f>survey_responses[[#This Row],[Các thủ tục khai báo thuế VÀ/HOẶC quy trình làm việc với cơ quan thuế đơn giản, tiện lợi, nhanh chóng hơn so với trước đây. - HUMAN-FAC1]]</f>
        <v>7</v>
      </c>
      <c r="AD150">
        <f t="shared" si="61"/>
        <v>0.66666666666666663</v>
      </c>
      <c r="AE150">
        <f>step3_validation[[#This Row],[AI_FAC2]]</f>
        <v>9</v>
      </c>
      <c r="AF150">
        <f t="shared" si="62"/>
        <v>0.88888888888888884</v>
      </c>
      <c r="AG150">
        <f>survey_responses[[#This Row],[So với trước đây, tôi thấy cách tính thuế và các bậc thuế trong phương án mới đơn giản, dễ hiểu và dễ thực hiện hơn. - HUMAN-FAC2]]</f>
        <v>8</v>
      </c>
      <c r="AH150">
        <f t="shared" si="63"/>
        <v>0.77777777777777779</v>
      </c>
      <c r="AI150" s="32">
        <f t="shared" si="64"/>
        <v>0.77777777777777768</v>
      </c>
      <c r="AJ150" s="32">
        <f t="shared" si="65"/>
        <v>0.72222222222222221</v>
      </c>
      <c r="AK150">
        <f>step3_validation[[#This Row],[AI_TRU1]]</f>
        <v>6</v>
      </c>
      <c r="AL150">
        <f t="shared" si="66"/>
        <v>0.55555555555555558</v>
      </c>
      <c r="AM150">
        <f>survey_responses[[#This Row],[Tôi tin rằng Nhà nước, cơ quan thuế sẽ thực thi chính sách mới một cách khách quan, công tâm và đối xử bình đẳng với mọi người nộp thuế.  - HUMAN-TRU1]]</f>
        <v>8</v>
      </c>
      <c r="AN150">
        <f t="shared" si="67"/>
        <v>0.77777777777777779</v>
      </c>
      <c r="AO150">
        <f>step3_validation[[#This Row],[AI_TRU2]]</f>
        <v>8</v>
      </c>
      <c r="AP150">
        <f t="shared" si="68"/>
        <v>0.77777777777777779</v>
      </c>
      <c r="AQ150">
        <f>survey_responses[[#This Row],[Tôi thấy mức thuế tôi phải đóng theo phương án mới là công bằng (người thu nhập như tôi đóng mức này là hợp lý). - HUMAN-TRU2]]</f>
        <v>4</v>
      </c>
      <c r="AR150">
        <f t="shared" si="69"/>
        <v>0.33333333333333331</v>
      </c>
      <c r="AS150">
        <f>step3_validation[[#This Row],[AI_TRU3]]</f>
        <v>6</v>
      </c>
      <c r="AT150">
        <f t="shared" si="70"/>
        <v>0.55555555555555558</v>
      </c>
      <c r="AU150">
        <f>survey_responses[[#This Row],[Tôi tin tưởng số tiền thuế tôi đóng sẽ được Nhà nước sử dụng hiệu quả để cải thiện dịch vụ công (y tế, đường xá...). - HUMAN-TRU3]]</f>
        <v>1</v>
      </c>
      <c r="AV150">
        <f t="shared" si="71"/>
        <v>0</v>
      </c>
      <c r="AW150">
        <f>step3_validation[[#This Row],[AI_TRU4]]</f>
        <v>7</v>
      </c>
      <c r="AX150">
        <f t="shared" si="72"/>
        <v>0.66666666666666663</v>
      </c>
      <c r="AY150">
        <f>survey_responses[[#This Row],[Tôi thấy Nhà nước đã giải thích rõ ràng, minh bạch về lý do và mục tiêu của việc sửa đổi thuế lần này. - HUMAN-TRU4]]</f>
        <v>3</v>
      </c>
      <c r="AZ150">
        <f t="shared" si="73"/>
        <v>0.22222222222222221</v>
      </c>
      <c r="BA150" s="32">
        <f t="shared" si="74"/>
        <v>0.63888888888888895</v>
      </c>
      <c r="BB150" s="32">
        <f t="shared" si="75"/>
        <v>0.33333333333333337</v>
      </c>
      <c r="BC150" s="7">
        <f t="shared" si="76"/>
        <v>0.71296296296296291</v>
      </c>
      <c r="BD150" s="7">
        <f t="shared" si="77"/>
        <v>0.68518518518518523</v>
      </c>
      <c r="BE150">
        <f>step3_validation[[#This Row],[AI_OUT1]]</f>
        <v>8</v>
      </c>
      <c r="BF150">
        <f t="shared" si="78"/>
        <v>0.77777777777777779</v>
      </c>
      <c r="BG150">
        <f>survey_responses[[#This Row],[Sau khi xem xét các quyền lợi và nghĩa vụ, bạn có ủng hộ và tuân thủ chính sách mới hiện nay? - HUMAN-OUT1]]</f>
        <v>6</v>
      </c>
      <c r="BH150">
        <f t="shared" si="79"/>
        <v>0.55555555555555558</v>
      </c>
      <c r="BI150" s="32">
        <f t="shared" si="80"/>
        <v>2</v>
      </c>
    </row>
    <row r="151" spans="1:61" x14ac:dyDescent="0.45">
      <c r="A151" s="30">
        <f>step3_validation[[#This Row],[Persona_ID]]</f>
        <v>150</v>
      </c>
      <c r="B151" s="31">
        <f>step3_validation[[#This Row],[Used_Seed]]</f>
        <v>2140</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55.317930506592539</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f t="shared" si="54"/>
        <v>0.77777777777777779</v>
      </c>
      <c r="S151">
        <f>survey_responses[[#This Row],[Tôi tin rằng với các quy định quản lý thuế hiện nay, hành vi gian lận hoặc trốn thuế sẽ dễ dàng bị phát hiện và xử lý nghiêm. - HUMAN-ENF1]]</f>
        <v>7</v>
      </c>
      <c r="T151">
        <f t="shared" si="55"/>
        <v>0.66666666666666663</v>
      </c>
      <c r="U151">
        <f>step3_validation[[#This Row],[AI_ENF2]]</f>
        <v>9</v>
      </c>
      <c r="V151">
        <f t="shared" si="56"/>
        <v>0.88888888888888884</v>
      </c>
      <c r="W151">
        <f>survey_responses[[#This Row],[Tôi tin rằng Nhà nước, cơ quan thuế có đủ khả năng và công nghệ để phát hiện, xử lý nghiêm các hành vi trốn thuế. - HUMAN-ENF2]]</f>
        <v>10</v>
      </c>
      <c r="X151">
        <f t="shared" si="57"/>
        <v>1</v>
      </c>
      <c r="Y151" s="32">
        <f t="shared" si="58"/>
        <v>0.83333333333333326</v>
      </c>
      <c r="Z151" s="32">
        <f t="shared" si="59"/>
        <v>0.83333333333333326</v>
      </c>
      <c r="AA151">
        <f>step3_validation[[#This Row],[AI_FAC1]]</f>
        <v>7</v>
      </c>
      <c r="AB151">
        <f t="shared" si="60"/>
        <v>0.66666666666666663</v>
      </c>
      <c r="AC151">
        <f>survey_responses[[#This Row],[Các thủ tục khai báo thuế VÀ/HOẶC quy trình làm việc với cơ quan thuế đơn giản, tiện lợi, nhanh chóng hơn so với trước đây. - HUMAN-FAC1]]</f>
        <v>5</v>
      </c>
      <c r="AD151">
        <f t="shared" si="61"/>
        <v>0.44444444444444442</v>
      </c>
      <c r="AE151">
        <f>step3_validation[[#This Row],[AI_FAC2]]</f>
        <v>9</v>
      </c>
      <c r="AF151">
        <f t="shared" si="62"/>
        <v>0.88888888888888884</v>
      </c>
      <c r="AG151">
        <f>survey_responses[[#This Row],[So với trước đây, tôi thấy cách tính thuế và các bậc thuế trong phương án mới đơn giản, dễ hiểu và dễ thực hiện hơn. - HUMAN-FAC2]]</f>
        <v>7</v>
      </c>
      <c r="AH151">
        <f t="shared" si="63"/>
        <v>0.66666666666666663</v>
      </c>
      <c r="AI151" s="32">
        <f t="shared" si="64"/>
        <v>0.77777777777777768</v>
      </c>
      <c r="AJ151" s="32">
        <f t="shared" si="65"/>
        <v>0.55555555555555558</v>
      </c>
      <c r="AK151">
        <f>step3_validation[[#This Row],[AI_TRU1]]</f>
        <v>7</v>
      </c>
      <c r="AL151">
        <f t="shared" si="66"/>
        <v>0.66666666666666663</v>
      </c>
      <c r="AM151">
        <f>survey_responses[[#This Row],[Tôi tin rằng Nhà nước, cơ quan thuế sẽ thực thi chính sách mới một cách khách quan, công tâm và đối xử bình đẳng với mọi người nộp thuế.  - HUMAN-TRU1]]</f>
        <v>7</v>
      </c>
      <c r="AN151">
        <f t="shared" si="67"/>
        <v>0.66666666666666663</v>
      </c>
      <c r="AO151">
        <f>step3_validation[[#This Row],[AI_TRU2]]</f>
        <v>8</v>
      </c>
      <c r="AP151">
        <f t="shared" si="68"/>
        <v>0.77777777777777779</v>
      </c>
      <c r="AQ151">
        <f>survey_responses[[#This Row],[Tôi thấy mức thuế tôi phải đóng theo phương án mới là công bằng (người thu nhập như tôi đóng mức này là hợp lý). - HUMAN-TRU2]]</f>
        <v>7</v>
      </c>
      <c r="AR151">
        <f t="shared" si="69"/>
        <v>0.66666666666666663</v>
      </c>
      <c r="AS151">
        <f>step3_validation[[#This Row],[AI_TRU3]]</f>
        <v>7</v>
      </c>
      <c r="AT151">
        <f t="shared" si="70"/>
        <v>0.66666666666666663</v>
      </c>
      <c r="AU151">
        <f>survey_responses[[#This Row],[Tôi tin tưởng số tiền thuế tôi đóng sẽ được Nhà nước sử dụng hiệu quả để cải thiện dịch vụ công (y tế, đường xá...). - HUMAN-TRU3]]</f>
        <v>7</v>
      </c>
      <c r="AV151">
        <f t="shared" si="71"/>
        <v>0.66666666666666663</v>
      </c>
      <c r="AW151">
        <f>step3_validation[[#This Row],[AI_TRU4]]</f>
        <v>8</v>
      </c>
      <c r="AX151">
        <f t="shared" si="72"/>
        <v>0.77777777777777779</v>
      </c>
      <c r="AY151">
        <f>survey_responses[[#This Row],[Tôi thấy Nhà nước đã giải thích rõ ràng, minh bạch về lý do và mục tiêu của việc sửa đổi thuế lần này. - HUMAN-TRU4]]</f>
        <v>7</v>
      </c>
      <c r="AZ151">
        <f t="shared" si="73"/>
        <v>0.66666666666666663</v>
      </c>
      <c r="BA151" s="32">
        <f t="shared" si="74"/>
        <v>0.72222222222222221</v>
      </c>
      <c r="BB151" s="32">
        <f t="shared" si="75"/>
        <v>0.66666666666666663</v>
      </c>
      <c r="BC151" s="7">
        <f t="shared" si="76"/>
        <v>0.77777777777777768</v>
      </c>
      <c r="BD151" s="7">
        <f t="shared" si="77"/>
        <v>0.68518518518518512</v>
      </c>
      <c r="BE151">
        <f>step3_validation[[#This Row],[AI_OUT1]]</f>
        <v>9</v>
      </c>
      <c r="BF151">
        <f t="shared" si="78"/>
        <v>0.88888888888888884</v>
      </c>
      <c r="BG151">
        <f>survey_responses[[#This Row],[Sau khi xem xét các quyền lợi và nghĩa vụ, bạn có ủng hộ và tuân thủ chính sách mới hiện nay? - HUMAN-OUT1]]</f>
        <v>10</v>
      </c>
      <c r="BH151">
        <f t="shared" si="79"/>
        <v>1</v>
      </c>
      <c r="BI151" s="32">
        <f t="shared" si="80"/>
        <v>1</v>
      </c>
    </row>
    <row r="152" spans="1:61" x14ac:dyDescent="0.45">
      <c r="A152" s="30">
        <f>step3_validation[[#This Row],[Persona_ID]]</f>
        <v>151</v>
      </c>
      <c r="B152" s="31">
        <f>step3_validation[[#This Row],[Used_Seed]]</f>
        <v>2141</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74.179101185392796</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f t="shared" si="54"/>
        <v>0.77777777777777779</v>
      </c>
      <c r="S152">
        <f>survey_responses[[#This Row],[Tôi tin rằng với các quy định quản lý thuế hiện nay, hành vi gian lận hoặc trốn thuế sẽ dễ dàng bị phát hiện và xử lý nghiêm. - HUMAN-ENF1]]</f>
        <v>8</v>
      </c>
      <c r="T152">
        <f t="shared" si="55"/>
        <v>0.77777777777777779</v>
      </c>
      <c r="U152">
        <f>step3_validation[[#This Row],[AI_ENF2]]</f>
        <v>9</v>
      </c>
      <c r="V152">
        <f t="shared" si="56"/>
        <v>0.88888888888888884</v>
      </c>
      <c r="W152">
        <f>survey_responses[[#This Row],[Tôi tin rằng Nhà nước, cơ quan thuế có đủ khả năng và công nghệ để phát hiện, xử lý nghiêm các hành vi trốn thuế. - HUMAN-ENF2]]</f>
        <v>8</v>
      </c>
      <c r="X152">
        <f t="shared" si="57"/>
        <v>0.77777777777777779</v>
      </c>
      <c r="Y152" s="32">
        <f t="shared" si="58"/>
        <v>0.83333333333333326</v>
      </c>
      <c r="Z152" s="32">
        <f t="shared" si="59"/>
        <v>0.77777777777777779</v>
      </c>
      <c r="AA152">
        <f>step3_validation[[#This Row],[AI_FAC1]]</f>
        <v>8</v>
      </c>
      <c r="AB152">
        <f t="shared" si="60"/>
        <v>0.77777777777777779</v>
      </c>
      <c r="AC152">
        <f>survey_responses[[#This Row],[Các thủ tục khai báo thuế VÀ/HOẶC quy trình làm việc với cơ quan thuế đơn giản, tiện lợi, nhanh chóng hơn so với trước đây. - HUMAN-FAC1]]</f>
        <v>8</v>
      </c>
      <c r="AD152">
        <f t="shared" si="61"/>
        <v>0.77777777777777779</v>
      </c>
      <c r="AE152">
        <f>step3_validation[[#This Row],[AI_FAC2]]</f>
        <v>9</v>
      </c>
      <c r="AF152">
        <f t="shared" si="62"/>
        <v>0.88888888888888884</v>
      </c>
      <c r="AG152">
        <f>survey_responses[[#This Row],[So với trước đây, tôi thấy cách tính thuế và các bậc thuế trong phương án mới đơn giản, dễ hiểu và dễ thực hiện hơn. - HUMAN-FAC2]]</f>
        <v>8</v>
      </c>
      <c r="AH152">
        <f t="shared" si="63"/>
        <v>0.77777777777777779</v>
      </c>
      <c r="AI152" s="32">
        <f t="shared" si="64"/>
        <v>0.83333333333333326</v>
      </c>
      <c r="AJ152" s="32">
        <f t="shared" si="65"/>
        <v>0.77777777777777779</v>
      </c>
      <c r="AK152">
        <f>step3_validation[[#This Row],[AI_TRU1]]</f>
        <v>8</v>
      </c>
      <c r="AL152">
        <f t="shared" si="66"/>
        <v>0.77777777777777779</v>
      </c>
      <c r="AM152">
        <f>survey_responses[[#This Row],[Tôi tin rằng Nhà nước, cơ quan thuế sẽ thực thi chính sách mới một cách khách quan, công tâm và đối xử bình đẳng với mọi người nộp thuế.  - HUMAN-TRU1]]</f>
        <v>8</v>
      </c>
      <c r="AN152">
        <f t="shared" si="67"/>
        <v>0.77777777777777779</v>
      </c>
      <c r="AO152">
        <f>step3_validation[[#This Row],[AI_TRU2]]</f>
        <v>7</v>
      </c>
      <c r="AP152">
        <f t="shared" si="68"/>
        <v>0.66666666666666663</v>
      </c>
      <c r="AQ152">
        <f>survey_responses[[#This Row],[Tôi thấy mức thuế tôi phải đóng theo phương án mới là công bằng (người thu nhập như tôi đóng mức này là hợp lý). - HUMAN-TRU2]]</f>
        <v>8</v>
      </c>
      <c r="AR152">
        <f t="shared" si="69"/>
        <v>0.77777777777777779</v>
      </c>
      <c r="AS152">
        <f>step3_validation[[#This Row],[AI_TRU3]]</f>
        <v>8</v>
      </c>
      <c r="AT152">
        <f t="shared" si="70"/>
        <v>0.77777777777777779</v>
      </c>
      <c r="AU152">
        <f>survey_responses[[#This Row],[Tôi tin tưởng số tiền thuế tôi đóng sẽ được Nhà nước sử dụng hiệu quả để cải thiện dịch vụ công (y tế, đường xá...). - HUMAN-TRU3]]</f>
        <v>8</v>
      </c>
      <c r="AV152">
        <f t="shared" si="71"/>
        <v>0.77777777777777779</v>
      </c>
      <c r="AW152">
        <f>step3_validation[[#This Row],[AI_TRU4]]</f>
        <v>7</v>
      </c>
      <c r="AX152">
        <f t="shared" si="72"/>
        <v>0.66666666666666663</v>
      </c>
      <c r="AY152">
        <f>survey_responses[[#This Row],[Tôi thấy Nhà nước đã giải thích rõ ràng, minh bạch về lý do và mục tiêu của việc sửa đổi thuế lần này. - HUMAN-TRU4]]</f>
        <v>8</v>
      </c>
      <c r="AZ152">
        <f t="shared" si="73"/>
        <v>0.77777777777777779</v>
      </c>
      <c r="BA152" s="32">
        <f t="shared" si="74"/>
        <v>0.72222222222222221</v>
      </c>
      <c r="BB152" s="32">
        <f t="shared" si="75"/>
        <v>0.77777777777777779</v>
      </c>
      <c r="BC152" s="7">
        <f t="shared" si="76"/>
        <v>0.79629629629629628</v>
      </c>
      <c r="BD152" s="7">
        <f t="shared" si="77"/>
        <v>0.77777777777777779</v>
      </c>
      <c r="BE152">
        <f>step3_validation[[#This Row],[AI_OUT1]]</f>
        <v>9</v>
      </c>
      <c r="BF152">
        <f t="shared" si="78"/>
        <v>0.88888888888888884</v>
      </c>
      <c r="BG152">
        <f>survey_responses[[#This Row],[Sau khi xem xét các quyền lợi và nghĩa vụ, bạn có ủng hộ và tuân thủ chính sách mới hiện nay? - HUMAN-OUT1]]</f>
        <v>8</v>
      </c>
      <c r="BH152">
        <f t="shared" si="79"/>
        <v>0.77777777777777779</v>
      </c>
      <c r="BI152" s="32">
        <f t="shared" si="80"/>
        <v>1</v>
      </c>
    </row>
    <row r="153" spans="1:61" x14ac:dyDescent="0.45">
      <c r="A153" s="30">
        <f>step3_validation[[#This Row],[Persona_ID]]</f>
        <v>152</v>
      </c>
      <c r="B153" s="31">
        <f>step3_validation[[#This Row],[Used_Seed]]</f>
        <v>2142</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71.547132639694141</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f t="shared" si="54"/>
        <v>0.66666666666666663</v>
      </c>
      <c r="S153">
        <f>survey_responses[[#This Row],[Tôi tin rằng với các quy định quản lý thuế hiện nay, hành vi gian lận hoặc trốn thuế sẽ dễ dàng bị phát hiện và xử lý nghiêm. - HUMAN-ENF1]]</f>
        <v>10</v>
      </c>
      <c r="T153">
        <f t="shared" si="55"/>
        <v>1</v>
      </c>
      <c r="U153">
        <f>step3_validation[[#This Row],[AI_ENF2]]</f>
        <v>8</v>
      </c>
      <c r="V153">
        <f t="shared" si="56"/>
        <v>0.77777777777777779</v>
      </c>
      <c r="W153">
        <f>survey_responses[[#This Row],[Tôi tin rằng Nhà nước, cơ quan thuế có đủ khả năng và công nghệ để phát hiện, xử lý nghiêm các hành vi trốn thuế. - HUMAN-ENF2]]</f>
        <v>10</v>
      </c>
      <c r="X153">
        <f t="shared" si="57"/>
        <v>1</v>
      </c>
      <c r="Y153" s="32">
        <f t="shared" si="58"/>
        <v>0.72222222222222221</v>
      </c>
      <c r="Z153" s="32">
        <f t="shared" si="59"/>
        <v>1</v>
      </c>
      <c r="AA153">
        <f>step3_validation[[#This Row],[AI_FAC1]]</f>
        <v>9</v>
      </c>
      <c r="AB153">
        <f t="shared" si="60"/>
        <v>0.88888888888888884</v>
      </c>
      <c r="AC153">
        <f>survey_responses[[#This Row],[Các thủ tục khai báo thuế VÀ/HOẶC quy trình làm việc với cơ quan thuế đơn giản, tiện lợi, nhanh chóng hơn so với trước đây. - HUMAN-FAC1]]</f>
        <v>10</v>
      </c>
      <c r="AD153">
        <f t="shared" si="61"/>
        <v>1</v>
      </c>
      <c r="AE153">
        <f>step3_validation[[#This Row],[AI_FAC2]]</f>
        <v>9</v>
      </c>
      <c r="AF153">
        <f t="shared" si="62"/>
        <v>0.88888888888888884</v>
      </c>
      <c r="AG153">
        <f>survey_responses[[#This Row],[So với trước đây, tôi thấy cách tính thuế và các bậc thuế trong phương án mới đơn giản, dễ hiểu và dễ thực hiện hơn. - HUMAN-FAC2]]</f>
        <v>10</v>
      </c>
      <c r="AH153">
        <f t="shared" si="63"/>
        <v>1</v>
      </c>
      <c r="AI153" s="32">
        <f t="shared" si="64"/>
        <v>0.88888888888888884</v>
      </c>
      <c r="AJ153" s="32">
        <f t="shared" si="65"/>
        <v>1</v>
      </c>
      <c r="AK153">
        <f>step3_validation[[#This Row],[AI_TRU1]]</f>
        <v>7</v>
      </c>
      <c r="AL153">
        <f t="shared" si="66"/>
        <v>0.66666666666666663</v>
      </c>
      <c r="AM153">
        <f>survey_responses[[#This Row],[Tôi tin rằng Nhà nước, cơ quan thuế sẽ thực thi chính sách mới một cách khách quan, công tâm và đối xử bình đẳng với mọi người nộp thuế.  - HUMAN-TRU1]]</f>
        <v>10</v>
      </c>
      <c r="AN153">
        <f t="shared" si="67"/>
        <v>1</v>
      </c>
      <c r="AO153">
        <f>step3_validation[[#This Row],[AI_TRU2]]</f>
        <v>8</v>
      </c>
      <c r="AP153">
        <f t="shared" si="68"/>
        <v>0.77777777777777779</v>
      </c>
      <c r="AQ153">
        <f>survey_responses[[#This Row],[Tôi thấy mức thuế tôi phải đóng theo phương án mới là công bằng (người thu nhập như tôi đóng mức này là hợp lý). - HUMAN-TRU2]]</f>
        <v>10</v>
      </c>
      <c r="AR153">
        <f t="shared" si="69"/>
        <v>1</v>
      </c>
      <c r="AS153">
        <f>step3_validation[[#This Row],[AI_TRU3]]</f>
        <v>7</v>
      </c>
      <c r="AT153">
        <f t="shared" si="70"/>
        <v>0.66666666666666663</v>
      </c>
      <c r="AU153">
        <f>survey_responses[[#This Row],[Tôi tin tưởng số tiền thuế tôi đóng sẽ được Nhà nước sử dụng hiệu quả để cải thiện dịch vụ công (y tế, đường xá...). - HUMAN-TRU3]]</f>
        <v>10</v>
      </c>
      <c r="AV153">
        <f t="shared" si="71"/>
        <v>1</v>
      </c>
      <c r="AW153">
        <f>step3_validation[[#This Row],[AI_TRU4]]</f>
        <v>6</v>
      </c>
      <c r="AX153">
        <f t="shared" si="72"/>
        <v>0.55555555555555558</v>
      </c>
      <c r="AY153">
        <f>survey_responses[[#This Row],[Tôi thấy Nhà nước đã giải thích rõ ràng, minh bạch về lý do và mục tiêu của việc sửa đổi thuế lần này. - HUMAN-TRU4]]</f>
        <v>10</v>
      </c>
      <c r="AZ153">
        <f t="shared" si="73"/>
        <v>1</v>
      </c>
      <c r="BA153" s="32">
        <f t="shared" si="74"/>
        <v>0.66666666666666674</v>
      </c>
      <c r="BB153" s="32">
        <f t="shared" si="75"/>
        <v>1</v>
      </c>
      <c r="BC153" s="7">
        <f t="shared" si="76"/>
        <v>0.75925925925925919</v>
      </c>
      <c r="BD153" s="7">
        <f t="shared" si="77"/>
        <v>1</v>
      </c>
      <c r="BE153">
        <f>step3_validation[[#This Row],[AI_OUT1]]</f>
        <v>8</v>
      </c>
      <c r="BF153">
        <f t="shared" si="78"/>
        <v>0.77777777777777779</v>
      </c>
      <c r="BG153">
        <f>survey_responses[[#This Row],[Sau khi xem xét các quyền lợi và nghĩa vụ, bạn có ủng hộ và tuân thủ chính sách mới hiện nay? - HUMAN-OUT1]]</f>
        <v>10</v>
      </c>
      <c r="BH153">
        <f t="shared" si="79"/>
        <v>1</v>
      </c>
      <c r="BI153" s="32">
        <f t="shared" si="80"/>
        <v>2</v>
      </c>
    </row>
    <row r="154" spans="1:61" x14ac:dyDescent="0.45">
      <c r="A154" s="30">
        <f>step3_validation[[#This Row],[Persona_ID]]</f>
        <v>153</v>
      </c>
      <c r="B154" s="31">
        <f>step3_validation[[#This Row],[Used_Seed]]</f>
        <v>2143</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9</v>
      </c>
      <c r="R154">
        <f t="shared" si="54"/>
        <v>0.88888888888888884</v>
      </c>
      <c r="S154">
        <f>survey_responses[[#This Row],[Tôi tin rằng với các quy định quản lý thuế hiện nay, hành vi gian lận hoặc trốn thuế sẽ dễ dàng bị phát hiện và xử lý nghiêm. - HUMAN-ENF1]]</f>
        <v>7</v>
      </c>
      <c r="T154">
        <f t="shared" si="55"/>
        <v>0.66666666666666663</v>
      </c>
      <c r="U154">
        <f>step3_validation[[#This Row],[AI_ENF2]]</f>
        <v>8</v>
      </c>
      <c r="V154">
        <f t="shared" si="56"/>
        <v>0.77777777777777779</v>
      </c>
      <c r="W154">
        <f>survey_responses[[#This Row],[Tôi tin rằng Nhà nước, cơ quan thuế có đủ khả năng và công nghệ để phát hiện, xử lý nghiêm các hành vi trốn thuế. - HUMAN-ENF2]]</f>
        <v>7</v>
      </c>
      <c r="X154">
        <f t="shared" si="57"/>
        <v>0.66666666666666663</v>
      </c>
      <c r="Y154" s="32">
        <f t="shared" si="58"/>
        <v>0.83333333333333326</v>
      </c>
      <c r="Z154" s="32">
        <f t="shared" si="59"/>
        <v>0.66666666666666663</v>
      </c>
      <c r="AA154">
        <f>step3_validation[[#This Row],[AI_FAC1]]</f>
        <v>9</v>
      </c>
      <c r="AB154">
        <f t="shared" si="60"/>
        <v>0.88888888888888884</v>
      </c>
      <c r="AC154">
        <f>survey_responses[[#This Row],[Các thủ tục khai báo thuế VÀ/HOẶC quy trình làm việc với cơ quan thuế đơn giản, tiện lợi, nhanh chóng hơn so với trước đây. - HUMAN-FAC1]]</f>
        <v>5</v>
      </c>
      <c r="AD154">
        <f t="shared" si="61"/>
        <v>0.44444444444444442</v>
      </c>
      <c r="AE154">
        <f>step3_validation[[#This Row],[AI_FAC2]]</f>
        <v>8</v>
      </c>
      <c r="AF154">
        <f t="shared" si="62"/>
        <v>0.77777777777777779</v>
      </c>
      <c r="AG154">
        <f>survey_responses[[#This Row],[So với trước đây, tôi thấy cách tính thuế và các bậc thuế trong phương án mới đơn giản, dễ hiểu và dễ thực hiện hơn. - HUMAN-FAC2]]</f>
        <v>7</v>
      </c>
      <c r="AH154">
        <f t="shared" si="63"/>
        <v>0.66666666666666663</v>
      </c>
      <c r="AI154" s="32">
        <f t="shared" si="64"/>
        <v>0.83333333333333326</v>
      </c>
      <c r="AJ154" s="32">
        <f t="shared" si="65"/>
        <v>0.55555555555555558</v>
      </c>
      <c r="AK154">
        <f>step3_validation[[#This Row],[AI_TRU1]]</f>
        <v>9</v>
      </c>
      <c r="AL154">
        <f t="shared" si="66"/>
        <v>0.88888888888888884</v>
      </c>
      <c r="AM154">
        <f>survey_responses[[#This Row],[Tôi tin rằng Nhà nước, cơ quan thuế sẽ thực thi chính sách mới một cách khách quan, công tâm và đối xử bình đẳng với mọi người nộp thuế.  - HUMAN-TRU1]]</f>
        <v>7</v>
      </c>
      <c r="AN154">
        <f t="shared" si="67"/>
        <v>0.66666666666666663</v>
      </c>
      <c r="AO154">
        <f>step3_validation[[#This Row],[AI_TRU2]]</f>
        <v>8</v>
      </c>
      <c r="AP154">
        <f t="shared" si="68"/>
        <v>0.77777777777777779</v>
      </c>
      <c r="AQ154">
        <f>survey_responses[[#This Row],[Tôi thấy mức thuế tôi phải đóng theo phương án mới là công bằng (người thu nhập như tôi đóng mức này là hợp lý). - HUMAN-TRU2]]</f>
        <v>7</v>
      </c>
      <c r="AR154">
        <f t="shared" si="69"/>
        <v>0.66666666666666663</v>
      </c>
      <c r="AS154">
        <f>step3_validation[[#This Row],[AI_TRU3]]</f>
        <v>9</v>
      </c>
      <c r="AT154">
        <f t="shared" si="70"/>
        <v>0.88888888888888884</v>
      </c>
      <c r="AU154">
        <f>survey_responses[[#This Row],[Tôi tin tưởng số tiền thuế tôi đóng sẽ được Nhà nước sử dụng hiệu quả để cải thiện dịch vụ công (y tế, đường xá...). - HUMAN-TRU3]]</f>
        <v>7</v>
      </c>
      <c r="AV154">
        <f t="shared" si="71"/>
        <v>0.66666666666666663</v>
      </c>
      <c r="AW154">
        <f>step3_validation[[#This Row],[AI_TRU4]]</f>
        <v>8</v>
      </c>
      <c r="AX154">
        <f t="shared" si="72"/>
        <v>0.77777777777777779</v>
      </c>
      <c r="AY154">
        <f>survey_responses[[#This Row],[Tôi thấy Nhà nước đã giải thích rõ ràng, minh bạch về lý do và mục tiêu của việc sửa đổi thuế lần này. - HUMAN-TRU4]]</f>
        <v>7</v>
      </c>
      <c r="AZ154">
        <f t="shared" si="73"/>
        <v>0.66666666666666663</v>
      </c>
      <c r="BA154" s="32">
        <f t="shared" si="74"/>
        <v>0.83333333333333326</v>
      </c>
      <c r="BB154" s="32">
        <f t="shared" si="75"/>
        <v>0.66666666666666663</v>
      </c>
      <c r="BC154" s="7">
        <f t="shared" si="76"/>
        <v>0.83333333333333337</v>
      </c>
      <c r="BD154" s="7">
        <f t="shared" si="77"/>
        <v>0.62962962962962965</v>
      </c>
      <c r="BE154">
        <f>step3_validation[[#This Row],[AI_OUT1]]</f>
        <v>9</v>
      </c>
      <c r="BF154">
        <f t="shared" si="78"/>
        <v>0.88888888888888884</v>
      </c>
      <c r="BG154">
        <f>survey_responses[[#This Row],[Sau khi xem xét các quyền lợi và nghĩa vụ, bạn có ủng hộ và tuân thủ chính sách mới hiện nay? - HUMAN-OUT1]]</f>
        <v>7</v>
      </c>
      <c r="BH154">
        <f t="shared" si="79"/>
        <v>0.66666666666666663</v>
      </c>
      <c r="BI154" s="32">
        <f t="shared" si="80"/>
        <v>2</v>
      </c>
    </row>
    <row r="155" spans="1:61" x14ac:dyDescent="0.45">
      <c r="A155" s="30">
        <f>step3_validation[[#This Row],[Persona_ID]]</f>
        <v>154</v>
      </c>
      <c r="B155" s="31">
        <f>step3_validation[[#This Row],[Used_Seed]]</f>
        <v>2144</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f t="shared" si="54"/>
        <v>0.77777777777777779</v>
      </c>
      <c r="S155">
        <f>survey_responses[[#This Row],[Tôi tin rằng với các quy định quản lý thuế hiện nay, hành vi gian lận hoặc trốn thuế sẽ dễ dàng bị phát hiện và xử lý nghiêm. - HUMAN-ENF1]]</f>
        <v>7</v>
      </c>
      <c r="T155">
        <f t="shared" si="55"/>
        <v>0.66666666666666663</v>
      </c>
      <c r="U155">
        <f>step3_validation[[#This Row],[AI_ENF2]]</f>
        <v>7</v>
      </c>
      <c r="V155">
        <f t="shared" si="56"/>
        <v>0.66666666666666663</v>
      </c>
      <c r="W155">
        <f>survey_responses[[#This Row],[Tôi tin rằng Nhà nước, cơ quan thuế có đủ khả năng và công nghệ để phát hiện, xử lý nghiêm các hành vi trốn thuế. - HUMAN-ENF2]]</f>
        <v>8</v>
      </c>
      <c r="X155">
        <f t="shared" si="57"/>
        <v>0.77777777777777779</v>
      </c>
      <c r="Y155" s="32">
        <f t="shared" si="58"/>
        <v>0.72222222222222221</v>
      </c>
      <c r="Z155" s="32">
        <f t="shared" si="59"/>
        <v>0.72222222222222221</v>
      </c>
      <c r="AA155">
        <f>step3_validation[[#This Row],[AI_FAC1]]</f>
        <v>9</v>
      </c>
      <c r="AB155">
        <f t="shared" si="60"/>
        <v>0.88888888888888884</v>
      </c>
      <c r="AC155">
        <f>survey_responses[[#This Row],[Các thủ tục khai báo thuế VÀ/HOẶC quy trình làm việc với cơ quan thuế đơn giản, tiện lợi, nhanh chóng hơn so với trước đây. - HUMAN-FAC1]]</f>
        <v>8</v>
      </c>
      <c r="AD155">
        <f t="shared" si="61"/>
        <v>0.77777777777777779</v>
      </c>
      <c r="AE155">
        <f>step3_validation[[#This Row],[AI_FAC2]]</f>
        <v>9</v>
      </c>
      <c r="AF155">
        <f t="shared" si="62"/>
        <v>0.88888888888888884</v>
      </c>
      <c r="AG155">
        <f>survey_responses[[#This Row],[So với trước đây, tôi thấy cách tính thuế và các bậc thuế trong phương án mới đơn giản, dễ hiểu và dễ thực hiện hơn. - HUMAN-FAC2]]</f>
        <v>8</v>
      </c>
      <c r="AH155">
        <f t="shared" si="63"/>
        <v>0.77777777777777779</v>
      </c>
      <c r="AI155" s="32">
        <f t="shared" si="64"/>
        <v>0.88888888888888884</v>
      </c>
      <c r="AJ155" s="32">
        <f t="shared" si="65"/>
        <v>0.77777777777777779</v>
      </c>
      <c r="AK155">
        <f>step3_validation[[#This Row],[AI_TRU1]]</f>
        <v>8</v>
      </c>
      <c r="AL155">
        <f t="shared" si="66"/>
        <v>0.77777777777777779</v>
      </c>
      <c r="AM155">
        <f>survey_responses[[#This Row],[Tôi tin rằng Nhà nước, cơ quan thuế sẽ thực thi chính sách mới một cách khách quan, công tâm và đối xử bình đẳng với mọi người nộp thuế.  - HUMAN-TRU1]]</f>
        <v>6</v>
      </c>
      <c r="AN155">
        <f t="shared" si="67"/>
        <v>0.55555555555555558</v>
      </c>
      <c r="AO155">
        <f>step3_validation[[#This Row],[AI_TRU2]]</f>
        <v>9</v>
      </c>
      <c r="AP155">
        <f t="shared" si="68"/>
        <v>0.88888888888888884</v>
      </c>
      <c r="AQ155">
        <f>survey_responses[[#This Row],[Tôi thấy mức thuế tôi phải đóng theo phương án mới là công bằng (người thu nhập như tôi đóng mức này là hợp lý). - HUMAN-TRU2]]</f>
        <v>8</v>
      </c>
      <c r="AR155">
        <f t="shared" si="69"/>
        <v>0.77777777777777779</v>
      </c>
      <c r="AS155">
        <f>step3_validation[[#This Row],[AI_TRU3]]</f>
        <v>8</v>
      </c>
      <c r="AT155">
        <f t="shared" si="70"/>
        <v>0.77777777777777779</v>
      </c>
      <c r="AU155">
        <f>survey_responses[[#This Row],[Tôi tin tưởng số tiền thuế tôi đóng sẽ được Nhà nước sử dụng hiệu quả để cải thiện dịch vụ công (y tế, đường xá...). - HUMAN-TRU3]]</f>
        <v>5</v>
      </c>
      <c r="AV155">
        <f t="shared" si="71"/>
        <v>0.44444444444444442</v>
      </c>
      <c r="AW155">
        <f>step3_validation[[#This Row],[AI_TRU4]]</f>
        <v>9</v>
      </c>
      <c r="AX155">
        <f t="shared" si="72"/>
        <v>0.88888888888888884</v>
      </c>
      <c r="AY155">
        <f>survey_responses[[#This Row],[Tôi thấy Nhà nước đã giải thích rõ ràng, minh bạch về lý do và mục tiêu của việc sửa đổi thuế lần này. - HUMAN-TRU4]]</f>
        <v>8</v>
      </c>
      <c r="AZ155">
        <f t="shared" si="73"/>
        <v>0.77777777777777779</v>
      </c>
      <c r="BA155" s="32">
        <f t="shared" si="74"/>
        <v>0.83333333333333326</v>
      </c>
      <c r="BB155" s="32">
        <f t="shared" si="75"/>
        <v>0.63888888888888895</v>
      </c>
      <c r="BC155" s="7">
        <f t="shared" si="76"/>
        <v>0.81481481481481488</v>
      </c>
      <c r="BD155" s="7">
        <f t="shared" si="77"/>
        <v>0.71296296296296291</v>
      </c>
      <c r="BE155">
        <f>step3_validation[[#This Row],[AI_OUT1]]</f>
        <v>10</v>
      </c>
      <c r="BF155">
        <f t="shared" si="78"/>
        <v>1</v>
      </c>
      <c r="BG155">
        <f>survey_responses[[#This Row],[Sau khi xem xét các quyền lợi và nghĩa vụ, bạn có ủng hộ và tuân thủ chính sách mới hiện nay? - HUMAN-OUT1]]</f>
        <v>8</v>
      </c>
      <c r="BH155">
        <f t="shared" si="79"/>
        <v>0.77777777777777779</v>
      </c>
      <c r="BI155" s="32">
        <f t="shared" si="80"/>
        <v>2</v>
      </c>
    </row>
    <row r="156" spans="1:61" x14ac:dyDescent="0.45">
      <c r="A156" s="30">
        <f>step3_validation[[#This Row],[Persona_ID]]</f>
        <v>155</v>
      </c>
      <c r="B156" s="31">
        <f>step3_validation[[#This Row],[Used_Seed]]</f>
        <v>2145</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65.294086288736366</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6</v>
      </c>
      <c r="R156">
        <f t="shared" si="54"/>
        <v>0.55555555555555558</v>
      </c>
      <c r="S156">
        <f>survey_responses[[#This Row],[Tôi tin rằng với các quy định quản lý thuế hiện nay, hành vi gian lận hoặc trốn thuế sẽ dễ dàng bị phát hiện và xử lý nghiêm. - HUMAN-ENF1]]</f>
        <v>10</v>
      </c>
      <c r="T156">
        <f t="shared" si="55"/>
        <v>1</v>
      </c>
      <c r="U156">
        <f>step3_validation[[#This Row],[AI_ENF2]]</f>
        <v>7</v>
      </c>
      <c r="V156">
        <f t="shared" si="56"/>
        <v>0.66666666666666663</v>
      </c>
      <c r="W156">
        <f>survey_responses[[#This Row],[Tôi tin rằng Nhà nước, cơ quan thuế có đủ khả năng và công nghệ để phát hiện, xử lý nghiêm các hành vi trốn thuế. - HUMAN-ENF2]]</f>
        <v>10</v>
      </c>
      <c r="X156">
        <f t="shared" si="57"/>
        <v>1</v>
      </c>
      <c r="Y156" s="32">
        <f t="shared" si="58"/>
        <v>0.61111111111111116</v>
      </c>
      <c r="Z156" s="32">
        <f t="shared" si="59"/>
        <v>1</v>
      </c>
      <c r="AA156">
        <f>step3_validation[[#This Row],[AI_FAC1]]</f>
        <v>8</v>
      </c>
      <c r="AB156">
        <f t="shared" si="60"/>
        <v>0.77777777777777779</v>
      </c>
      <c r="AC156">
        <f>survey_responses[[#This Row],[Các thủ tục khai báo thuế VÀ/HOẶC quy trình làm việc với cơ quan thuế đơn giản, tiện lợi, nhanh chóng hơn so với trước đây. - HUMAN-FAC1]]</f>
        <v>10</v>
      </c>
      <c r="AD156">
        <f t="shared" si="61"/>
        <v>1</v>
      </c>
      <c r="AE156">
        <f>step3_validation[[#This Row],[AI_FAC2]]</f>
        <v>9</v>
      </c>
      <c r="AF156">
        <f t="shared" si="62"/>
        <v>0.88888888888888884</v>
      </c>
      <c r="AG156">
        <f>survey_responses[[#This Row],[So với trước đây, tôi thấy cách tính thuế và các bậc thuế trong phương án mới đơn giản, dễ hiểu và dễ thực hiện hơn. - HUMAN-FAC2]]</f>
        <v>10</v>
      </c>
      <c r="AH156">
        <f t="shared" si="63"/>
        <v>1</v>
      </c>
      <c r="AI156" s="32">
        <f t="shared" si="64"/>
        <v>0.83333333333333326</v>
      </c>
      <c r="AJ156" s="32">
        <f t="shared" si="65"/>
        <v>1</v>
      </c>
      <c r="AK156">
        <f>step3_validation[[#This Row],[AI_TRU1]]</f>
        <v>8</v>
      </c>
      <c r="AL156">
        <f t="shared" si="66"/>
        <v>0.77777777777777779</v>
      </c>
      <c r="AM156">
        <f>survey_responses[[#This Row],[Tôi tin rằng Nhà nước, cơ quan thuế sẽ thực thi chính sách mới một cách khách quan, công tâm và đối xử bình đẳng với mọi người nộp thuế.  - HUMAN-TRU1]]</f>
        <v>10</v>
      </c>
      <c r="AN156">
        <f t="shared" si="67"/>
        <v>1</v>
      </c>
      <c r="AO156">
        <f>step3_validation[[#This Row],[AI_TRU2]]</f>
        <v>9</v>
      </c>
      <c r="AP156">
        <f t="shared" si="68"/>
        <v>0.88888888888888884</v>
      </c>
      <c r="AQ156">
        <f>survey_responses[[#This Row],[Tôi thấy mức thuế tôi phải đóng theo phương án mới là công bằng (người thu nhập như tôi đóng mức này là hợp lý). - HUMAN-TRU2]]</f>
        <v>10</v>
      </c>
      <c r="AR156">
        <f t="shared" si="69"/>
        <v>1</v>
      </c>
      <c r="AS156">
        <f>step3_validation[[#This Row],[AI_TRU3]]</f>
        <v>8</v>
      </c>
      <c r="AT156">
        <f t="shared" si="70"/>
        <v>0.77777777777777779</v>
      </c>
      <c r="AU156">
        <f>survey_responses[[#This Row],[Tôi tin tưởng số tiền thuế tôi đóng sẽ được Nhà nước sử dụng hiệu quả để cải thiện dịch vụ công (y tế, đường xá...). - HUMAN-TRU3]]</f>
        <v>10</v>
      </c>
      <c r="AV156">
        <f t="shared" si="71"/>
        <v>1</v>
      </c>
      <c r="AW156">
        <f>step3_validation[[#This Row],[AI_TRU4]]</f>
        <v>7</v>
      </c>
      <c r="AX156">
        <f t="shared" si="72"/>
        <v>0.66666666666666663</v>
      </c>
      <c r="AY156">
        <f>survey_responses[[#This Row],[Tôi thấy Nhà nước đã giải thích rõ ràng, minh bạch về lý do và mục tiêu của việc sửa đổi thuế lần này. - HUMAN-TRU4]]</f>
        <v>10</v>
      </c>
      <c r="AZ156">
        <f t="shared" si="73"/>
        <v>1</v>
      </c>
      <c r="BA156" s="32">
        <f t="shared" si="74"/>
        <v>0.77777777777777768</v>
      </c>
      <c r="BB156" s="32">
        <f t="shared" si="75"/>
        <v>1</v>
      </c>
      <c r="BC156" s="7">
        <f t="shared" si="76"/>
        <v>0.74074074074074081</v>
      </c>
      <c r="BD156" s="7">
        <f t="shared" si="77"/>
        <v>1</v>
      </c>
      <c r="BE156">
        <f>step3_validation[[#This Row],[AI_OUT1]]</f>
        <v>9</v>
      </c>
      <c r="BF156">
        <f t="shared" si="78"/>
        <v>0.88888888888888884</v>
      </c>
      <c r="BG156">
        <f>survey_responses[[#This Row],[Sau khi xem xét các quyền lợi và nghĩa vụ, bạn có ủng hộ và tuân thủ chính sách mới hiện nay? - HUMAN-OUT1]]</f>
        <v>10</v>
      </c>
      <c r="BH156">
        <f t="shared" si="79"/>
        <v>1</v>
      </c>
      <c r="BI156" s="32">
        <f t="shared" si="80"/>
        <v>1</v>
      </c>
    </row>
    <row r="157" spans="1:61" x14ac:dyDescent="0.45">
      <c r="A157" s="30">
        <f>step3_validation[[#This Row],[Persona_ID]]</f>
        <v>156</v>
      </c>
      <c r="B157" s="31">
        <f>step3_validation[[#This Row],[Used_Seed]]</f>
        <v>2146</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23.928243437507259</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6</v>
      </c>
      <c r="R157">
        <f t="shared" si="54"/>
        <v>0.55555555555555558</v>
      </c>
      <c r="S157">
        <f>survey_responses[[#This Row],[Tôi tin rằng với các quy định quản lý thuế hiện nay, hành vi gian lận hoặc trốn thuế sẽ dễ dàng bị phát hiện và xử lý nghiêm. - HUMAN-ENF1]]</f>
        <v>10</v>
      </c>
      <c r="T157">
        <f t="shared" si="55"/>
        <v>1</v>
      </c>
      <c r="U157">
        <f>step3_validation[[#This Row],[AI_ENF2]]</f>
        <v>8</v>
      </c>
      <c r="V157">
        <f t="shared" si="56"/>
        <v>0.77777777777777779</v>
      </c>
      <c r="W157">
        <f>survey_responses[[#This Row],[Tôi tin rằng Nhà nước, cơ quan thuế có đủ khả năng và công nghệ để phát hiện, xử lý nghiêm các hành vi trốn thuế. - HUMAN-ENF2]]</f>
        <v>10</v>
      </c>
      <c r="X157">
        <f t="shared" si="57"/>
        <v>1</v>
      </c>
      <c r="Y157" s="32">
        <f t="shared" si="58"/>
        <v>0.66666666666666674</v>
      </c>
      <c r="Z157" s="32">
        <f t="shared" si="59"/>
        <v>1</v>
      </c>
      <c r="AA157">
        <f>step3_validation[[#This Row],[AI_FAC1]]</f>
        <v>9</v>
      </c>
      <c r="AB157">
        <f t="shared" si="60"/>
        <v>0.88888888888888884</v>
      </c>
      <c r="AC157">
        <f>survey_responses[[#This Row],[Các thủ tục khai báo thuế VÀ/HOẶC quy trình làm việc với cơ quan thuế đơn giản, tiện lợi, nhanh chóng hơn so với trước đây. - HUMAN-FAC1]]</f>
        <v>10</v>
      </c>
      <c r="AD157">
        <f t="shared" si="61"/>
        <v>1</v>
      </c>
      <c r="AE157">
        <f>step3_validation[[#This Row],[AI_FAC2]]</f>
        <v>8</v>
      </c>
      <c r="AF157">
        <f t="shared" si="62"/>
        <v>0.77777777777777779</v>
      </c>
      <c r="AG157">
        <f>survey_responses[[#This Row],[So với trước đây, tôi thấy cách tính thuế và các bậc thuế trong phương án mới đơn giản, dễ hiểu và dễ thực hiện hơn. - HUMAN-FAC2]]</f>
        <v>10</v>
      </c>
      <c r="AH157">
        <f t="shared" si="63"/>
        <v>1</v>
      </c>
      <c r="AI157" s="32">
        <f t="shared" si="64"/>
        <v>0.83333333333333326</v>
      </c>
      <c r="AJ157" s="32">
        <f t="shared" si="65"/>
        <v>1</v>
      </c>
      <c r="AK157">
        <f>step3_validation[[#This Row],[AI_TRU1]]</f>
        <v>9</v>
      </c>
      <c r="AL157">
        <f t="shared" si="66"/>
        <v>0.88888888888888884</v>
      </c>
      <c r="AM157">
        <f>survey_responses[[#This Row],[Tôi tin rằng Nhà nước, cơ quan thuế sẽ thực thi chính sách mới một cách khách quan, công tâm và đối xử bình đẳng với mọi người nộp thuế.  - HUMAN-TRU1]]</f>
        <v>10</v>
      </c>
      <c r="AN157">
        <f t="shared" si="67"/>
        <v>1</v>
      </c>
      <c r="AO157">
        <f>step3_validation[[#This Row],[AI_TRU2]]</f>
        <v>8</v>
      </c>
      <c r="AP157">
        <f t="shared" si="68"/>
        <v>0.77777777777777779</v>
      </c>
      <c r="AQ157">
        <f>survey_responses[[#This Row],[Tôi thấy mức thuế tôi phải đóng theo phương án mới là công bằng (người thu nhập như tôi đóng mức này là hợp lý). - HUMAN-TRU2]]</f>
        <v>10</v>
      </c>
      <c r="AR157">
        <f t="shared" si="69"/>
        <v>1</v>
      </c>
      <c r="AS157">
        <f>step3_validation[[#This Row],[AI_TRU3]]</f>
        <v>7</v>
      </c>
      <c r="AT157">
        <f t="shared" si="70"/>
        <v>0.66666666666666663</v>
      </c>
      <c r="AU157">
        <f>survey_responses[[#This Row],[Tôi tin tưởng số tiền thuế tôi đóng sẽ được Nhà nước sử dụng hiệu quả để cải thiện dịch vụ công (y tế, đường xá...). - HUMAN-TRU3]]</f>
        <v>10</v>
      </c>
      <c r="AV157">
        <f t="shared" si="71"/>
        <v>1</v>
      </c>
      <c r="AW157">
        <f>step3_validation[[#This Row],[AI_TRU4]]</f>
        <v>8</v>
      </c>
      <c r="AX157">
        <f t="shared" si="72"/>
        <v>0.77777777777777779</v>
      </c>
      <c r="AY157">
        <f>survey_responses[[#This Row],[Tôi thấy Nhà nước đã giải thích rõ ràng, minh bạch về lý do và mục tiêu của việc sửa đổi thuế lần này. - HUMAN-TRU4]]</f>
        <v>10</v>
      </c>
      <c r="AZ157">
        <f t="shared" si="73"/>
        <v>1</v>
      </c>
      <c r="BA157" s="32">
        <f t="shared" si="74"/>
        <v>0.77777777777777768</v>
      </c>
      <c r="BB157" s="32">
        <f t="shared" si="75"/>
        <v>1</v>
      </c>
      <c r="BC157" s="7">
        <f t="shared" si="76"/>
        <v>0.75925925925925919</v>
      </c>
      <c r="BD157" s="7">
        <f t="shared" si="77"/>
        <v>1</v>
      </c>
      <c r="BE157">
        <f>step3_validation[[#This Row],[AI_OUT1]]</f>
        <v>9</v>
      </c>
      <c r="BF157">
        <f t="shared" si="78"/>
        <v>0.88888888888888884</v>
      </c>
      <c r="BG157">
        <f>survey_responses[[#This Row],[Sau khi xem xét các quyền lợi và nghĩa vụ, bạn có ủng hộ và tuân thủ chính sách mới hiện nay? - HUMAN-OUT1]]</f>
        <v>10</v>
      </c>
      <c r="BH157">
        <f t="shared" si="79"/>
        <v>1</v>
      </c>
      <c r="BI157" s="32">
        <f t="shared" si="80"/>
        <v>1</v>
      </c>
    </row>
    <row r="158" spans="1:61" x14ac:dyDescent="0.45">
      <c r="A158" s="30">
        <f>step3_validation[[#This Row],[Persona_ID]]</f>
        <v>157</v>
      </c>
      <c r="B158" s="31">
        <f>step3_validation[[#This Row],[Used_Seed]]</f>
        <v>2147</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79.221032608637913</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f t="shared" si="54"/>
        <v>0.66666666666666663</v>
      </c>
      <c r="S158">
        <f>survey_responses[[#This Row],[Tôi tin rằng với các quy định quản lý thuế hiện nay, hành vi gian lận hoặc trốn thuế sẽ dễ dàng bị phát hiện và xử lý nghiêm. - HUMAN-ENF1]]</f>
        <v>10</v>
      </c>
      <c r="T158">
        <f t="shared" si="55"/>
        <v>1</v>
      </c>
      <c r="U158">
        <f>step3_validation[[#This Row],[AI_ENF2]]</f>
        <v>6</v>
      </c>
      <c r="V158">
        <f t="shared" si="56"/>
        <v>0.55555555555555558</v>
      </c>
      <c r="W158">
        <f>survey_responses[[#This Row],[Tôi tin rằng Nhà nước, cơ quan thuế có đủ khả năng và công nghệ để phát hiện, xử lý nghiêm các hành vi trốn thuế. - HUMAN-ENF2]]</f>
        <v>10</v>
      </c>
      <c r="X158">
        <f t="shared" si="57"/>
        <v>1</v>
      </c>
      <c r="Y158" s="32">
        <f t="shared" si="58"/>
        <v>0.61111111111111116</v>
      </c>
      <c r="Z158" s="32">
        <f t="shared" si="59"/>
        <v>1</v>
      </c>
      <c r="AA158">
        <f>step3_validation[[#This Row],[AI_FAC1]]</f>
        <v>8</v>
      </c>
      <c r="AB158">
        <f t="shared" si="60"/>
        <v>0.77777777777777779</v>
      </c>
      <c r="AC158">
        <f>survey_responses[[#This Row],[Các thủ tục khai báo thuế VÀ/HOẶC quy trình làm việc với cơ quan thuế đơn giản, tiện lợi, nhanh chóng hơn so với trước đây. - HUMAN-FAC1]]</f>
        <v>1</v>
      </c>
      <c r="AD158">
        <f t="shared" si="61"/>
        <v>0</v>
      </c>
      <c r="AE158">
        <f>step3_validation[[#This Row],[AI_FAC2]]</f>
        <v>9</v>
      </c>
      <c r="AF158">
        <f t="shared" si="62"/>
        <v>0.88888888888888884</v>
      </c>
      <c r="AG158">
        <f>survey_responses[[#This Row],[So với trước đây, tôi thấy cách tính thuế và các bậc thuế trong phương án mới đơn giản, dễ hiểu và dễ thực hiện hơn. - HUMAN-FAC2]]</f>
        <v>10</v>
      </c>
      <c r="AH158">
        <f t="shared" si="63"/>
        <v>1</v>
      </c>
      <c r="AI158" s="32">
        <f t="shared" si="64"/>
        <v>0.83333333333333326</v>
      </c>
      <c r="AJ158" s="32">
        <f t="shared" si="65"/>
        <v>0.5</v>
      </c>
      <c r="AK158">
        <f>step3_validation[[#This Row],[AI_TRU1]]</f>
        <v>7</v>
      </c>
      <c r="AL158">
        <f t="shared" si="66"/>
        <v>0.66666666666666663</v>
      </c>
      <c r="AM158">
        <f>survey_responses[[#This Row],[Tôi tin rằng Nhà nước, cơ quan thuế sẽ thực thi chính sách mới một cách khách quan, công tâm và đối xử bình đẳng với mọi người nộp thuế.  - HUMAN-TRU1]]</f>
        <v>1</v>
      </c>
      <c r="AN158">
        <f t="shared" si="67"/>
        <v>0</v>
      </c>
      <c r="AO158">
        <f>step3_validation[[#This Row],[AI_TRU2]]</f>
        <v>8</v>
      </c>
      <c r="AP158">
        <f t="shared" si="68"/>
        <v>0.77777777777777779</v>
      </c>
      <c r="AQ158">
        <f>survey_responses[[#This Row],[Tôi thấy mức thuế tôi phải đóng theo phương án mới là công bằng (người thu nhập như tôi đóng mức này là hợp lý). - HUMAN-TRU2]]</f>
        <v>1</v>
      </c>
      <c r="AR158">
        <f t="shared" si="69"/>
        <v>0</v>
      </c>
      <c r="AS158">
        <f>step3_validation[[#This Row],[AI_TRU3]]</f>
        <v>7</v>
      </c>
      <c r="AT158">
        <f t="shared" si="70"/>
        <v>0.66666666666666663</v>
      </c>
      <c r="AU158">
        <f>survey_responses[[#This Row],[Tôi tin tưởng số tiền thuế tôi đóng sẽ được Nhà nước sử dụng hiệu quả để cải thiện dịch vụ công (y tế, đường xá...). - HUMAN-TRU3]]</f>
        <v>1</v>
      </c>
      <c r="AV158">
        <f t="shared" si="71"/>
        <v>0</v>
      </c>
      <c r="AW158">
        <f>step3_validation[[#This Row],[AI_TRU4]]</f>
        <v>6</v>
      </c>
      <c r="AX158">
        <f t="shared" si="72"/>
        <v>0.55555555555555558</v>
      </c>
      <c r="AY158">
        <f>survey_responses[[#This Row],[Tôi thấy Nhà nước đã giải thích rõ ràng, minh bạch về lý do và mục tiêu của việc sửa đổi thuế lần này. - HUMAN-TRU4]]</f>
        <v>1</v>
      </c>
      <c r="AZ158">
        <f t="shared" si="73"/>
        <v>0</v>
      </c>
      <c r="BA158" s="32">
        <f t="shared" si="74"/>
        <v>0.66666666666666674</v>
      </c>
      <c r="BB158" s="32">
        <f t="shared" si="75"/>
        <v>0</v>
      </c>
      <c r="BC158" s="7">
        <f t="shared" si="76"/>
        <v>0.70370370370370372</v>
      </c>
      <c r="BD158" s="7">
        <f t="shared" si="77"/>
        <v>0.5</v>
      </c>
      <c r="BE158">
        <f>step3_validation[[#This Row],[AI_OUT1]]</f>
        <v>8</v>
      </c>
      <c r="BF158">
        <f t="shared" si="78"/>
        <v>0.77777777777777779</v>
      </c>
      <c r="BG158">
        <f>survey_responses[[#This Row],[Sau khi xem xét các quyền lợi và nghĩa vụ, bạn có ủng hộ và tuân thủ chính sách mới hiện nay? - HUMAN-OUT1]]</f>
        <v>6</v>
      </c>
      <c r="BH158">
        <f t="shared" si="79"/>
        <v>0.55555555555555558</v>
      </c>
      <c r="BI158" s="32">
        <f t="shared" si="80"/>
        <v>2</v>
      </c>
    </row>
    <row r="159" spans="1:61" x14ac:dyDescent="0.45">
      <c r="A159" s="30">
        <f>step3_validation[[#This Row],[Persona_ID]]</f>
        <v>158</v>
      </c>
      <c r="B159" s="31">
        <f>step3_validation[[#This Row],[Used_Seed]]</f>
        <v>2148</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80.819067710457034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f t="shared" si="54"/>
        <v>0.66666666666666663</v>
      </c>
      <c r="S159">
        <f>survey_responses[[#This Row],[Tôi tin rằng với các quy định quản lý thuế hiện nay, hành vi gian lận hoặc trốn thuế sẽ dễ dàng bị phát hiện và xử lý nghiêm. - HUMAN-ENF1]]</f>
        <v>7</v>
      </c>
      <c r="T159">
        <f t="shared" si="55"/>
        <v>0.66666666666666663</v>
      </c>
      <c r="U159">
        <f>step3_validation[[#This Row],[AI_ENF2]]</f>
        <v>6</v>
      </c>
      <c r="V159">
        <f t="shared" si="56"/>
        <v>0.55555555555555558</v>
      </c>
      <c r="W159">
        <f>survey_responses[[#This Row],[Tôi tin rằng Nhà nước, cơ quan thuế có đủ khả năng và công nghệ để phát hiện, xử lý nghiêm các hành vi trốn thuế. - HUMAN-ENF2]]</f>
        <v>8</v>
      </c>
      <c r="X159">
        <f t="shared" si="57"/>
        <v>0.77777777777777779</v>
      </c>
      <c r="Y159" s="32">
        <f t="shared" si="58"/>
        <v>0.61111111111111116</v>
      </c>
      <c r="Z159" s="32">
        <f t="shared" si="59"/>
        <v>0.72222222222222221</v>
      </c>
      <c r="AA159">
        <f>step3_validation[[#This Row],[AI_FAC1]]</f>
        <v>8</v>
      </c>
      <c r="AB159">
        <f t="shared" si="60"/>
        <v>0.77777777777777779</v>
      </c>
      <c r="AC159">
        <f>survey_responses[[#This Row],[Các thủ tục khai báo thuế VÀ/HOẶC quy trình làm việc với cơ quan thuế đơn giản, tiện lợi, nhanh chóng hơn so với trước đây. - HUMAN-FAC1]]</f>
        <v>6</v>
      </c>
      <c r="AD159">
        <f t="shared" si="61"/>
        <v>0.55555555555555558</v>
      </c>
      <c r="AE159">
        <f>step3_validation[[#This Row],[AI_FAC2]]</f>
        <v>9</v>
      </c>
      <c r="AF159">
        <f t="shared" si="62"/>
        <v>0.88888888888888884</v>
      </c>
      <c r="AG159">
        <f>survey_responses[[#This Row],[So với trước đây, tôi thấy cách tính thuế và các bậc thuế trong phương án mới đơn giản, dễ hiểu và dễ thực hiện hơn. - HUMAN-FAC2]]</f>
        <v>6</v>
      </c>
      <c r="AH159">
        <f t="shared" si="63"/>
        <v>0.55555555555555558</v>
      </c>
      <c r="AI159" s="32">
        <f t="shared" si="64"/>
        <v>0.83333333333333326</v>
      </c>
      <c r="AJ159" s="32">
        <f t="shared" si="65"/>
        <v>0.55555555555555558</v>
      </c>
      <c r="AK159">
        <f>step3_validation[[#This Row],[AI_TRU1]]</f>
        <v>7</v>
      </c>
      <c r="AL159">
        <f t="shared" si="66"/>
        <v>0.66666666666666663</v>
      </c>
      <c r="AM159">
        <f>survey_responses[[#This Row],[Tôi tin rằng Nhà nước, cơ quan thuế sẽ thực thi chính sách mới một cách khách quan, công tâm và đối xử bình đẳng với mọi người nộp thuế.  - HUMAN-TRU1]]</f>
        <v>7</v>
      </c>
      <c r="AN159">
        <f t="shared" si="67"/>
        <v>0.66666666666666663</v>
      </c>
      <c r="AO159">
        <f>step3_validation[[#This Row],[AI_TRU2]]</f>
        <v>9</v>
      </c>
      <c r="AP159">
        <f t="shared" si="68"/>
        <v>0.88888888888888884</v>
      </c>
      <c r="AQ159">
        <f>survey_responses[[#This Row],[Tôi thấy mức thuế tôi phải đóng theo phương án mới là công bằng (người thu nhập như tôi đóng mức này là hợp lý). - HUMAN-TRU2]]</f>
        <v>5</v>
      </c>
      <c r="AR159">
        <f t="shared" si="69"/>
        <v>0.44444444444444442</v>
      </c>
      <c r="AS159">
        <f>step3_validation[[#This Row],[AI_TRU3]]</f>
        <v>6</v>
      </c>
      <c r="AT159">
        <f t="shared" si="70"/>
        <v>0.55555555555555558</v>
      </c>
      <c r="AU159">
        <f>survey_responses[[#This Row],[Tôi tin tưởng số tiền thuế tôi đóng sẽ được Nhà nước sử dụng hiệu quả để cải thiện dịch vụ công (y tế, đường xá...). - HUMAN-TRU3]]</f>
        <v>6</v>
      </c>
      <c r="AV159">
        <f t="shared" si="71"/>
        <v>0.55555555555555558</v>
      </c>
      <c r="AW159">
        <f>step3_validation[[#This Row],[AI_TRU4]]</f>
        <v>7</v>
      </c>
      <c r="AX159">
        <f t="shared" si="72"/>
        <v>0.66666666666666663</v>
      </c>
      <c r="AY159">
        <f>survey_responses[[#This Row],[Tôi thấy Nhà nước đã giải thích rõ ràng, minh bạch về lý do và mục tiêu của việc sửa đổi thuế lần này. - HUMAN-TRU4]]</f>
        <v>7</v>
      </c>
      <c r="AZ159">
        <f t="shared" si="73"/>
        <v>0.66666666666666663</v>
      </c>
      <c r="BA159" s="32">
        <f t="shared" si="74"/>
        <v>0.69444444444444431</v>
      </c>
      <c r="BB159" s="32">
        <f t="shared" si="75"/>
        <v>0.58333333333333337</v>
      </c>
      <c r="BC159" s="7">
        <f t="shared" si="76"/>
        <v>0.71296296296296291</v>
      </c>
      <c r="BD159" s="7">
        <f t="shared" si="77"/>
        <v>0.62037037037037035</v>
      </c>
      <c r="BE159">
        <f>step3_validation[[#This Row],[AI_OUT1]]</f>
        <v>8</v>
      </c>
      <c r="BF159">
        <f t="shared" si="78"/>
        <v>0.77777777777777779</v>
      </c>
      <c r="BG159">
        <f>survey_responses[[#This Row],[Sau khi xem xét các quyền lợi và nghĩa vụ, bạn có ủng hộ và tuân thủ chính sách mới hiện nay? - HUMAN-OUT1]]</f>
        <v>7</v>
      </c>
      <c r="BH159">
        <f t="shared" si="79"/>
        <v>0.66666666666666663</v>
      </c>
      <c r="BI159" s="32">
        <f t="shared" si="80"/>
        <v>1</v>
      </c>
    </row>
    <row r="160" spans="1:61" x14ac:dyDescent="0.45">
      <c r="A160" s="30">
        <f>step3_validation[[#This Row],[Persona_ID]]</f>
        <v>159</v>
      </c>
      <c r="B160" s="31">
        <f>step3_validation[[#This Row],[Used_Seed]]</f>
        <v>2149</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33.46719409588362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6</v>
      </c>
      <c r="R160">
        <f t="shared" si="54"/>
        <v>0.55555555555555558</v>
      </c>
      <c r="S160">
        <f>survey_responses[[#This Row],[Tôi tin rằng với các quy định quản lý thuế hiện nay, hành vi gian lận hoặc trốn thuế sẽ dễ dàng bị phát hiện và xử lý nghiêm. - HUMAN-ENF1]]</f>
        <v>2</v>
      </c>
      <c r="T160">
        <f t="shared" si="55"/>
        <v>0.1111111111111111</v>
      </c>
      <c r="U160">
        <f>step3_validation[[#This Row],[AI_ENF2]]</f>
        <v>7</v>
      </c>
      <c r="V160">
        <f t="shared" si="56"/>
        <v>0.66666666666666663</v>
      </c>
      <c r="W160">
        <f>survey_responses[[#This Row],[Tôi tin rằng Nhà nước, cơ quan thuế có đủ khả năng và công nghệ để phát hiện, xử lý nghiêm các hành vi trốn thuế. - HUMAN-ENF2]]</f>
        <v>7</v>
      </c>
      <c r="X160">
        <f t="shared" si="57"/>
        <v>0.66666666666666663</v>
      </c>
      <c r="Y160" s="32">
        <f t="shared" si="58"/>
        <v>0.61111111111111116</v>
      </c>
      <c r="Z160" s="32">
        <f t="shared" si="59"/>
        <v>0.38888888888888884</v>
      </c>
      <c r="AA160">
        <f>step3_validation[[#This Row],[AI_FAC1]]</f>
        <v>9</v>
      </c>
      <c r="AB160">
        <f t="shared" si="60"/>
        <v>0.88888888888888884</v>
      </c>
      <c r="AC160">
        <f>survey_responses[[#This Row],[Các thủ tục khai báo thuế VÀ/HOẶC quy trình làm việc với cơ quan thuế đơn giản, tiện lợi, nhanh chóng hơn so với trước đây. - HUMAN-FAC1]]</f>
        <v>10</v>
      </c>
      <c r="AD160">
        <f t="shared" si="61"/>
        <v>1</v>
      </c>
      <c r="AE160">
        <f>step3_validation[[#This Row],[AI_FAC2]]</f>
        <v>8</v>
      </c>
      <c r="AF160">
        <f t="shared" si="62"/>
        <v>0.77777777777777779</v>
      </c>
      <c r="AG160">
        <f>survey_responses[[#This Row],[So với trước đây, tôi thấy cách tính thuế và các bậc thuế trong phương án mới đơn giản, dễ hiểu và dễ thực hiện hơn. - HUMAN-FAC2]]</f>
        <v>2</v>
      </c>
      <c r="AH160">
        <f t="shared" si="63"/>
        <v>0.1111111111111111</v>
      </c>
      <c r="AI160" s="32">
        <f t="shared" si="64"/>
        <v>0.83333333333333326</v>
      </c>
      <c r="AJ160" s="32">
        <f t="shared" si="65"/>
        <v>0.55555555555555558</v>
      </c>
      <c r="AK160">
        <f>step3_validation[[#This Row],[AI_TRU1]]</f>
        <v>7</v>
      </c>
      <c r="AL160">
        <f t="shared" si="66"/>
        <v>0.66666666666666663</v>
      </c>
      <c r="AM160">
        <f>survey_responses[[#This Row],[Tôi tin rằng Nhà nước, cơ quan thuế sẽ thực thi chính sách mới một cách khách quan, công tâm và đối xử bình đẳng với mọi người nộp thuế.  - HUMAN-TRU1]]</f>
        <v>10</v>
      </c>
      <c r="AN160">
        <f t="shared" si="67"/>
        <v>1</v>
      </c>
      <c r="AO160">
        <f>step3_validation[[#This Row],[AI_TRU2]]</f>
        <v>8</v>
      </c>
      <c r="AP160">
        <f t="shared" si="68"/>
        <v>0.77777777777777779</v>
      </c>
      <c r="AQ160">
        <f>survey_responses[[#This Row],[Tôi thấy mức thuế tôi phải đóng theo phương án mới là công bằng (người thu nhập như tôi đóng mức này là hợp lý). - HUMAN-TRU2]]</f>
        <v>5</v>
      </c>
      <c r="AR160">
        <f t="shared" si="69"/>
        <v>0.44444444444444442</v>
      </c>
      <c r="AS160">
        <f>step3_validation[[#This Row],[AI_TRU3]]</f>
        <v>7</v>
      </c>
      <c r="AT160">
        <f t="shared" si="70"/>
        <v>0.66666666666666663</v>
      </c>
      <c r="AU160">
        <f>survey_responses[[#This Row],[Tôi tin tưởng số tiền thuế tôi đóng sẽ được Nhà nước sử dụng hiệu quả để cải thiện dịch vụ công (y tế, đường xá...). - HUMAN-TRU3]]</f>
        <v>10</v>
      </c>
      <c r="AV160">
        <f t="shared" si="71"/>
        <v>1</v>
      </c>
      <c r="AW160">
        <f>step3_validation[[#This Row],[AI_TRU4]]</f>
        <v>6</v>
      </c>
      <c r="AX160">
        <f t="shared" si="72"/>
        <v>0.55555555555555558</v>
      </c>
      <c r="AY160">
        <f>survey_responses[[#This Row],[Tôi thấy Nhà nước đã giải thích rõ ràng, minh bạch về lý do và mục tiêu của việc sửa đổi thuế lần này. - HUMAN-TRU4]]</f>
        <v>3</v>
      </c>
      <c r="AZ160">
        <f t="shared" si="73"/>
        <v>0.22222222222222221</v>
      </c>
      <c r="BA160" s="32">
        <f t="shared" si="74"/>
        <v>0.66666666666666674</v>
      </c>
      <c r="BB160" s="32">
        <f t="shared" si="75"/>
        <v>0.66666666666666674</v>
      </c>
      <c r="BC160" s="7">
        <f t="shared" si="76"/>
        <v>0.70370370370370372</v>
      </c>
      <c r="BD160" s="7">
        <f t="shared" si="77"/>
        <v>0.53703703703703709</v>
      </c>
      <c r="BE160">
        <f>step3_validation[[#This Row],[AI_OUT1]]</f>
        <v>9</v>
      </c>
      <c r="BF160">
        <f t="shared" si="78"/>
        <v>0.88888888888888884</v>
      </c>
      <c r="BG160">
        <f>survey_responses[[#This Row],[Sau khi xem xét các quyền lợi và nghĩa vụ, bạn có ủng hộ và tuân thủ chính sách mới hiện nay? - HUMAN-OUT1]]</f>
        <v>3</v>
      </c>
      <c r="BH160">
        <f t="shared" si="79"/>
        <v>0.22222222222222221</v>
      </c>
      <c r="BI160" s="32">
        <f t="shared" si="80"/>
        <v>6</v>
      </c>
    </row>
    <row r="161" spans="1:61" x14ac:dyDescent="0.45">
      <c r="A161" s="30">
        <f>step3_validation[[#This Row],[Persona_ID]]</f>
        <v>160</v>
      </c>
      <c r="B161" s="31">
        <f>step3_validation[[#This Row],[Used_Seed]]</f>
        <v>2150</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45.11869588041683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8</v>
      </c>
      <c r="R161">
        <f t="shared" si="54"/>
        <v>0.77777777777777779</v>
      </c>
      <c r="S161">
        <f>survey_responses[[#This Row],[Tôi tin rằng với các quy định quản lý thuế hiện nay, hành vi gian lận hoặc trốn thuế sẽ dễ dàng bị phát hiện và xử lý nghiêm. - HUMAN-ENF1]]</f>
        <v>9</v>
      </c>
      <c r="T161">
        <f t="shared" si="55"/>
        <v>0.88888888888888884</v>
      </c>
      <c r="U161">
        <f>step3_validation[[#This Row],[AI_ENF2]]</f>
        <v>9</v>
      </c>
      <c r="V161">
        <f t="shared" si="56"/>
        <v>0.88888888888888884</v>
      </c>
      <c r="W161">
        <f>survey_responses[[#This Row],[Tôi tin rằng Nhà nước, cơ quan thuế có đủ khả năng và công nghệ để phát hiện, xử lý nghiêm các hành vi trốn thuế. - HUMAN-ENF2]]</f>
        <v>9</v>
      </c>
      <c r="X161">
        <f t="shared" si="57"/>
        <v>0.88888888888888884</v>
      </c>
      <c r="Y161" s="32">
        <f t="shared" si="58"/>
        <v>0.83333333333333326</v>
      </c>
      <c r="Z161" s="32">
        <f t="shared" si="59"/>
        <v>0.88888888888888884</v>
      </c>
      <c r="AA161">
        <f>step3_validation[[#This Row],[AI_FAC1]]</f>
        <v>8</v>
      </c>
      <c r="AB161">
        <f t="shared" si="60"/>
        <v>0.77777777777777779</v>
      </c>
      <c r="AC161">
        <f>survey_responses[[#This Row],[Các thủ tục khai báo thuế VÀ/HOẶC quy trình làm việc với cơ quan thuế đơn giản, tiện lợi, nhanh chóng hơn so với trước đây. - HUMAN-FAC1]]</f>
        <v>10</v>
      </c>
      <c r="AD161">
        <f t="shared" si="61"/>
        <v>1</v>
      </c>
      <c r="AE161">
        <f>step3_validation[[#This Row],[AI_FAC2]]</f>
        <v>9</v>
      </c>
      <c r="AF161">
        <f t="shared" si="62"/>
        <v>0.88888888888888884</v>
      </c>
      <c r="AG161">
        <f>survey_responses[[#This Row],[So với trước đây, tôi thấy cách tính thuế và các bậc thuế trong phương án mới đơn giản, dễ hiểu và dễ thực hiện hơn. - HUMAN-FAC2]]</f>
        <v>2</v>
      </c>
      <c r="AH161">
        <f t="shared" si="63"/>
        <v>0.1111111111111111</v>
      </c>
      <c r="AI161" s="32">
        <f t="shared" si="64"/>
        <v>0.83333333333333326</v>
      </c>
      <c r="AJ161" s="32">
        <f t="shared" si="65"/>
        <v>0.55555555555555558</v>
      </c>
      <c r="AK161">
        <f>step3_validation[[#This Row],[AI_TRU1]]</f>
        <v>7</v>
      </c>
      <c r="AL161">
        <f t="shared" si="66"/>
        <v>0.66666666666666663</v>
      </c>
      <c r="AM161">
        <f>survey_responses[[#This Row],[Tôi tin rằng Nhà nước, cơ quan thuế sẽ thực thi chính sách mới một cách khách quan, công tâm và đối xử bình đẳng với mọi người nộp thuế.  - HUMAN-TRU1]]</f>
        <v>9</v>
      </c>
      <c r="AN161">
        <f t="shared" si="67"/>
        <v>0.88888888888888884</v>
      </c>
      <c r="AO161">
        <f>step3_validation[[#This Row],[AI_TRU2]]</f>
        <v>8</v>
      </c>
      <c r="AP161">
        <f t="shared" si="68"/>
        <v>0.77777777777777779</v>
      </c>
      <c r="AQ161">
        <f>survey_responses[[#This Row],[Tôi thấy mức thuế tôi phải đóng theo phương án mới là công bằng (người thu nhập như tôi đóng mức này là hợp lý). - HUMAN-TRU2]]</f>
        <v>9</v>
      </c>
      <c r="AR161">
        <f t="shared" si="69"/>
        <v>0.88888888888888884</v>
      </c>
      <c r="AS161">
        <f>step3_validation[[#This Row],[AI_TRU3]]</f>
        <v>7</v>
      </c>
      <c r="AT161">
        <f t="shared" si="70"/>
        <v>0.66666666666666663</v>
      </c>
      <c r="AU161">
        <f>survey_responses[[#This Row],[Tôi tin tưởng số tiền thuế tôi đóng sẽ được Nhà nước sử dụng hiệu quả để cải thiện dịch vụ công (y tế, đường xá...). - HUMAN-TRU3]]</f>
        <v>6</v>
      </c>
      <c r="AV161">
        <f t="shared" si="71"/>
        <v>0.55555555555555558</v>
      </c>
      <c r="AW161">
        <f>step3_validation[[#This Row],[AI_TRU4]]</f>
        <v>8</v>
      </c>
      <c r="AX161">
        <f t="shared" si="72"/>
        <v>0.77777777777777779</v>
      </c>
      <c r="AY161">
        <f>survey_responses[[#This Row],[Tôi thấy Nhà nước đã giải thích rõ ràng, minh bạch về lý do và mục tiêu của việc sửa đổi thuế lần này. - HUMAN-TRU4]]</f>
        <v>8</v>
      </c>
      <c r="AZ161">
        <f t="shared" si="73"/>
        <v>0.77777777777777779</v>
      </c>
      <c r="BA161" s="32">
        <f t="shared" si="74"/>
        <v>0.72222222222222221</v>
      </c>
      <c r="BB161" s="32">
        <f t="shared" si="75"/>
        <v>0.77777777777777768</v>
      </c>
      <c r="BC161" s="7">
        <f t="shared" si="76"/>
        <v>0.79629629629629628</v>
      </c>
      <c r="BD161" s="7">
        <f t="shared" si="77"/>
        <v>0.74074074074074081</v>
      </c>
      <c r="BE161">
        <f>step3_validation[[#This Row],[AI_OUT1]]</f>
        <v>9</v>
      </c>
      <c r="BF161">
        <f t="shared" si="78"/>
        <v>0.88888888888888884</v>
      </c>
      <c r="BG161">
        <f>survey_responses[[#This Row],[Sau khi xem xét các quyền lợi và nghĩa vụ, bạn có ủng hộ và tuân thủ chính sách mới hiện nay? - HUMAN-OUT1]]</f>
        <v>10</v>
      </c>
      <c r="BH161">
        <f t="shared" si="79"/>
        <v>1</v>
      </c>
      <c r="BI161" s="32">
        <f t="shared" si="80"/>
        <v>1</v>
      </c>
    </row>
    <row r="162" spans="1:61" x14ac:dyDescent="0.45">
      <c r="A162" s="30">
        <f>step3_validation[[#This Row],[Persona_ID]]</f>
        <v>161</v>
      </c>
      <c r="B162" s="31">
        <f>step3_validation[[#This Row],[Used_Seed]]</f>
        <v>2151</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15.442244316243173</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f t="shared" si="54"/>
        <v>0.55555555555555558</v>
      </c>
      <c r="S162">
        <f>survey_responses[[#This Row],[Tôi tin rằng với các quy định quản lý thuế hiện nay, hành vi gian lận hoặc trốn thuế sẽ dễ dàng bị phát hiện và xử lý nghiêm. - HUMAN-ENF1]]</f>
        <v>7</v>
      </c>
      <c r="T162">
        <f t="shared" si="55"/>
        <v>0.66666666666666663</v>
      </c>
      <c r="U162">
        <f>step3_validation[[#This Row],[AI_ENF2]]</f>
        <v>6</v>
      </c>
      <c r="V162">
        <f t="shared" si="56"/>
        <v>0.55555555555555558</v>
      </c>
      <c r="W162">
        <f>survey_responses[[#This Row],[Tôi tin rằng Nhà nước, cơ quan thuế có đủ khả năng và công nghệ để phát hiện, xử lý nghiêm các hành vi trốn thuế. - HUMAN-ENF2]]</f>
        <v>5</v>
      </c>
      <c r="X162">
        <f t="shared" si="57"/>
        <v>0.44444444444444442</v>
      </c>
      <c r="Y162" s="32">
        <f t="shared" si="58"/>
        <v>0.55555555555555558</v>
      </c>
      <c r="Z162" s="32">
        <f t="shared" si="59"/>
        <v>0.55555555555555558</v>
      </c>
      <c r="AA162">
        <f>step3_validation[[#This Row],[AI_FAC1]]</f>
        <v>9</v>
      </c>
      <c r="AB162">
        <f t="shared" si="60"/>
        <v>0.88888888888888884</v>
      </c>
      <c r="AC162">
        <f>survey_responses[[#This Row],[Các thủ tục khai báo thuế VÀ/HOẶC quy trình làm việc với cơ quan thuế đơn giản, tiện lợi, nhanh chóng hơn so với trước đây. - HUMAN-FAC1]]</f>
        <v>7</v>
      </c>
      <c r="AD162">
        <f t="shared" si="61"/>
        <v>0.66666666666666663</v>
      </c>
      <c r="AE162">
        <f>step3_validation[[#This Row],[AI_FAC2]]</f>
        <v>8</v>
      </c>
      <c r="AF162">
        <f t="shared" si="62"/>
        <v>0.77777777777777779</v>
      </c>
      <c r="AG162">
        <f>survey_responses[[#This Row],[So với trước đây, tôi thấy cách tính thuế và các bậc thuế trong phương án mới đơn giản, dễ hiểu và dễ thực hiện hơn. - HUMAN-FAC2]]</f>
        <v>5</v>
      </c>
      <c r="AH162">
        <f t="shared" si="63"/>
        <v>0.44444444444444442</v>
      </c>
      <c r="AI162" s="32">
        <f t="shared" si="64"/>
        <v>0.83333333333333326</v>
      </c>
      <c r="AJ162" s="32">
        <f t="shared" si="65"/>
        <v>0.55555555555555558</v>
      </c>
      <c r="AK162">
        <f>step3_validation[[#This Row],[AI_TRU1]]</f>
        <v>7</v>
      </c>
      <c r="AL162">
        <f t="shared" si="66"/>
        <v>0.66666666666666663</v>
      </c>
      <c r="AM162">
        <f>survey_responses[[#This Row],[Tôi tin rằng Nhà nước, cơ quan thuế sẽ thực thi chính sách mới một cách khách quan, công tâm và đối xử bình đẳng với mọi người nộp thuế.  - HUMAN-TRU1]]</f>
        <v>3</v>
      </c>
      <c r="AN162">
        <f t="shared" si="67"/>
        <v>0.22222222222222221</v>
      </c>
      <c r="AO162">
        <f>step3_validation[[#This Row],[AI_TRU2]]</f>
        <v>9</v>
      </c>
      <c r="AP162">
        <f t="shared" si="68"/>
        <v>0.88888888888888884</v>
      </c>
      <c r="AQ162">
        <f>survey_responses[[#This Row],[Tôi thấy mức thuế tôi phải đóng theo phương án mới là công bằng (người thu nhập như tôi đóng mức này là hợp lý). - HUMAN-TRU2]]</f>
        <v>4</v>
      </c>
      <c r="AR162">
        <f t="shared" si="69"/>
        <v>0.33333333333333331</v>
      </c>
      <c r="AS162">
        <f>step3_validation[[#This Row],[AI_TRU3]]</f>
        <v>7</v>
      </c>
      <c r="AT162">
        <f t="shared" si="70"/>
        <v>0.66666666666666663</v>
      </c>
      <c r="AU162">
        <f>survey_responses[[#This Row],[Tôi tin tưởng số tiền thuế tôi đóng sẽ được Nhà nước sử dụng hiệu quả để cải thiện dịch vụ công (y tế, đường xá...). - HUMAN-TRU3]]</f>
        <v>1</v>
      </c>
      <c r="AV162">
        <f t="shared" si="71"/>
        <v>0</v>
      </c>
      <c r="AW162">
        <f>step3_validation[[#This Row],[AI_TRU4]]</f>
        <v>8</v>
      </c>
      <c r="AX162">
        <f t="shared" si="72"/>
        <v>0.77777777777777779</v>
      </c>
      <c r="AY162">
        <f>survey_responses[[#This Row],[Tôi thấy Nhà nước đã giải thích rõ ràng, minh bạch về lý do và mục tiêu của việc sửa đổi thuế lần này. - HUMAN-TRU4]]</f>
        <v>5</v>
      </c>
      <c r="AZ162">
        <f t="shared" si="73"/>
        <v>0.44444444444444442</v>
      </c>
      <c r="BA162" s="32">
        <f t="shared" si="74"/>
        <v>0.74999999999999989</v>
      </c>
      <c r="BB162" s="32">
        <f t="shared" si="75"/>
        <v>0.25</v>
      </c>
      <c r="BC162" s="7">
        <f t="shared" si="76"/>
        <v>0.71296296296296291</v>
      </c>
      <c r="BD162" s="7">
        <f t="shared" si="77"/>
        <v>0.45370370370370372</v>
      </c>
      <c r="BE162">
        <f>step3_validation[[#This Row],[AI_OUT1]]</f>
        <v>9</v>
      </c>
      <c r="BF162">
        <f t="shared" si="78"/>
        <v>0.88888888888888884</v>
      </c>
      <c r="BG162">
        <f>survey_responses[[#This Row],[Sau khi xem xét các quyền lợi và nghĩa vụ, bạn có ủng hộ và tuân thủ chính sách mới hiện nay? - HUMAN-OUT1]]</f>
        <v>5</v>
      </c>
      <c r="BH162">
        <f t="shared" si="79"/>
        <v>0.44444444444444442</v>
      </c>
      <c r="BI162" s="32">
        <f t="shared" si="80"/>
        <v>4</v>
      </c>
    </row>
    <row r="163" spans="1:61" x14ac:dyDescent="0.45">
      <c r="A163" s="30">
        <f>step3_validation[[#This Row],[Persona_ID]]</f>
        <v>162</v>
      </c>
      <c r="B163" s="31">
        <f>step3_validation[[#This Row],[Used_Seed]]</f>
        <v>2152</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7</v>
      </c>
      <c r="R163">
        <f t="shared" si="54"/>
        <v>0.66666666666666663</v>
      </c>
      <c r="S163">
        <f>survey_responses[[#This Row],[Tôi tin rằng với các quy định quản lý thuế hiện nay, hành vi gian lận hoặc trốn thuế sẽ dễ dàng bị phát hiện và xử lý nghiêm. - HUMAN-ENF1]]</f>
        <v>3</v>
      </c>
      <c r="T163">
        <f t="shared" si="55"/>
        <v>0.22222222222222221</v>
      </c>
      <c r="U163">
        <f>step3_validation[[#This Row],[AI_ENF2]]</f>
        <v>6</v>
      </c>
      <c r="V163">
        <f t="shared" si="56"/>
        <v>0.55555555555555558</v>
      </c>
      <c r="W163">
        <f>survey_responses[[#This Row],[Tôi tin rằng Nhà nước, cơ quan thuế có đủ khả năng và công nghệ để phát hiện, xử lý nghiêm các hành vi trốn thuế. - HUMAN-ENF2]]</f>
        <v>8</v>
      </c>
      <c r="X163">
        <f t="shared" si="57"/>
        <v>0.77777777777777779</v>
      </c>
      <c r="Y163" s="32">
        <f t="shared" si="58"/>
        <v>0.61111111111111116</v>
      </c>
      <c r="Z163" s="32">
        <f t="shared" si="59"/>
        <v>0.5</v>
      </c>
      <c r="AA163">
        <f>step3_validation[[#This Row],[AI_FAC1]]</f>
        <v>8</v>
      </c>
      <c r="AB163">
        <f t="shared" si="60"/>
        <v>0.77777777777777779</v>
      </c>
      <c r="AC163">
        <f>survey_responses[[#This Row],[Các thủ tục khai báo thuế VÀ/HOẶC quy trình làm việc với cơ quan thuế đơn giản, tiện lợi, nhanh chóng hơn so với trước đây. - HUMAN-FAC1]]</f>
        <v>4</v>
      </c>
      <c r="AD163">
        <f t="shared" si="61"/>
        <v>0.33333333333333331</v>
      </c>
      <c r="AE163">
        <f>step3_validation[[#This Row],[AI_FAC2]]</f>
        <v>9</v>
      </c>
      <c r="AF163">
        <f t="shared" si="62"/>
        <v>0.88888888888888884</v>
      </c>
      <c r="AG163">
        <f>survey_responses[[#This Row],[So với trước đây, tôi thấy cách tính thuế và các bậc thuế trong phương án mới đơn giản, dễ hiểu và dễ thực hiện hơn. - HUMAN-FAC2]]</f>
        <v>5</v>
      </c>
      <c r="AH163">
        <f t="shared" si="63"/>
        <v>0.44444444444444442</v>
      </c>
      <c r="AI163" s="32">
        <f t="shared" si="64"/>
        <v>0.83333333333333326</v>
      </c>
      <c r="AJ163" s="32">
        <f t="shared" si="65"/>
        <v>0.38888888888888884</v>
      </c>
      <c r="AK163">
        <f>step3_validation[[#This Row],[AI_TRU1]]</f>
        <v>8</v>
      </c>
      <c r="AL163">
        <f t="shared" si="66"/>
        <v>0.77777777777777779</v>
      </c>
      <c r="AM163">
        <f>survey_responses[[#This Row],[Tôi tin rằng Nhà nước, cơ quan thuế sẽ thực thi chính sách mới một cách khách quan, công tâm và đối xử bình đẳng với mọi người nộp thuế.  - HUMAN-TRU1]]</f>
        <v>5</v>
      </c>
      <c r="AN163">
        <f t="shared" si="67"/>
        <v>0.44444444444444442</v>
      </c>
      <c r="AO163">
        <f>step3_validation[[#This Row],[AI_TRU2]]</f>
        <v>9</v>
      </c>
      <c r="AP163">
        <f t="shared" si="68"/>
        <v>0.88888888888888884</v>
      </c>
      <c r="AQ163">
        <f>survey_responses[[#This Row],[Tôi thấy mức thuế tôi phải đóng theo phương án mới là công bằng (người thu nhập như tôi đóng mức này là hợp lý). - HUMAN-TRU2]]</f>
        <v>5</v>
      </c>
      <c r="AR163">
        <f t="shared" si="69"/>
        <v>0.44444444444444442</v>
      </c>
      <c r="AS163">
        <f>step3_validation[[#This Row],[AI_TRU3]]</f>
        <v>8</v>
      </c>
      <c r="AT163">
        <f t="shared" si="70"/>
        <v>0.77777777777777779</v>
      </c>
      <c r="AU163">
        <f>survey_responses[[#This Row],[Tôi tin tưởng số tiền thuế tôi đóng sẽ được Nhà nước sử dụng hiệu quả để cải thiện dịch vụ công (y tế, đường xá...). - HUMAN-TRU3]]</f>
        <v>5</v>
      </c>
      <c r="AV163">
        <f t="shared" si="71"/>
        <v>0.44444444444444442</v>
      </c>
      <c r="AW163">
        <f>step3_validation[[#This Row],[AI_TRU4]]</f>
        <v>7</v>
      </c>
      <c r="AX163">
        <f t="shared" si="72"/>
        <v>0.66666666666666663</v>
      </c>
      <c r="AY163">
        <f>survey_responses[[#This Row],[Tôi thấy Nhà nước đã giải thích rõ ràng, minh bạch về lý do và mục tiêu của việc sửa đổi thuế lần này. - HUMAN-TRU4]]</f>
        <v>5</v>
      </c>
      <c r="AZ163">
        <f t="shared" si="73"/>
        <v>0.44444444444444442</v>
      </c>
      <c r="BA163" s="32">
        <f t="shared" si="74"/>
        <v>0.77777777777777768</v>
      </c>
      <c r="BB163" s="32">
        <f t="shared" si="75"/>
        <v>0.44444444444444442</v>
      </c>
      <c r="BC163" s="7">
        <f t="shared" si="76"/>
        <v>0.74074074074074081</v>
      </c>
      <c r="BD163" s="7">
        <f t="shared" si="77"/>
        <v>0.44444444444444442</v>
      </c>
      <c r="BE163">
        <f>step3_validation[[#This Row],[AI_OUT1]]</f>
        <v>9</v>
      </c>
      <c r="BF163">
        <f t="shared" si="78"/>
        <v>0.88888888888888884</v>
      </c>
      <c r="BG163">
        <f>survey_responses[[#This Row],[Sau khi xem xét các quyền lợi và nghĩa vụ, bạn có ủng hộ và tuân thủ chính sách mới hiện nay? - HUMAN-OUT1]]</f>
        <v>5</v>
      </c>
      <c r="BH163">
        <f t="shared" si="79"/>
        <v>0.44444444444444442</v>
      </c>
      <c r="BI163" s="32">
        <f t="shared" si="80"/>
        <v>4</v>
      </c>
    </row>
    <row r="164" spans="1:61" x14ac:dyDescent="0.45">
      <c r="A164" s="30">
        <f>step3_validation[[#This Row],[Persona_ID]]</f>
        <v>163</v>
      </c>
      <c r="B164" s="31">
        <f>step3_validation[[#This Row],[Used_Seed]]</f>
        <v>2153</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15.35907344478729</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f t="shared" si="54"/>
        <v>0.66666666666666663</v>
      </c>
      <c r="S164">
        <f>survey_responses[[#This Row],[Tôi tin rằng với các quy định quản lý thuế hiện nay, hành vi gian lận hoặc trốn thuế sẽ dễ dàng bị phát hiện và xử lý nghiêm. - HUMAN-ENF1]]</f>
        <v>10</v>
      </c>
      <c r="T164">
        <f t="shared" si="55"/>
        <v>1</v>
      </c>
      <c r="U164">
        <f>step3_validation[[#This Row],[AI_ENF2]]</f>
        <v>7</v>
      </c>
      <c r="V164">
        <f t="shared" si="56"/>
        <v>0.66666666666666663</v>
      </c>
      <c r="W164">
        <f>survey_responses[[#This Row],[Tôi tin rằng Nhà nước, cơ quan thuế có đủ khả năng và công nghệ để phát hiện, xử lý nghiêm các hành vi trốn thuế. - HUMAN-ENF2]]</f>
        <v>10</v>
      </c>
      <c r="X164">
        <f t="shared" si="57"/>
        <v>1</v>
      </c>
      <c r="Y164" s="32">
        <f t="shared" si="58"/>
        <v>0.66666666666666663</v>
      </c>
      <c r="Z164" s="32">
        <f t="shared" si="59"/>
        <v>1</v>
      </c>
      <c r="AA164">
        <f>step3_validation[[#This Row],[AI_FAC1]]</f>
        <v>8</v>
      </c>
      <c r="AB164">
        <f t="shared" si="60"/>
        <v>0.77777777777777779</v>
      </c>
      <c r="AC164">
        <f>survey_responses[[#This Row],[Các thủ tục khai báo thuế VÀ/HOẶC quy trình làm việc với cơ quan thuế đơn giản, tiện lợi, nhanh chóng hơn so với trước đây. - HUMAN-FAC1]]</f>
        <v>10</v>
      </c>
      <c r="AD164">
        <f t="shared" si="61"/>
        <v>1</v>
      </c>
      <c r="AE164">
        <f>step3_validation[[#This Row],[AI_FAC2]]</f>
        <v>9</v>
      </c>
      <c r="AF164">
        <f t="shared" si="62"/>
        <v>0.88888888888888884</v>
      </c>
      <c r="AG164">
        <f>survey_responses[[#This Row],[So với trước đây, tôi thấy cách tính thuế và các bậc thuế trong phương án mới đơn giản, dễ hiểu và dễ thực hiện hơn. - HUMAN-FAC2]]</f>
        <v>10</v>
      </c>
      <c r="AH164">
        <f t="shared" si="63"/>
        <v>1</v>
      </c>
      <c r="AI164" s="32">
        <f t="shared" si="64"/>
        <v>0.83333333333333326</v>
      </c>
      <c r="AJ164" s="32">
        <f t="shared" si="65"/>
        <v>1</v>
      </c>
      <c r="AK164">
        <f>step3_validation[[#This Row],[AI_TRU1]]</f>
        <v>8</v>
      </c>
      <c r="AL164">
        <f t="shared" si="66"/>
        <v>0.77777777777777779</v>
      </c>
      <c r="AM164">
        <f>survey_responses[[#This Row],[Tôi tin rằng Nhà nước, cơ quan thuế sẽ thực thi chính sách mới một cách khách quan, công tâm và đối xử bình đẳng với mọi người nộp thuế.  - HUMAN-TRU1]]</f>
        <v>10</v>
      </c>
      <c r="AN164">
        <f t="shared" si="67"/>
        <v>1</v>
      </c>
      <c r="AO164">
        <f>step3_validation[[#This Row],[AI_TRU2]]</f>
        <v>9</v>
      </c>
      <c r="AP164">
        <f t="shared" si="68"/>
        <v>0.88888888888888884</v>
      </c>
      <c r="AQ164">
        <f>survey_responses[[#This Row],[Tôi thấy mức thuế tôi phải đóng theo phương án mới là công bằng (người thu nhập như tôi đóng mức này là hợp lý). - HUMAN-TRU2]]</f>
        <v>10</v>
      </c>
      <c r="AR164">
        <f t="shared" si="69"/>
        <v>1</v>
      </c>
      <c r="AS164">
        <f>step3_validation[[#This Row],[AI_TRU3]]</f>
        <v>8</v>
      </c>
      <c r="AT164">
        <f t="shared" si="70"/>
        <v>0.77777777777777779</v>
      </c>
      <c r="AU164">
        <f>survey_responses[[#This Row],[Tôi tin tưởng số tiền thuế tôi đóng sẽ được Nhà nước sử dụng hiệu quả để cải thiện dịch vụ công (y tế, đường xá...). - HUMAN-TRU3]]</f>
        <v>10</v>
      </c>
      <c r="AV164">
        <f t="shared" si="71"/>
        <v>1</v>
      </c>
      <c r="AW164">
        <f>step3_validation[[#This Row],[AI_TRU4]]</f>
        <v>7</v>
      </c>
      <c r="AX164">
        <f t="shared" si="72"/>
        <v>0.66666666666666663</v>
      </c>
      <c r="AY164">
        <f>survey_responses[[#This Row],[Tôi thấy Nhà nước đã giải thích rõ ràng, minh bạch về lý do và mục tiêu của việc sửa đổi thuế lần này. - HUMAN-TRU4]]</f>
        <v>10</v>
      </c>
      <c r="AZ164">
        <f t="shared" si="73"/>
        <v>1</v>
      </c>
      <c r="BA164" s="32">
        <f t="shared" si="74"/>
        <v>0.77777777777777768</v>
      </c>
      <c r="BB164" s="32">
        <f t="shared" si="75"/>
        <v>1</v>
      </c>
      <c r="BC164" s="7">
        <f t="shared" si="76"/>
        <v>0.75925925925925919</v>
      </c>
      <c r="BD164" s="7">
        <f t="shared" si="77"/>
        <v>1</v>
      </c>
      <c r="BE164">
        <f>step3_validation[[#This Row],[AI_OUT1]]</f>
        <v>9</v>
      </c>
      <c r="BF164">
        <f t="shared" si="78"/>
        <v>0.88888888888888884</v>
      </c>
      <c r="BG164">
        <f>survey_responses[[#This Row],[Sau khi xem xét các quyền lợi và nghĩa vụ, bạn có ủng hộ và tuân thủ chính sách mới hiện nay? - HUMAN-OUT1]]</f>
        <v>10</v>
      </c>
      <c r="BH164">
        <f t="shared" si="79"/>
        <v>1</v>
      </c>
      <c r="BI164" s="32">
        <f t="shared" si="80"/>
        <v>1</v>
      </c>
    </row>
    <row r="165" spans="1:61" x14ac:dyDescent="0.45">
      <c r="A165" s="30">
        <f>step3_validation[[#This Row],[Persona_ID]]</f>
        <v>164</v>
      </c>
      <c r="B165" s="31">
        <f>step3_validation[[#This Row],[Used_Seed]]</f>
        <v>2154</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39.464682757354907</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6</v>
      </c>
      <c r="R165">
        <f t="shared" si="54"/>
        <v>0.55555555555555558</v>
      </c>
      <c r="S165">
        <f>survey_responses[[#This Row],[Tôi tin rằng với các quy định quản lý thuế hiện nay, hành vi gian lận hoặc trốn thuế sẽ dễ dàng bị phát hiện và xử lý nghiêm. - HUMAN-ENF1]]</f>
        <v>8</v>
      </c>
      <c r="T165">
        <f t="shared" si="55"/>
        <v>0.77777777777777779</v>
      </c>
      <c r="U165">
        <f>step3_validation[[#This Row],[AI_ENF2]]</f>
        <v>7</v>
      </c>
      <c r="V165">
        <f t="shared" si="56"/>
        <v>0.66666666666666663</v>
      </c>
      <c r="W165">
        <f>survey_responses[[#This Row],[Tôi tin rằng Nhà nước, cơ quan thuế có đủ khả năng và công nghệ để phát hiện, xử lý nghiêm các hành vi trốn thuế. - HUMAN-ENF2]]</f>
        <v>9</v>
      </c>
      <c r="X165">
        <f t="shared" si="57"/>
        <v>0.88888888888888884</v>
      </c>
      <c r="Y165" s="32">
        <f t="shared" si="58"/>
        <v>0.61111111111111116</v>
      </c>
      <c r="Z165" s="32">
        <f t="shared" si="59"/>
        <v>0.83333333333333326</v>
      </c>
      <c r="AA165">
        <f>step3_validation[[#This Row],[AI_FAC1]]</f>
        <v>8</v>
      </c>
      <c r="AB165">
        <f t="shared" si="60"/>
        <v>0.77777777777777779</v>
      </c>
      <c r="AC165">
        <f>survey_responses[[#This Row],[Các thủ tục khai báo thuế VÀ/HOẶC quy trình làm việc với cơ quan thuế đơn giản, tiện lợi, nhanh chóng hơn so với trước đây. - HUMAN-FAC1]]</f>
        <v>9</v>
      </c>
      <c r="AD165">
        <f t="shared" si="61"/>
        <v>0.88888888888888884</v>
      </c>
      <c r="AE165">
        <f>step3_validation[[#This Row],[AI_FAC2]]</f>
        <v>9</v>
      </c>
      <c r="AF165">
        <f t="shared" si="62"/>
        <v>0.88888888888888884</v>
      </c>
      <c r="AG165">
        <f>survey_responses[[#This Row],[So với trước đây, tôi thấy cách tính thuế và các bậc thuế trong phương án mới đơn giản, dễ hiểu và dễ thực hiện hơn. - HUMAN-FAC2]]</f>
        <v>9</v>
      </c>
      <c r="AH165">
        <f t="shared" si="63"/>
        <v>0.88888888888888884</v>
      </c>
      <c r="AI165" s="32">
        <f t="shared" si="64"/>
        <v>0.83333333333333326</v>
      </c>
      <c r="AJ165" s="32">
        <f t="shared" si="65"/>
        <v>0.88888888888888884</v>
      </c>
      <c r="AK165">
        <f>step3_validation[[#This Row],[AI_TRU1]]</f>
        <v>8</v>
      </c>
      <c r="AL165">
        <f t="shared" si="66"/>
        <v>0.77777777777777779</v>
      </c>
      <c r="AM165">
        <f>survey_responses[[#This Row],[Tôi tin rằng Nhà nước, cơ quan thuế sẽ thực thi chính sách mới một cách khách quan, công tâm và đối xử bình đẳng với mọi người nộp thuế.  - HUMAN-TRU1]]</f>
        <v>5</v>
      </c>
      <c r="AN165">
        <f t="shared" si="67"/>
        <v>0.44444444444444442</v>
      </c>
      <c r="AO165">
        <f>step3_validation[[#This Row],[AI_TRU2]]</f>
        <v>9</v>
      </c>
      <c r="AP165">
        <f t="shared" si="68"/>
        <v>0.88888888888888884</v>
      </c>
      <c r="AQ165">
        <f>survey_responses[[#This Row],[Tôi thấy mức thuế tôi phải đóng theo phương án mới là công bằng (người thu nhập như tôi đóng mức này là hợp lý). - HUMAN-TRU2]]</f>
        <v>7</v>
      </c>
      <c r="AR165">
        <f t="shared" si="69"/>
        <v>0.66666666666666663</v>
      </c>
      <c r="AS165">
        <f>step3_validation[[#This Row],[AI_TRU3]]</f>
        <v>8</v>
      </c>
      <c r="AT165">
        <f t="shared" si="70"/>
        <v>0.77777777777777779</v>
      </c>
      <c r="AU165">
        <f>survey_responses[[#This Row],[Tôi tin tưởng số tiền thuế tôi đóng sẽ được Nhà nước sử dụng hiệu quả để cải thiện dịch vụ công (y tế, đường xá...). - HUMAN-TRU3]]</f>
        <v>5</v>
      </c>
      <c r="AV165">
        <f t="shared" si="71"/>
        <v>0.44444444444444442</v>
      </c>
      <c r="AW165">
        <f>step3_validation[[#This Row],[AI_TRU4]]</f>
        <v>7</v>
      </c>
      <c r="AX165">
        <f t="shared" si="72"/>
        <v>0.66666666666666663</v>
      </c>
      <c r="AY165">
        <f>survey_responses[[#This Row],[Tôi thấy Nhà nước đã giải thích rõ ràng, minh bạch về lý do và mục tiêu của việc sửa đổi thuế lần này. - HUMAN-TRU4]]</f>
        <v>7</v>
      </c>
      <c r="AZ165">
        <f t="shared" si="73"/>
        <v>0.66666666666666663</v>
      </c>
      <c r="BA165" s="32">
        <f t="shared" si="74"/>
        <v>0.77777777777777768</v>
      </c>
      <c r="BB165" s="32">
        <f t="shared" si="75"/>
        <v>0.55555555555555558</v>
      </c>
      <c r="BC165" s="7">
        <f t="shared" si="76"/>
        <v>0.74074074074074081</v>
      </c>
      <c r="BD165" s="7">
        <f t="shared" si="77"/>
        <v>0.75925925925925919</v>
      </c>
      <c r="BE165">
        <f>step3_validation[[#This Row],[AI_OUT1]]</f>
        <v>9</v>
      </c>
      <c r="BF165">
        <f t="shared" si="78"/>
        <v>0.88888888888888884</v>
      </c>
      <c r="BG165">
        <f>survey_responses[[#This Row],[Sau khi xem xét các quyền lợi và nghĩa vụ, bạn có ủng hộ và tuân thủ chính sách mới hiện nay? - HUMAN-OUT1]]</f>
        <v>7</v>
      </c>
      <c r="BH165">
        <f t="shared" si="79"/>
        <v>0.66666666666666663</v>
      </c>
      <c r="BI165" s="32">
        <f t="shared" si="80"/>
        <v>2</v>
      </c>
    </row>
    <row r="166" spans="1:61" x14ac:dyDescent="0.45">
      <c r="A166" s="30">
        <f>step3_validation[[#This Row],[Persona_ID]]</f>
        <v>165</v>
      </c>
      <c r="B166" s="31">
        <f>step3_validation[[#This Row],[Used_Seed]]</f>
        <v>2155</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34.853131575275249</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8</v>
      </c>
      <c r="R166">
        <f t="shared" si="54"/>
        <v>0.77777777777777779</v>
      </c>
      <c r="S166">
        <f>survey_responses[[#This Row],[Tôi tin rằng với các quy định quản lý thuế hiện nay, hành vi gian lận hoặc trốn thuế sẽ dễ dàng bị phát hiện và xử lý nghiêm. - HUMAN-ENF1]]</f>
        <v>5</v>
      </c>
      <c r="T166">
        <f t="shared" si="55"/>
        <v>0.44444444444444442</v>
      </c>
      <c r="U166">
        <f>step3_validation[[#This Row],[AI_ENF2]]</f>
        <v>9</v>
      </c>
      <c r="V166">
        <f t="shared" si="56"/>
        <v>0.88888888888888884</v>
      </c>
      <c r="W166">
        <f>survey_responses[[#This Row],[Tôi tin rằng Nhà nước, cơ quan thuế có đủ khả năng và công nghệ để phát hiện, xử lý nghiêm các hành vi trốn thuế. - HUMAN-ENF2]]</f>
        <v>5</v>
      </c>
      <c r="X166">
        <f t="shared" si="57"/>
        <v>0.44444444444444442</v>
      </c>
      <c r="Y166" s="32">
        <f t="shared" si="58"/>
        <v>0.83333333333333326</v>
      </c>
      <c r="Z166" s="32">
        <f t="shared" si="59"/>
        <v>0.44444444444444442</v>
      </c>
      <c r="AA166">
        <f>step3_validation[[#This Row],[AI_FAC1]]</f>
        <v>8</v>
      </c>
      <c r="AB166">
        <f t="shared" si="60"/>
        <v>0.77777777777777779</v>
      </c>
      <c r="AC166">
        <f>survey_responses[[#This Row],[Các thủ tục khai báo thuế VÀ/HOẶC quy trình làm việc với cơ quan thuế đơn giản, tiện lợi, nhanh chóng hơn so với trước đây. - HUMAN-FAC1]]</f>
        <v>6</v>
      </c>
      <c r="AD166">
        <f t="shared" si="61"/>
        <v>0.55555555555555558</v>
      </c>
      <c r="AE166">
        <f>step3_validation[[#This Row],[AI_FAC2]]</f>
        <v>9</v>
      </c>
      <c r="AF166">
        <f t="shared" si="62"/>
        <v>0.88888888888888884</v>
      </c>
      <c r="AG166">
        <f>survey_responses[[#This Row],[So với trước đây, tôi thấy cách tính thuế và các bậc thuế trong phương án mới đơn giản, dễ hiểu và dễ thực hiện hơn. - HUMAN-FAC2]]</f>
        <v>6</v>
      </c>
      <c r="AH166">
        <f t="shared" si="63"/>
        <v>0.55555555555555558</v>
      </c>
      <c r="AI166" s="32">
        <f t="shared" si="64"/>
        <v>0.83333333333333326</v>
      </c>
      <c r="AJ166" s="32">
        <f t="shared" si="65"/>
        <v>0.55555555555555558</v>
      </c>
      <c r="AK166">
        <f>step3_validation[[#This Row],[AI_TRU1]]</f>
        <v>8</v>
      </c>
      <c r="AL166">
        <f t="shared" si="66"/>
        <v>0.77777777777777779</v>
      </c>
      <c r="AM166">
        <f>survey_responses[[#This Row],[Tôi tin rằng Nhà nước, cơ quan thuế sẽ thực thi chính sách mới một cách khách quan, công tâm và đối xử bình đẳng với mọi người nộp thuế.  - HUMAN-TRU1]]</f>
        <v>6</v>
      </c>
      <c r="AN166">
        <f t="shared" si="67"/>
        <v>0.55555555555555558</v>
      </c>
      <c r="AO166">
        <f>step3_validation[[#This Row],[AI_TRU2]]</f>
        <v>9</v>
      </c>
      <c r="AP166">
        <f t="shared" si="68"/>
        <v>0.88888888888888884</v>
      </c>
      <c r="AQ166">
        <f>survey_responses[[#This Row],[Tôi thấy mức thuế tôi phải đóng theo phương án mới là công bằng (người thu nhập như tôi đóng mức này là hợp lý). - HUMAN-TRU2]]</f>
        <v>6</v>
      </c>
      <c r="AR166">
        <f t="shared" si="69"/>
        <v>0.55555555555555558</v>
      </c>
      <c r="AS166">
        <f>step3_validation[[#This Row],[AI_TRU3]]</f>
        <v>8</v>
      </c>
      <c r="AT166">
        <f t="shared" si="70"/>
        <v>0.77777777777777779</v>
      </c>
      <c r="AU166">
        <f>survey_responses[[#This Row],[Tôi tin tưởng số tiền thuế tôi đóng sẽ được Nhà nước sử dụng hiệu quả để cải thiện dịch vụ công (y tế, đường xá...). - HUMAN-TRU3]]</f>
        <v>5</v>
      </c>
      <c r="AV166">
        <f t="shared" si="71"/>
        <v>0.44444444444444442</v>
      </c>
      <c r="AW166">
        <f>step3_validation[[#This Row],[AI_TRU4]]</f>
        <v>9</v>
      </c>
      <c r="AX166">
        <f t="shared" si="72"/>
        <v>0.88888888888888884</v>
      </c>
      <c r="AY166">
        <f>survey_responses[[#This Row],[Tôi thấy Nhà nước đã giải thích rõ ràng, minh bạch về lý do và mục tiêu của việc sửa đổi thuế lần này. - HUMAN-TRU4]]</f>
        <v>7</v>
      </c>
      <c r="AZ166">
        <f t="shared" si="73"/>
        <v>0.66666666666666663</v>
      </c>
      <c r="BA166" s="32">
        <f t="shared" si="74"/>
        <v>0.83333333333333326</v>
      </c>
      <c r="BB166" s="32">
        <f t="shared" si="75"/>
        <v>0.55555555555555558</v>
      </c>
      <c r="BC166" s="7">
        <f t="shared" si="76"/>
        <v>0.83333333333333337</v>
      </c>
      <c r="BD166" s="7">
        <f t="shared" si="77"/>
        <v>0.51851851851851849</v>
      </c>
      <c r="BE166">
        <f>step3_validation[[#This Row],[AI_OUT1]]</f>
        <v>8</v>
      </c>
      <c r="BF166">
        <f t="shared" si="78"/>
        <v>0.77777777777777779</v>
      </c>
      <c r="BG166">
        <f>survey_responses[[#This Row],[Sau khi xem xét các quyền lợi và nghĩa vụ, bạn có ủng hộ và tuân thủ chính sách mới hiện nay? - HUMAN-OUT1]]</f>
        <v>8</v>
      </c>
      <c r="BH166">
        <f t="shared" si="79"/>
        <v>0.77777777777777779</v>
      </c>
      <c r="BI166" s="32">
        <f t="shared" si="80"/>
        <v>0</v>
      </c>
    </row>
    <row r="167" spans="1:61" x14ac:dyDescent="0.45">
      <c r="A167" s="30">
        <f>step3_validation[[#This Row],[Persona_ID]]</f>
        <v>166</v>
      </c>
      <c r="B167" s="31">
        <f>step3_validation[[#This Row],[Used_Seed]]</f>
        <v>2156</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43.309098013494726</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f t="shared" si="54"/>
        <v>0.55555555555555558</v>
      </c>
      <c r="S167">
        <f>survey_responses[[#This Row],[Tôi tin rằng với các quy định quản lý thuế hiện nay, hành vi gian lận hoặc trốn thuế sẽ dễ dàng bị phát hiện và xử lý nghiêm. - HUMAN-ENF1]]</f>
        <v>10</v>
      </c>
      <c r="T167">
        <f t="shared" si="55"/>
        <v>1</v>
      </c>
      <c r="U167">
        <f>step3_validation[[#This Row],[AI_ENF2]]</f>
        <v>6</v>
      </c>
      <c r="V167">
        <f t="shared" si="56"/>
        <v>0.55555555555555558</v>
      </c>
      <c r="W167">
        <f>survey_responses[[#This Row],[Tôi tin rằng Nhà nước, cơ quan thuế có đủ khả năng và công nghệ để phát hiện, xử lý nghiêm các hành vi trốn thuế. - HUMAN-ENF2]]</f>
        <v>8</v>
      </c>
      <c r="X167">
        <f t="shared" si="57"/>
        <v>0.77777777777777779</v>
      </c>
      <c r="Y167" s="32">
        <f t="shared" si="58"/>
        <v>0.55555555555555558</v>
      </c>
      <c r="Z167" s="32">
        <f t="shared" si="59"/>
        <v>0.88888888888888884</v>
      </c>
      <c r="AA167">
        <f>step3_validation[[#This Row],[AI_FAC1]]</f>
        <v>7</v>
      </c>
      <c r="AB167">
        <f t="shared" si="60"/>
        <v>0.66666666666666663</v>
      </c>
      <c r="AC167">
        <f>survey_responses[[#This Row],[Các thủ tục khai báo thuế VÀ/HOẶC quy trình làm việc với cơ quan thuế đơn giản, tiện lợi, nhanh chóng hơn so với trước đây. - HUMAN-FAC1]]</f>
        <v>10</v>
      </c>
      <c r="AD167">
        <f t="shared" si="61"/>
        <v>1</v>
      </c>
      <c r="AE167">
        <f>step3_validation[[#This Row],[AI_FAC2]]</f>
        <v>9</v>
      </c>
      <c r="AF167">
        <f t="shared" si="62"/>
        <v>0.88888888888888884</v>
      </c>
      <c r="AG167">
        <f>survey_responses[[#This Row],[So với trước đây, tôi thấy cách tính thuế và các bậc thuế trong phương án mới đơn giản, dễ hiểu và dễ thực hiện hơn. - HUMAN-FAC2]]</f>
        <v>10</v>
      </c>
      <c r="AH167">
        <f t="shared" si="63"/>
        <v>1</v>
      </c>
      <c r="AI167" s="32">
        <f t="shared" si="64"/>
        <v>0.77777777777777768</v>
      </c>
      <c r="AJ167" s="32">
        <f t="shared" si="65"/>
        <v>1</v>
      </c>
      <c r="AK167">
        <f>step3_validation[[#This Row],[AI_TRU1]]</f>
        <v>7</v>
      </c>
      <c r="AL167">
        <f t="shared" si="66"/>
        <v>0.66666666666666663</v>
      </c>
      <c r="AM167">
        <f>survey_responses[[#This Row],[Tôi tin rằng Nhà nước, cơ quan thuế sẽ thực thi chính sách mới một cách khách quan, công tâm và đối xử bình đẳng với mọi người nộp thuế.  - HUMAN-TRU1]]</f>
        <v>10</v>
      </c>
      <c r="AN167">
        <f t="shared" si="67"/>
        <v>1</v>
      </c>
      <c r="AO167">
        <f>step3_validation[[#This Row],[AI_TRU2]]</f>
        <v>9</v>
      </c>
      <c r="AP167">
        <f t="shared" si="68"/>
        <v>0.88888888888888884</v>
      </c>
      <c r="AQ167">
        <f>survey_responses[[#This Row],[Tôi thấy mức thuế tôi phải đóng theo phương án mới là công bằng (người thu nhập như tôi đóng mức này là hợp lý). - HUMAN-TRU2]]</f>
        <v>10</v>
      </c>
      <c r="AR167">
        <f t="shared" si="69"/>
        <v>1</v>
      </c>
      <c r="AS167">
        <f>step3_validation[[#This Row],[AI_TRU3]]</f>
        <v>7</v>
      </c>
      <c r="AT167">
        <f t="shared" si="70"/>
        <v>0.66666666666666663</v>
      </c>
      <c r="AU167">
        <f>survey_responses[[#This Row],[Tôi tin tưởng số tiền thuế tôi đóng sẽ được Nhà nước sử dụng hiệu quả để cải thiện dịch vụ công (y tế, đường xá...). - HUMAN-TRU3]]</f>
        <v>10</v>
      </c>
      <c r="AV167">
        <f t="shared" si="71"/>
        <v>1</v>
      </c>
      <c r="AW167">
        <f>step3_validation[[#This Row],[AI_TRU4]]</f>
        <v>8</v>
      </c>
      <c r="AX167">
        <f t="shared" si="72"/>
        <v>0.77777777777777779</v>
      </c>
      <c r="AY167">
        <f>survey_responses[[#This Row],[Tôi thấy Nhà nước đã giải thích rõ ràng, minh bạch về lý do và mục tiêu của việc sửa đổi thuế lần này. - HUMAN-TRU4]]</f>
        <v>10</v>
      </c>
      <c r="AZ167">
        <f t="shared" si="73"/>
        <v>1</v>
      </c>
      <c r="BA167" s="32">
        <f t="shared" si="74"/>
        <v>0.74999999999999989</v>
      </c>
      <c r="BB167" s="32">
        <f t="shared" si="75"/>
        <v>1</v>
      </c>
      <c r="BC167" s="7">
        <f t="shared" si="76"/>
        <v>0.69444444444444431</v>
      </c>
      <c r="BD167" s="7">
        <f t="shared" si="77"/>
        <v>0.96296296296296291</v>
      </c>
      <c r="BE167">
        <f>step3_validation[[#This Row],[AI_OUT1]]</f>
        <v>9</v>
      </c>
      <c r="BF167">
        <f t="shared" si="78"/>
        <v>0.88888888888888884</v>
      </c>
      <c r="BG167">
        <f>survey_responses[[#This Row],[Sau khi xem xét các quyền lợi và nghĩa vụ, bạn có ủng hộ và tuân thủ chính sách mới hiện nay? - HUMAN-OUT1]]</f>
        <v>8</v>
      </c>
      <c r="BH167">
        <f t="shared" si="79"/>
        <v>0.77777777777777779</v>
      </c>
      <c r="BI167" s="32">
        <f t="shared" si="80"/>
        <v>1</v>
      </c>
    </row>
    <row r="168" spans="1:61" x14ac:dyDescent="0.45">
      <c r="A168" s="30">
        <f>step3_validation[[#This Row],[Persona_ID]]</f>
        <v>167</v>
      </c>
      <c r="B168" s="31">
        <f>step3_validation[[#This Row],[Used_Seed]]</f>
        <v>2157</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87.962921152290036</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6</v>
      </c>
      <c r="R168">
        <f t="shared" si="54"/>
        <v>0.55555555555555558</v>
      </c>
      <c r="S168">
        <f>survey_responses[[#This Row],[Tôi tin rằng với các quy định quản lý thuế hiện nay, hành vi gian lận hoặc trốn thuế sẽ dễ dàng bị phát hiện và xử lý nghiêm. - HUMAN-ENF1]]</f>
        <v>5</v>
      </c>
      <c r="T168">
        <f t="shared" si="55"/>
        <v>0.44444444444444442</v>
      </c>
      <c r="U168">
        <f>step3_validation[[#This Row],[AI_ENF2]]</f>
        <v>7</v>
      </c>
      <c r="V168">
        <f t="shared" si="56"/>
        <v>0.66666666666666663</v>
      </c>
      <c r="W168">
        <f>survey_responses[[#This Row],[Tôi tin rằng Nhà nước, cơ quan thuế có đủ khả năng và công nghệ để phát hiện, xử lý nghiêm các hành vi trốn thuế. - HUMAN-ENF2]]</f>
        <v>8</v>
      </c>
      <c r="X168">
        <f t="shared" si="57"/>
        <v>0.77777777777777779</v>
      </c>
      <c r="Y168" s="32">
        <f t="shared" si="58"/>
        <v>0.61111111111111116</v>
      </c>
      <c r="Z168" s="32">
        <f t="shared" si="59"/>
        <v>0.61111111111111116</v>
      </c>
      <c r="AA168">
        <f>step3_validation[[#This Row],[AI_FAC1]]</f>
        <v>9</v>
      </c>
      <c r="AB168">
        <f t="shared" si="60"/>
        <v>0.88888888888888884</v>
      </c>
      <c r="AC168">
        <f>survey_responses[[#This Row],[Các thủ tục khai báo thuế VÀ/HOẶC quy trình làm việc với cơ quan thuế đơn giản, tiện lợi, nhanh chóng hơn so với trước đây. - HUMAN-FAC1]]</f>
        <v>5</v>
      </c>
      <c r="AD168">
        <f t="shared" si="61"/>
        <v>0.44444444444444442</v>
      </c>
      <c r="AE168">
        <f>step3_validation[[#This Row],[AI_FAC2]]</f>
        <v>9</v>
      </c>
      <c r="AF168">
        <f t="shared" si="62"/>
        <v>0.88888888888888884</v>
      </c>
      <c r="AG168">
        <f>survey_responses[[#This Row],[So với trước đây, tôi thấy cách tính thuế và các bậc thuế trong phương án mới đơn giản, dễ hiểu và dễ thực hiện hơn. - HUMAN-FAC2]]</f>
        <v>8</v>
      </c>
      <c r="AH168">
        <f t="shared" si="63"/>
        <v>0.77777777777777779</v>
      </c>
      <c r="AI168" s="32">
        <f t="shared" si="64"/>
        <v>0.88888888888888884</v>
      </c>
      <c r="AJ168" s="32">
        <f t="shared" si="65"/>
        <v>0.61111111111111116</v>
      </c>
      <c r="AK168">
        <f>step3_validation[[#This Row],[AI_TRU1]]</f>
        <v>8</v>
      </c>
      <c r="AL168">
        <f t="shared" si="66"/>
        <v>0.77777777777777779</v>
      </c>
      <c r="AM168">
        <f>survey_responses[[#This Row],[Tôi tin rằng Nhà nước, cơ quan thuế sẽ thực thi chính sách mới một cách khách quan, công tâm và đối xử bình đẳng với mọi người nộp thuế.  - HUMAN-TRU1]]</f>
        <v>4</v>
      </c>
      <c r="AN168">
        <f t="shared" si="67"/>
        <v>0.33333333333333331</v>
      </c>
      <c r="AO168">
        <f>step3_validation[[#This Row],[AI_TRU2]]</f>
        <v>7</v>
      </c>
      <c r="AP168">
        <f t="shared" si="68"/>
        <v>0.66666666666666663</v>
      </c>
      <c r="AQ168">
        <f>survey_responses[[#This Row],[Tôi thấy mức thuế tôi phải đóng theo phương án mới là công bằng (người thu nhập như tôi đóng mức này là hợp lý). - HUMAN-TRU2]]</f>
        <v>5</v>
      </c>
      <c r="AR168">
        <f t="shared" si="69"/>
        <v>0.44444444444444442</v>
      </c>
      <c r="AS168">
        <f>step3_validation[[#This Row],[AI_TRU3]]</f>
        <v>8</v>
      </c>
      <c r="AT168">
        <f t="shared" si="70"/>
        <v>0.77777777777777779</v>
      </c>
      <c r="AU168">
        <f>survey_responses[[#This Row],[Tôi tin tưởng số tiền thuế tôi đóng sẽ được Nhà nước sử dụng hiệu quả để cải thiện dịch vụ công (y tế, đường xá...). - HUMAN-TRU3]]</f>
        <v>1</v>
      </c>
      <c r="AV168">
        <f t="shared" si="71"/>
        <v>0</v>
      </c>
      <c r="AW168">
        <f>step3_validation[[#This Row],[AI_TRU4]]</f>
        <v>6</v>
      </c>
      <c r="AX168">
        <f t="shared" si="72"/>
        <v>0.55555555555555558</v>
      </c>
      <c r="AY168">
        <f>survey_responses[[#This Row],[Tôi thấy Nhà nước đã giải thích rõ ràng, minh bạch về lý do và mục tiêu của việc sửa đổi thuế lần này. - HUMAN-TRU4]]</f>
        <v>5</v>
      </c>
      <c r="AZ168">
        <f t="shared" si="73"/>
        <v>0.44444444444444442</v>
      </c>
      <c r="BA168" s="32">
        <f t="shared" si="74"/>
        <v>0.69444444444444442</v>
      </c>
      <c r="BB168" s="32">
        <f t="shared" si="75"/>
        <v>0.30555555555555552</v>
      </c>
      <c r="BC168" s="7">
        <f t="shared" si="76"/>
        <v>0.73148148148148151</v>
      </c>
      <c r="BD168" s="7">
        <f t="shared" si="77"/>
        <v>0.5092592592592593</v>
      </c>
      <c r="BE168">
        <f>step3_validation[[#This Row],[AI_OUT1]]</f>
        <v>9</v>
      </c>
      <c r="BF168">
        <f t="shared" si="78"/>
        <v>0.88888888888888884</v>
      </c>
      <c r="BG168">
        <f>survey_responses[[#This Row],[Sau khi xem xét các quyền lợi và nghĩa vụ, bạn có ủng hộ và tuân thủ chính sách mới hiện nay? - HUMAN-OUT1]]</f>
        <v>5</v>
      </c>
      <c r="BH168">
        <f t="shared" si="79"/>
        <v>0.44444444444444442</v>
      </c>
      <c r="BI168" s="32">
        <f t="shared" si="80"/>
        <v>4</v>
      </c>
    </row>
    <row r="169" spans="1:61" x14ac:dyDescent="0.45">
      <c r="A169" s="30">
        <f>step3_validation[[#This Row],[Persona_ID]]</f>
        <v>168</v>
      </c>
      <c r="B169" s="31">
        <f>step3_validation[[#This Row],[Used_Seed]]</f>
        <v>2158</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21.442261342216373</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6</v>
      </c>
      <c r="R169">
        <f t="shared" si="54"/>
        <v>0.55555555555555558</v>
      </c>
      <c r="S169">
        <f>survey_responses[[#This Row],[Tôi tin rằng với các quy định quản lý thuế hiện nay, hành vi gian lận hoặc trốn thuế sẽ dễ dàng bị phát hiện và xử lý nghiêm. - HUMAN-ENF1]]</f>
        <v>7</v>
      </c>
      <c r="T169">
        <f t="shared" si="55"/>
        <v>0.66666666666666663</v>
      </c>
      <c r="U169">
        <f>step3_validation[[#This Row],[AI_ENF2]]</f>
        <v>7</v>
      </c>
      <c r="V169">
        <f t="shared" si="56"/>
        <v>0.66666666666666663</v>
      </c>
      <c r="W169">
        <f>survey_responses[[#This Row],[Tôi tin rằng Nhà nước, cơ quan thuế có đủ khả năng và công nghệ để phát hiện, xử lý nghiêm các hành vi trốn thuế. - HUMAN-ENF2]]</f>
        <v>7</v>
      </c>
      <c r="X169">
        <f t="shared" si="57"/>
        <v>0.66666666666666663</v>
      </c>
      <c r="Y169" s="32">
        <f t="shared" si="58"/>
        <v>0.61111111111111116</v>
      </c>
      <c r="Z169" s="32">
        <f t="shared" si="59"/>
        <v>0.66666666666666663</v>
      </c>
      <c r="AA169">
        <f>step3_validation[[#This Row],[AI_FAC1]]</f>
        <v>8</v>
      </c>
      <c r="AB169">
        <f t="shared" si="60"/>
        <v>0.77777777777777779</v>
      </c>
      <c r="AC169">
        <f>survey_responses[[#This Row],[Các thủ tục khai báo thuế VÀ/HOẶC quy trình làm việc với cơ quan thuế đơn giản, tiện lợi, nhanh chóng hơn so với trước đây. - HUMAN-FAC1]]</f>
        <v>8</v>
      </c>
      <c r="AD169">
        <f t="shared" si="61"/>
        <v>0.77777777777777779</v>
      </c>
      <c r="AE169">
        <f>step3_validation[[#This Row],[AI_FAC2]]</f>
        <v>9</v>
      </c>
      <c r="AF169">
        <f t="shared" si="62"/>
        <v>0.88888888888888884</v>
      </c>
      <c r="AG169">
        <f>survey_responses[[#This Row],[So với trước đây, tôi thấy cách tính thuế và các bậc thuế trong phương án mới đơn giản, dễ hiểu và dễ thực hiện hơn. - HUMAN-FAC2]]</f>
        <v>8</v>
      </c>
      <c r="AH169">
        <f t="shared" si="63"/>
        <v>0.77777777777777779</v>
      </c>
      <c r="AI169" s="32">
        <f t="shared" si="64"/>
        <v>0.83333333333333326</v>
      </c>
      <c r="AJ169" s="32">
        <f t="shared" si="65"/>
        <v>0.77777777777777779</v>
      </c>
      <c r="AK169">
        <f>step3_validation[[#This Row],[AI_TRU1]]</f>
        <v>8</v>
      </c>
      <c r="AL169">
        <f t="shared" si="66"/>
        <v>0.77777777777777779</v>
      </c>
      <c r="AM169">
        <f>survey_responses[[#This Row],[Tôi tin rằng Nhà nước, cơ quan thuế sẽ thực thi chính sách mới một cách khách quan, công tâm và đối xử bình đẳng với mọi người nộp thuế.  - HUMAN-TRU1]]</f>
        <v>7</v>
      </c>
      <c r="AN169">
        <f t="shared" si="67"/>
        <v>0.66666666666666663</v>
      </c>
      <c r="AO169">
        <f>step3_validation[[#This Row],[AI_TRU2]]</f>
        <v>9</v>
      </c>
      <c r="AP169">
        <f t="shared" si="68"/>
        <v>0.88888888888888884</v>
      </c>
      <c r="AQ169">
        <f>survey_responses[[#This Row],[Tôi thấy mức thuế tôi phải đóng theo phương án mới là công bằng (người thu nhập như tôi đóng mức này là hợp lý). - HUMAN-TRU2]]</f>
        <v>8</v>
      </c>
      <c r="AR169">
        <f t="shared" si="69"/>
        <v>0.77777777777777779</v>
      </c>
      <c r="AS169">
        <f>step3_validation[[#This Row],[AI_TRU3]]</f>
        <v>7</v>
      </c>
      <c r="AT169">
        <f t="shared" si="70"/>
        <v>0.66666666666666663</v>
      </c>
      <c r="AU169">
        <f>survey_responses[[#This Row],[Tôi tin tưởng số tiền thuế tôi đóng sẽ được Nhà nước sử dụng hiệu quả để cải thiện dịch vụ công (y tế, đường xá...). - HUMAN-TRU3]]</f>
        <v>8</v>
      </c>
      <c r="AV169">
        <f t="shared" si="71"/>
        <v>0.77777777777777779</v>
      </c>
      <c r="AW169">
        <f>step3_validation[[#This Row],[AI_TRU4]]</f>
        <v>8</v>
      </c>
      <c r="AX169">
        <f t="shared" si="72"/>
        <v>0.77777777777777779</v>
      </c>
      <c r="AY169">
        <f>survey_responses[[#This Row],[Tôi thấy Nhà nước đã giải thích rõ ràng, minh bạch về lý do và mục tiêu của việc sửa đổi thuế lần này. - HUMAN-TRU4]]</f>
        <v>8</v>
      </c>
      <c r="AZ169">
        <f t="shared" si="73"/>
        <v>0.77777777777777779</v>
      </c>
      <c r="BA169" s="32">
        <f t="shared" si="74"/>
        <v>0.77777777777777768</v>
      </c>
      <c r="BB169" s="32">
        <f t="shared" si="75"/>
        <v>0.75</v>
      </c>
      <c r="BC169" s="7">
        <f t="shared" si="76"/>
        <v>0.74074074074074081</v>
      </c>
      <c r="BD169" s="7">
        <f t="shared" si="77"/>
        <v>0.73148148148148151</v>
      </c>
      <c r="BE169">
        <f>step3_validation[[#This Row],[AI_OUT1]]</f>
        <v>9</v>
      </c>
      <c r="BF169">
        <f t="shared" si="78"/>
        <v>0.88888888888888884</v>
      </c>
      <c r="BG169">
        <f>survey_responses[[#This Row],[Sau khi xem xét các quyền lợi và nghĩa vụ, bạn có ủng hộ và tuân thủ chính sách mới hiện nay? - HUMAN-OUT1]]</f>
        <v>9</v>
      </c>
      <c r="BH169">
        <f t="shared" si="79"/>
        <v>0.88888888888888884</v>
      </c>
      <c r="BI169" s="32">
        <f t="shared" si="80"/>
        <v>0</v>
      </c>
    </row>
    <row r="170" spans="1:61" x14ac:dyDescent="0.45">
      <c r="A170" s="30">
        <f>step3_validation[[#This Row],[Persona_ID]]</f>
        <v>169</v>
      </c>
      <c r="B170" s="31">
        <f>step3_validation[[#This Row],[Used_Seed]]</f>
        <v>2159</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36.33258988407799</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9</v>
      </c>
      <c r="R170">
        <f t="shared" si="54"/>
        <v>0.88888888888888884</v>
      </c>
      <c r="S170">
        <f>survey_responses[[#This Row],[Tôi tin rằng với các quy định quản lý thuế hiện nay, hành vi gian lận hoặc trốn thuế sẽ dễ dàng bị phát hiện và xử lý nghiêm. - HUMAN-ENF1]]</f>
        <v>8</v>
      </c>
      <c r="T170">
        <f t="shared" si="55"/>
        <v>0.77777777777777779</v>
      </c>
      <c r="U170">
        <f>step3_validation[[#This Row],[AI_ENF2]]</f>
        <v>8</v>
      </c>
      <c r="V170">
        <f t="shared" si="56"/>
        <v>0.77777777777777779</v>
      </c>
      <c r="W170">
        <f>survey_responses[[#This Row],[Tôi tin rằng Nhà nước, cơ quan thuế có đủ khả năng và công nghệ để phát hiện, xử lý nghiêm các hành vi trốn thuế. - HUMAN-ENF2]]</f>
        <v>8</v>
      </c>
      <c r="X170">
        <f t="shared" si="57"/>
        <v>0.77777777777777779</v>
      </c>
      <c r="Y170" s="32">
        <f t="shared" si="58"/>
        <v>0.83333333333333326</v>
      </c>
      <c r="Z170" s="32">
        <f t="shared" si="59"/>
        <v>0.77777777777777779</v>
      </c>
      <c r="AA170">
        <f>step3_validation[[#This Row],[AI_FAC1]]</f>
        <v>9</v>
      </c>
      <c r="AB170">
        <f t="shared" si="60"/>
        <v>0.88888888888888884</v>
      </c>
      <c r="AC170">
        <f>survey_responses[[#This Row],[Các thủ tục khai báo thuế VÀ/HOẶC quy trình làm việc với cơ quan thuế đơn giản, tiện lợi, nhanh chóng hơn so với trước đây. - HUMAN-FAC1]]</f>
        <v>7</v>
      </c>
      <c r="AD170">
        <f t="shared" si="61"/>
        <v>0.66666666666666663</v>
      </c>
      <c r="AE170">
        <f>step3_validation[[#This Row],[AI_FAC2]]</f>
        <v>8</v>
      </c>
      <c r="AF170">
        <f t="shared" si="62"/>
        <v>0.77777777777777779</v>
      </c>
      <c r="AG170">
        <f>survey_responses[[#This Row],[So với trước đây, tôi thấy cách tính thuế và các bậc thuế trong phương án mới đơn giản, dễ hiểu và dễ thực hiện hơn. - HUMAN-FAC2]]</f>
        <v>8</v>
      </c>
      <c r="AH170">
        <f t="shared" si="63"/>
        <v>0.77777777777777779</v>
      </c>
      <c r="AI170" s="32">
        <f t="shared" si="64"/>
        <v>0.83333333333333326</v>
      </c>
      <c r="AJ170" s="32">
        <f t="shared" si="65"/>
        <v>0.72222222222222221</v>
      </c>
      <c r="AK170">
        <f>step3_validation[[#This Row],[AI_TRU1]]</f>
        <v>8</v>
      </c>
      <c r="AL170">
        <f t="shared" si="66"/>
        <v>0.77777777777777779</v>
      </c>
      <c r="AM170">
        <f>survey_responses[[#This Row],[Tôi tin rằng Nhà nước, cơ quan thuế sẽ thực thi chính sách mới một cách khách quan, công tâm và đối xử bình đẳng với mọi người nộp thuế.  - HUMAN-TRU1]]</f>
        <v>7</v>
      </c>
      <c r="AN170">
        <f t="shared" si="67"/>
        <v>0.66666666666666663</v>
      </c>
      <c r="AO170">
        <f>step3_validation[[#This Row],[AI_TRU2]]</f>
        <v>7</v>
      </c>
      <c r="AP170">
        <f t="shared" si="68"/>
        <v>0.66666666666666663</v>
      </c>
      <c r="AQ170">
        <f>survey_responses[[#This Row],[Tôi thấy mức thuế tôi phải đóng theo phương án mới là công bằng (người thu nhập như tôi đóng mức này là hợp lý). - HUMAN-TRU2]]</f>
        <v>7</v>
      </c>
      <c r="AR170">
        <f t="shared" si="69"/>
        <v>0.66666666666666663</v>
      </c>
      <c r="AS170">
        <f>step3_validation[[#This Row],[AI_TRU3]]</f>
        <v>8</v>
      </c>
      <c r="AT170">
        <f t="shared" si="70"/>
        <v>0.77777777777777779</v>
      </c>
      <c r="AU170">
        <f>survey_responses[[#This Row],[Tôi tin tưởng số tiền thuế tôi đóng sẽ được Nhà nước sử dụng hiệu quả để cải thiện dịch vụ công (y tế, đường xá...). - HUMAN-TRU3]]</f>
        <v>7</v>
      </c>
      <c r="AV170">
        <f t="shared" si="71"/>
        <v>0.66666666666666663</v>
      </c>
      <c r="AW170">
        <f>step3_validation[[#This Row],[AI_TRU4]]</f>
        <v>7</v>
      </c>
      <c r="AX170">
        <f t="shared" si="72"/>
        <v>0.66666666666666663</v>
      </c>
      <c r="AY170">
        <f>survey_responses[[#This Row],[Tôi thấy Nhà nước đã giải thích rõ ràng, minh bạch về lý do và mục tiêu của việc sửa đổi thuế lần này. - HUMAN-TRU4]]</f>
        <v>8</v>
      </c>
      <c r="AZ170">
        <f t="shared" si="73"/>
        <v>0.77777777777777779</v>
      </c>
      <c r="BA170" s="32">
        <f t="shared" si="74"/>
        <v>0.72222222222222221</v>
      </c>
      <c r="BB170" s="32">
        <f t="shared" si="75"/>
        <v>0.69444444444444442</v>
      </c>
      <c r="BC170" s="7">
        <f t="shared" si="76"/>
        <v>0.79629629629629628</v>
      </c>
      <c r="BD170" s="7">
        <f t="shared" si="77"/>
        <v>0.73148148148148151</v>
      </c>
      <c r="BE170">
        <f>step3_validation[[#This Row],[AI_OUT1]]</f>
        <v>9</v>
      </c>
      <c r="BF170">
        <f t="shared" si="78"/>
        <v>0.88888888888888884</v>
      </c>
      <c r="BG170">
        <f>survey_responses[[#This Row],[Sau khi xem xét các quyền lợi và nghĩa vụ, bạn có ủng hộ và tuân thủ chính sách mới hiện nay? - HUMAN-OUT1]]</f>
        <v>8</v>
      </c>
      <c r="BH170">
        <f t="shared" si="79"/>
        <v>0.77777777777777779</v>
      </c>
      <c r="BI170" s="32">
        <f t="shared" si="80"/>
        <v>1</v>
      </c>
    </row>
    <row r="171" spans="1:61" x14ac:dyDescent="0.45">
      <c r="A171" s="30">
        <f>step3_validation[[#This Row],[Persona_ID]]</f>
        <v>170</v>
      </c>
      <c r="B171" s="31">
        <f>step3_validation[[#This Row],[Used_Seed]]</f>
        <v>2160</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14.7876944821538</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7</v>
      </c>
      <c r="R171">
        <f t="shared" si="54"/>
        <v>0.66666666666666663</v>
      </c>
      <c r="S171">
        <f>survey_responses[[#This Row],[Tôi tin rằng với các quy định quản lý thuế hiện nay, hành vi gian lận hoặc trốn thuế sẽ dễ dàng bị phát hiện và xử lý nghiêm. - HUMAN-ENF1]]</f>
        <v>5</v>
      </c>
      <c r="T171">
        <f t="shared" si="55"/>
        <v>0.44444444444444442</v>
      </c>
      <c r="U171">
        <f>step3_validation[[#This Row],[AI_ENF2]]</f>
        <v>7</v>
      </c>
      <c r="V171">
        <f t="shared" si="56"/>
        <v>0.66666666666666663</v>
      </c>
      <c r="W171">
        <f>survey_responses[[#This Row],[Tôi tin rằng Nhà nước, cơ quan thuế có đủ khả năng và công nghệ để phát hiện, xử lý nghiêm các hành vi trốn thuế. - HUMAN-ENF2]]</f>
        <v>8</v>
      </c>
      <c r="X171">
        <f t="shared" si="57"/>
        <v>0.77777777777777779</v>
      </c>
      <c r="Y171" s="32">
        <f t="shared" si="58"/>
        <v>0.66666666666666663</v>
      </c>
      <c r="Z171" s="32">
        <f t="shared" si="59"/>
        <v>0.61111111111111116</v>
      </c>
      <c r="AA171">
        <f>step3_validation[[#This Row],[AI_FAC1]]</f>
        <v>9</v>
      </c>
      <c r="AB171">
        <f t="shared" si="60"/>
        <v>0.88888888888888884</v>
      </c>
      <c r="AC171">
        <f>survey_responses[[#This Row],[Các thủ tục khai báo thuế VÀ/HOẶC quy trình làm việc với cơ quan thuế đơn giản, tiện lợi, nhanh chóng hơn so với trước đây. - HUMAN-FAC1]]</f>
        <v>7</v>
      </c>
      <c r="AD171">
        <f t="shared" si="61"/>
        <v>0.66666666666666663</v>
      </c>
      <c r="AE171">
        <f>step3_validation[[#This Row],[AI_FAC2]]</f>
        <v>10</v>
      </c>
      <c r="AF171">
        <f t="shared" si="62"/>
        <v>1</v>
      </c>
      <c r="AG171">
        <f>survey_responses[[#This Row],[So với trước đây, tôi thấy cách tính thuế và các bậc thuế trong phương án mới đơn giản, dễ hiểu và dễ thực hiện hơn. - HUMAN-FAC2]]</f>
        <v>8</v>
      </c>
      <c r="AH171">
        <f t="shared" si="63"/>
        <v>0.77777777777777779</v>
      </c>
      <c r="AI171" s="32">
        <f t="shared" si="64"/>
        <v>0.94444444444444442</v>
      </c>
      <c r="AJ171" s="32">
        <f t="shared" si="65"/>
        <v>0.72222222222222221</v>
      </c>
      <c r="AK171">
        <f>step3_validation[[#This Row],[AI_TRU1]]</f>
        <v>8</v>
      </c>
      <c r="AL171">
        <f t="shared" si="66"/>
        <v>0.77777777777777779</v>
      </c>
      <c r="AM171">
        <f>survey_responses[[#This Row],[Tôi tin rằng Nhà nước, cơ quan thuế sẽ thực thi chính sách mới một cách khách quan, công tâm và đối xử bình đẳng với mọi người nộp thuế.  - HUMAN-TRU1]]</f>
        <v>1</v>
      </c>
      <c r="AN171">
        <f t="shared" si="67"/>
        <v>0</v>
      </c>
      <c r="AO171">
        <f>step3_validation[[#This Row],[AI_TRU2]]</f>
        <v>9</v>
      </c>
      <c r="AP171">
        <f t="shared" si="68"/>
        <v>0.88888888888888884</v>
      </c>
      <c r="AQ171">
        <f>survey_responses[[#This Row],[Tôi thấy mức thuế tôi phải đóng theo phương án mới là công bằng (người thu nhập như tôi đóng mức này là hợp lý). - HUMAN-TRU2]]</f>
        <v>2</v>
      </c>
      <c r="AR171">
        <f t="shared" si="69"/>
        <v>0.1111111111111111</v>
      </c>
      <c r="AS171">
        <f>step3_validation[[#This Row],[AI_TRU3]]</f>
        <v>8</v>
      </c>
      <c r="AT171">
        <f t="shared" si="70"/>
        <v>0.77777777777777779</v>
      </c>
      <c r="AU171">
        <f>survey_responses[[#This Row],[Tôi tin tưởng số tiền thuế tôi đóng sẽ được Nhà nước sử dụng hiệu quả để cải thiện dịch vụ công (y tế, đường xá...). - HUMAN-TRU3]]</f>
        <v>3</v>
      </c>
      <c r="AV171">
        <f t="shared" si="71"/>
        <v>0.22222222222222221</v>
      </c>
      <c r="AW171">
        <f>step3_validation[[#This Row],[AI_TRU4]]</f>
        <v>7</v>
      </c>
      <c r="AX171">
        <f t="shared" si="72"/>
        <v>0.66666666666666663</v>
      </c>
      <c r="AY171">
        <f>survey_responses[[#This Row],[Tôi thấy Nhà nước đã giải thích rõ ràng, minh bạch về lý do và mục tiêu của việc sửa đổi thuế lần này. - HUMAN-TRU4]]</f>
        <v>3</v>
      </c>
      <c r="AZ171">
        <f t="shared" si="73"/>
        <v>0.22222222222222221</v>
      </c>
      <c r="BA171" s="32">
        <f t="shared" si="74"/>
        <v>0.77777777777777768</v>
      </c>
      <c r="BB171" s="32">
        <f t="shared" si="75"/>
        <v>0.1388888888888889</v>
      </c>
      <c r="BC171" s="7">
        <f t="shared" si="76"/>
        <v>0.79629629629629628</v>
      </c>
      <c r="BD171" s="7">
        <f t="shared" si="77"/>
        <v>0.49074074074074076</v>
      </c>
      <c r="BE171">
        <f>step3_validation[[#This Row],[AI_OUT1]]</f>
        <v>9</v>
      </c>
      <c r="BF171">
        <f t="shared" si="78"/>
        <v>0.88888888888888884</v>
      </c>
      <c r="BG171">
        <f>survey_responses[[#This Row],[Sau khi xem xét các quyền lợi và nghĩa vụ, bạn có ủng hộ và tuân thủ chính sách mới hiện nay? - HUMAN-OUT1]]</f>
        <v>7</v>
      </c>
      <c r="BH171">
        <f t="shared" si="79"/>
        <v>0.66666666666666663</v>
      </c>
      <c r="BI171" s="32">
        <f t="shared" si="80"/>
        <v>2</v>
      </c>
    </row>
    <row r="172" spans="1:61" x14ac:dyDescent="0.45">
      <c r="A172" s="30">
        <f>step3_validation[[#This Row],[Persona_ID]]</f>
        <v>171</v>
      </c>
      <c r="B172" s="31">
        <f>step3_validation[[#This Row],[Used_Seed]]</f>
        <v>2161</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9</v>
      </c>
      <c r="R172">
        <f t="shared" si="54"/>
        <v>0.88888888888888884</v>
      </c>
      <c r="S172">
        <f>survey_responses[[#This Row],[Tôi tin rằng với các quy định quản lý thuế hiện nay, hành vi gian lận hoặc trốn thuế sẽ dễ dàng bị phát hiện và xử lý nghiêm. - HUMAN-ENF1]]</f>
        <v>6</v>
      </c>
      <c r="T172">
        <f t="shared" si="55"/>
        <v>0.55555555555555558</v>
      </c>
      <c r="U172">
        <f>step3_validation[[#This Row],[AI_ENF2]]</f>
        <v>8</v>
      </c>
      <c r="V172">
        <f t="shared" si="56"/>
        <v>0.77777777777777779</v>
      </c>
      <c r="W172">
        <f>survey_responses[[#This Row],[Tôi tin rằng Nhà nước, cơ quan thuế có đủ khả năng và công nghệ để phát hiện, xử lý nghiêm các hành vi trốn thuế. - HUMAN-ENF2]]</f>
        <v>7</v>
      </c>
      <c r="X172">
        <f t="shared" si="57"/>
        <v>0.66666666666666663</v>
      </c>
      <c r="Y172" s="32">
        <f t="shared" si="58"/>
        <v>0.83333333333333326</v>
      </c>
      <c r="Z172" s="32">
        <f t="shared" si="59"/>
        <v>0.61111111111111116</v>
      </c>
      <c r="AA172">
        <f>step3_validation[[#This Row],[AI_FAC1]]</f>
        <v>9</v>
      </c>
      <c r="AB172">
        <f t="shared" si="60"/>
        <v>0.88888888888888884</v>
      </c>
      <c r="AC172">
        <f>survey_responses[[#This Row],[Các thủ tục khai báo thuế VÀ/HOẶC quy trình làm việc với cơ quan thuế đơn giản, tiện lợi, nhanh chóng hơn so với trước đây. - HUMAN-FAC1]]</f>
        <v>5</v>
      </c>
      <c r="AD172">
        <f t="shared" si="61"/>
        <v>0.44444444444444442</v>
      </c>
      <c r="AE172">
        <f>step3_validation[[#This Row],[AI_FAC2]]</f>
        <v>8</v>
      </c>
      <c r="AF172">
        <f t="shared" si="62"/>
        <v>0.77777777777777779</v>
      </c>
      <c r="AG172">
        <f>survey_responses[[#This Row],[So với trước đây, tôi thấy cách tính thuế và các bậc thuế trong phương án mới đơn giản, dễ hiểu và dễ thực hiện hơn. - HUMAN-FAC2]]</f>
        <v>7</v>
      </c>
      <c r="AH172">
        <f t="shared" si="63"/>
        <v>0.66666666666666663</v>
      </c>
      <c r="AI172" s="32">
        <f t="shared" si="64"/>
        <v>0.83333333333333326</v>
      </c>
      <c r="AJ172" s="32">
        <f t="shared" si="65"/>
        <v>0.55555555555555558</v>
      </c>
      <c r="AK172">
        <f>step3_validation[[#This Row],[AI_TRU1]]</f>
        <v>9</v>
      </c>
      <c r="AL172">
        <f t="shared" si="66"/>
        <v>0.88888888888888884</v>
      </c>
      <c r="AM172">
        <f>survey_responses[[#This Row],[Tôi tin rằng Nhà nước, cơ quan thuế sẽ thực thi chính sách mới một cách khách quan, công tâm và đối xử bình đẳng với mọi người nộp thuế.  - HUMAN-TRU1]]</f>
        <v>7</v>
      </c>
      <c r="AN172">
        <f t="shared" si="67"/>
        <v>0.66666666666666663</v>
      </c>
      <c r="AO172">
        <f>step3_validation[[#This Row],[AI_TRU2]]</f>
        <v>8</v>
      </c>
      <c r="AP172">
        <f t="shared" si="68"/>
        <v>0.77777777777777779</v>
      </c>
      <c r="AQ172">
        <f>survey_responses[[#This Row],[Tôi thấy mức thuế tôi phải đóng theo phương án mới là công bằng (người thu nhập như tôi đóng mức này là hợp lý). - HUMAN-TRU2]]</f>
        <v>7</v>
      </c>
      <c r="AR172">
        <f t="shared" si="69"/>
        <v>0.66666666666666663</v>
      </c>
      <c r="AS172">
        <f>step3_validation[[#This Row],[AI_TRU3]]</f>
        <v>9</v>
      </c>
      <c r="AT172">
        <f t="shared" si="70"/>
        <v>0.88888888888888884</v>
      </c>
      <c r="AU172">
        <f>survey_responses[[#This Row],[Tôi tin tưởng số tiền thuế tôi đóng sẽ được Nhà nước sử dụng hiệu quả để cải thiện dịch vụ công (y tế, đường xá...). - HUMAN-TRU3]]</f>
        <v>5</v>
      </c>
      <c r="AV172">
        <f t="shared" si="71"/>
        <v>0.44444444444444442</v>
      </c>
      <c r="AW172">
        <f>step3_validation[[#This Row],[AI_TRU4]]</f>
        <v>8</v>
      </c>
      <c r="AX172">
        <f t="shared" si="72"/>
        <v>0.77777777777777779</v>
      </c>
      <c r="AY172">
        <f>survey_responses[[#This Row],[Tôi thấy Nhà nước đã giải thích rõ ràng, minh bạch về lý do và mục tiêu của việc sửa đổi thuế lần này. - HUMAN-TRU4]]</f>
        <v>7</v>
      </c>
      <c r="AZ172">
        <f t="shared" si="73"/>
        <v>0.66666666666666663</v>
      </c>
      <c r="BA172" s="32">
        <f t="shared" si="74"/>
        <v>0.83333333333333326</v>
      </c>
      <c r="BB172" s="32">
        <f t="shared" si="75"/>
        <v>0.61111111111111105</v>
      </c>
      <c r="BC172" s="7">
        <f t="shared" si="76"/>
        <v>0.83333333333333337</v>
      </c>
      <c r="BD172" s="7">
        <f t="shared" si="77"/>
        <v>0.59259259259259256</v>
      </c>
      <c r="BE172">
        <f>step3_validation[[#This Row],[AI_OUT1]]</f>
        <v>9</v>
      </c>
      <c r="BF172">
        <f t="shared" si="78"/>
        <v>0.88888888888888884</v>
      </c>
      <c r="BG172">
        <f>survey_responses[[#This Row],[Sau khi xem xét các quyền lợi và nghĩa vụ, bạn có ủng hộ và tuân thủ chính sách mới hiện nay? - HUMAN-OUT1]]</f>
        <v>7</v>
      </c>
      <c r="BH172">
        <f t="shared" si="79"/>
        <v>0.66666666666666663</v>
      </c>
      <c r="BI172" s="32">
        <f t="shared" si="80"/>
        <v>2</v>
      </c>
    </row>
    <row r="173" spans="1:61" x14ac:dyDescent="0.45">
      <c r="A173" s="30">
        <f>step3_validation[[#This Row],[Persona_ID]]</f>
        <v>172</v>
      </c>
      <c r="B173" s="31">
        <f>step3_validation[[#This Row],[Used_Seed]]</f>
        <v>2162</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158.49332291542495</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7</v>
      </c>
      <c r="R173">
        <f t="shared" si="54"/>
        <v>0.66666666666666663</v>
      </c>
      <c r="S173">
        <f>survey_responses[[#This Row],[Tôi tin rằng với các quy định quản lý thuế hiện nay, hành vi gian lận hoặc trốn thuế sẽ dễ dàng bị phát hiện và xử lý nghiêm. - HUMAN-ENF1]]</f>
        <v>8</v>
      </c>
      <c r="T173">
        <f t="shared" si="55"/>
        <v>0.77777777777777779</v>
      </c>
      <c r="U173">
        <f>step3_validation[[#This Row],[AI_ENF2]]</f>
        <v>8</v>
      </c>
      <c r="V173">
        <f t="shared" si="56"/>
        <v>0.77777777777777779</v>
      </c>
      <c r="W173">
        <f>survey_responses[[#This Row],[Tôi tin rằng Nhà nước, cơ quan thuế có đủ khả năng và công nghệ để phát hiện, xử lý nghiêm các hành vi trốn thuế. - HUMAN-ENF2]]</f>
        <v>8</v>
      </c>
      <c r="X173">
        <f t="shared" si="57"/>
        <v>0.77777777777777779</v>
      </c>
      <c r="Y173" s="32">
        <f t="shared" si="58"/>
        <v>0.72222222222222221</v>
      </c>
      <c r="Z173" s="32">
        <f t="shared" si="59"/>
        <v>0.77777777777777779</v>
      </c>
      <c r="AA173">
        <f>step3_validation[[#This Row],[AI_FAC1]]</f>
        <v>7</v>
      </c>
      <c r="AB173">
        <f t="shared" si="60"/>
        <v>0.66666666666666663</v>
      </c>
      <c r="AC173">
        <f>survey_responses[[#This Row],[Các thủ tục khai báo thuế VÀ/HOẶC quy trình làm việc với cơ quan thuế đơn giản, tiện lợi, nhanh chóng hơn so với trước đây. - HUMAN-FAC1]]</f>
        <v>8</v>
      </c>
      <c r="AD173">
        <f t="shared" si="61"/>
        <v>0.77777777777777779</v>
      </c>
      <c r="AE173">
        <f>step3_validation[[#This Row],[AI_FAC2]]</f>
        <v>9</v>
      </c>
      <c r="AF173">
        <f t="shared" si="62"/>
        <v>0.88888888888888884</v>
      </c>
      <c r="AG173">
        <f>survey_responses[[#This Row],[So với trước đây, tôi thấy cách tính thuế và các bậc thuế trong phương án mới đơn giản, dễ hiểu và dễ thực hiện hơn. - HUMAN-FAC2]]</f>
        <v>9</v>
      </c>
      <c r="AH173">
        <f t="shared" si="63"/>
        <v>0.88888888888888884</v>
      </c>
      <c r="AI173" s="32">
        <f t="shared" si="64"/>
        <v>0.77777777777777768</v>
      </c>
      <c r="AJ173" s="32">
        <f t="shared" si="65"/>
        <v>0.83333333333333326</v>
      </c>
      <c r="AK173">
        <f>step3_validation[[#This Row],[AI_TRU1]]</f>
        <v>8</v>
      </c>
      <c r="AL173">
        <f t="shared" si="66"/>
        <v>0.77777777777777779</v>
      </c>
      <c r="AM173">
        <f>survey_responses[[#This Row],[Tôi tin rằng Nhà nước, cơ quan thuế sẽ thực thi chính sách mới một cách khách quan, công tâm và đối xử bình đẳng với mọi người nộp thuế.  - HUMAN-TRU1]]</f>
        <v>9</v>
      </c>
      <c r="AN173">
        <f t="shared" si="67"/>
        <v>0.88888888888888884</v>
      </c>
      <c r="AO173">
        <f>step3_validation[[#This Row],[AI_TRU2]]</f>
        <v>7</v>
      </c>
      <c r="AP173">
        <f t="shared" si="68"/>
        <v>0.66666666666666663</v>
      </c>
      <c r="AQ173">
        <f>survey_responses[[#This Row],[Tôi thấy mức thuế tôi phải đóng theo phương án mới là công bằng (người thu nhập như tôi đóng mức này là hợp lý). - HUMAN-TRU2]]</f>
        <v>5</v>
      </c>
      <c r="AR173">
        <f t="shared" si="69"/>
        <v>0.44444444444444442</v>
      </c>
      <c r="AS173">
        <f>step3_validation[[#This Row],[AI_TRU3]]</f>
        <v>8</v>
      </c>
      <c r="AT173">
        <f t="shared" si="70"/>
        <v>0.77777777777777779</v>
      </c>
      <c r="AU173">
        <f>survey_responses[[#This Row],[Tôi tin tưởng số tiền thuế tôi đóng sẽ được Nhà nước sử dụng hiệu quả để cải thiện dịch vụ công (y tế, đường xá...). - HUMAN-TRU3]]</f>
        <v>5</v>
      </c>
      <c r="AV173">
        <f t="shared" si="71"/>
        <v>0.44444444444444442</v>
      </c>
      <c r="AW173">
        <f>step3_validation[[#This Row],[AI_TRU4]]</f>
        <v>6</v>
      </c>
      <c r="AX173">
        <f t="shared" si="72"/>
        <v>0.55555555555555558</v>
      </c>
      <c r="AY173">
        <f>survey_responses[[#This Row],[Tôi thấy Nhà nước đã giải thích rõ ràng, minh bạch về lý do và mục tiêu của việc sửa đổi thuế lần này. - HUMAN-TRU4]]</f>
        <v>8</v>
      </c>
      <c r="AZ173">
        <f t="shared" si="73"/>
        <v>0.77777777777777779</v>
      </c>
      <c r="BA173" s="32">
        <f t="shared" si="74"/>
        <v>0.69444444444444442</v>
      </c>
      <c r="BB173" s="32">
        <f t="shared" si="75"/>
        <v>0.63888888888888884</v>
      </c>
      <c r="BC173" s="7">
        <f t="shared" si="76"/>
        <v>0.73148148148148151</v>
      </c>
      <c r="BD173" s="7">
        <f t="shared" si="77"/>
        <v>0.75</v>
      </c>
      <c r="BE173">
        <f>step3_validation[[#This Row],[AI_OUT1]]</f>
        <v>8</v>
      </c>
      <c r="BF173">
        <f t="shared" si="78"/>
        <v>0.77777777777777779</v>
      </c>
      <c r="BG173">
        <f>survey_responses[[#This Row],[Sau khi xem xét các quyền lợi và nghĩa vụ, bạn có ủng hộ và tuân thủ chính sách mới hiện nay? - HUMAN-OUT1]]</f>
        <v>6</v>
      </c>
      <c r="BH173">
        <f t="shared" si="79"/>
        <v>0.55555555555555558</v>
      </c>
      <c r="BI173" s="32">
        <f t="shared" si="80"/>
        <v>2</v>
      </c>
    </row>
    <row r="174" spans="1:61" x14ac:dyDescent="0.45">
      <c r="A174" s="30">
        <f>step3_validation[[#This Row],[Persona_ID]]</f>
        <v>173</v>
      </c>
      <c r="B174" s="31">
        <f>step3_validation[[#This Row],[Used_Seed]]</f>
        <v>2163</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94.736136471286372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f t="shared" si="54"/>
        <v>0.66666666666666663</v>
      </c>
      <c r="S174">
        <f>survey_responses[[#This Row],[Tôi tin rằng với các quy định quản lý thuế hiện nay, hành vi gian lận hoặc trốn thuế sẽ dễ dàng bị phát hiện và xử lý nghiêm. - HUMAN-ENF1]]</f>
        <v>5</v>
      </c>
      <c r="T174">
        <f t="shared" si="55"/>
        <v>0.44444444444444442</v>
      </c>
      <c r="U174">
        <f>step3_validation[[#This Row],[AI_ENF2]]</f>
        <v>8</v>
      </c>
      <c r="V174">
        <f t="shared" si="56"/>
        <v>0.77777777777777779</v>
      </c>
      <c r="W174">
        <f>survey_responses[[#This Row],[Tôi tin rằng Nhà nước, cơ quan thuế có đủ khả năng và công nghệ để phát hiện, xử lý nghiêm các hành vi trốn thuế. - HUMAN-ENF2]]</f>
        <v>5</v>
      </c>
      <c r="X174">
        <f t="shared" si="57"/>
        <v>0.44444444444444442</v>
      </c>
      <c r="Y174" s="32">
        <f t="shared" si="58"/>
        <v>0.72222222222222221</v>
      </c>
      <c r="Z174" s="32">
        <f t="shared" si="59"/>
        <v>0.44444444444444442</v>
      </c>
      <c r="AA174">
        <f>step3_validation[[#This Row],[AI_FAC1]]</f>
        <v>9</v>
      </c>
      <c r="AB174">
        <f t="shared" si="60"/>
        <v>0.88888888888888884</v>
      </c>
      <c r="AC174">
        <f>survey_responses[[#This Row],[Các thủ tục khai báo thuế VÀ/HOẶC quy trình làm việc với cơ quan thuế đơn giản, tiện lợi, nhanh chóng hơn so với trước đây. - HUMAN-FAC1]]</f>
        <v>4</v>
      </c>
      <c r="AD174">
        <f t="shared" si="61"/>
        <v>0.33333333333333331</v>
      </c>
      <c r="AE174">
        <f>step3_validation[[#This Row],[AI_FAC2]]</f>
        <v>9</v>
      </c>
      <c r="AF174">
        <f t="shared" si="62"/>
        <v>0.88888888888888884</v>
      </c>
      <c r="AG174">
        <f>survey_responses[[#This Row],[So với trước đây, tôi thấy cách tính thuế và các bậc thuế trong phương án mới đơn giản, dễ hiểu và dễ thực hiện hơn. - HUMAN-FAC2]]</f>
        <v>6</v>
      </c>
      <c r="AH174">
        <f t="shared" si="63"/>
        <v>0.55555555555555558</v>
      </c>
      <c r="AI174" s="32">
        <f t="shared" si="64"/>
        <v>0.88888888888888884</v>
      </c>
      <c r="AJ174" s="32">
        <f t="shared" si="65"/>
        <v>0.44444444444444442</v>
      </c>
      <c r="AK174">
        <f>step3_validation[[#This Row],[AI_TRU1]]</f>
        <v>8</v>
      </c>
      <c r="AL174">
        <f t="shared" si="66"/>
        <v>0.77777777777777779</v>
      </c>
      <c r="AM174">
        <f>survey_responses[[#This Row],[Tôi tin rằng Nhà nước, cơ quan thuế sẽ thực thi chính sách mới một cách khách quan, công tâm và đối xử bình đẳng với mọi người nộp thuế.  - HUMAN-TRU1]]</f>
        <v>5</v>
      </c>
      <c r="AN174">
        <f t="shared" si="67"/>
        <v>0.44444444444444442</v>
      </c>
      <c r="AO174">
        <f>step3_validation[[#This Row],[AI_TRU2]]</f>
        <v>9</v>
      </c>
      <c r="AP174">
        <f t="shared" si="68"/>
        <v>0.88888888888888884</v>
      </c>
      <c r="AQ174">
        <f>survey_responses[[#This Row],[Tôi thấy mức thuế tôi phải đóng theo phương án mới là công bằng (người thu nhập như tôi đóng mức này là hợp lý). - HUMAN-TRU2]]</f>
        <v>4</v>
      </c>
      <c r="AR174">
        <f t="shared" si="69"/>
        <v>0.33333333333333331</v>
      </c>
      <c r="AS174">
        <f>step3_validation[[#This Row],[AI_TRU3]]</f>
        <v>8</v>
      </c>
      <c r="AT174">
        <f t="shared" si="70"/>
        <v>0.77777777777777779</v>
      </c>
      <c r="AU174">
        <f>survey_responses[[#This Row],[Tôi tin tưởng số tiền thuế tôi đóng sẽ được Nhà nước sử dụng hiệu quả để cải thiện dịch vụ công (y tế, đường xá...). - HUMAN-TRU3]]</f>
        <v>4</v>
      </c>
      <c r="AV174">
        <f t="shared" si="71"/>
        <v>0.33333333333333331</v>
      </c>
      <c r="AW174">
        <f>step3_validation[[#This Row],[AI_TRU4]]</f>
        <v>7</v>
      </c>
      <c r="AX174">
        <f t="shared" si="72"/>
        <v>0.66666666666666663</v>
      </c>
      <c r="AY174">
        <f>survey_responses[[#This Row],[Tôi thấy Nhà nước đã giải thích rõ ràng, minh bạch về lý do và mục tiêu của việc sửa đổi thuế lần này. - HUMAN-TRU4]]</f>
        <v>5</v>
      </c>
      <c r="AZ174">
        <f t="shared" si="73"/>
        <v>0.44444444444444442</v>
      </c>
      <c r="BA174" s="32">
        <f t="shared" si="74"/>
        <v>0.77777777777777768</v>
      </c>
      <c r="BB174" s="32">
        <f t="shared" si="75"/>
        <v>0.38888888888888884</v>
      </c>
      <c r="BC174" s="7">
        <f t="shared" si="76"/>
        <v>0.79629629629629628</v>
      </c>
      <c r="BD174" s="7">
        <f t="shared" si="77"/>
        <v>0.42592592592592587</v>
      </c>
      <c r="BE174">
        <f>step3_validation[[#This Row],[AI_OUT1]]</f>
        <v>9</v>
      </c>
      <c r="BF174">
        <f t="shared" si="78"/>
        <v>0.88888888888888884</v>
      </c>
      <c r="BG174">
        <f>survey_responses[[#This Row],[Sau khi xem xét các quyền lợi và nghĩa vụ, bạn có ủng hộ và tuân thủ chính sách mới hiện nay? - HUMAN-OUT1]]</f>
        <v>5</v>
      </c>
      <c r="BH174">
        <f t="shared" si="79"/>
        <v>0.44444444444444442</v>
      </c>
      <c r="BI174" s="32">
        <f t="shared" si="80"/>
        <v>4</v>
      </c>
    </row>
    <row r="175" spans="1:61" x14ac:dyDescent="0.45">
      <c r="A175" s="30">
        <f>step3_validation[[#This Row],[Persona_ID]]</f>
        <v>174</v>
      </c>
      <c r="B175" s="31">
        <f>step3_validation[[#This Row],[Used_Seed]]</f>
        <v>2164</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37.205813411436509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f t="shared" si="54"/>
        <v>0.66666666666666663</v>
      </c>
      <c r="S175">
        <f>survey_responses[[#This Row],[Tôi tin rằng với các quy định quản lý thuế hiện nay, hành vi gian lận hoặc trốn thuế sẽ dễ dàng bị phát hiện và xử lý nghiêm. - HUMAN-ENF1]]</f>
        <v>6</v>
      </c>
      <c r="T175">
        <f t="shared" si="55"/>
        <v>0.55555555555555558</v>
      </c>
      <c r="U175">
        <f>step3_validation[[#This Row],[AI_ENF2]]</f>
        <v>8</v>
      </c>
      <c r="V175">
        <f t="shared" si="56"/>
        <v>0.77777777777777779</v>
      </c>
      <c r="W175">
        <f>survey_responses[[#This Row],[Tôi tin rằng Nhà nước, cơ quan thuế có đủ khả năng và công nghệ để phát hiện, xử lý nghiêm các hành vi trốn thuế. - HUMAN-ENF2]]</f>
        <v>6</v>
      </c>
      <c r="X175">
        <f t="shared" si="57"/>
        <v>0.55555555555555558</v>
      </c>
      <c r="Y175" s="32">
        <f t="shared" si="58"/>
        <v>0.72222222222222221</v>
      </c>
      <c r="Z175" s="32">
        <f t="shared" si="59"/>
        <v>0.55555555555555558</v>
      </c>
      <c r="AA175">
        <f>step3_validation[[#This Row],[AI_FAC1]]</f>
        <v>6</v>
      </c>
      <c r="AB175">
        <f t="shared" si="60"/>
        <v>0.55555555555555558</v>
      </c>
      <c r="AC175">
        <f>survey_responses[[#This Row],[Các thủ tục khai báo thuế VÀ/HOẶC quy trình làm việc với cơ quan thuế đơn giản, tiện lợi, nhanh chóng hơn so với trước đây. - HUMAN-FAC1]]</f>
        <v>6</v>
      </c>
      <c r="AD175">
        <f t="shared" si="61"/>
        <v>0.55555555555555558</v>
      </c>
      <c r="AE175">
        <f>step3_validation[[#This Row],[AI_FAC2]]</f>
        <v>9</v>
      </c>
      <c r="AF175">
        <f t="shared" si="62"/>
        <v>0.88888888888888884</v>
      </c>
      <c r="AG175">
        <f>survey_responses[[#This Row],[So với trước đây, tôi thấy cách tính thuế và các bậc thuế trong phương án mới đơn giản, dễ hiểu và dễ thực hiện hơn. - HUMAN-FAC2]]</f>
        <v>6</v>
      </c>
      <c r="AH175">
        <f t="shared" si="63"/>
        <v>0.55555555555555558</v>
      </c>
      <c r="AI175" s="32">
        <f t="shared" si="64"/>
        <v>0.72222222222222221</v>
      </c>
      <c r="AJ175" s="32">
        <f t="shared" si="65"/>
        <v>0.55555555555555558</v>
      </c>
      <c r="AK175">
        <f>step3_validation[[#This Row],[AI_TRU1]]</f>
        <v>7</v>
      </c>
      <c r="AL175">
        <f t="shared" si="66"/>
        <v>0.66666666666666663</v>
      </c>
      <c r="AM175">
        <f>survey_responses[[#This Row],[Tôi tin rằng Nhà nước, cơ quan thuế sẽ thực thi chính sách mới một cách khách quan, công tâm và đối xử bình đẳng với mọi người nộp thuế.  - HUMAN-TRU1]]</f>
        <v>7</v>
      </c>
      <c r="AN175">
        <f t="shared" si="67"/>
        <v>0.66666666666666663</v>
      </c>
      <c r="AO175">
        <f>step3_validation[[#This Row],[AI_TRU2]]</f>
        <v>9</v>
      </c>
      <c r="AP175">
        <f t="shared" si="68"/>
        <v>0.88888888888888884</v>
      </c>
      <c r="AQ175">
        <f>survey_responses[[#This Row],[Tôi thấy mức thuế tôi phải đóng theo phương án mới là công bằng (người thu nhập như tôi đóng mức này là hợp lý). - HUMAN-TRU2]]</f>
        <v>7</v>
      </c>
      <c r="AR175">
        <f t="shared" si="69"/>
        <v>0.66666666666666663</v>
      </c>
      <c r="AS175">
        <f>step3_validation[[#This Row],[AI_TRU3]]</f>
        <v>8</v>
      </c>
      <c r="AT175">
        <f t="shared" si="70"/>
        <v>0.77777777777777779</v>
      </c>
      <c r="AU175">
        <f>survey_responses[[#This Row],[Tôi tin tưởng số tiền thuế tôi đóng sẽ được Nhà nước sử dụng hiệu quả để cải thiện dịch vụ công (y tế, đường xá...). - HUMAN-TRU3]]</f>
        <v>5</v>
      </c>
      <c r="AV175">
        <f t="shared" si="71"/>
        <v>0.44444444444444442</v>
      </c>
      <c r="AW175">
        <f>step3_validation[[#This Row],[AI_TRU4]]</f>
        <v>7</v>
      </c>
      <c r="AX175">
        <f t="shared" si="72"/>
        <v>0.66666666666666663</v>
      </c>
      <c r="AY175">
        <f>survey_responses[[#This Row],[Tôi thấy Nhà nước đã giải thích rõ ràng, minh bạch về lý do và mục tiêu của việc sửa đổi thuế lần này. - HUMAN-TRU4]]</f>
        <v>7</v>
      </c>
      <c r="AZ175">
        <f t="shared" si="73"/>
        <v>0.66666666666666663</v>
      </c>
      <c r="BA175" s="32">
        <f t="shared" si="74"/>
        <v>0.74999999999999989</v>
      </c>
      <c r="BB175" s="32">
        <f t="shared" si="75"/>
        <v>0.61111111111111105</v>
      </c>
      <c r="BC175" s="7">
        <f t="shared" si="76"/>
        <v>0.7314814814814814</v>
      </c>
      <c r="BD175" s="7">
        <f t="shared" si="77"/>
        <v>0.57407407407407407</v>
      </c>
      <c r="BE175">
        <f>step3_validation[[#This Row],[AI_OUT1]]</f>
        <v>9</v>
      </c>
      <c r="BF175">
        <f t="shared" si="78"/>
        <v>0.88888888888888884</v>
      </c>
      <c r="BG175">
        <f>survey_responses[[#This Row],[Sau khi xem xét các quyền lợi và nghĩa vụ, bạn có ủng hộ và tuân thủ chính sách mới hiện nay? - HUMAN-OUT1]]</f>
        <v>6</v>
      </c>
      <c r="BH175">
        <f t="shared" si="79"/>
        <v>0.55555555555555558</v>
      </c>
      <c r="BI175" s="32">
        <f t="shared" si="80"/>
        <v>3</v>
      </c>
    </row>
    <row r="176" spans="1:61" x14ac:dyDescent="0.45">
      <c r="A176" s="30">
        <f>step3_validation[[#This Row],[Persona_ID]]</f>
        <v>175</v>
      </c>
      <c r="B176" s="31">
        <f>step3_validation[[#This Row],[Used_Seed]]</f>
        <v>2165</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222.43464984005288</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f t="shared" si="54"/>
        <v>0.77777777777777779</v>
      </c>
      <c r="S176">
        <f>survey_responses[[#This Row],[Tôi tin rằng với các quy định quản lý thuế hiện nay, hành vi gian lận hoặc trốn thuế sẽ dễ dàng bị phát hiện và xử lý nghiêm. - HUMAN-ENF1]]</f>
        <v>4</v>
      </c>
      <c r="T176">
        <f t="shared" si="55"/>
        <v>0.33333333333333331</v>
      </c>
      <c r="U176">
        <f>step3_validation[[#This Row],[AI_ENF2]]</f>
        <v>9</v>
      </c>
      <c r="V176">
        <f t="shared" si="56"/>
        <v>0.88888888888888884</v>
      </c>
      <c r="W176">
        <f>survey_responses[[#This Row],[Tôi tin rằng Nhà nước, cơ quan thuế có đủ khả năng và công nghệ để phát hiện, xử lý nghiêm các hành vi trốn thuế. - HUMAN-ENF2]]</f>
        <v>5</v>
      </c>
      <c r="X176">
        <f t="shared" si="57"/>
        <v>0.44444444444444442</v>
      </c>
      <c r="Y176" s="32">
        <f t="shared" si="58"/>
        <v>0.83333333333333326</v>
      </c>
      <c r="Z176" s="32">
        <f t="shared" si="59"/>
        <v>0.38888888888888884</v>
      </c>
      <c r="AA176">
        <f>step3_validation[[#This Row],[AI_FAC1]]</f>
        <v>8</v>
      </c>
      <c r="AB176">
        <f t="shared" si="60"/>
        <v>0.77777777777777779</v>
      </c>
      <c r="AC176">
        <f>survey_responses[[#This Row],[Các thủ tục khai báo thuế VÀ/HOẶC quy trình làm việc với cơ quan thuế đơn giản, tiện lợi, nhanh chóng hơn so với trước đây. - HUMAN-FAC1]]</f>
        <v>4</v>
      </c>
      <c r="AD176">
        <f t="shared" si="61"/>
        <v>0.33333333333333331</v>
      </c>
      <c r="AE176">
        <f>step3_validation[[#This Row],[AI_FAC2]]</f>
        <v>9</v>
      </c>
      <c r="AF176">
        <f t="shared" si="62"/>
        <v>0.88888888888888884</v>
      </c>
      <c r="AG176">
        <f>survey_responses[[#This Row],[So với trước đây, tôi thấy cách tính thuế và các bậc thuế trong phương án mới đơn giản, dễ hiểu và dễ thực hiện hơn. - HUMAN-FAC2]]</f>
        <v>6</v>
      </c>
      <c r="AH176">
        <f t="shared" si="63"/>
        <v>0.55555555555555558</v>
      </c>
      <c r="AI176" s="32">
        <f t="shared" si="64"/>
        <v>0.83333333333333326</v>
      </c>
      <c r="AJ176" s="32">
        <f t="shared" si="65"/>
        <v>0.44444444444444442</v>
      </c>
      <c r="AK176">
        <f>step3_validation[[#This Row],[AI_TRU1]]</f>
        <v>8</v>
      </c>
      <c r="AL176">
        <f t="shared" si="66"/>
        <v>0.77777777777777779</v>
      </c>
      <c r="AM176">
        <f>survey_responses[[#This Row],[Tôi tin rằng Nhà nước, cơ quan thuế sẽ thực thi chính sách mới một cách khách quan, công tâm và đối xử bình đẳng với mọi người nộp thuế.  - HUMAN-TRU1]]</f>
        <v>4</v>
      </c>
      <c r="AN176">
        <f t="shared" si="67"/>
        <v>0.33333333333333331</v>
      </c>
      <c r="AO176">
        <f>step3_validation[[#This Row],[AI_TRU2]]</f>
        <v>9</v>
      </c>
      <c r="AP176">
        <f t="shared" si="68"/>
        <v>0.88888888888888884</v>
      </c>
      <c r="AQ176">
        <f>survey_responses[[#This Row],[Tôi thấy mức thuế tôi phải đóng theo phương án mới là công bằng (người thu nhập như tôi đóng mức này là hợp lý). - HUMAN-TRU2]]</f>
        <v>4</v>
      </c>
      <c r="AR176">
        <f t="shared" si="69"/>
        <v>0.33333333333333331</v>
      </c>
      <c r="AS176">
        <f>step3_validation[[#This Row],[AI_TRU3]]</f>
        <v>8</v>
      </c>
      <c r="AT176">
        <f t="shared" si="70"/>
        <v>0.77777777777777779</v>
      </c>
      <c r="AU176">
        <f>survey_responses[[#This Row],[Tôi tin tưởng số tiền thuế tôi đóng sẽ được Nhà nước sử dụng hiệu quả để cải thiện dịch vụ công (y tế, đường xá...). - HUMAN-TRU3]]</f>
        <v>4</v>
      </c>
      <c r="AV176">
        <f t="shared" si="71"/>
        <v>0.33333333333333331</v>
      </c>
      <c r="AW176">
        <f>step3_validation[[#This Row],[AI_TRU4]]</f>
        <v>9</v>
      </c>
      <c r="AX176">
        <f t="shared" si="72"/>
        <v>0.88888888888888884</v>
      </c>
      <c r="AY176">
        <f>survey_responses[[#This Row],[Tôi thấy Nhà nước đã giải thích rõ ràng, minh bạch về lý do và mục tiêu của việc sửa đổi thuế lần này. - HUMAN-TRU4]]</f>
        <v>5</v>
      </c>
      <c r="AZ176">
        <f t="shared" si="73"/>
        <v>0.44444444444444442</v>
      </c>
      <c r="BA176" s="32">
        <f t="shared" si="74"/>
        <v>0.83333333333333326</v>
      </c>
      <c r="BB176" s="32">
        <f t="shared" si="75"/>
        <v>0.3611111111111111</v>
      </c>
      <c r="BC176" s="7">
        <f t="shared" si="76"/>
        <v>0.83333333333333337</v>
      </c>
      <c r="BD176" s="7">
        <f t="shared" si="77"/>
        <v>0.39814814814814814</v>
      </c>
      <c r="BE176">
        <f>step3_validation[[#This Row],[AI_OUT1]]</f>
        <v>10</v>
      </c>
      <c r="BF176">
        <f t="shared" si="78"/>
        <v>1</v>
      </c>
      <c r="BG176">
        <f>survey_responses[[#This Row],[Sau khi xem xét các quyền lợi và nghĩa vụ, bạn có ủng hộ và tuân thủ chính sách mới hiện nay? - HUMAN-OUT1]]</f>
        <v>4</v>
      </c>
      <c r="BH176">
        <f t="shared" si="79"/>
        <v>0.33333333333333331</v>
      </c>
      <c r="BI176" s="32">
        <f t="shared" si="80"/>
        <v>6</v>
      </c>
    </row>
    <row r="177" spans="1:61" x14ac:dyDescent="0.45">
      <c r="A177" s="30">
        <f>step3_validation[[#This Row],[Persona_ID]]</f>
        <v>176</v>
      </c>
      <c r="B177" s="31">
        <f>step3_validation[[#This Row],[Used_Seed]]</f>
        <v>2166</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147.16493116898454</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6</v>
      </c>
      <c r="R177">
        <f t="shared" si="54"/>
        <v>0.55555555555555558</v>
      </c>
      <c r="S177">
        <f>survey_responses[[#This Row],[Tôi tin rằng với các quy định quản lý thuế hiện nay, hành vi gian lận hoặc trốn thuế sẽ dễ dàng bị phát hiện và xử lý nghiêm. - HUMAN-ENF1]]</f>
        <v>2</v>
      </c>
      <c r="T177">
        <f t="shared" si="55"/>
        <v>0.1111111111111111</v>
      </c>
      <c r="U177">
        <f>step3_validation[[#This Row],[AI_ENF2]]</f>
        <v>5</v>
      </c>
      <c r="V177">
        <f t="shared" si="56"/>
        <v>0.44444444444444442</v>
      </c>
      <c r="W177">
        <f>survey_responses[[#This Row],[Tôi tin rằng Nhà nước, cơ quan thuế có đủ khả năng và công nghệ để phát hiện, xử lý nghiêm các hành vi trốn thuế. - HUMAN-ENF2]]</f>
        <v>4</v>
      </c>
      <c r="X177">
        <f t="shared" si="57"/>
        <v>0.33333333333333331</v>
      </c>
      <c r="Y177" s="32">
        <f t="shared" si="58"/>
        <v>0.5</v>
      </c>
      <c r="Z177" s="32">
        <f t="shared" si="59"/>
        <v>0.22222222222222221</v>
      </c>
      <c r="AA177">
        <f>step3_validation[[#This Row],[AI_FAC1]]</f>
        <v>8</v>
      </c>
      <c r="AB177">
        <f t="shared" si="60"/>
        <v>0.77777777777777779</v>
      </c>
      <c r="AC177">
        <f>survey_responses[[#This Row],[Các thủ tục khai báo thuế VÀ/HOẶC quy trình làm việc với cơ quan thuế đơn giản, tiện lợi, nhanh chóng hơn so với trước đây. - HUMAN-FAC1]]</f>
        <v>3</v>
      </c>
      <c r="AD177">
        <f t="shared" si="61"/>
        <v>0.22222222222222221</v>
      </c>
      <c r="AE177">
        <f>step3_validation[[#This Row],[AI_FAC2]]</f>
        <v>7</v>
      </c>
      <c r="AF177">
        <f t="shared" si="62"/>
        <v>0.66666666666666663</v>
      </c>
      <c r="AG177">
        <f>survey_responses[[#This Row],[So với trước đây, tôi thấy cách tính thuế và các bậc thuế trong phương án mới đơn giản, dễ hiểu và dễ thực hiện hơn. - HUMAN-FAC2]]</f>
        <v>5</v>
      </c>
      <c r="AH177">
        <f t="shared" si="63"/>
        <v>0.44444444444444442</v>
      </c>
      <c r="AI177" s="32">
        <f t="shared" si="64"/>
        <v>0.72222222222222221</v>
      </c>
      <c r="AJ177" s="32">
        <f t="shared" si="65"/>
        <v>0.33333333333333331</v>
      </c>
      <c r="AK177">
        <f>step3_validation[[#This Row],[AI_TRU1]]</f>
        <v>9</v>
      </c>
      <c r="AL177">
        <f t="shared" si="66"/>
        <v>0.88888888888888884</v>
      </c>
      <c r="AM177">
        <f>survey_responses[[#This Row],[Tôi tin rằng Nhà nước, cơ quan thuế sẽ thực thi chính sách mới một cách khách quan, công tâm và đối xử bình đẳng với mọi người nộp thuế.  - HUMAN-TRU1]]</f>
        <v>4</v>
      </c>
      <c r="AN177">
        <f t="shared" si="67"/>
        <v>0.33333333333333331</v>
      </c>
      <c r="AO177">
        <f>step3_validation[[#This Row],[AI_TRU2]]</f>
        <v>8</v>
      </c>
      <c r="AP177">
        <f t="shared" si="68"/>
        <v>0.77777777777777779</v>
      </c>
      <c r="AQ177">
        <f>survey_responses[[#This Row],[Tôi thấy mức thuế tôi phải đóng theo phương án mới là công bằng (người thu nhập như tôi đóng mức này là hợp lý). - HUMAN-TRU2]]</f>
        <v>1</v>
      </c>
      <c r="AR177">
        <f t="shared" si="69"/>
        <v>0</v>
      </c>
      <c r="AS177">
        <f>step3_validation[[#This Row],[AI_TRU3]]</f>
        <v>9</v>
      </c>
      <c r="AT177">
        <f t="shared" si="70"/>
        <v>0.88888888888888884</v>
      </c>
      <c r="AU177">
        <f>survey_responses[[#This Row],[Tôi tin tưởng số tiền thuế tôi đóng sẽ được Nhà nước sử dụng hiệu quả để cải thiện dịch vụ công (y tế, đường xá...). - HUMAN-TRU3]]</f>
        <v>1</v>
      </c>
      <c r="AV177">
        <f t="shared" si="71"/>
        <v>0</v>
      </c>
      <c r="AW177">
        <f>step3_validation[[#This Row],[AI_TRU4]]</f>
        <v>7</v>
      </c>
      <c r="AX177">
        <f t="shared" si="72"/>
        <v>0.66666666666666663</v>
      </c>
      <c r="AY177">
        <f>survey_responses[[#This Row],[Tôi thấy Nhà nước đã giải thích rõ ràng, minh bạch về lý do và mục tiêu của việc sửa đổi thuế lần này. - HUMAN-TRU4]]</f>
        <v>4</v>
      </c>
      <c r="AZ177">
        <f t="shared" si="73"/>
        <v>0.33333333333333331</v>
      </c>
      <c r="BA177" s="32">
        <f t="shared" si="74"/>
        <v>0.80555555555555547</v>
      </c>
      <c r="BB177" s="32">
        <f t="shared" si="75"/>
        <v>0.16666666666666666</v>
      </c>
      <c r="BC177" s="7">
        <f t="shared" si="76"/>
        <v>0.67592592592592593</v>
      </c>
      <c r="BD177" s="7">
        <f t="shared" si="77"/>
        <v>0.24074074074074073</v>
      </c>
      <c r="BE177">
        <f>step3_validation[[#This Row],[AI_OUT1]]</f>
        <v>9</v>
      </c>
      <c r="BF177">
        <f t="shared" si="78"/>
        <v>0.88888888888888884</v>
      </c>
      <c r="BG177">
        <f>survey_responses[[#This Row],[Sau khi xem xét các quyền lợi và nghĩa vụ, bạn có ủng hộ và tuân thủ chính sách mới hiện nay? - HUMAN-OUT1]]</f>
        <v>4</v>
      </c>
      <c r="BH177">
        <f t="shared" si="79"/>
        <v>0.33333333333333331</v>
      </c>
      <c r="BI177" s="32">
        <f t="shared" si="80"/>
        <v>5</v>
      </c>
    </row>
    <row r="178" spans="1:61" x14ac:dyDescent="0.45">
      <c r="A178" s="30">
        <f>step3_validation[[#This Row],[Persona_ID]]</f>
        <v>177</v>
      </c>
      <c r="B178" s="31">
        <f>step3_validation[[#This Row],[Used_Seed]]</f>
        <v>2167</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96.316411587907751</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6</v>
      </c>
      <c r="R178">
        <f t="shared" si="54"/>
        <v>0.55555555555555558</v>
      </c>
      <c r="S178">
        <f>survey_responses[[#This Row],[Tôi tin rằng với các quy định quản lý thuế hiện nay, hành vi gian lận hoặc trốn thuế sẽ dễ dàng bị phát hiện và xử lý nghiêm. - HUMAN-ENF1]]</f>
        <v>4</v>
      </c>
      <c r="T178">
        <f t="shared" si="55"/>
        <v>0.33333333333333331</v>
      </c>
      <c r="U178">
        <f>step3_validation[[#This Row],[AI_ENF2]]</f>
        <v>7</v>
      </c>
      <c r="V178">
        <f t="shared" si="56"/>
        <v>0.66666666666666663</v>
      </c>
      <c r="W178">
        <f>survey_responses[[#This Row],[Tôi tin rằng Nhà nước, cơ quan thuế có đủ khả năng và công nghệ để phát hiện, xử lý nghiêm các hành vi trốn thuế. - HUMAN-ENF2]]</f>
        <v>4</v>
      </c>
      <c r="X178">
        <f t="shared" si="57"/>
        <v>0.33333333333333331</v>
      </c>
      <c r="Y178" s="32">
        <f t="shared" si="58"/>
        <v>0.61111111111111116</v>
      </c>
      <c r="Z178" s="32">
        <f t="shared" si="59"/>
        <v>0.33333333333333331</v>
      </c>
      <c r="AA178">
        <f>step3_validation[[#This Row],[AI_FAC1]]</f>
        <v>8</v>
      </c>
      <c r="AB178">
        <f t="shared" si="60"/>
        <v>0.77777777777777779</v>
      </c>
      <c r="AC178">
        <f>survey_responses[[#This Row],[Các thủ tục khai báo thuế VÀ/HOẶC quy trình làm việc với cơ quan thuế đơn giản, tiện lợi, nhanh chóng hơn so với trước đây. - HUMAN-FAC1]]</f>
        <v>3</v>
      </c>
      <c r="AD178">
        <f t="shared" si="61"/>
        <v>0.22222222222222221</v>
      </c>
      <c r="AE178">
        <f>step3_validation[[#This Row],[AI_FAC2]]</f>
        <v>9</v>
      </c>
      <c r="AF178">
        <f t="shared" si="62"/>
        <v>0.88888888888888884</v>
      </c>
      <c r="AG178">
        <f>survey_responses[[#This Row],[So với trước đây, tôi thấy cách tính thuế và các bậc thuế trong phương án mới đơn giản, dễ hiểu và dễ thực hiện hơn. - HUMAN-FAC2]]</f>
        <v>5</v>
      </c>
      <c r="AH178">
        <f t="shared" si="63"/>
        <v>0.44444444444444442</v>
      </c>
      <c r="AI178" s="32">
        <f t="shared" si="64"/>
        <v>0.83333333333333326</v>
      </c>
      <c r="AJ178" s="32">
        <f t="shared" si="65"/>
        <v>0.33333333333333331</v>
      </c>
      <c r="AK178">
        <f>step3_validation[[#This Row],[AI_TRU1]]</f>
        <v>7</v>
      </c>
      <c r="AL178">
        <f t="shared" si="66"/>
        <v>0.66666666666666663</v>
      </c>
      <c r="AM178">
        <f>survey_responses[[#This Row],[Tôi tin rằng Nhà nước, cơ quan thuế sẽ thực thi chính sách mới một cách khách quan, công tâm và đối xử bình đẳng với mọi người nộp thuế.  - HUMAN-TRU1]]</f>
        <v>3</v>
      </c>
      <c r="AN178">
        <f t="shared" si="67"/>
        <v>0.22222222222222221</v>
      </c>
      <c r="AO178">
        <f>step3_validation[[#This Row],[AI_TRU2]]</f>
        <v>9</v>
      </c>
      <c r="AP178">
        <f t="shared" si="68"/>
        <v>0.88888888888888884</v>
      </c>
      <c r="AQ178">
        <f>survey_responses[[#This Row],[Tôi thấy mức thuế tôi phải đóng theo phương án mới là công bằng (người thu nhập như tôi đóng mức này là hợp lý). - HUMAN-TRU2]]</f>
        <v>2</v>
      </c>
      <c r="AR178">
        <f t="shared" si="69"/>
        <v>0.1111111111111111</v>
      </c>
      <c r="AS178">
        <f>step3_validation[[#This Row],[AI_TRU3]]</f>
        <v>8</v>
      </c>
      <c r="AT178">
        <f t="shared" si="70"/>
        <v>0.77777777777777779</v>
      </c>
      <c r="AU178">
        <f>survey_responses[[#This Row],[Tôi tin tưởng số tiền thuế tôi đóng sẽ được Nhà nước sử dụng hiệu quả để cải thiện dịch vụ công (y tế, đường xá...). - HUMAN-TRU3]]</f>
        <v>1</v>
      </c>
      <c r="AV178">
        <f t="shared" si="71"/>
        <v>0</v>
      </c>
      <c r="AW178">
        <f>step3_validation[[#This Row],[AI_TRU4]]</f>
        <v>9</v>
      </c>
      <c r="AX178">
        <f t="shared" si="72"/>
        <v>0.88888888888888884</v>
      </c>
      <c r="AY178">
        <f>survey_responses[[#This Row],[Tôi thấy Nhà nước đã giải thích rõ ràng, minh bạch về lý do và mục tiêu của việc sửa đổi thuế lần này. - HUMAN-TRU4]]</f>
        <v>1</v>
      </c>
      <c r="AZ178">
        <f t="shared" si="73"/>
        <v>0</v>
      </c>
      <c r="BA178" s="32">
        <f t="shared" si="74"/>
        <v>0.80555555555555547</v>
      </c>
      <c r="BB178" s="32">
        <f t="shared" si="75"/>
        <v>8.3333333333333329E-2</v>
      </c>
      <c r="BC178" s="7">
        <f t="shared" si="76"/>
        <v>0.75</v>
      </c>
      <c r="BD178" s="7">
        <f t="shared" si="77"/>
        <v>0.25</v>
      </c>
      <c r="BE178">
        <f>step3_validation[[#This Row],[AI_OUT1]]</f>
        <v>8</v>
      </c>
      <c r="BF178">
        <f t="shared" si="78"/>
        <v>0.77777777777777779</v>
      </c>
      <c r="BG178">
        <f>survey_responses[[#This Row],[Sau khi xem xét các quyền lợi và nghĩa vụ, bạn có ủng hộ và tuân thủ chính sách mới hiện nay? - HUMAN-OUT1]]</f>
        <v>1</v>
      </c>
      <c r="BH178">
        <f t="shared" si="79"/>
        <v>0</v>
      </c>
      <c r="BI178" s="32">
        <f t="shared" si="80"/>
        <v>7</v>
      </c>
    </row>
    <row r="179" spans="1:61" x14ac:dyDescent="0.45">
      <c r="A179" s="30">
        <f>step3_validation[[#This Row],[Persona_ID]]</f>
        <v>178</v>
      </c>
      <c r="B179" s="31">
        <f>step3_validation[[#This Row],[Used_Seed]]</f>
        <v>2168</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39.72833427515674</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f t="shared" si="54"/>
        <v>0.55555555555555558</v>
      </c>
      <c r="S179">
        <f>survey_responses[[#This Row],[Tôi tin rằng với các quy định quản lý thuế hiện nay, hành vi gian lận hoặc trốn thuế sẽ dễ dàng bị phát hiện và xử lý nghiêm. - HUMAN-ENF1]]</f>
        <v>6</v>
      </c>
      <c r="T179">
        <f t="shared" si="55"/>
        <v>0.55555555555555558</v>
      </c>
      <c r="U179">
        <f>step3_validation[[#This Row],[AI_ENF2]]</f>
        <v>7</v>
      </c>
      <c r="V179">
        <f t="shared" si="56"/>
        <v>0.66666666666666663</v>
      </c>
      <c r="W179">
        <f>survey_responses[[#This Row],[Tôi tin rằng Nhà nước, cơ quan thuế có đủ khả năng và công nghệ để phát hiện, xử lý nghiêm các hành vi trốn thuế. - HUMAN-ENF2]]</f>
        <v>7</v>
      </c>
      <c r="X179">
        <f t="shared" si="57"/>
        <v>0.66666666666666663</v>
      </c>
      <c r="Y179" s="32">
        <f t="shared" si="58"/>
        <v>0.61111111111111116</v>
      </c>
      <c r="Z179" s="32">
        <f t="shared" si="59"/>
        <v>0.61111111111111116</v>
      </c>
      <c r="AA179">
        <f>step3_validation[[#This Row],[AI_FAC1]]</f>
        <v>9</v>
      </c>
      <c r="AB179">
        <f t="shared" si="60"/>
        <v>0.88888888888888884</v>
      </c>
      <c r="AC179">
        <f>survey_responses[[#This Row],[Các thủ tục khai báo thuế VÀ/HOẶC quy trình làm việc với cơ quan thuế đơn giản, tiện lợi, nhanh chóng hơn so với trước đây. - HUMAN-FAC1]]</f>
        <v>6</v>
      </c>
      <c r="AD179">
        <f t="shared" si="61"/>
        <v>0.55555555555555558</v>
      </c>
      <c r="AE179">
        <f>step3_validation[[#This Row],[AI_FAC2]]</f>
        <v>8</v>
      </c>
      <c r="AF179">
        <f t="shared" si="62"/>
        <v>0.77777777777777779</v>
      </c>
      <c r="AG179">
        <f>survey_responses[[#This Row],[So với trước đây, tôi thấy cách tính thuế và các bậc thuế trong phương án mới đơn giản, dễ hiểu và dễ thực hiện hơn. - HUMAN-FAC2]]</f>
        <v>6</v>
      </c>
      <c r="AH179">
        <f t="shared" si="63"/>
        <v>0.55555555555555558</v>
      </c>
      <c r="AI179" s="32">
        <f t="shared" si="64"/>
        <v>0.83333333333333326</v>
      </c>
      <c r="AJ179" s="32">
        <f t="shared" si="65"/>
        <v>0.55555555555555558</v>
      </c>
      <c r="AK179">
        <f>step3_validation[[#This Row],[AI_TRU1]]</f>
        <v>9</v>
      </c>
      <c r="AL179">
        <f t="shared" si="66"/>
        <v>0.88888888888888884</v>
      </c>
      <c r="AM179">
        <f>survey_responses[[#This Row],[Tôi tin rằng Nhà nước, cơ quan thuế sẽ thực thi chính sách mới một cách khách quan, công tâm và đối xử bình đẳng với mọi người nộp thuế.  - HUMAN-TRU1]]</f>
        <v>6</v>
      </c>
      <c r="AN179">
        <f t="shared" si="67"/>
        <v>0.55555555555555558</v>
      </c>
      <c r="AO179">
        <f>step3_validation[[#This Row],[AI_TRU2]]</f>
        <v>9</v>
      </c>
      <c r="AP179">
        <f t="shared" si="68"/>
        <v>0.88888888888888884</v>
      </c>
      <c r="AQ179">
        <f>survey_responses[[#This Row],[Tôi thấy mức thuế tôi phải đóng theo phương án mới là công bằng (người thu nhập như tôi đóng mức này là hợp lý). - HUMAN-TRU2]]</f>
        <v>7</v>
      </c>
      <c r="AR179">
        <f t="shared" si="69"/>
        <v>0.66666666666666663</v>
      </c>
      <c r="AS179">
        <f>step3_validation[[#This Row],[AI_TRU3]]</f>
        <v>8</v>
      </c>
      <c r="AT179">
        <f t="shared" si="70"/>
        <v>0.77777777777777779</v>
      </c>
      <c r="AU179">
        <f>survey_responses[[#This Row],[Tôi tin tưởng số tiền thuế tôi đóng sẽ được Nhà nước sử dụng hiệu quả để cải thiện dịch vụ công (y tế, đường xá...). - HUMAN-TRU3]]</f>
        <v>5</v>
      </c>
      <c r="AV179">
        <f t="shared" si="71"/>
        <v>0.44444444444444442</v>
      </c>
      <c r="AW179">
        <f>step3_validation[[#This Row],[AI_TRU4]]</f>
        <v>9</v>
      </c>
      <c r="AX179">
        <f t="shared" si="72"/>
        <v>0.88888888888888884</v>
      </c>
      <c r="AY179">
        <f>survey_responses[[#This Row],[Tôi thấy Nhà nước đã giải thích rõ ràng, minh bạch về lý do và mục tiêu của việc sửa đổi thuế lần này. - HUMAN-TRU4]]</f>
        <v>6</v>
      </c>
      <c r="AZ179">
        <f t="shared" si="73"/>
        <v>0.55555555555555558</v>
      </c>
      <c r="BA179" s="32">
        <f t="shared" si="74"/>
        <v>0.86111111111111105</v>
      </c>
      <c r="BB179" s="32">
        <f t="shared" si="75"/>
        <v>0.55555555555555558</v>
      </c>
      <c r="BC179" s="7">
        <f t="shared" si="76"/>
        <v>0.76851851851851849</v>
      </c>
      <c r="BD179" s="7">
        <f t="shared" si="77"/>
        <v>0.57407407407407407</v>
      </c>
      <c r="BE179">
        <f>step3_validation[[#This Row],[AI_OUT1]]</f>
        <v>8</v>
      </c>
      <c r="BF179">
        <f t="shared" si="78"/>
        <v>0.77777777777777779</v>
      </c>
      <c r="BG179">
        <f>survey_responses[[#This Row],[Sau khi xem xét các quyền lợi và nghĩa vụ, bạn có ủng hộ và tuân thủ chính sách mới hiện nay? - HUMAN-OUT1]]</f>
        <v>7</v>
      </c>
      <c r="BH179">
        <f t="shared" si="79"/>
        <v>0.66666666666666663</v>
      </c>
      <c r="BI179" s="32">
        <f t="shared" si="80"/>
        <v>1</v>
      </c>
    </row>
    <row r="180" spans="1:61" x14ac:dyDescent="0.45">
      <c r="A180" s="30">
        <f>step3_validation[[#This Row],[Persona_ID]]</f>
        <v>179</v>
      </c>
      <c r="B180" s="31">
        <f>step3_validation[[#This Row],[Used_Seed]]</f>
        <v>2169</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29.587478458911249</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f t="shared" si="54"/>
        <v>0.66666666666666663</v>
      </c>
      <c r="S180">
        <f>survey_responses[[#This Row],[Tôi tin rằng với các quy định quản lý thuế hiện nay, hành vi gian lận hoặc trốn thuế sẽ dễ dàng bị phát hiện và xử lý nghiêm. - HUMAN-ENF1]]</f>
        <v>7</v>
      </c>
      <c r="T180">
        <f t="shared" si="55"/>
        <v>0.66666666666666663</v>
      </c>
      <c r="U180">
        <f>step3_validation[[#This Row],[AI_ENF2]]</f>
        <v>6</v>
      </c>
      <c r="V180">
        <f t="shared" si="56"/>
        <v>0.55555555555555558</v>
      </c>
      <c r="W180">
        <f>survey_responses[[#This Row],[Tôi tin rằng Nhà nước, cơ quan thuế có đủ khả năng và công nghệ để phát hiện, xử lý nghiêm các hành vi trốn thuế. - HUMAN-ENF2]]</f>
        <v>7</v>
      </c>
      <c r="X180">
        <f t="shared" si="57"/>
        <v>0.66666666666666663</v>
      </c>
      <c r="Y180" s="32">
        <f t="shared" si="58"/>
        <v>0.61111111111111116</v>
      </c>
      <c r="Z180" s="32">
        <f t="shared" si="59"/>
        <v>0.66666666666666663</v>
      </c>
      <c r="AA180">
        <f>step3_validation[[#This Row],[AI_FAC1]]</f>
        <v>9</v>
      </c>
      <c r="AB180">
        <f t="shared" si="60"/>
        <v>0.88888888888888884</v>
      </c>
      <c r="AC180">
        <f>survey_responses[[#This Row],[Các thủ tục khai báo thuế VÀ/HOẶC quy trình làm việc với cơ quan thuế đơn giản, tiện lợi, nhanh chóng hơn so với trước đây. - HUMAN-FAC1]]</f>
        <v>7</v>
      </c>
      <c r="AD180">
        <f t="shared" si="61"/>
        <v>0.66666666666666663</v>
      </c>
      <c r="AE180">
        <f>step3_validation[[#This Row],[AI_FAC2]]</f>
        <v>8</v>
      </c>
      <c r="AF180">
        <f t="shared" si="62"/>
        <v>0.77777777777777779</v>
      </c>
      <c r="AG180">
        <f>survey_responses[[#This Row],[So với trước đây, tôi thấy cách tính thuế và các bậc thuế trong phương án mới đơn giản, dễ hiểu và dễ thực hiện hơn. - HUMAN-FAC2]]</f>
        <v>8</v>
      </c>
      <c r="AH180">
        <f t="shared" si="63"/>
        <v>0.77777777777777779</v>
      </c>
      <c r="AI180" s="32">
        <f t="shared" si="64"/>
        <v>0.83333333333333326</v>
      </c>
      <c r="AJ180" s="32">
        <f t="shared" si="65"/>
        <v>0.72222222222222221</v>
      </c>
      <c r="AK180">
        <f>step3_validation[[#This Row],[AI_TRU1]]</f>
        <v>6</v>
      </c>
      <c r="AL180">
        <f t="shared" si="66"/>
        <v>0.55555555555555558</v>
      </c>
      <c r="AM180">
        <f>survey_responses[[#This Row],[Tôi tin rằng Nhà nước, cơ quan thuế sẽ thực thi chính sách mới một cách khách quan, công tâm và đối xử bình đẳng với mọi người nộp thuế.  - HUMAN-TRU1]]</f>
        <v>7</v>
      </c>
      <c r="AN180">
        <f t="shared" si="67"/>
        <v>0.66666666666666663</v>
      </c>
      <c r="AO180">
        <f>step3_validation[[#This Row],[AI_TRU2]]</f>
        <v>8</v>
      </c>
      <c r="AP180">
        <f t="shared" si="68"/>
        <v>0.77777777777777779</v>
      </c>
      <c r="AQ180">
        <f>survey_responses[[#This Row],[Tôi thấy mức thuế tôi phải đóng theo phương án mới là công bằng (người thu nhập như tôi đóng mức này là hợp lý). - HUMAN-TRU2]]</f>
        <v>8</v>
      </c>
      <c r="AR180">
        <f t="shared" si="69"/>
        <v>0.77777777777777779</v>
      </c>
      <c r="AS180">
        <f>step3_validation[[#This Row],[AI_TRU3]]</f>
        <v>7</v>
      </c>
      <c r="AT180">
        <f t="shared" si="70"/>
        <v>0.66666666666666663</v>
      </c>
      <c r="AU180">
        <f>survey_responses[[#This Row],[Tôi tin tưởng số tiền thuế tôi đóng sẽ được Nhà nước sử dụng hiệu quả để cải thiện dịch vụ công (y tế, đường xá...). - HUMAN-TRU3]]</f>
        <v>7</v>
      </c>
      <c r="AV180">
        <f t="shared" si="71"/>
        <v>0.66666666666666663</v>
      </c>
      <c r="AW180">
        <f>step3_validation[[#This Row],[AI_TRU4]]</f>
        <v>5</v>
      </c>
      <c r="AX180">
        <f t="shared" si="72"/>
        <v>0.44444444444444442</v>
      </c>
      <c r="AY180">
        <f>survey_responses[[#This Row],[Tôi thấy Nhà nước đã giải thích rõ ràng, minh bạch về lý do và mục tiêu của việc sửa đổi thuế lần này. - HUMAN-TRU4]]</f>
        <v>7</v>
      </c>
      <c r="AZ180">
        <f t="shared" si="73"/>
        <v>0.66666666666666663</v>
      </c>
      <c r="BA180" s="32">
        <f t="shared" si="74"/>
        <v>0.61111111111111116</v>
      </c>
      <c r="BB180" s="32">
        <f t="shared" si="75"/>
        <v>0.69444444444444442</v>
      </c>
      <c r="BC180" s="7">
        <f t="shared" si="76"/>
        <v>0.68518518518518512</v>
      </c>
      <c r="BD180" s="7">
        <f t="shared" si="77"/>
        <v>0.69444444444444431</v>
      </c>
      <c r="BE180">
        <f>step3_validation[[#This Row],[AI_OUT1]]</f>
        <v>9</v>
      </c>
      <c r="BF180">
        <f t="shared" si="78"/>
        <v>0.88888888888888884</v>
      </c>
      <c r="BG180">
        <f>survey_responses[[#This Row],[Sau khi xem xét các quyền lợi và nghĩa vụ, bạn có ủng hộ và tuân thủ chính sách mới hiện nay? - HUMAN-OUT1]]</f>
        <v>8</v>
      </c>
      <c r="BH180">
        <f t="shared" si="79"/>
        <v>0.77777777777777779</v>
      </c>
      <c r="BI180" s="32">
        <f t="shared" si="80"/>
        <v>1</v>
      </c>
    </row>
    <row r="181" spans="1:61" x14ac:dyDescent="0.45">
      <c r="A181" s="30">
        <f>step3_validation[[#This Row],[Persona_ID]]</f>
        <v>180</v>
      </c>
      <c r="B181" s="31">
        <f>step3_validation[[#This Row],[Used_Seed]]</f>
        <v>2170</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57.142928137015538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f t="shared" si="54"/>
        <v>0.77777777777777779</v>
      </c>
      <c r="S181">
        <f>survey_responses[[#This Row],[Tôi tin rằng với các quy định quản lý thuế hiện nay, hành vi gian lận hoặc trốn thuế sẽ dễ dàng bị phát hiện và xử lý nghiêm. - HUMAN-ENF1]]</f>
        <v>5</v>
      </c>
      <c r="T181">
        <f t="shared" si="55"/>
        <v>0.44444444444444442</v>
      </c>
      <c r="U181">
        <f>step3_validation[[#This Row],[AI_ENF2]]</f>
        <v>9</v>
      </c>
      <c r="V181">
        <f t="shared" si="56"/>
        <v>0.88888888888888884</v>
      </c>
      <c r="W181">
        <f>survey_responses[[#This Row],[Tôi tin rằng Nhà nước, cơ quan thuế có đủ khả năng và công nghệ để phát hiện, xử lý nghiêm các hành vi trốn thuế. - HUMAN-ENF2]]</f>
        <v>5</v>
      </c>
      <c r="X181">
        <f t="shared" si="57"/>
        <v>0.44444444444444442</v>
      </c>
      <c r="Y181" s="32">
        <f t="shared" si="58"/>
        <v>0.83333333333333326</v>
      </c>
      <c r="Z181" s="32">
        <f t="shared" si="59"/>
        <v>0.44444444444444442</v>
      </c>
      <c r="AA181">
        <f>step3_validation[[#This Row],[AI_FAC1]]</f>
        <v>7</v>
      </c>
      <c r="AB181">
        <f t="shared" si="60"/>
        <v>0.66666666666666663</v>
      </c>
      <c r="AC181">
        <f>survey_responses[[#This Row],[Các thủ tục khai báo thuế VÀ/HOẶC quy trình làm việc với cơ quan thuế đơn giản, tiện lợi, nhanh chóng hơn so với trước đây. - HUMAN-FAC1]]</f>
        <v>5</v>
      </c>
      <c r="AD181">
        <f t="shared" si="61"/>
        <v>0.44444444444444442</v>
      </c>
      <c r="AE181">
        <f>step3_validation[[#This Row],[AI_FAC2]]</f>
        <v>9</v>
      </c>
      <c r="AF181">
        <f t="shared" si="62"/>
        <v>0.88888888888888884</v>
      </c>
      <c r="AG181">
        <f>survey_responses[[#This Row],[So với trước đây, tôi thấy cách tính thuế và các bậc thuế trong phương án mới đơn giản, dễ hiểu và dễ thực hiện hơn. - HUMAN-FAC2]]</f>
        <v>7</v>
      </c>
      <c r="AH181">
        <f t="shared" si="63"/>
        <v>0.66666666666666663</v>
      </c>
      <c r="AI181" s="32">
        <f t="shared" si="64"/>
        <v>0.77777777777777768</v>
      </c>
      <c r="AJ181" s="32">
        <f t="shared" si="65"/>
        <v>0.55555555555555558</v>
      </c>
      <c r="AK181">
        <f>step3_validation[[#This Row],[AI_TRU1]]</f>
        <v>8</v>
      </c>
      <c r="AL181">
        <f t="shared" si="66"/>
        <v>0.77777777777777779</v>
      </c>
      <c r="AM181">
        <f>survey_responses[[#This Row],[Tôi tin rằng Nhà nước, cơ quan thuế sẽ thực thi chính sách mới một cách khách quan, công tâm và đối xử bình đẳng với mọi người nộp thuế.  - HUMAN-TRU1]]</f>
        <v>5</v>
      </c>
      <c r="AN181">
        <f t="shared" si="67"/>
        <v>0.44444444444444442</v>
      </c>
      <c r="AO181">
        <f>step3_validation[[#This Row],[AI_TRU2]]</f>
        <v>9</v>
      </c>
      <c r="AP181">
        <f t="shared" si="68"/>
        <v>0.88888888888888884</v>
      </c>
      <c r="AQ181">
        <f>survey_responses[[#This Row],[Tôi thấy mức thuế tôi phải đóng theo phương án mới là công bằng (người thu nhập như tôi đóng mức này là hợp lý). - HUMAN-TRU2]]</f>
        <v>6</v>
      </c>
      <c r="AR181">
        <f t="shared" si="69"/>
        <v>0.55555555555555558</v>
      </c>
      <c r="AS181">
        <f>step3_validation[[#This Row],[AI_TRU3]]</f>
        <v>8</v>
      </c>
      <c r="AT181">
        <f t="shared" si="70"/>
        <v>0.77777777777777779</v>
      </c>
      <c r="AU181">
        <f>survey_responses[[#This Row],[Tôi tin tưởng số tiền thuế tôi đóng sẽ được Nhà nước sử dụng hiệu quả để cải thiện dịch vụ công (y tế, đường xá...). - HUMAN-TRU3]]</f>
        <v>5</v>
      </c>
      <c r="AV181">
        <f t="shared" si="71"/>
        <v>0.44444444444444442</v>
      </c>
      <c r="AW181">
        <f>step3_validation[[#This Row],[AI_TRU4]]</f>
        <v>9</v>
      </c>
      <c r="AX181">
        <f t="shared" si="72"/>
        <v>0.88888888888888884</v>
      </c>
      <c r="AY181">
        <f>survey_responses[[#This Row],[Tôi thấy Nhà nước đã giải thích rõ ràng, minh bạch về lý do và mục tiêu của việc sửa đổi thuế lần này. - HUMAN-TRU4]]</f>
        <v>7</v>
      </c>
      <c r="AZ181">
        <f t="shared" si="73"/>
        <v>0.66666666666666663</v>
      </c>
      <c r="BA181" s="32">
        <f t="shared" si="74"/>
        <v>0.83333333333333326</v>
      </c>
      <c r="BB181" s="32">
        <f t="shared" si="75"/>
        <v>0.52777777777777779</v>
      </c>
      <c r="BC181" s="7">
        <f t="shared" si="76"/>
        <v>0.81481481481481477</v>
      </c>
      <c r="BD181" s="7">
        <f t="shared" si="77"/>
        <v>0.50925925925925919</v>
      </c>
      <c r="BE181">
        <f>step3_validation[[#This Row],[AI_OUT1]]</f>
        <v>9</v>
      </c>
      <c r="BF181">
        <f t="shared" si="78"/>
        <v>0.88888888888888884</v>
      </c>
      <c r="BG181">
        <f>survey_responses[[#This Row],[Sau khi xem xét các quyền lợi và nghĩa vụ, bạn có ủng hộ và tuân thủ chính sách mới hiện nay? - HUMAN-OUT1]]</f>
        <v>7</v>
      </c>
      <c r="BH181">
        <f t="shared" si="79"/>
        <v>0.66666666666666663</v>
      </c>
      <c r="BI181" s="32">
        <f t="shared" si="80"/>
        <v>2</v>
      </c>
    </row>
    <row r="182" spans="1:61" x14ac:dyDescent="0.45">
      <c r="A182" s="30">
        <f>step3_validation[[#This Row],[Persona_ID]]</f>
        <v>181</v>
      </c>
      <c r="B182" s="31">
        <f>step3_validation[[#This Row],[Used_Seed]]</f>
        <v>2171</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59.561958120153506</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9</v>
      </c>
      <c r="R182">
        <f t="shared" si="54"/>
        <v>0.88888888888888884</v>
      </c>
      <c r="S182">
        <f>survey_responses[[#This Row],[Tôi tin rằng với các quy định quản lý thuế hiện nay, hành vi gian lận hoặc trốn thuế sẽ dễ dàng bị phát hiện và xử lý nghiêm. - HUMAN-ENF1]]</f>
        <v>6</v>
      </c>
      <c r="T182">
        <f t="shared" si="55"/>
        <v>0.55555555555555558</v>
      </c>
      <c r="U182">
        <f>step3_validation[[#This Row],[AI_ENF2]]</f>
        <v>8</v>
      </c>
      <c r="V182">
        <f t="shared" si="56"/>
        <v>0.77777777777777779</v>
      </c>
      <c r="W182">
        <f>survey_responses[[#This Row],[Tôi tin rằng Nhà nước, cơ quan thuế có đủ khả năng và công nghệ để phát hiện, xử lý nghiêm các hành vi trốn thuế. - HUMAN-ENF2]]</f>
        <v>7</v>
      </c>
      <c r="X182">
        <f t="shared" si="57"/>
        <v>0.66666666666666663</v>
      </c>
      <c r="Y182" s="32">
        <f t="shared" si="58"/>
        <v>0.83333333333333326</v>
      </c>
      <c r="Z182" s="32">
        <f t="shared" si="59"/>
        <v>0.61111111111111116</v>
      </c>
      <c r="AA182">
        <f>step3_validation[[#This Row],[AI_FAC1]]</f>
        <v>9</v>
      </c>
      <c r="AB182">
        <f t="shared" si="60"/>
        <v>0.88888888888888884</v>
      </c>
      <c r="AC182">
        <f>survey_responses[[#This Row],[Các thủ tục khai báo thuế VÀ/HOẶC quy trình làm việc với cơ quan thuế đơn giản, tiện lợi, nhanh chóng hơn so với trước đây. - HUMAN-FAC1]]</f>
        <v>7</v>
      </c>
      <c r="AD182">
        <f t="shared" si="61"/>
        <v>0.66666666666666663</v>
      </c>
      <c r="AE182">
        <f>step3_validation[[#This Row],[AI_FAC2]]</f>
        <v>8</v>
      </c>
      <c r="AF182">
        <f t="shared" si="62"/>
        <v>0.77777777777777779</v>
      </c>
      <c r="AG182">
        <f>survey_responses[[#This Row],[So với trước đây, tôi thấy cách tính thuế và các bậc thuế trong phương án mới đơn giản, dễ hiểu và dễ thực hiện hơn. - HUMAN-FAC2]]</f>
        <v>8</v>
      </c>
      <c r="AH182">
        <f t="shared" si="63"/>
        <v>0.77777777777777779</v>
      </c>
      <c r="AI182" s="32">
        <f t="shared" si="64"/>
        <v>0.83333333333333326</v>
      </c>
      <c r="AJ182" s="32">
        <f t="shared" si="65"/>
        <v>0.72222222222222221</v>
      </c>
      <c r="AK182">
        <f>step3_validation[[#This Row],[AI_TRU1]]</f>
        <v>9</v>
      </c>
      <c r="AL182">
        <f t="shared" si="66"/>
        <v>0.88888888888888884</v>
      </c>
      <c r="AM182">
        <f>survey_responses[[#This Row],[Tôi tin rằng Nhà nước, cơ quan thuế sẽ thực thi chính sách mới một cách khách quan, công tâm và đối xử bình đẳng với mọi người nộp thuế.  - HUMAN-TRU1]]</f>
        <v>8</v>
      </c>
      <c r="AN182">
        <f t="shared" si="67"/>
        <v>0.77777777777777779</v>
      </c>
      <c r="AO182">
        <f>step3_validation[[#This Row],[AI_TRU2]]</f>
        <v>8</v>
      </c>
      <c r="AP182">
        <f t="shared" si="68"/>
        <v>0.77777777777777779</v>
      </c>
      <c r="AQ182">
        <f>survey_responses[[#This Row],[Tôi thấy mức thuế tôi phải đóng theo phương án mới là công bằng (người thu nhập như tôi đóng mức này là hợp lý). - HUMAN-TRU2]]</f>
        <v>7</v>
      </c>
      <c r="AR182">
        <f t="shared" si="69"/>
        <v>0.66666666666666663</v>
      </c>
      <c r="AS182">
        <f>step3_validation[[#This Row],[AI_TRU3]]</f>
        <v>9</v>
      </c>
      <c r="AT182">
        <f t="shared" si="70"/>
        <v>0.88888888888888884</v>
      </c>
      <c r="AU182">
        <f>survey_responses[[#This Row],[Tôi tin tưởng số tiền thuế tôi đóng sẽ được Nhà nước sử dụng hiệu quả để cải thiện dịch vụ công (y tế, đường xá...). - HUMAN-TRU3]]</f>
        <v>5</v>
      </c>
      <c r="AV182">
        <f t="shared" si="71"/>
        <v>0.44444444444444442</v>
      </c>
      <c r="AW182">
        <f>step3_validation[[#This Row],[AI_TRU4]]</f>
        <v>8</v>
      </c>
      <c r="AX182">
        <f t="shared" si="72"/>
        <v>0.77777777777777779</v>
      </c>
      <c r="AY182">
        <f>survey_responses[[#This Row],[Tôi thấy Nhà nước đã giải thích rõ ràng, minh bạch về lý do và mục tiêu của việc sửa đổi thuế lần này. - HUMAN-TRU4]]</f>
        <v>7</v>
      </c>
      <c r="AZ182">
        <f t="shared" si="73"/>
        <v>0.66666666666666663</v>
      </c>
      <c r="BA182" s="32">
        <f t="shared" si="74"/>
        <v>0.83333333333333326</v>
      </c>
      <c r="BB182" s="32">
        <f t="shared" si="75"/>
        <v>0.63888888888888884</v>
      </c>
      <c r="BC182" s="7">
        <f t="shared" si="76"/>
        <v>0.83333333333333337</v>
      </c>
      <c r="BD182" s="7">
        <f t="shared" si="77"/>
        <v>0.65740740740740744</v>
      </c>
      <c r="BE182">
        <f>step3_validation[[#This Row],[AI_OUT1]]</f>
        <v>9</v>
      </c>
      <c r="BF182">
        <f t="shared" si="78"/>
        <v>0.88888888888888884</v>
      </c>
      <c r="BG182">
        <f>survey_responses[[#This Row],[Sau khi xem xét các quyền lợi và nghĩa vụ, bạn có ủng hộ và tuân thủ chính sách mới hiện nay? - HUMAN-OUT1]]</f>
        <v>7</v>
      </c>
      <c r="BH182">
        <f t="shared" si="79"/>
        <v>0.66666666666666663</v>
      </c>
      <c r="BI182" s="32">
        <f t="shared" si="80"/>
        <v>2</v>
      </c>
    </row>
    <row r="183" spans="1:61" x14ac:dyDescent="0.45">
      <c r="A183" s="30">
        <f>step3_validation[[#This Row],[Persona_ID]]</f>
        <v>182</v>
      </c>
      <c r="B183" s="31">
        <f>step3_validation[[#This Row],[Used_Seed]]</f>
        <v>2172</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26.225603420690188</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f t="shared" si="54"/>
        <v>0.66666666666666663</v>
      </c>
      <c r="S183">
        <f>survey_responses[[#This Row],[Tôi tin rằng với các quy định quản lý thuế hiện nay, hành vi gian lận hoặc trốn thuế sẽ dễ dàng bị phát hiện và xử lý nghiêm. - HUMAN-ENF1]]</f>
        <v>8</v>
      </c>
      <c r="T183">
        <f t="shared" si="55"/>
        <v>0.77777777777777779</v>
      </c>
      <c r="U183">
        <f>step3_validation[[#This Row],[AI_ENF2]]</f>
        <v>6</v>
      </c>
      <c r="V183">
        <f t="shared" si="56"/>
        <v>0.55555555555555558</v>
      </c>
      <c r="W183">
        <f>survey_responses[[#This Row],[Tôi tin rằng Nhà nước, cơ quan thuế có đủ khả năng và công nghệ để phát hiện, xử lý nghiêm các hành vi trốn thuế. - HUMAN-ENF2]]</f>
        <v>8</v>
      </c>
      <c r="X183">
        <f t="shared" si="57"/>
        <v>0.77777777777777779</v>
      </c>
      <c r="Y183" s="32">
        <f t="shared" si="58"/>
        <v>0.61111111111111116</v>
      </c>
      <c r="Z183" s="32">
        <f t="shared" si="59"/>
        <v>0.77777777777777779</v>
      </c>
      <c r="AA183">
        <f>step3_validation[[#This Row],[AI_FAC1]]</f>
        <v>8</v>
      </c>
      <c r="AB183">
        <f t="shared" si="60"/>
        <v>0.77777777777777779</v>
      </c>
      <c r="AC183">
        <f>survey_responses[[#This Row],[Các thủ tục khai báo thuế VÀ/HOẶC quy trình làm việc với cơ quan thuế đơn giản, tiện lợi, nhanh chóng hơn so với trước đây. - HUMAN-FAC1]]</f>
        <v>5</v>
      </c>
      <c r="AD183">
        <f t="shared" si="61"/>
        <v>0.44444444444444442</v>
      </c>
      <c r="AE183">
        <f>step3_validation[[#This Row],[AI_FAC2]]</f>
        <v>9</v>
      </c>
      <c r="AF183">
        <f t="shared" si="62"/>
        <v>0.88888888888888884</v>
      </c>
      <c r="AG183">
        <f>survey_responses[[#This Row],[So với trước đây, tôi thấy cách tính thuế và các bậc thuế trong phương án mới đơn giản, dễ hiểu và dễ thực hiện hơn. - HUMAN-FAC2]]</f>
        <v>8</v>
      </c>
      <c r="AH183">
        <f t="shared" si="63"/>
        <v>0.77777777777777779</v>
      </c>
      <c r="AI183" s="32">
        <f t="shared" si="64"/>
        <v>0.83333333333333326</v>
      </c>
      <c r="AJ183" s="32">
        <f t="shared" si="65"/>
        <v>0.61111111111111116</v>
      </c>
      <c r="AK183">
        <f>step3_validation[[#This Row],[AI_TRU1]]</f>
        <v>7</v>
      </c>
      <c r="AL183">
        <f t="shared" si="66"/>
        <v>0.66666666666666663</v>
      </c>
      <c r="AM183">
        <f>survey_responses[[#This Row],[Tôi tin rằng Nhà nước, cơ quan thuế sẽ thực thi chính sách mới một cách khách quan, công tâm và đối xử bình đẳng với mọi người nộp thuế.  - HUMAN-TRU1]]</f>
        <v>6</v>
      </c>
      <c r="AN183">
        <f t="shared" si="67"/>
        <v>0.55555555555555558</v>
      </c>
      <c r="AO183">
        <f>step3_validation[[#This Row],[AI_TRU2]]</f>
        <v>9</v>
      </c>
      <c r="AP183">
        <f t="shared" si="68"/>
        <v>0.88888888888888884</v>
      </c>
      <c r="AQ183">
        <f>survey_responses[[#This Row],[Tôi thấy mức thuế tôi phải đóng theo phương án mới là công bằng (người thu nhập như tôi đóng mức này là hợp lý). - HUMAN-TRU2]]</f>
        <v>8</v>
      </c>
      <c r="AR183">
        <f t="shared" si="69"/>
        <v>0.77777777777777779</v>
      </c>
      <c r="AS183">
        <f>step3_validation[[#This Row],[AI_TRU3]]</f>
        <v>7</v>
      </c>
      <c r="AT183">
        <f t="shared" si="70"/>
        <v>0.66666666666666663</v>
      </c>
      <c r="AU183">
        <f>survey_responses[[#This Row],[Tôi tin tưởng số tiền thuế tôi đóng sẽ được Nhà nước sử dụng hiệu quả để cải thiện dịch vụ công (y tế, đường xá...). - HUMAN-TRU3]]</f>
        <v>6</v>
      </c>
      <c r="AV183">
        <f t="shared" si="71"/>
        <v>0.55555555555555558</v>
      </c>
      <c r="AW183">
        <f>step3_validation[[#This Row],[AI_TRU4]]</f>
        <v>8</v>
      </c>
      <c r="AX183">
        <f t="shared" si="72"/>
        <v>0.77777777777777779</v>
      </c>
      <c r="AY183">
        <f>survey_responses[[#This Row],[Tôi thấy Nhà nước đã giải thích rõ ràng, minh bạch về lý do và mục tiêu của việc sửa đổi thuế lần này. - HUMAN-TRU4]]</f>
        <v>7</v>
      </c>
      <c r="AZ183">
        <f t="shared" si="73"/>
        <v>0.66666666666666663</v>
      </c>
      <c r="BA183" s="32">
        <f t="shared" si="74"/>
        <v>0.74999999999999989</v>
      </c>
      <c r="BB183" s="32">
        <f t="shared" si="75"/>
        <v>0.63888888888888895</v>
      </c>
      <c r="BC183" s="7">
        <f t="shared" si="76"/>
        <v>0.7314814814814814</v>
      </c>
      <c r="BD183" s="7">
        <f t="shared" si="77"/>
        <v>0.67592592592592593</v>
      </c>
      <c r="BE183">
        <f>step3_validation[[#This Row],[AI_OUT1]]</f>
        <v>9</v>
      </c>
      <c r="BF183">
        <f t="shared" si="78"/>
        <v>0.88888888888888884</v>
      </c>
      <c r="BG183">
        <f>survey_responses[[#This Row],[Sau khi xem xét các quyền lợi và nghĩa vụ, bạn có ủng hộ và tuân thủ chính sách mới hiện nay? - HUMAN-OUT1]]</f>
        <v>7</v>
      </c>
      <c r="BH183">
        <f t="shared" si="79"/>
        <v>0.66666666666666663</v>
      </c>
      <c r="BI183" s="32">
        <f t="shared" si="80"/>
        <v>2</v>
      </c>
    </row>
    <row r="184" spans="1:61" x14ac:dyDescent="0.45">
      <c r="A184" s="30">
        <f>step3_validation[[#This Row],[Persona_ID]]</f>
        <v>183</v>
      </c>
      <c r="B184" s="31">
        <f>step3_validation[[#This Row],[Used_Seed]]</f>
        <v>2173</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204.3397578818587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8</v>
      </c>
      <c r="R184">
        <f t="shared" si="54"/>
        <v>0.77777777777777779</v>
      </c>
      <c r="S184">
        <f>survey_responses[[#This Row],[Tôi tin rằng với các quy định quản lý thuế hiện nay, hành vi gian lận hoặc trốn thuế sẽ dễ dàng bị phát hiện và xử lý nghiêm. - HUMAN-ENF1]]</f>
        <v>2</v>
      </c>
      <c r="T184">
        <f t="shared" si="55"/>
        <v>0.1111111111111111</v>
      </c>
      <c r="U184">
        <f>step3_validation[[#This Row],[AI_ENF2]]</f>
        <v>9</v>
      </c>
      <c r="V184">
        <f t="shared" si="56"/>
        <v>0.88888888888888884</v>
      </c>
      <c r="W184">
        <f>survey_responses[[#This Row],[Tôi tin rằng Nhà nước, cơ quan thuế có đủ khả năng và công nghệ để phát hiện, xử lý nghiêm các hành vi trốn thuế. - HUMAN-ENF2]]</f>
        <v>5</v>
      </c>
      <c r="X184">
        <f t="shared" si="57"/>
        <v>0.44444444444444442</v>
      </c>
      <c r="Y184" s="32">
        <f t="shared" si="58"/>
        <v>0.83333333333333326</v>
      </c>
      <c r="Z184" s="32">
        <f t="shared" si="59"/>
        <v>0.27777777777777779</v>
      </c>
      <c r="AA184">
        <f>step3_validation[[#This Row],[AI_FAC1]]</f>
        <v>8</v>
      </c>
      <c r="AB184">
        <f t="shared" si="60"/>
        <v>0.77777777777777779</v>
      </c>
      <c r="AC184">
        <f>survey_responses[[#This Row],[Các thủ tục khai báo thuế VÀ/HOẶC quy trình làm việc với cơ quan thuế đơn giản, tiện lợi, nhanh chóng hơn so với trước đây. - HUMAN-FAC1]]</f>
        <v>3</v>
      </c>
      <c r="AD184">
        <f t="shared" si="61"/>
        <v>0.22222222222222221</v>
      </c>
      <c r="AE184">
        <f>step3_validation[[#This Row],[AI_FAC2]]</f>
        <v>9</v>
      </c>
      <c r="AF184">
        <f t="shared" si="62"/>
        <v>0.88888888888888884</v>
      </c>
      <c r="AG184">
        <f>survey_responses[[#This Row],[So với trước đây, tôi thấy cách tính thuế và các bậc thuế trong phương án mới đơn giản, dễ hiểu và dễ thực hiện hơn. - HUMAN-FAC2]]</f>
        <v>5</v>
      </c>
      <c r="AH184">
        <f t="shared" si="63"/>
        <v>0.44444444444444442</v>
      </c>
      <c r="AI184" s="32">
        <f t="shared" si="64"/>
        <v>0.83333333333333326</v>
      </c>
      <c r="AJ184" s="32">
        <f t="shared" si="65"/>
        <v>0.33333333333333331</v>
      </c>
      <c r="AK184">
        <f>step3_validation[[#This Row],[AI_TRU1]]</f>
        <v>8</v>
      </c>
      <c r="AL184">
        <f t="shared" si="66"/>
        <v>0.77777777777777779</v>
      </c>
      <c r="AM184">
        <f>survey_responses[[#This Row],[Tôi tin rằng Nhà nước, cơ quan thuế sẽ thực thi chính sách mới một cách khách quan, công tâm và đối xử bình đẳng với mọi người nộp thuế.  - HUMAN-TRU1]]</f>
        <v>3</v>
      </c>
      <c r="AN184">
        <f t="shared" si="67"/>
        <v>0.22222222222222221</v>
      </c>
      <c r="AO184">
        <f>step3_validation[[#This Row],[AI_TRU2]]</f>
        <v>9</v>
      </c>
      <c r="AP184">
        <f t="shared" si="68"/>
        <v>0.88888888888888884</v>
      </c>
      <c r="AQ184">
        <f>survey_responses[[#This Row],[Tôi thấy mức thuế tôi phải đóng theo phương án mới là công bằng (người thu nhập như tôi đóng mức này là hợp lý). - HUMAN-TRU2]]</f>
        <v>2</v>
      </c>
      <c r="AR184">
        <f t="shared" si="69"/>
        <v>0.1111111111111111</v>
      </c>
      <c r="AS184">
        <f>step3_validation[[#This Row],[AI_TRU3]]</f>
        <v>8</v>
      </c>
      <c r="AT184">
        <f t="shared" si="70"/>
        <v>0.77777777777777779</v>
      </c>
      <c r="AU184">
        <f>survey_responses[[#This Row],[Tôi tin tưởng số tiền thuế tôi đóng sẽ được Nhà nước sử dụng hiệu quả để cải thiện dịch vụ công (y tế, đường xá...). - HUMAN-TRU3]]</f>
        <v>1</v>
      </c>
      <c r="AV184">
        <f t="shared" si="71"/>
        <v>0</v>
      </c>
      <c r="AW184">
        <f>step3_validation[[#This Row],[AI_TRU4]]</f>
        <v>9</v>
      </c>
      <c r="AX184">
        <f t="shared" si="72"/>
        <v>0.88888888888888884</v>
      </c>
      <c r="AY184">
        <f>survey_responses[[#This Row],[Tôi thấy Nhà nước đã giải thích rõ ràng, minh bạch về lý do và mục tiêu của việc sửa đổi thuế lần này. - HUMAN-TRU4]]</f>
        <v>5</v>
      </c>
      <c r="AZ184">
        <f t="shared" si="73"/>
        <v>0.44444444444444442</v>
      </c>
      <c r="BA184" s="32">
        <f t="shared" si="74"/>
        <v>0.83333333333333326</v>
      </c>
      <c r="BB184" s="32">
        <f t="shared" si="75"/>
        <v>0.19444444444444442</v>
      </c>
      <c r="BC184" s="7">
        <f t="shared" si="76"/>
        <v>0.83333333333333337</v>
      </c>
      <c r="BD184" s="7">
        <f t="shared" si="77"/>
        <v>0.26851851851851855</v>
      </c>
      <c r="BE184">
        <f>step3_validation[[#This Row],[AI_OUT1]]</f>
        <v>8</v>
      </c>
      <c r="BF184">
        <f t="shared" si="78"/>
        <v>0.77777777777777779</v>
      </c>
      <c r="BG184">
        <f>survey_responses[[#This Row],[Sau khi xem xét các quyền lợi và nghĩa vụ, bạn có ủng hộ và tuân thủ chính sách mới hiện nay? - HUMAN-OUT1]]</f>
        <v>5</v>
      </c>
      <c r="BH184">
        <f t="shared" si="79"/>
        <v>0.44444444444444442</v>
      </c>
      <c r="BI184" s="32">
        <f t="shared" si="80"/>
        <v>3</v>
      </c>
    </row>
    <row r="185" spans="1:61" x14ac:dyDescent="0.45">
      <c r="A185" s="30">
        <f>step3_validation[[#This Row],[Persona_ID]]</f>
        <v>184</v>
      </c>
      <c r="B185" s="31">
        <f>step3_validation[[#This Row],[Used_Seed]]</f>
        <v>2174</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16.660570317314338</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9</v>
      </c>
      <c r="R185">
        <f t="shared" si="54"/>
        <v>0.88888888888888884</v>
      </c>
      <c r="S185">
        <f>survey_responses[[#This Row],[Tôi tin rằng với các quy định quản lý thuế hiện nay, hành vi gian lận hoặc trốn thuế sẽ dễ dàng bị phát hiện và xử lý nghiêm. - HUMAN-ENF1]]</f>
        <v>6</v>
      </c>
      <c r="T185">
        <f t="shared" si="55"/>
        <v>0.55555555555555558</v>
      </c>
      <c r="U185">
        <f>step3_validation[[#This Row],[AI_ENF2]]</f>
        <v>8</v>
      </c>
      <c r="V185">
        <f t="shared" si="56"/>
        <v>0.77777777777777779</v>
      </c>
      <c r="W185">
        <f>survey_responses[[#This Row],[Tôi tin rằng Nhà nước, cơ quan thuế có đủ khả năng và công nghệ để phát hiện, xử lý nghiêm các hành vi trốn thuế. - HUMAN-ENF2]]</f>
        <v>6</v>
      </c>
      <c r="X185">
        <f t="shared" si="57"/>
        <v>0.55555555555555558</v>
      </c>
      <c r="Y185" s="32">
        <f t="shared" si="58"/>
        <v>0.83333333333333326</v>
      </c>
      <c r="Z185" s="32">
        <f t="shared" si="59"/>
        <v>0.55555555555555558</v>
      </c>
      <c r="AA185">
        <f>step3_validation[[#This Row],[AI_FAC1]]</f>
        <v>9</v>
      </c>
      <c r="AB185">
        <f t="shared" si="60"/>
        <v>0.88888888888888884</v>
      </c>
      <c r="AC185">
        <f>survey_responses[[#This Row],[Các thủ tục khai báo thuế VÀ/HOẶC quy trình làm việc với cơ quan thuế đơn giản, tiện lợi, nhanh chóng hơn so với trước đây. - HUMAN-FAC1]]</f>
        <v>5</v>
      </c>
      <c r="AD185">
        <f t="shared" si="61"/>
        <v>0.44444444444444442</v>
      </c>
      <c r="AE185">
        <f>step3_validation[[#This Row],[AI_FAC2]]</f>
        <v>8</v>
      </c>
      <c r="AF185">
        <f t="shared" si="62"/>
        <v>0.77777777777777779</v>
      </c>
      <c r="AG185">
        <f>survey_responses[[#This Row],[So với trước đây, tôi thấy cách tính thuế và các bậc thuế trong phương án mới đơn giản, dễ hiểu và dễ thực hiện hơn. - HUMAN-FAC2]]</f>
        <v>9</v>
      </c>
      <c r="AH185">
        <f t="shared" si="63"/>
        <v>0.88888888888888884</v>
      </c>
      <c r="AI185" s="32">
        <f t="shared" si="64"/>
        <v>0.83333333333333326</v>
      </c>
      <c r="AJ185" s="32">
        <f t="shared" si="65"/>
        <v>0.66666666666666663</v>
      </c>
      <c r="AK185">
        <f>step3_validation[[#This Row],[AI_TRU1]]</f>
        <v>9</v>
      </c>
      <c r="AL185">
        <f t="shared" si="66"/>
        <v>0.88888888888888884</v>
      </c>
      <c r="AM185">
        <f>survey_responses[[#This Row],[Tôi tin rằng Nhà nước, cơ quan thuế sẽ thực thi chính sách mới một cách khách quan, công tâm và đối xử bình đẳng với mọi người nộp thuế.  - HUMAN-TRU1]]</f>
        <v>7</v>
      </c>
      <c r="AN185">
        <f t="shared" si="67"/>
        <v>0.66666666666666663</v>
      </c>
      <c r="AO185">
        <f>step3_validation[[#This Row],[AI_TRU2]]</f>
        <v>8</v>
      </c>
      <c r="AP185">
        <f t="shared" si="68"/>
        <v>0.77777777777777779</v>
      </c>
      <c r="AQ185">
        <f>survey_responses[[#This Row],[Tôi thấy mức thuế tôi phải đóng theo phương án mới là công bằng (người thu nhập như tôi đóng mức này là hợp lý). - HUMAN-TRU2]]</f>
        <v>8</v>
      </c>
      <c r="AR185">
        <f t="shared" si="69"/>
        <v>0.77777777777777779</v>
      </c>
      <c r="AS185">
        <f>step3_validation[[#This Row],[AI_TRU3]]</f>
        <v>9</v>
      </c>
      <c r="AT185">
        <f t="shared" si="70"/>
        <v>0.88888888888888884</v>
      </c>
      <c r="AU185">
        <f>survey_responses[[#This Row],[Tôi tin tưởng số tiền thuế tôi đóng sẽ được Nhà nước sử dụng hiệu quả để cải thiện dịch vụ công (y tế, đường xá...). - HUMAN-TRU3]]</f>
        <v>5</v>
      </c>
      <c r="AV185">
        <f t="shared" si="71"/>
        <v>0.44444444444444442</v>
      </c>
      <c r="AW185">
        <f>step3_validation[[#This Row],[AI_TRU4]]</f>
        <v>8</v>
      </c>
      <c r="AX185">
        <f t="shared" si="72"/>
        <v>0.77777777777777779</v>
      </c>
      <c r="AY185">
        <f>survey_responses[[#This Row],[Tôi thấy Nhà nước đã giải thích rõ ràng, minh bạch về lý do và mục tiêu của việc sửa đổi thuế lần này. - HUMAN-TRU4]]</f>
        <v>7</v>
      </c>
      <c r="AZ185">
        <f t="shared" si="73"/>
        <v>0.66666666666666663</v>
      </c>
      <c r="BA185" s="32">
        <f t="shared" si="74"/>
        <v>0.83333333333333326</v>
      </c>
      <c r="BB185" s="32">
        <f t="shared" si="75"/>
        <v>0.63888888888888884</v>
      </c>
      <c r="BC185" s="7">
        <f t="shared" si="76"/>
        <v>0.83333333333333337</v>
      </c>
      <c r="BD185" s="7">
        <f t="shared" si="77"/>
        <v>0.62037037037037035</v>
      </c>
      <c r="BE185">
        <f>step3_validation[[#This Row],[AI_OUT1]]</f>
        <v>9</v>
      </c>
      <c r="BF185">
        <f t="shared" si="78"/>
        <v>0.88888888888888884</v>
      </c>
      <c r="BG185">
        <f>survey_responses[[#This Row],[Sau khi xem xét các quyền lợi và nghĩa vụ, bạn có ủng hộ và tuân thủ chính sách mới hiện nay? - HUMAN-OUT1]]</f>
        <v>7</v>
      </c>
      <c r="BH185">
        <f t="shared" si="79"/>
        <v>0.66666666666666663</v>
      </c>
      <c r="BI185" s="32">
        <f t="shared" si="80"/>
        <v>2</v>
      </c>
    </row>
    <row r="186" spans="1:61" x14ac:dyDescent="0.45">
      <c r="A186" s="30">
        <f>step3_validation[[#This Row],[Persona_ID]]</f>
        <v>185</v>
      </c>
      <c r="B186" s="31">
        <f>step3_validation[[#This Row],[Used_Seed]]</f>
        <v>2175</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36.919691843798184</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4</v>
      </c>
      <c r="R186">
        <f t="shared" si="54"/>
        <v>0.33333333333333331</v>
      </c>
      <c r="S186">
        <f>survey_responses[[#This Row],[Tôi tin rằng với các quy định quản lý thuế hiện nay, hành vi gian lận hoặc trốn thuế sẽ dễ dàng bị phát hiện và xử lý nghiêm. - HUMAN-ENF1]]</f>
        <v>7</v>
      </c>
      <c r="T186">
        <f t="shared" si="55"/>
        <v>0.66666666666666663</v>
      </c>
      <c r="U186">
        <f>step3_validation[[#This Row],[AI_ENF2]]</f>
        <v>6</v>
      </c>
      <c r="V186">
        <f t="shared" si="56"/>
        <v>0.55555555555555558</v>
      </c>
      <c r="W186">
        <f>survey_responses[[#This Row],[Tôi tin rằng Nhà nước, cơ quan thuế có đủ khả năng và công nghệ để phát hiện, xử lý nghiêm các hành vi trốn thuế. - HUMAN-ENF2]]</f>
        <v>7</v>
      </c>
      <c r="X186">
        <f t="shared" si="57"/>
        <v>0.66666666666666663</v>
      </c>
      <c r="Y186" s="32">
        <f t="shared" si="58"/>
        <v>0.44444444444444442</v>
      </c>
      <c r="Z186" s="32">
        <f t="shared" si="59"/>
        <v>0.66666666666666663</v>
      </c>
      <c r="AA186">
        <f>step3_validation[[#This Row],[AI_FAC1]]</f>
        <v>8</v>
      </c>
      <c r="AB186">
        <f t="shared" si="60"/>
        <v>0.77777777777777779</v>
      </c>
      <c r="AC186">
        <f>survey_responses[[#This Row],[Các thủ tục khai báo thuế VÀ/HOẶC quy trình làm việc với cơ quan thuế đơn giản, tiện lợi, nhanh chóng hơn so với trước đây. - HUMAN-FAC1]]</f>
        <v>6</v>
      </c>
      <c r="AD186">
        <f t="shared" si="61"/>
        <v>0.55555555555555558</v>
      </c>
      <c r="AE186">
        <f>step3_validation[[#This Row],[AI_FAC2]]</f>
        <v>9</v>
      </c>
      <c r="AF186">
        <f t="shared" si="62"/>
        <v>0.88888888888888884</v>
      </c>
      <c r="AG186">
        <f>survey_responses[[#This Row],[So với trước đây, tôi thấy cách tính thuế và các bậc thuế trong phương án mới đơn giản, dễ hiểu và dễ thực hiện hơn. - HUMAN-FAC2]]</f>
        <v>8</v>
      </c>
      <c r="AH186">
        <f t="shared" si="63"/>
        <v>0.77777777777777779</v>
      </c>
      <c r="AI186" s="32">
        <f t="shared" si="64"/>
        <v>0.83333333333333326</v>
      </c>
      <c r="AJ186" s="32">
        <f t="shared" si="65"/>
        <v>0.66666666666666674</v>
      </c>
      <c r="AK186">
        <f>step3_validation[[#This Row],[AI_TRU1]]</f>
        <v>8</v>
      </c>
      <c r="AL186">
        <f t="shared" si="66"/>
        <v>0.77777777777777779</v>
      </c>
      <c r="AM186">
        <f>survey_responses[[#This Row],[Tôi tin rằng Nhà nước, cơ quan thuế sẽ thực thi chính sách mới một cách khách quan, công tâm và đối xử bình đẳng với mọi người nộp thuế.  - HUMAN-TRU1]]</f>
        <v>5</v>
      </c>
      <c r="AN186">
        <f t="shared" si="67"/>
        <v>0.44444444444444442</v>
      </c>
      <c r="AO186">
        <f>step3_validation[[#This Row],[AI_TRU2]]</f>
        <v>9</v>
      </c>
      <c r="AP186">
        <f t="shared" si="68"/>
        <v>0.88888888888888884</v>
      </c>
      <c r="AQ186">
        <f>survey_responses[[#This Row],[Tôi thấy mức thuế tôi phải đóng theo phương án mới là công bằng (người thu nhập như tôi đóng mức này là hợp lý). - HUMAN-TRU2]]</f>
        <v>5</v>
      </c>
      <c r="AR186">
        <f t="shared" si="69"/>
        <v>0.44444444444444442</v>
      </c>
      <c r="AS186">
        <f>step3_validation[[#This Row],[AI_TRU3]]</f>
        <v>8</v>
      </c>
      <c r="AT186">
        <f t="shared" si="70"/>
        <v>0.77777777777777779</v>
      </c>
      <c r="AU186">
        <f>survey_responses[[#This Row],[Tôi tin tưởng số tiền thuế tôi đóng sẽ được Nhà nước sử dụng hiệu quả để cải thiện dịch vụ công (y tế, đường xá...). - HUMAN-TRU3]]</f>
        <v>5</v>
      </c>
      <c r="AV186">
        <f t="shared" si="71"/>
        <v>0.44444444444444442</v>
      </c>
      <c r="AW186">
        <f>step3_validation[[#This Row],[AI_TRU4]]</f>
        <v>7</v>
      </c>
      <c r="AX186">
        <f t="shared" si="72"/>
        <v>0.66666666666666663</v>
      </c>
      <c r="AY186">
        <f>survey_responses[[#This Row],[Tôi thấy Nhà nước đã giải thích rõ ràng, minh bạch về lý do và mục tiêu của việc sửa đổi thuế lần này. - HUMAN-TRU4]]</f>
        <v>6</v>
      </c>
      <c r="AZ186">
        <f t="shared" si="73"/>
        <v>0.55555555555555558</v>
      </c>
      <c r="BA186" s="32">
        <f t="shared" si="74"/>
        <v>0.77777777777777768</v>
      </c>
      <c r="BB186" s="32">
        <f t="shared" si="75"/>
        <v>0.47222222222222221</v>
      </c>
      <c r="BC186" s="7">
        <f t="shared" si="76"/>
        <v>0.68518518518518512</v>
      </c>
      <c r="BD186" s="7">
        <f t="shared" si="77"/>
        <v>0.60185185185185197</v>
      </c>
      <c r="BE186">
        <f>step3_validation[[#This Row],[AI_OUT1]]</f>
        <v>9</v>
      </c>
      <c r="BF186">
        <f t="shared" si="78"/>
        <v>0.88888888888888884</v>
      </c>
      <c r="BG186">
        <f>survey_responses[[#This Row],[Sau khi xem xét các quyền lợi và nghĩa vụ, bạn có ủng hộ và tuân thủ chính sách mới hiện nay? - HUMAN-OUT1]]</f>
        <v>5</v>
      </c>
      <c r="BH186">
        <f t="shared" si="79"/>
        <v>0.44444444444444442</v>
      </c>
      <c r="BI186" s="32">
        <f t="shared" si="80"/>
        <v>4</v>
      </c>
    </row>
    <row r="187" spans="1:61" x14ac:dyDescent="0.45">
      <c r="A187" s="30">
        <f>step3_validation[[#This Row],[Persona_ID]]</f>
        <v>186</v>
      </c>
      <c r="B187" s="31">
        <f>step3_validation[[#This Row],[Used_Seed]]</f>
        <v>2176</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14.112681507246347</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8</v>
      </c>
      <c r="R187">
        <f t="shared" si="54"/>
        <v>0.77777777777777779</v>
      </c>
      <c r="S187">
        <f>survey_responses[[#This Row],[Tôi tin rằng với các quy định quản lý thuế hiện nay, hành vi gian lận hoặc trốn thuế sẽ dễ dàng bị phát hiện và xử lý nghiêm. - HUMAN-ENF1]]</f>
        <v>7</v>
      </c>
      <c r="T187">
        <f t="shared" si="55"/>
        <v>0.66666666666666663</v>
      </c>
      <c r="U187">
        <f>step3_validation[[#This Row],[AI_ENF2]]</f>
        <v>7</v>
      </c>
      <c r="V187">
        <f t="shared" si="56"/>
        <v>0.66666666666666663</v>
      </c>
      <c r="W187">
        <f>survey_responses[[#This Row],[Tôi tin rằng Nhà nước, cơ quan thuế có đủ khả năng và công nghệ để phát hiện, xử lý nghiêm các hành vi trốn thuế. - HUMAN-ENF2]]</f>
        <v>7</v>
      </c>
      <c r="X187">
        <f t="shared" si="57"/>
        <v>0.66666666666666663</v>
      </c>
      <c r="Y187" s="32">
        <f t="shared" si="58"/>
        <v>0.72222222222222221</v>
      </c>
      <c r="Z187" s="32">
        <f t="shared" si="59"/>
        <v>0.66666666666666663</v>
      </c>
      <c r="AA187">
        <f>step3_validation[[#This Row],[AI_FAC1]]</f>
        <v>6</v>
      </c>
      <c r="AB187">
        <f t="shared" si="60"/>
        <v>0.55555555555555558</v>
      </c>
      <c r="AC187">
        <f>survey_responses[[#This Row],[Các thủ tục khai báo thuế VÀ/HOẶC quy trình làm việc với cơ quan thuế đơn giản, tiện lợi, nhanh chóng hơn so với trước đây. - HUMAN-FAC1]]</f>
        <v>5</v>
      </c>
      <c r="AD187">
        <f t="shared" si="61"/>
        <v>0.44444444444444442</v>
      </c>
      <c r="AE187">
        <f>step3_validation[[#This Row],[AI_FAC2]]</f>
        <v>9</v>
      </c>
      <c r="AF187">
        <f t="shared" si="62"/>
        <v>0.88888888888888884</v>
      </c>
      <c r="AG187">
        <f>survey_responses[[#This Row],[So với trước đây, tôi thấy cách tính thuế và các bậc thuế trong phương án mới đơn giản, dễ hiểu và dễ thực hiện hơn. - HUMAN-FAC2]]</f>
        <v>7</v>
      </c>
      <c r="AH187">
        <f t="shared" si="63"/>
        <v>0.66666666666666663</v>
      </c>
      <c r="AI187" s="32">
        <f t="shared" si="64"/>
        <v>0.72222222222222221</v>
      </c>
      <c r="AJ187" s="32">
        <f t="shared" si="65"/>
        <v>0.55555555555555558</v>
      </c>
      <c r="AK187">
        <f>step3_validation[[#This Row],[AI_TRU1]]</f>
        <v>7</v>
      </c>
      <c r="AL187">
        <f t="shared" si="66"/>
        <v>0.66666666666666663</v>
      </c>
      <c r="AM187">
        <f>survey_responses[[#This Row],[Tôi tin rằng Nhà nước, cơ quan thuế sẽ thực thi chính sách mới một cách khách quan, công tâm và đối xử bình đẳng với mọi người nộp thuế.  - HUMAN-TRU1]]</f>
        <v>5</v>
      </c>
      <c r="AN187">
        <f t="shared" si="67"/>
        <v>0.44444444444444442</v>
      </c>
      <c r="AO187">
        <f>step3_validation[[#This Row],[AI_TRU2]]</f>
        <v>8</v>
      </c>
      <c r="AP187">
        <f t="shared" si="68"/>
        <v>0.77777777777777779</v>
      </c>
      <c r="AQ187">
        <f>survey_responses[[#This Row],[Tôi thấy mức thuế tôi phải đóng theo phương án mới là công bằng (người thu nhập như tôi đóng mức này là hợp lý). - HUMAN-TRU2]]</f>
        <v>5</v>
      </c>
      <c r="AR187">
        <f t="shared" si="69"/>
        <v>0.44444444444444442</v>
      </c>
      <c r="AS187">
        <f>step3_validation[[#This Row],[AI_TRU3]]</f>
        <v>7</v>
      </c>
      <c r="AT187">
        <f t="shared" si="70"/>
        <v>0.66666666666666663</v>
      </c>
      <c r="AU187">
        <f>survey_responses[[#This Row],[Tôi tin tưởng số tiền thuế tôi đóng sẽ được Nhà nước sử dụng hiệu quả để cải thiện dịch vụ công (y tế, đường xá...). - HUMAN-TRU3]]</f>
        <v>5</v>
      </c>
      <c r="AV187">
        <f t="shared" si="71"/>
        <v>0.44444444444444442</v>
      </c>
      <c r="AW187">
        <f>step3_validation[[#This Row],[AI_TRU4]]</f>
        <v>6</v>
      </c>
      <c r="AX187">
        <f t="shared" si="72"/>
        <v>0.55555555555555558</v>
      </c>
      <c r="AY187">
        <f>survey_responses[[#This Row],[Tôi thấy Nhà nước đã giải thích rõ ràng, minh bạch về lý do và mục tiêu của việc sửa đổi thuế lần này. - HUMAN-TRU4]]</f>
        <v>5</v>
      </c>
      <c r="AZ187">
        <f t="shared" si="73"/>
        <v>0.44444444444444442</v>
      </c>
      <c r="BA187" s="32">
        <f t="shared" si="74"/>
        <v>0.66666666666666674</v>
      </c>
      <c r="BB187" s="32">
        <f t="shared" si="75"/>
        <v>0.44444444444444442</v>
      </c>
      <c r="BC187" s="7">
        <f t="shared" si="76"/>
        <v>0.70370370370370372</v>
      </c>
      <c r="BD187" s="7">
        <f t="shared" si="77"/>
        <v>0.55555555555555558</v>
      </c>
      <c r="BE187">
        <f>step3_validation[[#This Row],[AI_OUT1]]</f>
        <v>9</v>
      </c>
      <c r="BF187">
        <f t="shared" si="78"/>
        <v>0.88888888888888884</v>
      </c>
      <c r="BG187">
        <f>survey_responses[[#This Row],[Sau khi xem xét các quyền lợi và nghĩa vụ, bạn có ủng hộ và tuân thủ chính sách mới hiện nay? - HUMAN-OUT1]]</f>
        <v>6</v>
      </c>
      <c r="BH187">
        <f t="shared" si="79"/>
        <v>0.55555555555555558</v>
      </c>
      <c r="BI187" s="32">
        <f t="shared" si="80"/>
        <v>3</v>
      </c>
    </row>
    <row r="188" spans="1:61" x14ac:dyDescent="0.45">
      <c r="A188" s="30">
        <f>step3_validation[[#This Row],[Persona_ID]]</f>
        <v>187</v>
      </c>
      <c r="B188" s="31">
        <f>step3_validation[[#This Row],[Used_Seed]]</f>
        <v>2177</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34.639962907137786</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8</v>
      </c>
      <c r="R188">
        <f t="shared" si="54"/>
        <v>0.77777777777777779</v>
      </c>
      <c r="S188">
        <f>survey_responses[[#This Row],[Tôi tin rằng với các quy định quản lý thuế hiện nay, hành vi gian lận hoặc trốn thuế sẽ dễ dàng bị phát hiện và xử lý nghiêm. - HUMAN-ENF1]]</f>
        <v>6</v>
      </c>
      <c r="T188">
        <f t="shared" si="55"/>
        <v>0.55555555555555558</v>
      </c>
      <c r="U188">
        <f>step3_validation[[#This Row],[AI_ENF2]]</f>
        <v>7</v>
      </c>
      <c r="V188">
        <f t="shared" si="56"/>
        <v>0.66666666666666663</v>
      </c>
      <c r="W188">
        <f>survey_responses[[#This Row],[Tôi tin rằng Nhà nước, cơ quan thuế có đủ khả năng và công nghệ để phát hiện, xử lý nghiêm các hành vi trốn thuế. - HUMAN-ENF2]]</f>
        <v>7</v>
      </c>
      <c r="X188">
        <f t="shared" si="57"/>
        <v>0.66666666666666663</v>
      </c>
      <c r="Y188" s="32">
        <f t="shared" si="58"/>
        <v>0.72222222222222221</v>
      </c>
      <c r="Z188" s="32">
        <f t="shared" si="59"/>
        <v>0.61111111111111116</v>
      </c>
      <c r="AA188">
        <f>step3_validation[[#This Row],[AI_FAC1]]</f>
        <v>9</v>
      </c>
      <c r="AB188">
        <f t="shared" si="60"/>
        <v>0.88888888888888884</v>
      </c>
      <c r="AC188">
        <f>survey_responses[[#This Row],[Các thủ tục khai báo thuế VÀ/HOẶC quy trình làm việc với cơ quan thuế đơn giản, tiện lợi, nhanh chóng hơn so với trước đây. - HUMAN-FAC1]]</f>
        <v>6</v>
      </c>
      <c r="AD188">
        <f t="shared" si="61"/>
        <v>0.55555555555555558</v>
      </c>
      <c r="AE188">
        <f>step3_validation[[#This Row],[AI_FAC2]]</f>
        <v>8</v>
      </c>
      <c r="AF188">
        <f t="shared" si="62"/>
        <v>0.77777777777777779</v>
      </c>
      <c r="AG188">
        <f>survey_responses[[#This Row],[So với trước đây, tôi thấy cách tính thuế và các bậc thuế trong phương án mới đơn giản, dễ hiểu và dễ thực hiện hơn. - HUMAN-FAC2]]</f>
        <v>7</v>
      </c>
      <c r="AH188">
        <f t="shared" si="63"/>
        <v>0.66666666666666663</v>
      </c>
      <c r="AI188" s="32">
        <f t="shared" si="64"/>
        <v>0.83333333333333326</v>
      </c>
      <c r="AJ188" s="32">
        <f t="shared" si="65"/>
        <v>0.61111111111111116</v>
      </c>
      <c r="AK188">
        <f>step3_validation[[#This Row],[AI_TRU1]]</f>
        <v>9</v>
      </c>
      <c r="AL188">
        <f t="shared" si="66"/>
        <v>0.88888888888888884</v>
      </c>
      <c r="AM188">
        <f>survey_responses[[#This Row],[Tôi tin rằng Nhà nước, cơ quan thuế sẽ thực thi chính sách mới một cách khách quan, công tâm và đối xử bình đẳng với mọi người nộp thuế.  - HUMAN-TRU1]]</f>
        <v>6</v>
      </c>
      <c r="AN188">
        <f t="shared" si="67"/>
        <v>0.55555555555555558</v>
      </c>
      <c r="AO188">
        <f>step3_validation[[#This Row],[AI_TRU2]]</f>
        <v>9</v>
      </c>
      <c r="AP188">
        <f t="shared" si="68"/>
        <v>0.88888888888888884</v>
      </c>
      <c r="AQ188">
        <f>survey_responses[[#This Row],[Tôi thấy mức thuế tôi phải đóng theo phương án mới là công bằng (người thu nhập như tôi đóng mức này là hợp lý). - HUMAN-TRU2]]</f>
        <v>6</v>
      </c>
      <c r="AR188">
        <f t="shared" si="69"/>
        <v>0.55555555555555558</v>
      </c>
      <c r="AS188">
        <f>step3_validation[[#This Row],[AI_TRU3]]</f>
        <v>8</v>
      </c>
      <c r="AT188">
        <f t="shared" si="70"/>
        <v>0.77777777777777779</v>
      </c>
      <c r="AU188">
        <f>survey_responses[[#This Row],[Tôi tin tưởng số tiền thuế tôi đóng sẽ được Nhà nước sử dụng hiệu quả để cải thiện dịch vụ công (y tế, đường xá...). - HUMAN-TRU3]]</f>
        <v>5</v>
      </c>
      <c r="AV188">
        <f t="shared" si="71"/>
        <v>0.44444444444444442</v>
      </c>
      <c r="AW188">
        <f>step3_validation[[#This Row],[AI_TRU4]]</f>
        <v>7</v>
      </c>
      <c r="AX188">
        <f t="shared" si="72"/>
        <v>0.66666666666666663</v>
      </c>
      <c r="AY188">
        <f>survey_responses[[#This Row],[Tôi thấy Nhà nước đã giải thích rõ ràng, minh bạch về lý do và mục tiêu của việc sửa đổi thuế lần này. - HUMAN-TRU4]]</f>
        <v>5</v>
      </c>
      <c r="AZ188">
        <f t="shared" si="73"/>
        <v>0.44444444444444442</v>
      </c>
      <c r="BA188" s="32">
        <f t="shared" si="74"/>
        <v>0.80555555555555547</v>
      </c>
      <c r="BB188" s="32">
        <f t="shared" si="75"/>
        <v>0.5</v>
      </c>
      <c r="BC188" s="7">
        <f t="shared" si="76"/>
        <v>0.78703703703703687</v>
      </c>
      <c r="BD188" s="7">
        <f t="shared" si="77"/>
        <v>0.57407407407407407</v>
      </c>
      <c r="BE188">
        <f>step3_validation[[#This Row],[AI_OUT1]]</f>
        <v>9</v>
      </c>
      <c r="BF188">
        <f t="shared" si="78"/>
        <v>0.88888888888888884</v>
      </c>
      <c r="BG188">
        <f>survey_responses[[#This Row],[Sau khi xem xét các quyền lợi và nghĩa vụ, bạn có ủng hộ và tuân thủ chính sách mới hiện nay? - HUMAN-OUT1]]</f>
        <v>6</v>
      </c>
      <c r="BH188">
        <f t="shared" si="79"/>
        <v>0.55555555555555558</v>
      </c>
      <c r="BI188" s="32">
        <f t="shared" si="80"/>
        <v>3</v>
      </c>
    </row>
    <row r="189" spans="1:61" x14ac:dyDescent="0.45">
      <c r="A189" s="30">
        <f>step3_validation[[#This Row],[Persona_ID]]</f>
        <v>188</v>
      </c>
      <c r="B189" s="31">
        <f>step3_validation[[#This Row],[Used_Seed]]</f>
        <v>2178</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24.967673096019993</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f t="shared" si="54"/>
        <v>0.66666666666666663</v>
      </c>
      <c r="S189">
        <f>survey_responses[[#This Row],[Tôi tin rằng với các quy định quản lý thuế hiện nay, hành vi gian lận hoặc trốn thuế sẽ dễ dàng bị phát hiện và xử lý nghiêm. - HUMAN-ENF1]]</f>
        <v>5</v>
      </c>
      <c r="T189">
        <f t="shared" si="55"/>
        <v>0.44444444444444442</v>
      </c>
      <c r="U189">
        <f>step3_validation[[#This Row],[AI_ENF2]]</f>
        <v>8</v>
      </c>
      <c r="V189">
        <f t="shared" si="56"/>
        <v>0.77777777777777779</v>
      </c>
      <c r="W189">
        <f>survey_responses[[#This Row],[Tôi tin rằng Nhà nước, cơ quan thuế có đủ khả năng và công nghệ để phát hiện, xử lý nghiêm các hành vi trốn thuế. - HUMAN-ENF2]]</f>
        <v>5</v>
      </c>
      <c r="X189">
        <f t="shared" si="57"/>
        <v>0.44444444444444442</v>
      </c>
      <c r="Y189" s="32">
        <f t="shared" si="58"/>
        <v>0.72222222222222221</v>
      </c>
      <c r="Z189" s="32">
        <f t="shared" si="59"/>
        <v>0.44444444444444442</v>
      </c>
      <c r="AA189">
        <f>step3_validation[[#This Row],[AI_FAC1]]</f>
        <v>9</v>
      </c>
      <c r="AB189">
        <f t="shared" si="60"/>
        <v>0.88888888888888884</v>
      </c>
      <c r="AC189">
        <f>survey_responses[[#This Row],[Các thủ tục khai báo thuế VÀ/HOẶC quy trình làm việc với cơ quan thuế đơn giản, tiện lợi, nhanh chóng hơn so với trước đây. - HUMAN-FAC1]]</f>
        <v>4</v>
      </c>
      <c r="AD189">
        <f t="shared" si="61"/>
        <v>0.33333333333333331</v>
      </c>
      <c r="AE189">
        <f>step3_validation[[#This Row],[AI_FAC2]]</f>
        <v>10</v>
      </c>
      <c r="AF189">
        <f t="shared" si="62"/>
        <v>1</v>
      </c>
      <c r="AG189">
        <f>survey_responses[[#This Row],[So với trước đây, tôi thấy cách tính thuế và các bậc thuế trong phương án mới đơn giản, dễ hiểu và dễ thực hiện hơn. - HUMAN-FAC2]]</f>
        <v>6</v>
      </c>
      <c r="AH189">
        <f t="shared" si="63"/>
        <v>0.55555555555555558</v>
      </c>
      <c r="AI189" s="32">
        <f t="shared" si="64"/>
        <v>0.94444444444444442</v>
      </c>
      <c r="AJ189" s="32">
        <f t="shared" si="65"/>
        <v>0.44444444444444442</v>
      </c>
      <c r="AK189">
        <f>step3_validation[[#This Row],[AI_TRU1]]</f>
        <v>8</v>
      </c>
      <c r="AL189">
        <f t="shared" si="66"/>
        <v>0.77777777777777779</v>
      </c>
      <c r="AM189">
        <f>survey_responses[[#This Row],[Tôi tin rằng Nhà nước, cơ quan thuế sẽ thực thi chính sách mới một cách khách quan, công tâm và đối xử bình đẳng với mọi người nộp thuế.  - HUMAN-TRU1]]</f>
        <v>5</v>
      </c>
      <c r="AN189">
        <f t="shared" si="67"/>
        <v>0.44444444444444442</v>
      </c>
      <c r="AO189">
        <f>step3_validation[[#This Row],[AI_TRU2]]</f>
        <v>9</v>
      </c>
      <c r="AP189">
        <f t="shared" si="68"/>
        <v>0.88888888888888884</v>
      </c>
      <c r="AQ189">
        <f>survey_responses[[#This Row],[Tôi thấy mức thuế tôi phải đóng theo phương án mới là công bằng (người thu nhập như tôi đóng mức này là hợp lý). - HUMAN-TRU2]]</f>
        <v>5</v>
      </c>
      <c r="AR189">
        <f t="shared" si="69"/>
        <v>0.44444444444444442</v>
      </c>
      <c r="AS189">
        <f>step3_validation[[#This Row],[AI_TRU3]]</f>
        <v>7</v>
      </c>
      <c r="AT189">
        <f t="shared" si="70"/>
        <v>0.66666666666666663</v>
      </c>
      <c r="AU189">
        <f>survey_responses[[#This Row],[Tôi tin tưởng số tiền thuế tôi đóng sẽ được Nhà nước sử dụng hiệu quả để cải thiện dịch vụ công (y tế, đường xá...). - HUMAN-TRU3]]</f>
        <v>5</v>
      </c>
      <c r="AV189">
        <f t="shared" si="71"/>
        <v>0.44444444444444442</v>
      </c>
      <c r="AW189">
        <f>step3_validation[[#This Row],[AI_TRU4]]</f>
        <v>9</v>
      </c>
      <c r="AX189">
        <f t="shared" si="72"/>
        <v>0.88888888888888884</v>
      </c>
      <c r="AY189">
        <f>survey_responses[[#This Row],[Tôi thấy Nhà nước đã giải thích rõ ràng, minh bạch về lý do và mục tiêu của việc sửa đổi thuế lần này. - HUMAN-TRU4]]</f>
        <v>5</v>
      </c>
      <c r="AZ189">
        <f t="shared" si="73"/>
        <v>0.44444444444444442</v>
      </c>
      <c r="BA189" s="32">
        <f t="shared" si="74"/>
        <v>0.80555555555555547</v>
      </c>
      <c r="BB189" s="32">
        <f t="shared" si="75"/>
        <v>0.44444444444444442</v>
      </c>
      <c r="BC189" s="7">
        <f t="shared" si="76"/>
        <v>0.82407407407407396</v>
      </c>
      <c r="BD189" s="7">
        <f t="shared" si="77"/>
        <v>0.44444444444444442</v>
      </c>
      <c r="BE189">
        <f>step3_validation[[#This Row],[AI_OUT1]]</f>
        <v>10</v>
      </c>
      <c r="BF189">
        <f t="shared" si="78"/>
        <v>1</v>
      </c>
      <c r="BG189">
        <f>survey_responses[[#This Row],[Sau khi xem xét các quyền lợi và nghĩa vụ, bạn có ủng hộ và tuân thủ chính sách mới hiện nay? - HUMAN-OUT1]]</f>
        <v>5</v>
      </c>
      <c r="BH189">
        <f t="shared" si="79"/>
        <v>0.44444444444444442</v>
      </c>
      <c r="BI189" s="32">
        <f t="shared" si="80"/>
        <v>5</v>
      </c>
    </row>
    <row r="190" spans="1:61" x14ac:dyDescent="0.45">
      <c r="A190" s="30">
        <f>step3_validation[[#This Row],[Persona_ID]]</f>
        <v>189</v>
      </c>
      <c r="B190" s="31">
        <f>step3_validation[[#This Row],[Used_Seed]]</f>
        <v>2179</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49.025570258721416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f t="shared" si="54"/>
        <v>0.66666666666666663</v>
      </c>
      <c r="S190">
        <f>survey_responses[[#This Row],[Tôi tin rằng với các quy định quản lý thuế hiện nay, hành vi gian lận hoặc trốn thuế sẽ dễ dàng bị phát hiện và xử lý nghiêm. - HUMAN-ENF1]]</f>
        <v>8</v>
      </c>
      <c r="T190">
        <f t="shared" si="55"/>
        <v>0.77777777777777779</v>
      </c>
      <c r="U190">
        <f>step3_validation[[#This Row],[AI_ENF2]]</f>
        <v>8</v>
      </c>
      <c r="V190">
        <f t="shared" si="56"/>
        <v>0.77777777777777779</v>
      </c>
      <c r="W190">
        <f>survey_responses[[#This Row],[Tôi tin rằng Nhà nước, cơ quan thuế có đủ khả năng và công nghệ để phát hiện, xử lý nghiêm các hành vi trốn thuế. - HUMAN-ENF2]]</f>
        <v>8</v>
      </c>
      <c r="X190">
        <f t="shared" si="57"/>
        <v>0.77777777777777779</v>
      </c>
      <c r="Y190" s="32">
        <f t="shared" si="58"/>
        <v>0.72222222222222221</v>
      </c>
      <c r="Z190" s="32">
        <f t="shared" si="59"/>
        <v>0.77777777777777779</v>
      </c>
      <c r="AA190">
        <f>step3_validation[[#This Row],[AI_FAC1]]</f>
        <v>6</v>
      </c>
      <c r="AB190">
        <f t="shared" si="60"/>
        <v>0.55555555555555558</v>
      </c>
      <c r="AC190">
        <f>survey_responses[[#This Row],[Các thủ tục khai báo thuế VÀ/HOẶC quy trình làm việc với cơ quan thuế đơn giản, tiện lợi, nhanh chóng hơn so với trước đây. - HUMAN-FAC1]]</f>
        <v>5</v>
      </c>
      <c r="AD190">
        <f t="shared" si="61"/>
        <v>0.44444444444444442</v>
      </c>
      <c r="AE190">
        <f>step3_validation[[#This Row],[AI_FAC2]]</f>
        <v>8</v>
      </c>
      <c r="AF190">
        <f t="shared" si="62"/>
        <v>0.77777777777777779</v>
      </c>
      <c r="AG190">
        <f>survey_responses[[#This Row],[So với trước đây, tôi thấy cách tính thuế và các bậc thuế trong phương án mới đơn giản, dễ hiểu và dễ thực hiện hơn. - HUMAN-FAC2]]</f>
        <v>7</v>
      </c>
      <c r="AH190">
        <f t="shared" si="63"/>
        <v>0.66666666666666663</v>
      </c>
      <c r="AI190" s="32">
        <f t="shared" si="64"/>
        <v>0.66666666666666674</v>
      </c>
      <c r="AJ190" s="32">
        <f t="shared" si="65"/>
        <v>0.55555555555555558</v>
      </c>
      <c r="AK190">
        <f>step3_validation[[#This Row],[AI_TRU1]]</f>
        <v>7</v>
      </c>
      <c r="AL190">
        <f t="shared" si="66"/>
        <v>0.66666666666666663</v>
      </c>
      <c r="AM190">
        <f>survey_responses[[#This Row],[Tôi tin rằng Nhà nước, cơ quan thuế sẽ thực thi chính sách mới một cách khách quan, công tâm và đối xử bình đẳng với mọi người nộp thuế.  - HUMAN-TRU1]]</f>
        <v>6</v>
      </c>
      <c r="AN190">
        <f t="shared" si="67"/>
        <v>0.55555555555555558</v>
      </c>
      <c r="AO190">
        <f>step3_validation[[#This Row],[AI_TRU2]]</f>
        <v>9</v>
      </c>
      <c r="AP190">
        <f t="shared" si="68"/>
        <v>0.88888888888888884</v>
      </c>
      <c r="AQ190">
        <f>survey_responses[[#This Row],[Tôi thấy mức thuế tôi phải đóng theo phương án mới là công bằng (người thu nhập như tôi đóng mức này là hợp lý). - HUMAN-TRU2]]</f>
        <v>8</v>
      </c>
      <c r="AR190">
        <f t="shared" si="69"/>
        <v>0.77777777777777779</v>
      </c>
      <c r="AS190">
        <f>step3_validation[[#This Row],[AI_TRU3]]</f>
        <v>7</v>
      </c>
      <c r="AT190">
        <f t="shared" si="70"/>
        <v>0.66666666666666663</v>
      </c>
      <c r="AU190">
        <f>survey_responses[[#This Row],[Tôi tin tưởng số tiền thuế tôi đóng sẽ được Nhà nước sử dụng hiệu quả để cải thiện dịch vụ công (y tế, đường xá...). - HUMAN-TRU3]]</f>
        <v>5</v>
      </c>
      <c r="AV190">
        <f t="shared" si="71"/>
        <v>0.44444444444444442</v>
      </c>
      <c r="AW190">
        <f>step3_validation[[#This Row],[AI_TRU4]]</f>
        <v>6</v>
      </c>
      <c r="AX190">
        <f t="shared" si="72"/>
        <v>0.55555555555555558</v>
      </c>
      <c r="AY190">
        <f>survey_responses[[#This Row],[Tôi thấy Nhà nước đã giải thích rõ ràng, minh bạch về lý do và mục tiêu của việc sửa đổi thuế lần này. - HUMAN-TRU4]]</f>
        <v>7</v>
      </c>
      <c r="AZ190">
        <f t="shared" si="73"/>
        <v>0.66666666666666663</v>
      </c>
      <c r="BA190" s="32">
        <f t="shared" si="74"/>
        <v>0.69444444444444442</v>
      </c>
      <c r="BB190" s="32">
        <f t="shared" si="75"/>
        <v>0.61111111111111116</v>
      </c>
      <c r="BC190" s="7">
        <f t="shared" si="76"/>
        <v>0.69444444444444431</v>
      </c>
      <c r="BD190" s="7">
        <f t="shared" si="77"/>
        <v>0.64814814814814825</v>
      </c>
      <c r="BE190">
        <f>step3_validation[[#This Row],[AI_OUT1]]</f>
        <v>8</v>
      </c>
      <c r="BF190">
        <f t="shared" si="78"/>
        <v>0.77777777777777779</v>
      </c>
      <c r="BG190">
        <f>survey_responses[[#This Row],[Sau khi xem xét các quyền lợi và nghĩa vụ, bạn có ủng hộ và tuân thủ chính sách mới hiện nay? - HUMAN-OUT1]]</f>
        <v>8</v>
      </c>
      <c r="BH190">
        <f t="shared" si="79"/>
        <v>0.77777777777777779</v>
      </c>
      <c r="BI190" s="32">
        <f t="shared" si="80"/>
        <v>0</v>
      </c>
    </row>
    <row r="191" spans="1:61" x14ac:dyDescent="0.45">
      <c r="A191" s="30">
        <f>step3_validation[[#This Row],[Persona_ID]]</f>
        <v>190</v>
      </c>
      <c r="B191" s="31">
        <f>step3_validation[[#This Row],[Used_Seed]]</f>
        <v>2180</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24.80897648417444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f t="shared" si="54"/>
        <v>0.55555555555555558</v>
      </c>
      <c r="S191">
        <f>survey_responses[[#This Row],[Tôi tin rằng với các quy định quản lý thuế hiện nay, hành vi gian lận hoặc trốn thuế sẽ dễ dàng bị phát hiện và xử lý nghiêm. - HUMAN-ENF1]]</f>
        <v>7</v>
      </c>
      <c r="T191">
        <f t="shared" si="55"/>
        <v>0.66666666666666663</v>
      </c>
      <c r="U191">
        <f>step3_validation[[#This Row],[AI_ENF2]]</f>
        <v>7</v>
      </c>
      <c r="V191">
        <f t="shared" si="56"/>
        <v>0.66666666666666663</v>
      </c>
      <c r="W191">
        <f>survey_responses[[#This Row],[Tôi tin rằng Nhà nước, cơ quan thuế có đủ khả năng và công nghệ để phát hiện, xử lý nghiêm các hành vi trốn thuế. - HUMAN-ENF2]]</f>
        <v>7</v>
      </c>
      <c r="X191">
        <f t="shared" si="57"/>
        <v>0.66666666666666663</v>
      </c>
      <c r="Y191" s="32">
        <f t="shared" si="58"/>
        <v>0.61111111111111116</v>
      </c>
      <c r="Z191" s="32">
        <f t="shared" si="59"/>
        <v>0.66666666666666663</v>
      </c>
      <c r="AA191">
        <f>step3_validation[[#This Row],[AI_FAC1]]</f>
        <v>9</v>
      </c>
      <c r="AB191">
        <f t="shared" si="60"/>
        <v>0.88888888888888884</v>
      </c>
      <c r="AC191">
        <f>survey_responses[[#This Row],[Các thủ tục khai báo thuế VÀ/HOẶC quy trình làm việc với cơ quan thuế đơn giản, tiện lợi, nhanh chóng hơn so với trước đây. - HUMAN-FAC1]]</f>
        <v>7</v>
      </c>
      <c r="AD191">
        <f t="shared" si="61"/>
        <v>0.66666666666666663</v>
      </c>
      <c r="AE191">
        <f>step3_validation[[#This Row],[AI_FAC2]]</f>
        <v>9</v>
      </c>
      <c r="AF191">
        <f t="shared" si="62"/>
        <v>0.88888888888888884</v>
      </c>
      <c r="AG191">
        <f>survey_responses[[#This Row],[So với trước đây, tôi thấy cách tính thuế và các bậc thuế trong phương án mới đơn giản, dễ hiểu và dễ thực hiện hơn. - HUMAN-FAC2]]</f>
        <v>8</v>
      </c>
      <c r="AH191">
        <f t="shared" si="63"/>
        <v>0.77777777777777779</v>
      </c>
      <c r="AI191" s="32">
        <f t="shared" si="64"/>
        <v>0.88888888888888884</v>
      </c>
      <c r="AJ191" s="32">
        <f t="shared" si="65"/>
        <v>0.72222222222222221</v>
      </c>
      <c r="AK191">
        <f>step3_validation[[#This Row],[AI_TRU1]]</f>
        <v>7</v>
      </c>
      <c r="AL191">
        <f t="shared" si="66"/>
        <v>0.66666666666666663</v>
      </c>
      <c r="AM191">
        <f>survey_responses[[#This Row],[Tôi tin rằng Nhà nước, cơ quan thuế sẽ thực thi chính sách mới một cách khách quan, công tâm và đối xử bình đẳng với mọi người nộp thuế.  - HUMAN-TRU1]]</f>
        <v>3</v>
      </c>
      <c r="AN191">
        <f t="shared" si="67"/>
        <v>0.22222222222222221</v>
      </c>
      <c r="AO191">
        <f>step3_validation[[#This Row],[AI_TRU2]]</f>
        <v>9</v>
      </c>
      <c r="AP191">
        <f t="shared" si="68"/>
        <v>0.88888888888888884</v>
      </c>
      <c r="AQ191">
        <f>survey_responses[[#This Row],[Tôi thấy mức thuế tôi phải đóng theo phương án mới là công bằng (người thu nhập như tôi đóng mức này là hợp lý). - HUMAN-TRU2]]</f>
        <v>3</v>
      </c>
      <c r="AR191">
        <f t="shared" si="69"/>
        <v>0.22222222222222221</v>
      </c>
      <c r="AS191">
        <f>step3_validation[[#This Row],[AI_TRU3]]</f>
        <v>8</v>
      </c>
      <c r="AT191">
        <f t="shared" si="70"/>
        <v>0.77777777777777779</v>
      </c>
      <c r="AU191">
        <f>survey_responses[[#This Row],[Tôi tin tưởng số tiền thuế tôi đóng sẽ được Nhà nước sử dụng hiệu quả để cải thiện dịch vụ công (y tế, đường xá...). - HUMAN-TRU3]]</f>
        <v>2</v>
      </c>
      <c r="AV191">
        <f t="shared" si="71"/>
        <v>0.1111111111111111</v>
      </c>
      <c r="AW191">
        <f>step3_validation[[#This Row],[AI_TRU4]]</f>
        <v>6</v>
      </c>
      <c r="AX191">
        <f t="shared" si="72"/>
        <v>0.55555555555555558</v>
      </c>
      <c r="AY191">
        <f>survey_responses[[#This Row],[Tôi thấy Nhà nước đã giải thích rõ ràng, minh bạch về lý do và mục tiêu của việc sửa đổi thuế lần này. - HUMAN-TRU4]]</f>
        <v>3</v>
      </c>
      <c r="AZ191">
        <f t="shared" si="73"/>
        <v>0.22222222222222221</v>
      </c>
      <c r="BA191" s="32">
        <f t="shared" si="74"/>
        <v>0.7222222222222221</v>
      </c>
      <c r="BB191" s="32">
        <f t="shared" si="75"/>
        <v>0.19444444444444445</v>
      </c>
      <c r="BC191" s="7">
        <f t="shared" si="76"/>
        <v>0.74074074074074081</v>
      </c>
      <c r="BD191" s="7">
        <f t="shared" si="77"/>
        <v>0.52777777777777779</v>
      </c>
      <c r="BE191">
        <f>step3_validation[[#This Row],[AI_OUT1]]</f>
        <v>9</v>
      </c>
      <c r="BF191">
        <f t="shared" si="78"/>
        <v>0.88888888888888884</v>
      </c>
      <c r="BG191">
        <f>survey_responses[[#This Row],[Sau khi xem xét các quyền lợi và nghĩa vụ, bạn có ủng hộ và tuân thủ chính sách mới hiện nay? - HUMAN-OUT1]]</f>
        <v>8</v>
      </c>
      <c r="BH191">
        <f t="shared" si="79"/>
        <v>0.77777777777777779</v>
      </c>
      <c r="BI191" s="32">
        <f t="shared" si="80"/>
        <v>1</v>
      </c>
    </row>
    <row r="192" spans="1:61" x14ac:dyDescent="0.45">
      <c r="A192" s="30">
        <f>step3_validation[[#This Row],[Persona_ID]]</f>
        <v>191</v>
      </c>
      <c r="B192" s="31">
        <f>step3_validation[[#This Row],[Used_Seed]]</f>
        <v>2181</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56.008106866924827</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f t="shared" si="54"/>
        <v>0.66666666666666663</v>
      </c>
      <c r="S192">
        <f>survey_responses[[#This Row],[Tôi tin rằng với các quy định quản lý thuế hiện nay, hành vi gian lận hoặc trốn thuế sẽ dễ dàng bị phát hiện và xử lý nghiêm. - HUMAN-ENF1]]</f>
        <v>7</v>
      </c>
      <c r="T192">
        <f t="shared" si="55"/>
        <v>0.66666666666666663</v>
      </c>
      <c r="U192">
        <f>step3_validation[[#This Row],[AI_ENF2]]</f>
        <v>8</v>
      </c>
      <c r="V192">
        <f t="shared" si="56"/>
        <v>0.77777777777777779</v>
      </c>
      <c r="W192">
        <f>survey_responses[[#This Row],[Tôi tin rằng Nhà nước, cơ quan thuế có đủ khả năng và công nghệ để phát hiện, xử lý nghiêm các hành vi trốn thuế. - HUMAN-ENF2]]</f>
        <v>7</v>
      </c>
      <c r="X192">
        <f t="shared" si="57"/>
        <v>0.66666666666666663</v>
      </c>
      <c r="Y192" s="32">
        <f t="shared" si="58"/>
        <v>0.72222222222222221</v>
      </c>
      <c r="Z192" s="32">
        <f t="shared" si="59"/>
        <v>0.66666666666666663</v>
      </c>
      <c r="AA192">
        <f>step3_validation[[#This Row],[AI_FAC1]]</f>
        <v>9</v>
      </c>
      <c r="AB192">
        <f t="shared" si="60"/>
        <v>0.88888888888888884</v>
      </c>
      <c r="AC192">
        <f>survey_responses[[#This Row],[Các thủ tục khai báo thuế VÀ/HOẶC quy trình làm việc với cơ quan thuế đơn giản, tiện lợi, nhanh chóng hơn so với trước đây. - HUMAN-FAC1]]</f>
        <v>6</v>
      </c>
      <c r="AD192">
        <f t="shared" si="61"/>
        <v>0.55555555555555558</v>
      </c>
      <c r="AE192">
        <f>step3_validation[[#This Row],[AI_FAC2]]</f>
        <v>10</v>
      </c>
      <c r="AF192">
        <f t="shared" si="62"/>
        <v>1</v>
      </c>
      <c r="AG192">
        <f>survey_responses[[#This Row],[So với trước đây, tôi thấy cách tính thuế và các bậc thuế trong phương án mới đơn giản, dễ hiểu và dễ thực hiện hơn. - HUMAN-FAC2]]</f>
        <v>8</v>
      </c>
      <c r="AH192">
        <f t="shared" si="63"/>
        <v>0.77777777777777779</v>
      </c>
      <c r="AI192" s="32">
        <f t="shared" si="64"/>
        <v>0.94444444444444442</v>
      </c>
      <c r="AJ192" s="32">
        <f t="shared" si="65"/>
        <v>0.66666666666666674</v>
      </c>
      <c r="AK192">
        <f>step3_validation[[#This Row],[AI_TRU1]]</f>
        <v>9</v>
      </c>
      <c r="AL192">
        <f t="shared" si="66"/>
        <v>0.88888888888888884</v>
      </c>
      <c r="AM192">
        <f>survey_responses[[#This Row],[Tôi tin rằng Nhà nước, cơ quan thuế sẽ thực thi chính sách mới một cách khách quan, công tâm và đối xử bình đẳng với mọi người nộp thuế.  - HUMAN-TRU1]]</f>
        <v>7</v>
      </c>
      <c r="AN192">
        <f t="shared" si="67"/>
        <v>0.66666666666666663</v>
      </c>
      <c r="AO192">
        <f>step3_validation[[#This Row],[AI_TRU2]]</f>
        <v>8</v>
      </c>
      <c r="AP192">
        <f t="shared" si="68"/>
        <v>0.77777777777777779</v>
      </c>
      <c r="AQ192">
        <f>survey_responses[[#This Row],[Tôi thấy mức thuế tôi phải đóng theo phương án mới là công bằng (người thu nhập như tôi đóng mức này là hợp lý). - HUMAN-TRU2]]</f>
        <v>8</v>
      </c>
      <c r="AR192">
        <f t="shared" si="69"/>
        <v>0.77777777777777779</v>
      </c>
      <c r="AS192">
        <f>step3_validation[[#This Row],[AI_TRU3]]</f>
        <v>9</v>
      </c>
      <c r="AT192">
        <f t="shared" si="70"/>
        <v>0.88888888888888884</v>
      </c>
      <c r="AU192">
        <f>survey_responses[[#This Row],[Tôi tin tưởng số tiền thuế tôi đóng sẽ được Nhà nước sử dụng hiệu quả để cải thiện dịch vụ công (y tế, đường xá...). - HUMAN-TRU3]]</f>
        <v>7</v>
      </c>
      <c r="AV192">
        <f t="shared" si="71"/>
        <v>0.66666666666666663</v>
      </c>
      <c r="AW192">
        <f>step3_validation[[#This Row],[AI_TRU4]]</f>
        <v>9</v>
      </c>
      <c r="AX192">
        <f t="shared" si="72"/>
        <v>0.88888888888888884</v>
      </c>
      <c r="AY192">
        <f>survey_responses[[#This Row],[Tôi thấy Nhà nước đã giải thích rõ ràng, minh bạch về lý do và mục tiêu của việc sửa đổi thuế lần này. - HUMAN-TRU4]]</f>
        <v>7</v>
      </c>
      <c r="AZ192">
        <f t="shared" si="73"/>
        <v>0.66666666666666663</v>
      </c>
      <c r="BA192" s="32">
        <f t="shared" si="74"/>
        <v>0.86111111111111105</v>
      </c>
      <c r="BB192" s="32">
        <f t="shared" si="75"/>
        <v>0.69444444444444442</v>
      </c>
      <c r="BC192" s="7">
        <f t="shared" si="76"/>
        <v>0.84259259259259256</v>
      </c>
      <c r="BD192" s="7">
        <f t="shared" si="77"/>
        <v>0.67592592592592593</v>
      </c>
      <c r="BE192">
        <f>step3_validation[[#This Row],[AI_OUT1]]</f>
        <v>9</v>
      </c>
      <c r="BF192">
        <f t="shared" si="78"/>
        <v>0.88888888888888884</v>
      </c>
      <c r="BG192">
        <f>survey_responses[[#This Row],[Sau khi xem xét các quyền lợi và nghĩa vụ, bạn có ủng hộ và tuân thủ chính sách mới hiện nay? - HUMAN-OUT1]]</f>
        <v>7</v>
      </c>
      <c r="BH192">
        <f t="shared" si="79"/>
        <v>0.66666666666666663</v>
      </c>
      <c r="BI192" s="32">
        <f t="shared" si="80"/>
        <v>2</v>
      </c>
    </row>
    <row r="193" spans="1:61" x14ac:dyDescent="0.45">
      <c r="A193" s="30">
        <f>step3_validation[[#This Row],[Persona_ID]]</f>
        <v>192</v>
      </c>
      <c r="B193" s="31">
        <f>step3_validation[[#This Row],[Used_Seed]]</f>
        <v>2182</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21.006095014974331</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8</v>
      </c>
      <c r="R193">
        <f t="shared" si="54"/>
        <v>0.77777777777777779</v>
      </c>
      <c r="S193">
        <f>survey_responses[[#This Row],[Tôi tin rằng với các quy định quản lý thuế hiện nay, hành vi gian lận hoặc trốn thuế sẽ dễ dàng bị phát hiện và xử lý nghiêm. - HUMAN-ENF1]]</f>
        <v>8</v>
      </c>
      <c r="T193">
        <f t="shared" si="55"/>
        <v>0.77777777777777779</v>
      </c>
      <c r="U193">
        <f>step3_validation[[#This Row],[AI_ENF2]]</f>
        <v>9</v>
      </c>
      <c r="V193">
        <f t="shared" si="56"/>
        <v>0.88888888888888884</v>
      </c>
      <c r="W193">
        <f>survey_responses[[#This Row],[Tôi tin rằng Nhà nước, cơ quan thuế có đủ khả năng và công nghệ để phát hiện, xử lý nghiêm các hành vi trốn thuế. - HUMAN-ENF2]]</f>
        <v>8</v>
      </c>
      <c r="X193">
        <f t="shared" si="57"/>
        <v>0.77777777777777779</v>
      </c>
      <c r="Y193" s="32">
        <f t="shared" si="58"/>
        <v>0.83333333333333326</v>
      </c>
      <c r="Z193" s="32">
        <f t="shared" si="59"/>
        <v>0.77777777777777779</v>
      </c>
      <c r="AA193">
        <f>step3_validation[[#This Row],[AI_FAC1]]</f>
        <v>7</v>
      </c>
      <c r="AB193">
        <f t="shared" si="60"/>
        <v>0.66666666666666663</v>
      </c>
      <c r="AC193">
        <f>survey_responses[[#This Row],[Các thủ tục khai báo thuế VÀ/HOẶC quy trình làm việc với cơ quan thuế đơn giản, tiện lợi, nhanh chóng hơn so với trước đây. - HUMAN-FAC1]]</f>
        <v>9</v>
      </c>
      <c r="AD193">
        <f t="shared" si="61"/>
        <v>0.88888888888888884</v>
      </c>
      <c r="AE193">
        <f>step3_validation[[#This Row],[AI_FAC2]]</f>
        <v>8</v>
      </c>
      <c r="AF193">
        <f t="shared" si="62"/>
        <v>0.77777777777777779</v>
      </c>
      <c r="AG193">
        <f>survey_responses[[#This Row],[So với trước đây, tôi thấy cách tính thuế và các bậc thuế trong phương án mới đơn giản, dễ hiểu và dễ thực hiện hơn. - HUMAN-FAC2]]</f>
        <v>9</v>
      </c>
      <c r="AH193">
        <f t="shared" si="63"/>
        <v>0.88888888888888884</v>
      </c>
      <c r="AI193" s="32">
        <f t="shared" si="64"/>
        <v>0.72222222222222221</v>
      </c>
      <c r="AJ193" s="32">
        <f t="shared" si="65"/>
        <v>0.88888888888888884</v>
      </c>
      <c r="AK193">
        <f>step3_validation[[#This Row],[AI_TRU1]]</f>
        <v>7</v>
      </c>
      <c r="AL193">
        <f t="shared" si="66"/>
        <v>0.66666666666666663</v>
      </c>
      <c r="AM193">
        <f>survey_responses[[#This Row],[Tôi tin rằng Nhà nước, cơ quan thuế sẽ thực thi chính sách mới một cách khách quan, công tâm và đối xử bình đẳng với mọi người nộp thuế.  - HUMAN-TRU1]]</f>
        <v>9</v>
      </c>
      <c r="AN193">
        <f t="shared" si="67"/>
        <v>0.88888888888888884</v>
      </c>
      <c r="AO193">
        <f>step3_validation[[#This Row],[AI_TRU2]]</f>
        <v>9</v>
      </c>
      <c r="AP193">
        <f t="shared" si="68"/>
        <v>0.88888888888888884</v>
      </c>
      <c r="AQ193">
        <f>survey_responses[[#This Row],[Tôi thấy mức thuế tôi phải đóng theo phương án mới là công bằng (người thu nhập như tôi đóng mức này là hợp lý). - HUMAN-TRU2]]</f>
        <v>9</v>
      </c>
      <c r="AR193">
        <f t="shared" si="69"/>
        <v>0.88888888888888884</v>
      </c>
      <c r="AS193">
        <f>step3_validation[[#This Row],[AI_TRU3]]</f>
        <v>8</v>
      </c>
      <c r="AT193">
        <f t="shared" si="70"/>
        <v>0.77777777777777779</v>
      </c>
      <c r="AU193">
        <f>survey_responses[[#This Row],[Tôi tin tưởng số tiền thuế tôi đóng sẽ được Nhà nước sử dụng hiệu quả để cải thiện dịch vụ công (y tế, đường xá...). - HUMAN-TRU3]]</f>
        <v>8</v>
      </c>
      <c r="AV193">
        <f t="shared" si="71"/>
        <v>0.77777777777777779</v>
      </c>
      <c r="AW193">
        <f>step3_validation[[#This Row],[AI_TRU4]]</f>
        <v>7</v>
      </c>
      <c r="AX193">
        <f t="shared" si="72"/>
        <v>0.66666666666666663</v>
      </c>
      <c r="AY193">
        <f>survey_responses[[#This Row],[Tôi thấy Nhà nước đã giải thích rõ ràng, minh bạch về lý do và mục tiêu của việc sửa đổi thuế lần này. - HUMAN-TRU4]]</f>
        <v>8</v>
      </c>
      <c r="AZ193">
        <f t="shared" si="73"/>
        <v>0.77777777777777779</v>
      </c>
      <c r="BA193" s="32">
        <f t="shared" si="74"/>
        <v>0.74999999999999989</v>
      </c>
      <c r="BB193" s="32">
        <f t="shared" si="75"/>
        <v>0.83333333333333326</v>
      </c>
      <c r="BC193" s="7">
        <f t="shared" si="76"/>
        <v>0.76851851851851849</v>
      </c>
      <c r="BD193" s="7">
        <f t="shared" si="77"/>
        <v>0.83333333333333337</v>
      </c>
      <c r="BE193">
        <f>step3_validation[[#This Row],[AI_OUT1]]</f>
        <v>8</v>
      </c>
      <c r="BF193">
        <f t="shared" si="78"/>
        <v>0.77777777777777779</v>
      </c>
      <c r="BG193">
        <f>survey_responses[[#This Row],[Sau khi xem xét các quyền lợi và nghĩa vụ, bạn có ủng hộ và tuân thủ chính sách mới hiện nay? - HUMAN-OUT1]]</f>
        <v>9</v>
      </c>
      <c r="BH193">
        <f t="shared" si="79"/>
        <v>0.88888888888888884</v>
      </c>
      <c r="BI193" s="32">
        <f t="shared" si="80"/>
        <v>1</v>
      </c>
    </row>
    <row r="194" spans="1:61" x14ac:dyDescent="0.45">
      <c r="A194" s="30">
        <f>step3_validation[[#This Row],[Persona_ID]]</f>
        <v>193</v>
      </c>
      <c r="B194" s="31">
        <f>step3_validation[[#This Row],[Used_Seed]]</f>
        <v>2183</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24.223476505769941</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8</v>
      </c>
      <c r="R194">
        <f t="shared" si="54"/>
        <v>0.77777777777777779</v>
      </c>
      <c r="S194">
        <f>survey_responses[[#This Row],[Tôi tin rằng với các quy định quản lý thuế hiện nay, hành vi gian lận hoặc trốn thuế sẽ dễ dàng bị phát hiện và xử lý nghiêm. - HUMAN-ENF1]]</f>
        <v>1</v>
      </c>
      <c r="T194">
        <f t="shared" si="55"/>
        <v>0</v>
      </c>
      <c r="U194">
        <f>step3_validation[[#This Row],[AI_ENF2]]</f>
        <v>9</v>
      </c>
      <c r="V194">
        <f t="shared" si="56"/>
        <v>0.88888888888888884</v>
      </c>
      <c r="W194">
        <f>survey_responses[[#This Row],[Tôi tin rằng Nhà nước, cơ quan thuế có đủ khả năng và công nghệ để phát hiện, xử lý nghiêm các hành vi trốn thuế. - HUMAN-ENF2]]</f>
        <v>1</v>
      </c>
      <c r="X194">
        <f t="shared" si="57"/>
        <v>0</v>
      </c>
      <c r="Y194" s="32">
        <f t="shared" si="58"/>
        <v>0.83333333333333326</v>
      </c>
      <c r="Z194" s="32">
        <f t="shared" si="59"/>
        <v>0</v>
      </c>
      <c r="AA194">
        <f>step3_validation[[#This Row],[AI_FAC1]]</f>
        <v>8</v>
      </c>
      <c r="AB194">
        <f t="shared" si="60"/>
        <v>0.77777777777777779</v>
      </c>
      <c r="AC194">
        <f>survey_responses[[#This Row],[Các thủ tục khai báo thuế VÀ/HOẶC quy trình làm việc với cơ quan thuế đơn giản, tiện lợi, nhanh chóng hơn so với trước đây. - HUMAN-FAC1]]</f>
        <v>7</v>
      </c>
      <c r="AD194">
        <f t="shared" si="61"/>
        <v>0.66666666666666663</v>
      </c>
      <c r="AE194">
        <f>step3_validation[[#This Row],[AI_FAC2]]</f>
        <v>9</v>
      </c>
      <c r="AF194">
        <f t="shared" si="62"/>
        <v>0.88888888888888884</v>
      </c>
      <c r="AG194">
        <f>survey_responses[[#This Row],[So với trước đây, tôi thấy cách tính thuế và các bậc thuế trong phương án mới đơn giản, dễ hiểu và dễ thực hiện hơn. - HUMAN-FAC2]]</f>
        <v>5</v>
      </c>
      <c r="AH194">
        <f t="shared" si="63"/>
        <v>0.44444444444444442</v>
      </c>
      <c r="AI194" s="32">
        <f t="shared" si="64"/>
        <v>0.83333333333333326</v>
      </c>
      <c r="AJ194" s="32">
        <f t="shared" si="65"/>
        <v>0.55555555555555558</v>
      </c>
      <c r="AK194">
        <f>step3_validation[[#This Row],[AI_TRU1]]</f>
        <v>8</v>
      </c>
      <c r="AL194">
        <f t="shared" si="66"/>
        <v>0.77777777777777779</v>
      </c>
      <c r="AM194">
        <f>survey_responses[[#This Row],[Tôi tin rằng Nhà nước, cơ quan thuế sẽ thực thi chính sách mới một cách khách quan, công tâm và đối xử bình đẳng với mọi người nộp thuế.  - HUMAN-TRU1]]</f>
        <v>5</v>
      </c>
      <c r="AN194">
        <f t="shared" si="67"/>
        <v>0.44444444444444442</v>
      </c>
      <c r="AO194">
        <f>step3_validation[[#This Row],[AI_TRU2]]</f>
        <v>9</v>
      </c>
      <c r="AP194">
        <f t="shared" si="68"/>
        <v>0.88888888888888884</v>
      </c>
      <c r="AQ194">
        <f>survey_responses[[#This Row],[Tôi thấy mức thuế tôi phải đóng theo phương án mới là công bằng (người thu nhập như tôi đóng mức này là hợp lý). - HUMAN-TRU2]]</f>
        <v>7</v>
      </c>
      <c r="AR194">
        <f t="shared" si="69"/>
        <v>0.66666666666666663</v>
      </c>
      <c r="AS194">
        <f>step3_validation[[#This Row],[AI_TRU3]]</f>
        <v>8</v>
      </c>
      <c r="AT194">
        <f t="shared" si="70"/>
        <v>0.77777777777777779</v>
      </c>
      <c r="AU194">
        <f>survey_responses[[#This Row],[Tôi tin tưởng số tiền thuế tôi đóng sẽ được Nhà nước sử dụng hiệu quả để cải thiện dịch vụ công (y tế, đường xá...). - HUMAN-TRU3]]</f>
        <v>2</v>
      </c>
      <c r="AV194">
        <f t="shared" si="71"/>
        <v>0.1111111111111111</v>
      </c>
      <c r="AW194">
        <f>step3_validation[[#This Row],[AI_TRU4]]</f>
        <v>9</v>
      </c>
      <c r="AX194">
        <f t="shared" si="72"/>
        <v>0.88888888888888884</v>
      </c>
      <c r="AY194">
        <f>survey_responses[[#This Row],[Tôi thấy Nhà nước đã giải thích rõ ràng, minh bạch về lý do và mục tiêu của việc sửa đổi thuế lần này. - HUMAN-TRU4]]</f>
        <v>5</v>
      </c>
      <c r="AZ194">
        <f t="shared" si="73"/>
        <v>0.44444444444444442</v>
      </c>
      <c r="BA194" s="32">
        <f t="shared" si="74"/>
        <v>0.83333333333333326</v>
      </c>
      <c r="BB194" s="32">
        <f t="shared" si="75"/>
        <v>0.41666666666666669</v>
      </c>
      <c r="BC194" s="7">
        <f t="shared" si="76"/>
        <v>0.83333333333333337</v>
      </c>
      <c r="BD194" s="7">
        <f t="shared" si="77"/>
        <v>0.32407407407407413</v>
      </c>
      <c r="BE194">
        <f>step3_validation[[#This Row],[AI_OUT1]]</f>
        <v>10</v>
      </c>
      <c r="BF194">
        <f t="shared" si="78"/>
        <v>1</v>
      </c>
      <c r="BG194">
        <f>survey_responses[[#This Row],[Sau khi xem xét các quyền lợi và nghĩa vụ, bạn có ủng hộ và tuân thủ chính sách mới hiện nay? - HUMAN-OUT1]]</f>
        <v>5</v>
      </c>
      <c r="BH194">
        <f t="shared" si="79"/>
        <v>0.44444444444444442</v>
      </c>
      <c r="BI194" s="32">
        <f t="shared" si="80"/>
        <v>5</v>
      </c>
    </row>
    <row r="195" spans="1:61" x14ac:dyDescent="0.45">
      <c r="A195" s="30">
        <f>step3_validation[[#This Row],[Persona_ID]]</f>
        <v>194</v>
      </c>
      <c r="B195" s="31">
        <f>step3_validation[[#This Row],[Used_Seed]]</f>
        <v>2184</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19.31967304171242</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f t="shared" ref="R195:R258" si="81">(Q195-1)/9</f>
        <v>0.66666666666666663</v>
      </c>
      <c r="S195">
        <f>survey_responses[[#This Row],[Tôi tin rằng với các quy định quản lý thuế hiện nay, hành vi gian lận hoặc trốn thuế sẽ dễ dàng bị phát hiện và xử lý nghiêm. - HUMAN-ENF1]]</f>
        <v>10</v>
      </c>
      <c r="T195">
        <f t="shared" ref="T195:T258" si="82">(S195-1)/9</f>
        <v>1</v>
      </c>
      <c r="U195">
        <f>step3_validation[[#This Row],[AI_ENF2]]</f>
        <v>8</v>
      </c>
      <c r="V195">
        <f t="shared" ref="V195:V258" si="83">(U195-1)/9</f>
        <v>0.77777777777777779</v>
      </c>
      <c r="W195">
        <f>survey_responses[[#This Row],[Tôi tin rằng Nhà nước, cơ quan thuế có đủ khả năng và công nghệ để phát hiện, xử lý nghiêm các hành vi trốn thuế. - HUMAN-ENF2]]</f>
        <v>10</v>
      </c>
      <c r="X195">
        <f t="shared" ref="X195:X258" si="84">(W195-1)/9</f>
        <v>1</v>
      </c>
      <c r="Y195" s="32">
        <f t="shared" ref="Y195:Y258" si="85">AVERAGE(R195,V195)</f>
        <v>0.72222222222222221</v>
      </c>
      <c r="Z195" s="32">
        <f t="shared" ref="Z195:Z258" si="86">AVERAGE(T195,X195)</f>
        <v>1</v>
      </c>
      <c r="AA195">
        <f>step3_validation[[#This Row],[AI_FAC1]]</f>
        <v>9</v>
      </c>
      <c r="AB195">
        <f t="shared" ref="AB195:AB258" si="87">(AA195-1)/9</f>
        <v>0.88888888888888884</v>
      </c>
      <c r="AC195">
        <f>survey_responses[[#This Row],[Các thủ tục khai báo thuế VÀ/HOẶC quy trình làm việc với cơ quan thuế đơn giản, tiện lợi, nhanh chóng hơn so với trước đây. - HUMAN-FAC1]]</f>
        <v>6</v>
      </c>
      <c r="AD195">
        <f t="shared" ref="AD195:AD258" si="88">(AC195-1)/9</f>
        <v>0.55555555555555558</v>
      </c>
      <c r="AE195">
        <f>step3_validation[[#This Row],[AI_FAC2]]</f>
        <v>10</v>
      </c>
      <c r="AF195">
        <f t="shared" ref="AF195:AF258" si="89">(AE195-1)/9</f>
        <v>1</v>
      </c>
      <c r="AG195">
        <f>survey_responses[[#This Row],[So với trước đây, tôi thấy cách tính thuế và các bậc thuế trong phương án mới đơn giản, dễ hiểu và dễ thực hiện hơn. - HUMAN-FAC2]]</f>
        <v>4</v>
      </c>
      <c r="AH195">
        <f t="shared" ref="AH195:AH258" si="90">(AG195-1)/9</f>
        <v>0.33333333333333331</v>
      </c>
      <c r="AI195" s="32">
        <f t="shared" ref="AI195:AI258" si="91">AVERAGE(AB195,AF195)</f>
        <v>0.94444444444444442</v>
      </c>
      <c r="AJ195" s="32">
        <f t="shared" ref="AJ195:AJ258" si="92">AVERAGE(AD195,AH195)</f>
        <v>0.44444444444444442</v>
      </c>
      <c r="AK195">
        <f>step3_validation[[#This Row],[AI_TRU1]]</f>
        <v>9</v>
      </c>
      <c r="AL195">
        <f t="shared" ref="AL195:AL258" si="93">(AK195-1)/9</f>
        <v>0.88888888888888884</v>
      </c>
      <c r="AM195">
        <f>survey_responses[[#This Row],[Tôi tin rằng Nhà nước, cơ quan thuế sẽ thực thi chính sách mới một cách khách quan, công tâm và đối xử bình đẳng với mọi người nộp thuế.  - HUMAN-TRU1]]</f>
        <v>8</v>
      </c>
      <c r="AN195">
        <f t="shared" ref="AN195:AN258" si="94">(AM195-1)/9</f>
        <v>0.77777777777777779</v>
      </c>
      <c r="AO195">
        <f>step3_validation[[#This Row],[AI_TRU2]]</f>
        <v>8</v>
      </c>
      <c r="AP195">
        <f t="shared" ref="AP195:AP258" si="95">(AO195-1)/9</f>
        <v>0.77777777777777779</v>
      </c>
      <c r="AQ195">
        <f>survey_responses[[#This Row],[Tôi thấy mức thuế tôi phải đóng theo phương án mới là công bằng (người thu nhập như tôi đóng mức này là hợp lý). - HUMAN-TRU2]]</f>
        <v>3</v>
      </c>
      <c r="AR195">
        <f t="shared" ref="AR195:AR258" si="96">(AQ195-1)/9</f>
        <v>0.22222222222222221</v>
      </c>
      <c r="AS195">
        <f>step3_validation[[#This Row],[AI_TRU3]]</f>
        <v>9</v>
      </c>
      <c r="AT195">
        <f t="shared" ref="AT195:AT258" si="97">(AS195-1)/9</f>
        <v>0.88888888888888884</v>
      </c>
      <c r="AU195">
        <f>survey_responses[[#This Row],[Tôi tin tưởng số tiền thuế tôi đóng sẽ được Nhà nước sử dụng hiệu quả để cải thiện dịch vụ công (y tế, đường xá...). - HUMAN-TRU3]]</f>
        <v>10</v>
      </c>
      <c r="AV195">
        <f t="shared" ref="AV195:AV258" si="98">(AU195-1)/9</f>
        <v>1</v>
      </c>
      <c r="AW195">
        <f>step3_validation[[#This Row],[AI_TRU4]]</f>
        <v>8</v>
      </c>
      <c r="AX195">
        <f t="shared" ref="AX195:AX258" si="99">(AW195-1)/9</f>
        <v>0.77777777777777779</v>
      </c>
      <c r="AY195">
        <f>survey_responses[[#This Row],[Tôi thấy Nhà nước đã giải thích rõ ràng, minh bạch về lý do và mục tiêu của việc sửa đổi thuế lần này. - HUMAN-TRU4]]</f>
        <v>10</v>
      </c>
      <c r="AZ195">
        <f t="shared" ref="AZ195:AZ258" si="100">(AY195-1)/9</f>
        <v>1</v>
      </c>
      <c r="BA195" s="32">
        <f t="shared" ref="BA195:BA258" si="101">AVERAGE(AL195,AP195,AT195,AX195)</f>
        <v>0.83333333333333326</v>
      </c>
      <c r="BB195" s="32">
        <f t="shared" ref="BB195:BB258" si="102">AVERAGE(AN195,AR195,AV195,AZ195)</f>
        <v>0.75</v>
      </c>
      <c r="BC195" s="7">
        <f t="shared" ref="BC195:BC258" si="103">(Y195+AI195+BA195)/3</f>
        <v>0.83333333333333337</v>
      </c>
      <c r="BD195" s="7">
        <f t="shared" ref="BD195:BD258" si="104">(Z195+AJ195+BB195)/3</f>
        <v>0.73148148148148151</v>
      </c>
      <c r="BE195">
        <f>step3_validation[[#This Row],[AI_OUT1]]</f>
        <v>9</v>
      </c>
      <c r="BF195">
        <f t="shared" ref="BF195:BF258" si="105">(BE195-1)/9</f>
        <v>0.88888888888888884</v>
      </c>
      <c r="BG195">
        <f>survey_responses[[#This Row],[Sau khi xem xét các quyền lợi và nghĩa vụ, bạn có ủng hộ và tuân thủ chính sách mới hiện nay? - HUMAN-OUT1]]</f>
        <v>10</v>
      </c>
      <c r="BH195">
        <f t="shared" ref="BH195:BH258" si="106">(BG195-1)/9</f>
        <v>1</v>
      </c>
      <c r="BI195" s="32">
        <f t="shared" ref="BI195:BI258" si="107">ABS(BG195-BE195)</f>
        <v>1</v>
      </c>
    </row>
    <row r="196" spans="1:61" x14ac:dyDescent="0.45">
      <c r="A196" s="30">
        <f>step3_validation[[#This Row],[Persona_ID]]</f>
        <v>195</v>
      </c>
      <c r="B196" s="31">
        <f>step3_validation[[#This Row],[Used_Seed]]</f>
        <v>2185</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15.915735914964234</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9</v>
      </c>
      <c r="R196">
        <f t="shared" si="81"/>
        <v>0.88888888888888884</v>
      </c>
      <c r="S196">
        <f>survey_responses[[#This Row],[Tôi tin rằng với các quy định quản lý thuế hiện nay, hành vi gian lận hoặc trốn thuế sẽ dễ dàng bị phát hiện và xử lý nghiêm. - HUMAN-ENF1]]</f>
        <v>9</v>
      </c>
      <c r="T196">
        <f t="shared" si="82"/>
        <v>0.88888888888888884</v>
      </c>
      <c r="U196">
        <f>step3_validation[[#This Row],[AI_ENF2]]</f>
        <v>8</v>
      </c>
      <c r="V196">
        <f t="shared" si="83"/>
        <v>0.77777777777777779</v>
      </c>
      <c r="W196">
        <f>survey_responses[[#This Row],[Tôi tin rằng Nhà nước, cơ quan thuế có đủ khả năng và công nghệ để phát hiện, xử lý nghiêm các hành vi trốn thuế. - HUMAN-ENF2]]</f>
        <v>9</v>
      </c>
      <c r="X196">
        <f t="shared" si="84"/>
        <v>0.88888888888888884</v>
      </c>
      <c r="Y196" s="32">
        <f t="shared" si="85"/>
        <v>0.83333333333333326</v>
      </c>
      <c r="Z196" s="32">
        <f t="shared" si="86"/>
        <v>0.88888888888888884</v>
      </c>
      <c r="AA196">
        <f>step3_validation[[#This Row],[AI_FAC1]]</f>
        <v>9</v>
      </c>
      <c r="AB196">
        <f t="shared" si="87"/>
        <v>0.88888888888888884</v>
      </c>
      <c r="AC196">
        <f>survey_responses[[#This Row],[Các thủ tục khai báo thuế VÀ/HOẶC quy trình làm việc với cơ quan thuế đơn giản, tiện lợi, nhanh chóng hơn so với trước đây. - HUMAN-FAC1]]</f>
        <v>5</v>
      </c>
      <c r="AD196">
        <f t="shared" si="88"/>
        <v>0.44444444444444442</v>
      </c>
      <c r="AE196">
        <f>step3_validation[[#This Row],[AI_FAC2]]</f>
        <v>8</v>
      </c>
      <c r="AF196">
        <f t="shared" si="89"/>
        <v>0.77777777777777779</v>
      </c>
      <c r="AG196">
        <f>survey_responses[[#This Row],[So với trước đây, tôi thấy cách tính thuế và các bậc thuế trong phương án mới đơn giản, dễ hiểu và dễ thực hiện hơn. - HUMAN-FAC2]]</f>
        <v>5</v>
      </c>
      <c r="AH196">
        <f t="shared" si="90"/>
        <v>0.44444444444444442</v>
      </c>
      <c r="AI196" s="32">
        <f t="shared" si="91"/>
        <v>0.83333333333333326</v>
      </c>
      <c r="AJ196" s="32">
        <f t="shared" si="92"/>
        <v>0.44444444444444442</v>
      </c>
      <c r="AK196">
        <f>step3_validation[[#This Row],[AI_TRU1]]</f>
        <v>9</v>
      </c>
      <c r="AL196">
        <f t="shared" si="93"/>
        <v>0.88888888888888884</v>
      </c>
      <c r="AM196">
        <f>survey_responses[[#This Row],[Tôi tin rằng Nhà nước, cơ quan thuế sẽ thực thi chính sách mới một cách khách quan, công tâm và đối xử bình đẳng với mọi người nộp thuế.  - HUMAN-TRU1]]</f>
        <v>7</v>
      </c>
      <c r="AN196">
        <f t="shared" si="94"/>
        <v>0.66666666666666663</v>
      </c>
      <c r="AO196">
        <f>step3_validation[[#This Row],[AI_TRU2]]</f>
        <v>8</v>
      </c>
      <c r="AP196">
        <f t="shared" si="95"/>
        <v>0.77777777777777779</v>
      </c>
      <c r="AQ196">
        <f>survey_responses[[#This Row],[Tôi thấy mức thuế tôi phải đóng theo phương án mới là công bằng (người thu nhập như tôi đóng mức này là hợp lý). - HUMAN-TRU2]]</f>
        <v>7</v>
      </c>
      <c r="AR196">
        <f t="shared" si="96"/>
        <v>0.66666666666666663</v>
      </c>
      <c r="AS196">
        <f>step3_validation[[#This Row],[AI_TRU3]]</f>
        <v>9</v>
      </c>
      <c r="AT196">
        <f t="shared" si="97"/>
        <v>0.88888888888888884</v>
      </c>
      <c r="AU196">
        <f>survey_responses[[#This Row],[Tôi tin tưởng số tiền thuế tôi đóng sẽ được Nhà nước sử dụng hiệu quả để cải thiện dịch vụ công (y tế, đường xá...). - HUMAN-TRU3]]</f>
        <v>8</v>
      </c>
      <c r="AV196">
        <f t="shared" si="98"/>
        <v>0.77777777777777779</v>
      </c>
      <c r="AW196">
        <f>step3_validation[[#This Row],[AI_TRU4]]</f>
        <v>8</v>
      </c>
      <c r="AX196">
        <f t="shared" si="99"/>
        <v>0.77777777777777779</v>
      </c>
      <c r="AY196">
        <f>survey_responses[[#This Row],[Tôi thấy Nhà nước đã giải thích rõ ràng, minh bạch về lý do và mục tiêu của việc sửa đổi thuế lần này. - HUMAN-TRU4]]</f>
        <v>8</v>
      </c>
      <c r="AZ196">
        <f t="shared" si="100"/>
        <v>0.77777777777777779</v>
      </c>
      <c r="BA196" s="32">
        <f t="shared" si="101"/>
        <v>0.83333333333333326</v>
      </c>
      <c r="BB196" s="32">
        <f t="shared" si="102"/>
        <v>0.72222222222222221</v>
      </c>
      <c r="BC196" s="7">
        <f t="shared" si="103"/>
        <v>0.83333333333333337</v>
      </c>
      <c r="BD196" s="7">
        <f t="shared" si="104"/>
        <v>0.68518518518518512</v>
      </c>
      <c r="BE196">
        <f>step3_validation[[#This Row],[AI_OUT1]]</f>
        <v>9</v>
      </c>
      <c r="BF196">
        <f t="shared" si="105"/>
        <v>0.88888888888888884</v>
      </c>
      <c r="BG196">
        <f>survey_responses[[#This Row],[Sau khi xem xét các quyền lợi và nghĩa vụ, bạn có ủng hộ và tuân thủ chính sách mới hiện nay? - HUMAN-OUT1]]</f>
        <v>8</v>
      </c>
      <c r="BH196">
        <f t="shared" si="106"/>
        <v>0.77777777777777779</v>
      </c>
      <c r="BI196" s="32">
        <f t="shared" si="107"/>
        <v>1</v>
      </c>
    </row>
    <row r="197" spans="1:61" x14ac:dyDescent="0.45">
      <c r="A197" s="30">
        <f>step3_validation[[#This Row],[Persona_ID]]</f>
        <v>196</v>
      </c>
      <c r="B197" s="31">
        <f>step3_validation[[#This Row],[Used_Seed]]</f>
        <v>2186</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13.836921905190801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6</v>
      </c>
      <c r="R197">
        <f t="shared" si="81"/>
        <v>0.55555555555555558</v>
      </c>
      <c r="S197">
        <f>survey_responses[[#This Row],[Tôi tin rằng với các quy định quản lý thuế hiện nay, hành vi gian lận hoặc trốn thuế sẽ dễ dàng bị phát hiện và xử lý nghiêm. - HUMAN-ENF1]]</f>
        <v>9</v>
      </c>
      <c r="T197">
        <f t="shared" si="82"/>
        <v>0.88888888888888884</v>
      </c>
      <c r="U197">
        <f>step3_validation[[#This Row],[AI_ENF2]]</f>
        <v>7</v>
      </c>
      <c r="V197">
        <f t="shared" si="83"/>
        <v>0.66666666666666663</v>
      </c>
      <c r="W197">
        <f>survey_responses[[#This Row],[Tôi tin rằng Nhà nước, cơ quan thuế có đủ khả năng và công nghệ để phát hiện, xử lý nghiêm các hành vi trốn thuế. - HUMAN-ENF2]]</f>
        <v>9</v>
      </c>
      <c r="X197">
        <f t="shared" si="84"/>
        <v>0.88888888888888884</v>
      </c>
      <c r="Y197" s="32">
        <f t="shared" si="85"/>
        <v>0.61111111111111116</v>
      </c>
      <c r="Z197" s="32">
        <f t="shared" si="86"/>
        <v>0.88888888888888884</v>
      </c>
      <c r="AA197">
        <f>step3_validation[[#This Row],[AI_FAC1]]</f>
        <v>9</v>
      </c>
      <c r="AB197">
        <f t="shared" si="87"/>
        <v>0.88888888888888884</v>
      </c>
      <c r="AC197">
        <f>survey_responses[[#This Row],[Các thủ tục khai báo thuế VÀ/HOẶC quy trình làm việc với cơ quan thuế đơn giản, tiện lợi, nhanh chóng hơn so với trước đây. - HUMAN-FAC1]]</f>
        <v>9</v>
      </c>
      <c r="AD197">
        <f t="shared" si="88"/>
        <v>0.88888888888888884</v>
      </c>
      <c r="AE197">
        <f>step3_validation[[#This Row],[AI_FAC2]]</f>
        <v>8</v>
      </c>
      <c r="AF197">
        <f t="shared" si="89"/>
        <v>0.77777777777777779</v>
      </c>
      <c r="AG197">
        <f>survey_responses[[#This Row],[So với trước đây, tôi thấy cách tính thuế và các bậc thuế trong phương án mới đơn giản, dễ hiểu và dễ thực hiện hơn. - HUMAN-FAC2]]</f>
        <v>9</v>
      </c>
      <c r="AH197">
        <f t="shared" si="90"/>
        <v>0.88888888888888884</v>
      </c>
      <c r="AI197" s="32">
        <f t="shared" si="91"/>
        <v>0.83333333333333326</v>
      </c>
      <c r="AJ197" s="32">
        <f t="shared" si="92"/>
        <v>0.88888888888888884</v>
      </c>
      <c r="AK197">
        <f>step3_validation[[#This Row],[AI_TRU1]]</f>
        <v>7</v>
      </c>
      <c r="AL197">
        <f t="shared" si="93"/>
        <v>0.66666666666666663</v>
      </c>
      <c r="AM197">
        <f>survey_responses[[#This Row],[Tôi tin rằng Nhà nước, cơ quan thuế sẽ thực thi chính sách mới một cách khách quan, công tâm và đối xử bình đẳng với mọi người nộp thuế.  - HUMAN-TRU1]]</f>
        <v>9</v>
      </c>
      <c r="AN197">
        <f t="shared" si="94"/>
        <v>0.88888888888888884</v>
      </c>
      <c r="AO197">
        <f>step3_validation[[#This Row],[AI_TRU2]]</f>
        <v>8</v>
      </c>
      <c r="AP197">
        <f t="shared" si="95"/>
        <v>0.77777777777777779</v>
      </c>
      <c r="AQ197">
        <f>survey_responses[[#This Row],[Tôi thấy mức thuế tôi phải đóng theo phương án mới là công bằng (người thu nhập như tôi đóng mức này là hợp lý). - HUMAN-TRU2]]</f>
        <v>9</v>
      </c>
      <c r="AR197">
        <f t="shared" si="96"/>
        <v>0.88888888888888884</v>
      </c>
      <c r="AS197">
        <f>step3_validation[[#This Row],[AI_TRU3]]</f>
        <v>7</v>
      </c>
      <c r="AT197">
        <f t="shared" si="97"/>
        <v>0.66666666666666663</v>
      </c>
      <c r="AU197">
        <f>survey_responses[[#This Row],[Tôi tin tưởng số tiền thuế tôi đóng sẽ được Nhà nước sử dụng hiệu quả để cải thiện dịch vụ công (y tế, đường xá...). - HUMAN-TRU3]]</f>
        <v>9</v>
      </c>
      <c r="AV197">
        <f t="shared" si="98"/>
        <v>0.88888888888888884</v>
      </c>
      <c r="AW197">
        <f>step3_validation[[#This Row],[AI_TRU4]]</f>
        <v>6</v>
      </c>
      <c r="AX197">
        <f t="shared" si="99"/>
        <v>0.55555555555555558</v>
      </c>
      <c r="AY197">
        <f>survey_responses[[#This Row],[Tôi thấy Nhà nước đã giải thích rõ ràng, minh bạch về lý do và mục tiêu của việc sửa đổi thuế lần này. - HUMAN-TRU4]]</f>
        <v>9</v>
      </c>
      <c r="AZ197">
        <f t="shared" si="100"/>
        <v>0.88888888888888884</v>
      </c>
      <c r="BA197" s="32">
        <f t="shared" si="101"/>
        <v>0.66666666666666674</v>
      </c>
      <c r="BB197" s="32">
        <f t="shared" si="102"/>
        <v>0.88888888888888884</v>
      </c>
      <c r="BC197" s="7">
        <f t="shared" si="103"/>
        <v>0.70370370370370372</v>
      </c>
      <c r="BD197" s="7">
        <f t="shared" si="104"/>
        <v>0.88888888888888884</v>
      </c>
      <c r="BE197">
        <f>step3_validation[[#This Row],[AI_OUT1]]</f>
        <v>9</v>
      </c>
      <c r="BF197">
        <f t="shared" si="105"/>
        <v>0.88888888888888884</v>
      </c>
      <c r="BG197">
        <f>survey_responses[[#This Row],[Sau khi xem xét các quyền lợi và nghĩa vụ, bạn có ủng hộ và tuân thủ chính sách mới hiện nay? - HUMAN-OUT1]]</f>
        <v>9</v>
      </c>
      <c r="BH197">
        <f t="shared" si="106"/>
        <v>0.88888888888888884</v>
      </c>
      <c r="BI197" s="32">
        <f t="shared" si="107"/>
        <v>0</v>
      </c>
    </row>
    <row r="198" spans="1:61" x14ac:dyDescent="0.45">
      <c r="A198" s="30">
        <f>step3_validation[[#This Row],[Persona_ID]]</f>
        <v>197</v>
      </c>
      <c r="B198" s="31">
        <f>step3_validation[[#This Row],[Used_Seed]]</f>
        <v>2187</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12.669669982638217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f t="shared" si="81"/>
        <v>0.88888888888888884</v>
      </c>
      <c r="S198">
        <f>survey_responses[[#This Row],[Tôi tin rằng với các quy định quản lý thuế hiện nay, hành vi gian lận hoặc trốn thuế sẽ dễ dàng bị phát hiện và xử lý nghiêm. - HUMAN-ENF1]]</f>
        <v>9</v>
      </c>
      <c r="T198">
        <f t="shared" si="82"/>
        <v>0.88888888888888884</v>
      </c>
      <c r="U198">
        <f>step3_validation[[#This Row],[AI_ENF2]]</f>
        <v>8</v>
      </c>
      <c r="V198">
        <f t="shared" si="83"/>
        <v>0.77777777777777779</v>
      </c>
      <c r="W198">
        <f>survey_responses[[#This Row],[Tôi tin rằng Nhà nước, cơ quan thuế có đủ khả năng và công nghệ để phát hiện, xử lý nghiêm các hành vi trốn thuế. - HUMAN-ENF2]]</f>
        <v>10</v>
      </c>
      <c r="X198">
        <f t="shared" si="84"/>
        <v>1</v>
      </c>
      <c r="Y198" s="32">
        <f t="shared" si="85"/>
        <v>0.83333333333333326</v>
      </c>
      <c r="Z198" s="32">
        <f t="shared" si="86"/>
        <v>0.94444444444444442</v>
      </c>
      <c r="AA198">
        <f>step3_validation[[#This Row],[AI_FAC1]]</f>
        <v>7</v>
      </c>
      <c r="AB198">
        <f t="shared" si="87"/>
        <v>0.66666666666666663</v>
      </c>
      <c r="AC198">
        <f>survey_responses[[#This Row],[Các thủ tục khai báo thuế VÀ/HOẶC quy trình làm việc với cơ quan thuế đơn giản, tiện lợi, nhanh chóng hơn so với trước đây. - HUMAN-FAC1]]</f>
        <v>10</v>
      </c>
      <c r="AD198">
        <f t="shared" si="88"/>
        <v>1</v>
      </c>
      <c r="AE198">
        <f>step3_validation[[#This Row],[AI_FAC2]]</f>
        <v>8</v>
      </c>
      <c r="AF198">
        <f t="shared" si="89"/>
        <v>0.77777777777777779</v>
      </c>
      <c r="AG198">
        <f>survey_responses[[#This Row],[So với trước đây, tôi thấy cách tính thuế và các bậc thuế trong phương án mới đơn giản, dễ hiểu và dễ thực hiện hơn. - HUMAN-FAC2]]</f>
        <v>9</v>
      </c>
      <c r="AH198">
        <f t="shared" si="90"/>
        <v>0.88888888888888884</v>
      </c>
      <c r="AI198" s="32">
        <f t="shared" si="91"/>
        <v>0.72222222222222221</v>
      </c>
      <c r="AJ198" s="32">
        <f t="shared" si="92"/>
        <v>0.94444444444444442</v>
      </c>
      <c r="AK198">
        <f>step3_validation[[#This Row],[AI_TRU1]]</f>
        <v>9</v>
      </c>
      <c r="AL198">
        <f t="shared" si="93"/>
        <v>0.88888888888888884</v>
      </c>
      <c r="AM198">
        <f>survey_responses[[#This Row],[Tôi tin rằng Nhà nước, cơ quan thuế sẽ thực thi chính sách mới một cách khách quan, công tâm và đối xử bình đẳng với mọi người nộp thuế.  - HUMAN-TRU1]]</f>
        <v>10</v>
      </c>
      <c r="AN198">
        <f t="shared" si="94"/>
        <v>1</v>
      </c>
      <c r="AO198">
        <f>step3_validation[[#This Row],[AI_TRU2]]</f>
        <v>8</v>
      </c>
      <c r="AP198">
        <f t="shared" si="95"/>
        <v>0.77777777777777779</v>
      </c>
      <c r="AQ198">
        <f>survey_responses[[#This Row],[Tôi thấy mức thuế tôi phải đóng theo phương án mới là công bằng (người thu nhập như tôi đóng mức này là hợp lý). - HUMAN-TRU2]]</f>
        <v>10</v>
      </c>
      <c r="AR198">
        <f t="shared" si="96"/>
        <v>1</v>
      </c>
      <c r="AS198">
        <f>step3_validation[[#This Row],[AI_TRU3]]</f>
        <v>7</v>
      </c>
      <c r="AT198">
        <f t="shared" si="97"/>
        <v>0.66666666666666663</v>
      </c>
      <c r="AU198">
        <f>survey_responses[[#This Row],[Tôi tin tưởng số tiền thuế tôi đóng sẽ được Nhà nước sử dụng hiệu quả để cải thiện dịch vụ công (y tế, đường xá...). - HUMAN-TRU3]]</f>
        <v>10</v>
      </c>
      <c r="AV198">
        <f t="shared" si="98"/>
        <v>1</v>
      </c>
      <c r="AW198">
        <f>step3_validation[[#This Row],[AI_TRU4]]</f>
        <v>6</v>
      </c>
      <c r="AX198">
        <f t="shared" si="99"/>
        <v>0.55555555555555558</v>
      </c>
      <c r="AY198">
        <f>survey_responses[[#This Row],[Tôi thấy Nhà nước đã giải thích rõ ràng, minh bạch về lý do và mục tiêu của việc sửa đổi thuế lần này. - HUMAN-TRU4]]</f>
        <v>9</v>
      </c>
      <c r="AZ198">
        <f t="shared" si="100"/>
        <v>0.88888888888888884</v>
      </c>
      <c r="BA198" s="32">
        <f t="shared" si="101"/>
        <v>0.7222222222222221</v>
      </c>
      <c r="BB198" s="32">
        <f t="shared" si="102"/>
        <v>0.97222222222222221</v>
      </c>
      <c r="BC198" s="7">
        <f t="shared" si="103"/>
        <v>0.75925925925925919</v>
      </c>
      <c r="BD198" s="7">
        <f t="shared" si="104"/>
        <v>0.95370370370370372</v>
      </c>
      <c r="BE198">
        <f>step3_validation[[#This Row],[AI_OUT1]]</f>
        <v>8</v>
      </c>
      <c r="BF198">
        <f t="shared" si="105"/>
        <v>0.77777777777777779</v>
      </c>
      <c r="BG198">
        <f>survey_responses[[#This Row],[Sau khi xem xét các quyền lợi và nghĩa vụ, bạn có ủng hộ và tuân thủ chính sách mới hiện nay? - HUMAN-OUT1]]</f>
        <v>10</v>
      </c>
      <c r="BH198">
        <f t="shared" si="106"/>
        <v>1</v>
      </c>
      <c r="BI198" s="32">
        <f t="shared" si="107"/>
        <v>2</v>
      </c>
    </row>
    <row r="199" spans="1:61" x14ac:dyDescent="0.45">
      <c r="A199" s="30">
        <f>step3_validation[[#This Row],[Persona_ID]]</f>
        <v>198</v>
      </c>
      <c r="B199" s="31">
        <f>step3_validation[[#This Row],[Used_Seed]]</f>
        <v>2188</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12.688219564202335</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2</v>
      </c>
      <c r="R199">
        <f t="shared" si="81"/>
        <v>0.1111111111111111</v>
      </c>
      <c r="S199">
        <f>survey_responses[[#This Row],[Tôi tin rằng với các quy định quản lý thuế hiện nay, hành vi gian lận hoặc trốn thuế sẽ dễ dàng bị phát hiện và xử lý nghiêm. - HUMAN-ENF1]]</f>
        <v>5</v>
      </c>
      <c r="T199">
        <f t="shared" si="82"/>
        <v>0.44444444444444442</v>
      </c>
      <c r="U199">
        <f>step3_validation[[#This Row],[AI_ENF2]]</f>
        <v>3</v>
      </c>
      <c r="V199">
        <f t="shared" si="83"/>
        <v>0.22222222222222221</v>
      </c>
      <c r="W199">
        <f>survey_responses[[#This Row],[Tôi tin rằng Nhà nước, cơ quan thuế có đủ khả năng và công nghệ để phát hiện, xử lý nghiêm các hành vi trốn thuế. - HUMAN-ENF2]]</f>
        <v>5</v>
      </c>
      <c r="X199">
        <f t="shared" si="84"/>
        <v>0.44444444444444442</v>
      </c>
      <c r="Y199" s="32">
        <f t="shared" si="85"/>
        <v>0.16666666666666666</v>
      </c>
      <c r="Z199" s="32">
        <f t="shared" si="86"/>
        <v>0.44444444444444442</v>
      </c>
      <c r="AA199">
        <f>step3_validation[[#This Row],[AI_FAC1]]</f>
        <v>8</v>
      </c>
      <c r="AB199">
        <f t="shared" si="87"/>
        <v>0.77777777777777779</v>
      </c>
      <c r="AC199">
        <f>survey_responses[[#This Row],[Các thủ tục khai báo thuế VÀ/HOẶC quy trình làm việc với cơ quan thuế đơn giản, tiện lợi, nhanh chóng hơn so với trước đây. - HUMAN-FAC1]]</f>
        <v>5</v>
      </c>
      <c r="AD199">
        <f t="shared" si="88"/>
        <v>0.44444444444444442</v>
      </c>
      <c r="AE199">
        <f>step3_validation[[#This Row],[AI_FAC2]]</f>
        <v>9</v>
      </c>
      <c r="AF199">
        <f t="shared" si="89"/>
        <v>0.88888888888888884</v>
      </c>
      <c r="AG199">
        <f>survey_responses[[#This Row],[So với trước đây, tôi thấy cách tính thuế và các bậc thuế trong phương án mới đơn giản, dễ hiểu và dễ thực hiện hơn. - HUMAN-FAC2]]</f>
        <v>5</v>
      </c>
      <c r="AH199">
        <f t="shared" si="90"/>
        <v>0.44444444444444442</v>
      </c>
      <c r="AI199" s="32">
        <f t="shared" si="91"/>
        <v>0.83333333333333326</v>
      </c>
      <c r="AJ199" s="32">
        <f t="shared" si="92"/>
        <v>0.44444444444444442</v>
      </c>
      <c r="AK199">
        <f>step3_validation[[#This Row],[AI_TRU1]]</f>
        <v>7</v>
      </c>
      <c r="AL199">
        <f t="shared" si="93"/>
        <v>0.66666666666666663</v>
      </c>
      <c r="AM199">
        <f>survey_responses[[#This Row],[Tôi tin rằng Nhà nước, cơ quan thuế sẽ thực thi chính sách mới một cách khách quan, công tâm và đối xử bình đẳng với mọi người nộp thuế.  - HUMAN-TRU1]]</f>
        <v>5</v>
      </c>
      <c r="AN199">
        <f t="shared" si="94"/>
        <v>0.44444444444444442</v>
      </c>
      <c r="AO199">
        <f>step3_validation[[#This Row],[AI_TRU2]]</f>
        <v>9</v>
      </c>
      <c r="AP199">
        <f t="shared" si="95"/>
        <v>0.88888888888888884</v>
      </c>
      <c r="AQ199">
        <f>survey_responses[[#This Row],[Tôi thấy mức thuế tôi phải đóng theo phương án mới là công bằng (người thu nhập như tôi đóng mức này là hợp lý). - HUMAN-TRU2]]</f>
        <v>5</v>
      </c>
      <c r="AR199">
        <f t="shared" si="96"/>
        <v>0.44444444444444442</v>
      </c>
      <c r="AS199">
        <f>step3_validation[[#This Row],[AI_TRU3]]</f>
        <v>7</v>
      </c>
      <c r="AT199">
        <f t="shared" si="97"/>
        <v>0.66666666666666663</v>
      </c>
      <c r="AU199">
        <f>survey_responses[[#This Row],[Tôi tin tưởng số tiền thuế tôi đóng sẽ được Nhà nước sử dụng hiệu quả để cải thiện dịch vụ công (y tế, đường xá...). - HUMAN-TRU3]]</f>
        <v>5</v>
      </c>
      <c r="AV199">
        <f t="shared" si="98"/>
        <v>0.44444444444444442</v>
      </c>
      <c r="AW199">
        <f>step3_validation[[#This Row],[AI_TRU4]]</f>
        <v>8</v>
      </c>
      <c r="AX199">
        <f t="shared" si="99"/>
        <v>0.77777777777777779</v>
      </c>
      <c r="AY199">
        <f>survey_responses[[#This Row],[Tôi thấy Nhà nước đã giải thích rõ ràng, minh bạch về lý do và mục tiêu của việc sửa đổi thuế lần này. - HUMAN-TRU4]]</f>
        <v>4</v>
      </c>
      <c r="AZ199">
        <f t="shared" si="100"/>
        <v>0.33333333333333331</v>
      </c>
      <c r="BA199" s="32">
        <f t="shared" si="101"/>
        <v>0.74999999999999989</v>
      </c>
      <c r="BB199" s="32">
        <f t="shared" si="102"/>
        <v>0.41666666666666663</v>
      </c>
      <c r="BC199" s="7">
        <f t="shared" si="103"/>
        <v>0.58333333333333326</v>
      </c>
      <c r="BD199" s="7">
        <f t="shared" si="104"/>
        <v>0.43518518518518512</v>
      </c>
      <c r="BE199">
        <f>step3_validation[[#This Row],[AI_OUT1]]</f>
        <v>9</v>
      </c>
      <c r="BF199">
        <f t="shared" si="105"/>
        <v>0.88888888888888884</v>
      </c>
      <c r="BG199">
        <f>survey_responses[[#This Row],[Sau khi xem xét các quyền lợi và nghĩa vụ, bạn có ủng hộ và tuân thủ chính sách mới hiện nay? - HUMAN-OUT1]]</f>
        <v>5</v>
      </c>
      <c r="BH199">
        <f t="shared" si="106"/>
        <v>0.44444444444444442</v>
      </c>
      <c r="BI199" s="32">
        <f t="shared" si="107"/>
        <v>4</v>
      </c>
    </row>
    <row r="200" spans="1:61" x14ac:dyDescent="0.45">
      <c r="A200" s="30">
        <f>step3_validation[[#This Row],[Persona_ID]]</f>
        <v>199</v>
      </c>
      <c r="B200" s="31">
        <f>step3_validation[[#This Row],[Used_Seed]]</f>
        <v>2189</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6</v>
      </c>
      <c r="R200">
        <f t="shared" si="81"/>
        <v>0.55555555555555558</v>
      </c>
      <c r="S200">
        <f>survey_responses[[#This Row],[Tôi tin rằng với các quy định quản lý thuế hiện nay, hành vi gian lận hoặc trốn thuế sẽ dễ dàng bị phát hiện và xử lý nghiêm. - HUMAN-ENF1]]</f>
        <v>9</v>
      </c>
      <c r="T200">
        <f t="shared" si="82"/>
        <v>0.88888888888888884</v>
      </c>
      <c r="U200">
        <f>step3_validation[[#This Row],[AI_ENF2]]</f>
        <v>5</v>
      </c>
      <c r="V200">
        <f t="shared" si="83"/>
        <v>0.44444444444444442</v>
      </c>
      <c r="W200">
        <f>survey_responses[[#This Row],[Tôi tin rằng Nhà nước, cơ quan thuế có đủ khả năng và công nghệ để phát hiện, xử lý nghiêm các hành vi trốn thuế. - HUMAN-ENF2]]</f>
        <v>8</v>
      </c>
      <c r="X200">
        <f t="shared" si="84"/>
        <v>0.77777777777777779</v>
      </c>
      <c r="Y200" s="32">
        <f t="shared" si="85"/>
        <v>0.5</v>
      </c>
      <c r="Z200" s="32">
        <f t="shared" si="86"/>
        <v>0.83333333333333326</v>
      </c>
      <c r="AA200">
        <f>step3_validation[[#This Row],[AI_FAC1]]</f>
        <v>8</v>
      </c>
      <c r="AB200">
        <f t="shared" si="87"/>
        <v>0.77777777777777779</v>
      </c>
      <c r="AC200">
        <f>survey_responses[[#This Row],[Các thủ tục khai báo thuế VÀ/HOẶC quy trình làm việc với cơ quan thuế đơn giản, tiện lợi, nhanh chóng hơn so với trước đây. - HUMAN-FAC1]]</f>
        <v>9</v>
      </c>
      <c r="AD200">
        <f t="shared" si="88"/>
        <v>0.88888888888888884</v>
      </c>
      <c r="AE200">
        <f>step3_validation[[#This Row],[AI_FAC2]]</f>
        <v>9</v>
      </c>
      <c r="AF200">
        <f t="shared" si="89"/>
        <v>0.88888888888888884</v>
      </c>
      <c r="AG200">
        <f>survey_responses[[#This Row],[So với trước đây, tôi thấy cách tính thuế và các bậc thuế trong phương án mới đơn giản, dễ hiểu và dễ thực hiện hơn. - HUMAN-FAC2]]</f>
        <v>9</v>
      </c>
      <c r="AH200">
        <f t="shared" si="90"/>
        <v>0.88888888888888884</v>
      </c>
      <c r="AI200" s="32">
        <f t="shared" si="91"/>
        <v>0.83333333333333326</v>
      </c>
      <c r="AJ200" s="32">
        <f t="shared" si="92"/>
        <v>0.88888888888888884</v>
      </c>
      <c r="AK200">
        <f>step3_validation[[#This Row],[AI_TRU1]]</f>
        <v>7</v>
      </c>
      <c r="AL200">
        <f t="shared" si="93"/>
        <v>0.66666666666666663</v>
      </c>
      <c r="AM200">
        <f>survey_responses[[#This Row],[Tôi tin rằng Nhà nước, cơ quan thuế sẽ thực thi chính sách mới một cách khách quan, công tâm và đối xử bình đẳng với mọi người nộp thuế.  - HUMAN-TRU1]]</f>
        <v>8</v>
      </c>
      <c r="AN200">
        <f t="shared" si="94"/>
        <v>0.77777777777777779</v>
      </c>
      <c r="AO200">
        <f>step3_validation[[#This Row],[AI_TRU2]]</f>
        <v>9</v>
      </c>
      <c r="AP200">
        <f t="shared" si="95"/>
        <v>0.88888888888888884</v>
      </c>
      <c r="AQ200">
        <f>survey_responses[[#This Row],[Tôi thấy mức thuế tôi phải đóng theo phương án mới là công bằng (người thu nhập như tôi đóng mức này là hợp lý). - HUMAN-TRU2]]</f>
        <v>9</v>
      </c>
      <c r="AR200">
        <f t="shared" si="96"/>
        <v>0.88888888888888884</v>
      </c>
      <c r="AS200">
        <f>step3_validation[[#This Row],[AI_TRU3]]</f>
        <v>8</v>
      </c>
      <c r="AT200">
        <f t="shared" si="97"/>
        <v>0.77777777777777779</v>
      </c>
      <c r="AU200">
        <f>survey_responses[[#This Row],[Tôi tin tưởng số tiền thuế tôi đóng sẽ được Nhà nước sử dụng hiệu quả để cải thiện dịch vụ công (y tế, đường xá...). - HUMAN-TRU3]]</f>
        <v>10</v>
      </c>
      <c r="AV200">
        <f t="shared" si="98"/>
        <v>1</v>
      </c>
      <c r="AW200">
        <f>step3_validation[[#This Row],[AI_TRU4]]</f>
        <v>6</v>
      </c>
      <c r="AX200">
        <f t="shared" si="99"/>
        <v>0.55555555555555558</v>
      </c>
      <c r="AY200">
        <f>survey_responses[[#This Row],[Tôi thấy Nhà nước đã giải thích rõ ràng, minh bạch về lý do và mục tiêu của việc sửa đổi thuế lần này. - HUMAN-TRU4]]</f>
        <v>9</v>
      </c>
      <c r="AZ200">
        <f t="shared" si="100"/>
        <v>0.88888888888888884</v>
      </c>
      <c r="BA200" s="32">
        <f t="shared" si="101"/>
        <v>0.7222222222222221</v>
      </c>
      <c r="BB200" s="32">
        <f t="shared" si="102"/>
        <v>0.88888888888888884</v>
      </c>
      <c r="BC200" s="7">
        <f t="shared" si="103"/>
        <v>0.68518518518518512</v>
      </c>
      <c r="BD200" s="7">
        <f t="shared" si="104"/>
        <v>0.87037037037037024</v>
      </c>
      <c r="BE200">
        <f>step3_validation[[#This Row],[AI_OUT1]]</f>
        <v>8</v>
      </c>
      <c r="BF200">
        <f t="shared" si="105"/>
        <v>0.77777777777777779</v>
      </c>
      <c r="BG200">
        <f>survey_responses[[#This Row],[Sau khi xem xét các quyền lợi và nghĩa vụ, bạn có ủng hộ và tuân thủ chính sách mới hiện nay? - HUMAN-OUT1]]</f>
        <v>10</v>
      </c>
      <c r="BH200">
        <f t="shared" si="106"/>
        <v>1</v>
      </c>
      <c r="BI200" s="32">
        <f t="shared" si="107"/>
        <v>2</v>
      </c>
    </row>
    <row r="201" spans="1:61" x14ac:dyDescent="0.45">
      <c r="A201" s="30">
        <f>step3_validation[[#This Row],[Persona_ID]]</f>
        <v>200</v>
      </c>
      <c r="B201" s="31">
        <f>step3_validation[[#This Row],[Used_Seed]]</f>
        <v>2190</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87.703893705269323</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f t="shared" si="81"/>
        <v>0.66666666666666663</v>
      </c>
      <c r="S201">
        <f>survey_responses[[#This Row],[Tôi tin rằng với các quy định quản lý thuế hiện nay, hành vi gian lận hoặc trốn thuế sẽ dễ dàng bị phát hiện và xử lý nghiêm. - HUMAN-ENF1]]</f>
        <v>4</v>
      </c>
      <c r="T201">
        <f t="shared" si="82"/>
        <v>0.33333333333333331</v>
      </c>
      <c r="U201">
        <f>step3_validation[[#This Row],[AI_ENF2]]</f>
        <v>6</v>
      </c>
      <c r="V201">
        <f t="shared" si="83"/>
        <v>0.55555555555555558</v>
      </c>
      <c r="W201">
        <f>survey_responses[[#This Row],[Tôi tin rằng Nhà nước, cơ quan thuế có đủ khả năng và công nghệ để phát hiện, xử lý nghiêm các hành vi trốn thuế. - HUMAN-ENF2]]</f>
        <v>4</v>
      </c>
      <c r="X201">
        <f t="shared" si="84"/>
        <v>0.33333333333333331</v>
      </c>
      <c r="Y201" s="32">
        <f t="shared" si="85"/>
        <v>0.61111111111111116</v>
      </c>
      <c r="Z201" s="32">
        <f t="shared" si="86"/>
        <v>0.33333333333333331</v>
      </c>
      <c r="AA201">
        <f>step3_validation[[#This Row],[AI_FAC1]]</f>
        <v>8</v>
      </c>
      <c r="AB201">
        <f t="shared" si="87"/>
        <v>0.77777777777777779</v>
      </c>
      <c r="AC201">
        <f>survey_responses[[#This Row],[Các thủ tục khai báo thuế VÀ/HOẶC quy trình làm việc với cơ quan thuế đơn giản, tiện lợi, nhanh chóng hơn so với trước đây. - HUMAN-FAC1]]</f>
        <v>3</v>
      </c>
      <c r="AD201">
        <f t="shared" si="88"/>
        <v>0.22222222222222221</v>
      </c>
      <c r="AE201">
        <f>step3_validation[[#This Row],[AI_FAC2]]</f>
        <v>9</v>
      </c>
      <c r="AF201">
        <f t="shared" si="89"/>
        <v>0.88888888888888884</v>
      </c>
      <c r="AG201">
        <f>survey_responses[[#This Row],[So với trước đây, tôi thấy cách tính thuế và các bậc thuế trong phương án mới đơn giản, dễ hiểu và dễ thực hiện hơn. - HUMAN-FAC2]]</f>
        <v>5</v>
      </c>
      <c r="AH201">
        <f t="shared" si="90"/>
        <v>0.44444444444444442</v>
      </c>
      <c r="AI201" s="32">
        <f t="shared" si="91"/>
        <v>0.83333333333333326</v>
      </c>
      <c r="AJ201" s="32">
        <f t="shared" si="92"/>
        <v>0.33333333333333331</v>
      </c>
      <c r="AK201">
        <f>step3_validation[[#This Row],[AI_TRU1]]</f>
        <v>8</v>
      </c>
      <c r="AL201">
        <f t="shared" si="93"/>
        <v>0.77777777777777779</v>
      </c>
      <c r="AM201">
        <f>survey_responses[[#This Row],[Tôi tin rằng Nhà nước, cơ quan thuế sẽ thực thi chính sách mới một cách khách quan, công tâm và đối xử bình đẳng với mọi người nộp thuế.  - HUMAN-TRU1]]</f>
        <v>4</v>
      </c>
      <c r="AN201">
        <f t="shared" si="94"/>
        <v>0.33333333333333331</v>
      </c>
      <c r="AO201">
        <f>step3_validation[[#This Row],[AI_TRU2]]</f>
        <v>9</v>
      </c>
      <c r="AP201">
        <f t="shared" si="95"/>
        <v>0.88888888888888884</v>
      </c>
      <c r="AQ201">
        <f>survey_responses[[#This Row],[Tôi thấy mức thuế tôi phải đóng theo phương án mới là công bằng (người thu nhập như tôi đóng mức này là hợp lý). - HUMAN-TRU2]]</f>
        <v>5</v>
      </c>
      <c r="AR201">
        <f t="shared" si="96"/>
        <v>0.44444444444444442</v>
      </c>
      <c r="AS201">
        <f>step3_validation[[#This Row],[AI_TRU3]]</f>
        <v>7</v>
      </c>
      <c r="AT201">
        <f t="shared" si="97"/>
        <v>0.66666666666666663</v>
      </c>
      <c r="AU201">
        <f>survey_responses[[#This Row],[Tôi tin tưởng số tiền thuế tôi đóng sẽ được Nhà nước sử dụng hiệu quả để cải thiện dịch vụ công (y tế, đường xá...). - HUMAN-TRU3]]</f>
        <v>1</v>
      </c>
      <c r="AV201">
        <f t="shared" si="98"/>
        <v>0</v>
      </c>
      <c r="AW201">
        <f>step3_validation[[#This Row],[AI_TRU4]]</f>
        <v>8</v>
      </c>
      <c r="AX201">
        <f t="shared" si="99"/>
        <v>0.77777777777777779</v>
      </c>
      <c r="AY201">
        <f>survey_responses[[#This Row],[Tôi thấy Nhà nước đã giải thích rõ ràng, minh bạch về lý do và mục tiêu của việc sửa đổi thuế lần này. - HUMAN-TRU4]]</f>
        <v>5</v>
      </c>
      <c r="AZ201">
        <f t="shared" si="100"/>
        <v>0.44444444444444442</v>
      </c>
      <c r="BA201" s="32">
        <f t="shared" si="101"/>
        <v>0.77777777777777768</v>
      </c>
      <c r="BB201" s="32">
        <f t="shared" si="102"/>
        <v>0.30555555555555552</v>
      </c>
      <c r="BC201" s="7">
        <f t="shared" si="103"/>
        <v>0.74074074074074081</v>
      </c>
      <c r="BD201" s="7">
        <f t="shared" si="104"/>
        <v>0.32407407407407401</v>
      </c>
      <c r="BE201">
        <f>step3_validation[[#This Row],[AI_OUT1]]</f>
        <v>9</v>
      </c>
      <c r="BF201">
        <f t="shared" si="105"/>
        <v>0.88888888888888884</v>
      </c>
      <c r="BG201">
        <f>survey_responses[[#This Row],[Sau khi xem xét các quyền lợi và nghĩa vụ, bạn có ủng hộ và tuân thủ chính sách mới hiện nay? - HUMAN-OUT1]]</f>
        <v>5</v>
      </c>
      <c r="BH201">
        <f t="shared" si="106"/>
        <v>0.44444444444444442</v>
      </c>
      <c r="BI201" s="32">
        <f t="shared" si="107"/>
        <v>4</v>
      </c>
    </row>
    <row r="202" spans="1:61" x14ac:dyDescent="0.45">
      <c r="A202" s="30">
        <f>step3_validation[[#This Row],[Persona_ID]]</f>
        <v>201</v>
      </c>
      <c r="B202" s="31">
        <f>step3_validation[[#This Row],[Used_Seed]]</f>
        <v>2191</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53.584938230999832</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9</v>
      </c>
      <c r="R202">
        <f t="shared" si="81"/>
        <v>0.88888888888888884</v>
      </c>
      <c r="S202">
        <f>survey_responses[[#This Row],[Tôi tin rằng với các quy định quản lý thuế hiện nay, hành vi gian lận hoặc trốn thuế sẽ dễ dàng bị phát hiện và xử lý nghiêm. - HUMAN-ENF1]]</f>
        <v>5</v>
      </c>
      <c r="T202">
        <f t="shared" si="82"/>
        <v>0.44444444444444442</v>
      </c>
      <c r="U202">
        <f>step3_validation[[#This Row],[AI_ENF2]]</f>
        <v>8</v>
      </c>
      <c r="V202">
        <f t="shared" si="83"/>
        <v>0.77777777777777779</v>
      </c>
      <c r="W202">
        <f>survey_responses[[#This Row],[Tôi tin rằng Nhà nước, cơ quan thuế có đủ khả năng và công nghệ để phát hiện, xử lý nghiêm các hành vi trốn thuế. - HUMAN-ENF2]]</f>
        <v>5</v>
      </c>
      <c r="X202">
        <f t="shared" si="84"/>
        <v>0.44444444444444442</v>
      </c>
      <c r="Y202" s="32">
        <f t="shared" si="85"/>
        <v>0.83333333333333326</v>
      </c>
      <c r="Z202" s="32">
        <f t="shared" si="86"/>
        <v>0.44444444444444442</v>
      </c>
      <c r="AA202">
        <f>step3_validation[[#This Row],[AI_FAC1]]</f>
        <v>9</v>
      </c>
      <c r="AB202">
        <f t="shared" si="87"/>
        <v>0.88888888888888884</v>
      </c>
      <c r="AC202">
        <f>survey_responses[[#This Row],[Các thủ tục khai báo thuế VÀ/HOẶC quy trình làm việc với cơ quan thuế đơn giản, tiện lợi, nhanh chóng hơn so với trước đây. - HUMAN-FAC1]]</f>
        <v>1</v>
      </c>
      <c r="AD202">
        <f t="shared" si="88"/>
        <v>0</v>
      </c>
      <c r="AE202">
        <f>step3_validation[[#This Row],[AI_FAC2]]</f>
        <v>8</v>
      </c>
      <c r="AF202">
        <f t="shared" si="89"/>
        <v>0.77777777777777779</v>
      </c>
      <c r="AG202">
        <f>survey_responses[[#This Row],[So với trước đây, tôi thấy cách tính thuế và các bậc thuế trong phương án mới đơn giản, dễ hiểu và dễ thực hiện hơn. - HUMAN-FAC2]]</f>
        <v>5</v>
      </c>
      <c r="AH202">
        <f t="shared" si="90"/>
        <v>0.44444444444444442</v>
      </c>
      <c r="AI202" s="32">
        <f t="shared" si="91"/>
        <v>0.83333333333333326</v>
      </c>
      <c r="AJ202" s="32">
        <f t="shared" si="92"/>
        <v>0.22222222222222221</v>
      </c>
      <c r="AK202">
        <f>step3_validation[[#This Row],[AI_TRU1]]</f>
        <v>7</v>
      </c>
      <c r="AL202">
        <f t="shared" si="93"/>
        <v>0.66666666666666663</v>
      </c>
      <c r="AM202">
        <f>survey_responses[[#This Row],[Tôi tin rằng Nhà nước, cơ quan thuế sẽ thực thi chính sách mới một cách khách quan, công tâm và đối xử bình đẳng với mọi người nộp thuế.  - HUMAN-TRU1]]</f>
        <v>4</v>
      </c>
      <c r="AN202">
        <f t="shared" si="94"/>
        <v>0.33333333333333331</v>
      </c>
      <c r="AO202">
        <f>step3_validation[[#This Row],[AI_TRU2]]</f>
        <v>8</v>
      </c>
      <c r="AP202">
        <f t="shared" si="95"/>
        <v>0.77777777777777779</v>
      </c>
      <c r="AQ202">
        <f>survey_responses[[#This Row],[Tôi thấy mức thuế tôi phải đóng theo phương án mới là công bằng (người thu nhập như tôi đóng mức này là hợp lý). - HUMAN-TRU2]]</f>
        <v>2</v>
      </c>
      <c r="AR202">
        <f t="shared" si="96"/>
        <v>0.1111111111111111</v>
      </c>
      <c r="AS202">
        <f>step3_validation[[#This Row],[AI_TRU3]]</f>
        <v>7</v>
      </c>
      <c r="AT202">
        <f t="shared" si="97"/>
        <v>0.66666666666666663</v>
      </c>
      <c r="AU202">
        <f>survey_responses[[#This Row],[Tôi tin tưởng số tiền thuế tôi đóng sẽ được Nhà nước sử dụng hiệu quả để cải thiện dịch vụ công (y tế, đường xá...). - HUMAN-TRU3]]</f>
        <v>2</v>
      </c>
      <c r="AV202">
        <f t="shared" si="98"/>
        <v>0.1111111111111111</v>
      </c>
      <c r="AW202">
        <f>step3_validation[[#This Row],[AI_TRU4]]</f>
        <v>8</v>
      </c>
      <c r="AX202">
        <f t="shared" si="99"/>
        <v>0.77777777777777779</v>
      </c>
      <c r="AY202">
        <f>survey_responses[[#This Row],[Tôi thấy Nhà nước đã giải thích rõ ràng, minh bạch về lý do và mục tiêu của việc sửa đổi thuế lần này. - HUMAN-TRU4]]</f>
        <v>5</v>
      </c>
      <c r="AZ202">
        <f t="shared" si="100"/>
        <v>0.44444444444444442</v>
      </c>
      <c r="BA202" s="32">
        <f t="shared" si="101"/>
        <v>0.72222222222222221</v>
      </c>
      <c r="BB202" s="32">
        <f t="shared" si="102"/>
        <v>0.25</v>
      </c>
      <c r="BC202" s="7">
        <f t="shared" si="103"/>
        <v>0.79629629629629628</v>
      </c>
      <c r="BD202" s="7">
        <f t="shared" si="104"/>
        <v>0.30555555555555552</v>
      </c>
      <c r="BE202">
        <f>step3_validation[[#This Row],[AI_OUT1]]</f>
        <v>9</v>
      </c>
      <c r="BF202">
        <f t="shared" si="105"/>
        <v>0.88888888888888884</v>
      </c>
      <c r="BG202">
        <f>survey_responses[[#This Row],[Sau khi xem xét các quyền lợi và nghĩa vụ, bạn có ủng hộ và tuân thủ chính sách mới hiện nay? - HUMAN-OUT1]]</f>
        <v>4</v>
      </c>
      <c r="BH202">
        <f t="shared" si="106"/>
        <v>0.33333333333333331</v>
      </c>
      <c r="BI202" s="32">
        <f t="shared" si="107"/>
        <v>5</v>
      </c>
    </row>
    <row r="203" spans="1:61" x14ac:dyDescent="0.45">
      <c r="A203" s="30">
        <f>step3_validation[[#This Row],[Persona_ID]]</f>
        <v>202</v>
      </c>
      <c r="B203" s="31">
        <f>step3_validation[[#This Row],[Used_Seed]]</f>
        <v>2192</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77.321595157775064</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f t="shared" si="81"/>
        <v>0.66666666666666663</v>
      </c>
      <c r="S203">
        <f>survey_responses[[#This Row],[Tôi tin rằng với các quy định quản lý thuế hiện nay, hành vi gian lận hoặc trốn thuế sẽ dễ dàng bị phát hiện và xử lý nghiêm. - HUMAN-ENF1]]</f>
        <v>6</v>
      </c>
      <c r="T203">
        <f t="shared" si="82"/>
        <v>0.55555555555555558</v>
      </c>
      <c r="U203">
        <f>step3_validation[[#This Row],[AI_ENF2]]</f>
        <v>6</v>
      </c>
      <c r="V203">
        <f t="shared" si="83"/>
        <v>0.55555555555555558</v>
      </c>
      <c r="W203">
        <f>survey_responses[[#This Row],[Tôi tin rằng Nhà nước, cơ quan thuế có đủ khả năng và công nghệ để phát hiện, xử lý nghiêm các hành vi trốn thuế. - HUMAN-ENF2]]</f>
        <v>8</v>
      </c>
      <c r="X203">
        <f t="shared" si="84"/>
        <v>0.77777777777777779</v>
      </c>
      <c r="Y203" s="32">
        <f t="shared" si="85"/>
        <v>0.61111111111111116</v>
      </c>
      <c r="Z203" s="32">
        <f t="shared" si="86"/>
        <v>0.66666666666666674</v>
      </c>
      <c r="AA203">
        <f>step3_validation[[#This Row],[AI_FAC1]]</f>
        <v>8</v>
      </c>
      <c r="AB203">
        <f t="shared" si="87"/>
        <v>0.77777777777777779</v>
      </c>
      <c r="AC203">
        <f>survey_responses[[#This Row],[Các thủ tục khai báo thuế VÀ/HOẶC quy trình làm việc với cơ quan thuế đơn giản, tiện lợi, nhanh chóng hơn so với trước đây. - HUMAN-FAC1]]</f>
        <v>8</v>
      </c>
      <c r="AD203">
        <f t="shared" si="88"/>
        <v>0.77777777777777779</v>
      </c>
      <c r="AE203">
        <f>step3_validation[[#This Row],[AI_FAC2]]</f>
        <v>9</v>
      </c>
      <c r="AF203">
        <f t="shared" si="89"/>
        <v>0.88888888888888884</v>
      </c>
      <c r="AG203">
        <f>survey_responses[[#This Row],[So với trước đây, tôi thấy cách tính thuế và các bậc thuế trong phương án mới đơn giản, dễ hiểu và dễ thực hiện hơn. - HUMAN-FAC2]]</f>
        <v>9</v>
      </c>
      <c r="AH203">
        <f t="shared" si="90"/>
        <v>0.88888888888888884</v>
      </c>
      <c r="AI203" s="32">
        <f t="shared" si="91"/>
        <v>0.83333333333333326</v>
      </c>
      <c r="AJ203" s="32">
        <f t="shared" si="92"/>
        <v>0.83333333333333326</v>
      </c>
      <c r="AK203">
        <f>step3_validation[[#This Row],[AI_TRU1]]</f>
        <v>8</v>
      </c>
      <c r="AL203">
        <f t="shared" si="93"/>
        <v>0.77777777777777779</v>
      </c>
      <c r="AM203">
        <f>survey_responses[[#This Row],[Tôi tin rằng Nhà nước, cơ quan thuế sẽ thực thi chính sách mới một cách khách quan, công tâm và đối xử bình đẳng với mọi người nộp thuế.  - HUMAN-TRU1]]</f>
        <v>7</v>
      </c>
      <c r="AN203">
        <f t="shared" si="94"/>
        <v>0.66666666666666663</v>
      </c>
      <c r="AO203">
        <f>step3_validation[[#This Row],[AI_TRU2]]</f>
        <v>9</v>
      </c>
      <c r="AP203">
        <f t="shared" si="95"/>
        <v>0.88888888888888884</v>
      </c>
      <c r="AQ203">
        <f>survey_responses[[#This Row],[Tôi thấy mức thuế tôi phải đóng theo phương án mới là công bằng (người thu nhập như tôi đóng mức này là hợp lý). - HUMAN-TRU2]]</f>
        <v>7</v>
      </c>
      <c r="AR203">
        <f t="shared" si="96"/>
        <v>0.66666666666666663</v>
      </c>
      <c r="AS203">
        <f>step3_validation[[#This Row],[AI_TRU3]]</f>
        <v>8</v>
      </c>
      <c r="AT203">
        <f t="shared" si="97"/>
        <v>0.77777777777777779</v>
      </c>
      <c r="AU203">
        <f>survey_responses[[#This Row],[Tôi tin tưởng số tiền thuế tôi đóng sẽ được Nhà nước sử dụng hiệu quả để cải thiện dịch vụ công (y tế, đường xá...). - HUMAN-TRU3]]</f>
        <v>7</v>
      </c>
      <c r="AV203">
        <f t="shared" si="98"/>
        <v>0.66666666666666663</v>
      </c>
      <c r="AW203">
        <f>step3_validation[[#This Row],[AI_TRU4]]</f>
        <v>9</v>
      </c>
      <c r="AX203">
        <f t="shared" si="99"/>
        <v>0.88888888888888884</v>
      </c>
      <c r="AY203">
        <f>survey_responses[[#This Row],[Tôi thấy Nhà nước đã giải thích rõ ràng, minh bạch về lý do và mục tiêu của việc sửa đổi thuế lần này. - HUMAN-TRU4]]</f>
        <v>8</v>
      </c>
      <c r="AZ203">
        <f t="shared" si="100"/>
        <v>0.77777777777777779</v>
      </c>
      <c r="BA203" s="32">
        <f t="shared" si="101"/>
        <v>0.83333333333333326</v>
      </c>
      <c r="BB203" s="32">
        <f t="shared" si="102"/>
        <v>0.69444444444444442</v>
      </c>
      <c r="BC203" s="7">
        <f t="shared" si="103"/>
        <v>0.75925925925925919</v>
      </c>
      <c r="BD203" s="7">
        <f t="shared" si="104"/>
        <v>0.73148148148148151</v>
      </c>
      <c r="BE203">
        <f>step3_validation[[#This Row],[AI_OUT1]]</f>
        <v>10</v>
      </c>
      <c r="BF203">
        <f t="shared" si="105"/>
        <v>1</v>
      </c>
      <c r="BG203">
        <f>survey_responses[[#This Row],[Sau khi xem xét các quyền lợi và nghĩa vụ, bạn có ủng hộ và tuân thủ chính sách mới hiện nay? - HUMAN-OUT1]]</f>
        <v>8</v>
      </c>
      <c r="BH203">
        <f t="shared" si="106"/>
        <v>0.77777777777777779</v>
      </c>
      <c r="BI203" s="32">
        <f t="shared" si="107"/>
        <v>2</v>
      </c>
    </row>
    <row r="204" spans="1:61" x14ac:dyDescent="0.45">
      <c r="A204" s="30">
        <f>step3_validation[[#This Row],[Persona_ID]]</f>
        <v>203</v>
      </c>
      <c r="B204" s="31">
        <f>step3_validation[[#This Row],[Used_Seed]]</f>
        <v>2193</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196.62014524304763</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6</v>
      </c>
      <c r="R204">
        <f t="shared" si="81"/>
        <v>0.55555555555555558</v>
      </c>
      <c r="S204">
        <f>survey_responses[[#This Row],[Tôi tin rằng với các quy định quản lý thuế hiện nay, hành vi gian lận hoặc trốn thuế sẽ dễ dàng bị phát hiện và xử lý nghiêm. - HUMAN-ENF1]]</f>
        <v>5</v>
      </c>
      <c r="T204">
        <f t="shared" si="82"/>
        <v>0.44444444444444442</v>
      </c>
      <c r="U204">
        <f>step3_validation[[#This Row],[AI_ENF2]]</f>
        <v>7</v>
      </c>
      <c r="V204">
        <f t="shared" si="83"/>
        <v>0.66666666666666663</v>
      </c>
      <c r="W204">
        <f>survey_responses[[#This Row],[Tôi tin rằng Nhà nước, cơ quan thuế có đủ khả năng và công nghệ để phát hiện, xử lý nghiêm các hành vi trốn thuế. - HUMAN-ENF2]]</f>
        <v>5</v>
      </c>
      <c r="X204">
        <f t="shared" si="84"/>
        <v>0.44444444444444442</v>
      </c>
      <c r="Y204" s="32">
        <f t="shared" si="85"/>
        <v>0.61111111111111116</v>
      </c>
      <c r="Z204" s="32">
        <f t="shared" si="86"/>
        <v>0.44444444444444442</v>
      </c>
      <c r="AA204">
        <f>step3_validation[[#This Row],[AI_FAC1]]</f>
        <v>8</v>
      </c>
      <c r="AB204">
        <f t="shared" si="87"/>
        <v>0.77777777777777779</v>
      </c>
      <c r="AC204">
        <f>survey_responses[[#This Row],[Các thủ tục khai báo thuế VÀ/HOẶC quy trình làm việc với cơ quan thuế đơn giản, tiện lợi, nhanh chóng hơn so với trước đây. - HUMAN-FAC1]]</f>
        <v>5</v>
      </c>
      <c r="AD204">
        <f t="shared" si="88"/>
        <v>0.44444444444444442</v>
      </c>
      <c r="AE204">
        <f>step3_validation[[#This Row],[AI_FAC2]]</f>
        <v>9</v>
      </c>
      <c r="AF204">
        <f t="shared" si="89"/>
        <v>0.88888888888888884</v>
      </c>
      <c r="AG204">
        <f>survey_responses[[#This Row],[So với trước đây, tôi thấy cách tính thuế và các bậc thuế trong phương án mới đơn giản, dễ hiểu và dễ thực hiện hơn. - HUMAN-FAC2]]</f>
        <v>5</v>
      </c>
      <c r="AH204">
        <f t="shared" si="90"/>
        <v>0.44444444444444442</v>
      </c>
      <c r="AI204" s="32">
        <f t="shared" si="91"/>
        <v>0.83333333333333326</v>
      </c>
      <c r="AJ204" s="32">
        <f t="shared" si="92"/>
        <v>0.44444444444444442</v>
      </c>
      <c r="AK204">
        <f>step3_validation[[#This Row],[AI_TRU1]]</f>
        <v>8</v>
      </c>
      <c r="AL204">
        <f t="shared" si="93"/>
        <v>0.77777777777777779</v>
      </c>
      <c r="AM204">
        <f>survey_responses[[#This Row],[Tôi tin rằng Nhà nước, cơ quan thuế sẽ thực thi chính sách mới một cách khách quan, công tâm và đối xử bình đẳng với mọi người nộp thuế.  - HUMAN-TRU1]]</f>
        <v>5</v>
      </c>
      <c r="AN204">
        <f t="shared" si="94"/>
        <v>0.44444444444444442</v>
      </c>
      <c r="AO204">
        <f>step3_validation[[#This Row],[AI_TRU2]]</f>
        <v>9</v>
      </c>
      <c r="AP204">
        <f t="shared" si="95"/>
        <v>0.88888888888888884</v>
      </c>
      <c r="AQ204">
        <f>survey_responses[[#This Row],[Tôi thấy mức thuế tôi phải đóng theo phương án mới là công bằng (người thu nhập như tôi đóng mức này là hợp lý). - HUMAN-TRU2]]</f>
        <v>5</v>
      </c>
      <c r="AR204">
        <f t="shared" si="96"/>
        <v>0.44444444444444442</v>
      </c>
      <c r="AS204">
        <f>step3_validation[[#This Row],[AI_TRU3]]</f>
        <v>7</v>
      </c>
      <c r="AT204">
        <f t="shared" si="97"/>
        <v>0.66666666666666663</v>
      </c>
      <c r="AU204">
        <f>survey_responses[[#This Row],[Tôi tin tưởng số tiền thuế tôi đóng sẽ được Nhà nước sử dụng hiệu quả để cải thiện dịch vụ công (y tế, đường xá...). - HUMAN-TRU3]]</f>
        <v>5</v>
      </c>
      <c r="AV204">
        <f t="shared" si="98"/>
        <v>0.44444444444444442</v>
      </c>
      <c r="AW204">
        <f>step3_validation[[#This Row],[AI_TRU4]]</f>
        <v>6</v>
      </c>
      <c r="AX204">
        <f t="shared" si="99"/>
        <v>0.55555555555555558</v>
      </c>
      <c r="AY204">
        <f>survey_responses[[#This Row],[Tôi thấy Nhà nước đã giải thích rõ ràng, minh bạch về lý do và mục tiêu của việc sửa đổi thuế lần này. - HUMAN-TRU4]]</f>
        <v>5</v>
      </c>
      <c r="AZ204">
        <f t="shared" si="100"/>
        <v>0.44444444444444442</v>
      </c>
      <c r="BA204" s="32">
        <f t="shared" si="101"/>
        <v>0.7222222222222221</v>
      </c>
      <c r="BB204" s="32">
        <f t="shared" si="102"/>
        <v>0.44444444444444442</v>
      </c>
      <c r="BC204" s="7">
        <f t="shared" si="103"/>
        <v>0.72222222222222221</v>
      </c>
      <c r="BD204" s="7">
        <f t="shared" si="104"/>
        <v>0.44444444444444442</v>
      </c>
      <c r="BE204">
        <f>step3_validation[[#This Row],[AI_OUT1]]</f>
        <v>9</v>
      </c>
      <c r="BF204">
        <f t="shared" si="105"/>
        <v>0.88888888888888884</v>
      </c>
      <c r="BG204">
        <f>survey_responses[[#This Row],[Sau khi xem xét các quyền lợi và nghĩa vụ, bạn có ủng hộ và tuân thủ chính sách mới hiện nay? - HUMAN-OUT1]]</f>
        <v>5</v>
      </c>
      <c r="BH204">
        <f t="shared" si="106"/>
        <v>0.44444444444444442</v>
      </c>
      <c r="BI204" s="32">
        <f t="shared" si="107"/>
        <v>4</v>
      </c>
    </row>
    <row r="205" spans="1:61" x14ac:dyDescent="0.45">
      <c r="A205" s="30">
        <f>step3_validation[[#This Row],[Persona_ID]]</f>
        <v>204</v>
      </c>
      <c r="B205" s="31">
        <f>step3_validation[[#This Row],[Used_Seed]]</f>
        <v>2194</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39.051620371938974</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f t="shared" si="81"/>
        <v>0.66666666666666663</v>
      </c>
      <c r="S205">
        <f>survey_responses[[#This Row],[Tôi tin rằng với các quy định quản lý thuế hiện nay, hành vi gian lận hoặc trốn thuế sẽ dễ dàng bị phát hiện và xử lý nghiêm. - HUMAN-ENF1]]</f>
        <v>7</v>
      </c>
      <c r="T205">
        <f t="shared" si="82"/>
        <v>0.66666666666666663</v>
      </c>
      <c r="U205">
        <f>step3_validation[[#This Row],[AI_ENF2]]</f>
        <v>9</v>
      </c>
      <c r="V205">
        <f t="shared" si="83"/>
        <v>0.88888888888888884</v>
      </c>
      <c r="W205">
        <f>survey_responses[[#This Row],[Tôi tin rằng Nhà nước, cơ quan thuế có đủ khả năng và công nghệ để phát hiện, xử lý nghiêm các hành vi trốn thuế. - HUMAN-ENF2]]</f>
        <v>7</v>
      </c>
      <c r="X205">
        <f t="shared" si="84"/>
        <v>0.66666666666666663</v>
      </c>
      <c r="Y205" s="32">
        <f t="shared" si="85"/>
        <v>0.77777777777777768</v>
      </c>
      <c r="Z205" s="32">
        <f t="shared" si="86"/>
        <v>0.66666666666666663</v>
      </c>
      <c r="AA205">
        <f>step3_validation[[#This Row],[AI_FAC1]]</f>
        <v>6</v>
      </c>
      <c r="AB205">
        <f t="shared" si="87"/>
        <v>0.55555555555555558</v>
      </c>
      <c r="AC205">
        <f>survey_responses[[#This Row],[Các thủ tục khai báo thuế VÀ/HOẶC quy trình làm việc với cơ quan thuế đơn giản, tiện lợi, nhanh chóng hơn so với trước đây. - HUMAN-FAC1]]</f>
        <v>7</v>
      </c>
      <c r="AD205">
        <f t="shared" si="88"/>
        <v>0.66666666666666663</v>
      </c>
      <c r="AE205">
        <f>step3_validation[[#This Row],[AI_FAC2]]</f>
        <v>8</v>
      </c>
      <c r="AF205">
        <f t="shared" si="89"/>
        <v>0.77777777777777779</v>
      </c>
      <c r="AG205">
        <f>survey_responses[[#This Row],[So với trước đây, tôi thấy cách tính thuế và các bậc thuế trong phương án mới đơn giản, dễ hiểu và dễ thực hiện hơn. - HUMAN-FAC2]]</f>
        <v>8</v>
      </c>
      <c r="AH205">
        <f t="shared" si="90"/>
        <v>0.77777777777777779</v>
      </c>
      <c r="AI205" s="32">
        <f t="shared" si="91"/>
        <v>0.66666666666666674</v>
      </c>
      <c r="AJ205" s="32">
        <f t="shared" si="92"/>
        <v>0.72222222222222221</v>
      </c>
      <c r="AK205">
        <f>step3_validation[[#This Row],[AI_TRU1]]</f>
        <v>6</v>
      </c>
      <c r="AL205">
        <f t="shared" si="93"/>
        <v>0.55555555555555558</v>
      </c>
      <c r="AM205">
        <f>survey_responses[[#This Row],[Tôi tin rằng Nhà nước, cơ quan thuế sẽ thực thi chính sách mới một cách khách quan, công tâm và đối xử bình đẳng với mọi người nộp thuế.  - HUMAN-TRU1]]</f>
        <v>7</v>
      </c>
      <c r="AN205">
        <f t="shared" si="94"/>
        <v>0.66666666666666663</v>
      </c>
      <c r="AO205">
        <f>step3_validation[[#This Row],[AI_TRU2]]</f>
        <v>8</v>
      </c>
      <c r="AP205">
        <f t="shared" si="95"/>
        <v>0.77777777777777779</v>
      </c>
      <c r="AQ205">
        <f>survey_responses[[#This Row],[Tôi thấy mức thuế tôi phải đóng theo phương án mới là công bằng (người thu nhập như tôi đóng mức này là hợp lý). - HUMAN-TRU2]]</f>
        <v>7</v>
      </c>
      <c r="AR205">
        <f t="shared" si="96"/>
        <v>0.66666666666666663</v>
      </c>
      <c r="AS205">
        <f>step3_validation[[#This Row],[AI_TRU3]]</f>
        <v>7</v>
      </c>
      <c r="AT205">
        <f t="shared" si="97"/>
        <v>0.66666666666666663</v>
      </c>
      <c r="AU205">
        <f>survey_responses[[#This Row],[Tôi tin tưởng số tiền thuế tôi đóng sẽ được Nhà nước sử dụng hiệu quả để cải thiện dịch vụ công (y tế, đường xá...). - HUMAN-TRU3]]</f>
        <v>7</v>
      </c>
      <c r="AV205">
        <f t="shared" si="98"/>
        <v>0.66666666666666663</v>
      </c>
      <c r="AW205">
        <f>step3_validation[[#This Row],[AI_TRU4]]</f>
        <v>9</v>
      </c>
      <c r="AX205">
        <f t="shared" si="99"/>
        <v>0.88888888888888884</v>
      </c>
      <c r="AY205">
        <f>survey_responses[[#This Row],[Tôi thấy Nhà nước đã giải thích rõ ràng, minh bạch về lý do và mục tiêu của việc sửa đổi thuế lần này. - HUMAN-TRU4]]</f>
        <v>7</v>
      </c>
      <c r="AZ205">
        <f t="shared" si="100"/>
        <v>0.66666666666666663</v>
      </c>
      <c r="BA205" s="32">
        <f t="shared" si="101"/>
        <v>0.72222222222222221</v>
      </c>
      <c r="BB205" s="32">
        <f t="shared" si="102"/>
        <v>0.66666666666666663</v>
      </c>
      <c r="BC205" s="7">
        <f t="shared" si="103"/>
        <v>0.72222222222222221</v>
      </c>
      <c r="BD205" s="7">
        <f t="shared" si="104"/>
        <v>0.68518518518518512</v>
      </c>
      <c r="BE205">
        <f>step3_validation[[#This Row],[AI_OUT1]]</f>
        <v>8</v>
      </c>
      <c r="BF205">
        <f t="shared" si="105"/>
        <v>0.77777777777777779</v>
      </c>
      <c r="BG205">
        <f>survey_responses[[#This Row],[Sau khi xem xét các quyền lợi và nghĩa vụ, bạn có ủng hộ và tuân thủ chính sách mới hiện nay? - HUMAN-OUT1]]</f>
        <v>7</v>
      </c>
      <c r="BH205">
        <f t="shared" si="106"/>
        <v>0.66666666666666663</v>
      </c>
      <c r="BI205" s="32">
        <f t="shared" si="107"/>
        <v>1</v>
      </c>
    </row>
    <row r="206" spans="1:61" x14ac:dyDescent="0.45">
      <c r="A206" s="30">
        <f>step3_validation[[#This Row],[Persona_ID]]</f>
        <v>205</v>
      </c>
      <c r="B206" s="31">
        <f>step3_validation[[#This Row],[Used_Seed]]</f>
        <v>2195</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28.020819496571374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f t="shared" si="81"/>
        <v>0.66666666666666663</v>
      </c>
      <c r="S206">
        <f>survey_responses[[#This Row],[Tôi tin rằng với các quy định quản lý thuế hiện nay, hành vi gian lận hoặc trốn thuế sẽ dễ dàng bị phát hiện và xử lý nghiêm. - HUMAN-ENF1]]</f>
        <v>3</v>
      </c>
      <c r="T206">
        <f t="shared" si="82"/>
        <v>0.22222222222222221</v>
      </c>
      <c r="U206">
        <f>step3_validation[[#This Row],[AI_ENF2]]</f>
        <v>8</v>
      </c>
      <c r="V206">
        <f t="shared" si="83"/>
        <v>0.77777777777777779</v>
      </c>
      <c r="W206">
        <f>survey_responses[[#This Row],[Tôi tin rằng Nhà nước, cơ quan thuế có đủ khả năng và công nghệ để phát hiện, xử lý nghiêm các hành vi trốn thuế. - HUMAN-ENF2]]</f>
        <v>1</v>
      </c>
      <c r="X206">
        <f t="shared" si="84"/>
        <v>0</v>
      </c>
      <c r="Y206" s="32">
        <f t="shared" si="85"/>
        <v>0.72222222222222221</v>
      </c>
      <c r="Z206" s="32">
        <f t="shared" si="86"/>
        <v>0.1111111111111111</v>
      </c>
      <c r="AA206">
        <f>step3_validation[[#This Row],[AI_FAC1]]</f>
        <v>9</v>
      </c>
      <c r="AB206">
        <f t="shared" si="87"/>
        <v>0.88888888888888884</v>
      </c>
      <c r="AC206">
        <f>survey_responses[[#This Row],[Các thủ tục khai báo thuế VÀ/HOẶC quy trình làm việc với cơ quan thuế đơn giản, tiện lợi, nhanh chóng hơn so với trước đây. - HUMAN-FAC1]]</f>
        <v>1</v>
      </c>
      <c r="AD206">
        <f t="shared" si="88"/>
        <v>0</v>
      </c>
      <c r="AE206">
        <f>step3_validation[[#This Row],[AI_FAC2]]</f>
        <v>9</v>
      </c>
      <c r="AF206">
        <f t="shared" si="89"/>
        <v>0.88888888888888884</v>
      </c>
      <c r="AG206">
        <f>survey_responses[[#This Row],[So với trước đây, tôi thấy cách tính thuế và các bậc thuế trong phương án mới đơn giản, dễ hiểu và dễ thực hiện hơn. - HUMAN-FAC2]]</f>
        <v>5</v>
      </c>
      <c r="AH206">
        <f t="shared" si="90"/>
        <v>0.44444444444444442</v>
      </c>
      <c r="AI206" s="32">
        <f t="shared" si="91"/>
        <v>0.88888888888888884</v>
      </c>
      <c r="AJ206" s="32">
        <f t="shared" si="92"/>
        <v>0.22222222222222221</v>
      </c>
      <c r="AK206">
        <f>step3_validation[[#This Row],[AI_TRU1]]</f>
        <v>7</v>
      </c>
      <c r="AL206">
        <f t="shared" si="93"/>
        <v>0.66666666666666663</v>
      </c>
      <c r="AM206">
        <f>survey_responses[[#This Row],[Tôi tin rằng Nhà nước, cơ quan thuế sẽ thực thi chính sách mới một cách khách quan, công tâm và đối xử bình đẳng với mọi người nộp thuế.  - HUMAN-TRU1]]</f>
        <v>1</v>
      </c>
      <c r="AN206">
        <f t="shared" si="94"/>
        <v>0</v>
      </c>
      <c r="AO206">
        <f>step3_validation[[#This Row],[AI_TRU2]]</f>
        <v>9</v>
      </c>
      <c r="AP206">
        <f t="shared" si="95"/>
        <v>0.88888888888888884</v>
      </c>
      <c r="AQ206">
        <f>survey_responses[[#This Row],[Tôi thấy mức thuế tôi phải đóng theo phương án mới là công bằng (người thu nhập như tôi đóng mức này là hợp lý). - HUMAN-TRU2]]</f>
        <v>1</v>
      </c>
      <c r="AR206">
        <f t="shared" si="96"/>
        <v>0</v>
      </c>
      <c r="AS206">
        <f>step3_validation[[#This Row],[AI_TRU3]]</f>
        <v>7</v>
      </c>
      <c r="AT206">
        <f t="shared" si="97"/>
        <v>0.66666666666666663</v>
      </c>
      <c r="AU206">
        <f>survey_responses[[#This Row],[Tôi tin tưởng số tiền thuế tôi đóng sẽ được Nhà nước sử dụng hiệu quả để cải thiện dịch vụ công (y tế, đường xá...). - HUMAN-TRU3]]</f>
        <v>1</v>
      </c>
      <c r="AV206">
        <f t="shared" si="98"/>
        <v>0</v>
      </c>
      <c r="AW206">
        <f>step3_validation[[#This Row],[AI_TRU4]]</f>
        <v>8</v>
      </c>
      <c r="AX206">
        <f t="shared" si="99"/>
        <v>0.77777777777777779</v>
      </c>
      <c r="AY206">
        <f>survey_responses[[#This Row],[Tôi thấy Nhà nước đã giải thích rõ ràng, minh bạch về lý do và mục tiêu của việc sửa đổi thuế lần này. - HUMAN-TRU4]]</f>
        <v>4</v>
      </c>
      <c r="AZ206">
        <f t="shared" si="100"/>
        <v>0.33333333333333331</v>
      </c>
      <c r="BA206" s="32">
        <f t="shared" si="101"/>
        <v>0.74999999999999989</v>
      </c>
      <c r="BB206" s="32">
        <f t="shared" si="102"/>
        <v>8.3333333333333329E-2</v>
      </c>
      <c r="BC206" s="7">
        <f t="shared" si="103"/>
        <v>0.78703703703703709</v>
      </c>
      <c r="BD206" s="7">
        <f t="shared" si="104"/>
        <v>0.13888888888888887</v>
      </c>
      <c r="BE206">
        <f>step3_validation[[#This Row],[AI_OUT1]]</f>
        <v>9</v>
      </c>
      <c r="BF206">
        <f t="shared" si="105"/>
        <v>0.88888888888888884</v>
      </c>
      <c r="BG206">
        <f>survey_responses[[#This Row],[Sau khi xem xét các quyền lợi và nghĩa vụ, bạn có ủng hộ và tuân thủ chính sách mới hiện nay? - HUMAN-OUT1]]</f>
        <v>5</v>
      </c>
      <c r="BH206">
        <f t="shared" si="106"/>
        <v>0.44444444444444442</v>
      </c>
      <c r="BI206" s="32">
        <f t="shared" si="107"/>
        <v>4</v>
      </c>
    </row>
    <row r="207" spans="1:61" x14ac:dyDescent="0.45">
      <c r="A207" s="30">
        <f>step3_validation[[#This Row],[Persona_ID]]</f>
        <v>206</v>
      </c>
      <c r="B207" s="31">
        <f>step3_validation[[#This Row],[Used_Seed]]</f>
        <v>2196</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67.334763590608418</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f t="shared" si="81"/>
        <v>0.77777777777777779</v>
      </c>
      <c r="S207">
        <f>survey_responses[[#This Row],[Tôi tin rằng với các quy định quản lý thuế hiện nay, hành vi gian lận hoặc trốn thuế sẽ dễ dàng bị phát hiện và xử lý nghiêm. - HUMAN-ENF1]]</f>
        <v>8</v>
      </c>
      <c r="T207">
        <f t="shared" si="82"/>
        <v>0.77777777777777779</v>
      </c>
      <c r="U207">
        <f>step3_validation[[#This Row],[AI_ENF2]]</f>
        <v>7</v>
      </c>
      <c r="V207">
        <f t="shared" si="83"/>
        <v>0.66666666666666663</v>
      </c>
      <c r="W207">
        <f>survey_responses[[#This Row],[Tôi tin rằng Nhà nước, cơ quan thuế có đủ khả năng và công nghệ để phát hiện, xử lý nghiêm các hành vi trốn thuế. - HUMAN-ENF2]]</f>
        <v>8</v>
      </c>
      <c r="X207">
        <f t="shared" si="84"/>
        <v>0.77777777777777779</v>
      </c>
      <c r="Y207" s="32">
        <f t="shared" si="85"/>
        <v>0.72222222222222221</v>
      </c>
      <c r="Z207" s="32">
        <f t="shared" si="86"/>
        <v>0.77777777777777779</v>
      </c>
      <c r="AA207">
        <f>step3_validation[[#This Row],[AI_FAC1]]</f>
        <v>9</v>
      </c>
      <c r="AB207">
        <f t="shared" si="87"/>
        <v>0.88888888888888884</v>
      </c>
      <c r="AC207">
        <f>survey_responses[[#This Row],[Các thủ tục khai báo thuế VÀ/HOẶC quy trình làm việc với cơ quan thuế đơn giản, tiện lợi, nhanh chóng hơn so với trước đây. - HUMAN-FAC1]]</f>
        <v>5</v>
      </c>
      <c r="AD207">
        <f t="shared" si="88"/>
        <v>0.44444444444444442</v>
      </c>
      <c r="AE207">
        <f>step3_validation[[#This Row],[AI_FAC2]]</f>
        <v>10</v>
      </c>
      <c r="AF207">
        <f t="shared" si="89"/>
        <v>1</v>
      </c>
      <c r="AG207">
        <f>survey_responses[[#This Row],[So với trước đây, tôi thấy cách tính thuế và các bậc thuế trong phương án mới đơn giản, dễ hiểu và dễ thực hiện hơn. - HUMAN-FAC2]]</f>
        <v>7</v>
      </c>
      <c r="AH207">
        <f t="shared" si="90"/>
        <v>0.66666666666666663</v>
      </c>
      <c r="AI207" s="32">
        <f t="shared" si="91"/>
        <v>0.94444444444444442</v>
      </c>
      <c r="AJ207" s="32">
        <f t="shared" si="92"/>
        <v>0.55555555555555558</v>
      </c>
      <c r="AK207">
        <f>step3_validation[[#This Row],[AI_TRU1]]</f>
        <v>8</v>
      </c>
      <c r="AL207">
        <f t="shared" si="93"/>
        <v>0.77777777777777779</v>
      </c>
      <c r="AM207">
        <f>survey_responses[[#This Row],[Tôi tin rằng Nhà nước, cơ quan thuế sẽ thực thi chính sách mới một cách khách quan, công tâm và đối xử bình đẳng với mọi người nộp thuế.  - HUMAN-TRU1]]</f>
        <v>7</v>
      </c>
      <c r="AN207">
        <f t="shared" si="94"/>
        <v>0.66666666666666663</v>
      </c>
      <c r="AO207">
        <f>step3_validation[[#This Row],[AI_TRU2]]</f>
        <v>9</v>
      </c>
      <c r="AP207">
        <f t="shared" si="95"/>
        <v>0.88888888888888884</v>
      </c>
      <c r="AQ207">
        <f>survey_responses[[#This Row],[Tôi thấy mức thuế tôi phải đóng theo phương án mới là công bằng (người thu nhập như tôi đóng mức này là hợp lý). - HUMAN-TRU2]]</f>
        <v>6</v>
      </c>
      <c r="AR207">
        <f t="shared" si="96"/>
        <v>0.55555555555555558</v>
      </c>
      <c r="AS207">
        <f>step3_validation[[#This Row],[AI_TRU3]]</f>
        <v>8</v>
      </c>
      <c r="AT207">
        <f t="shared" si="97"/>
        <v>0.77777777777777779</v>
      </c>
      <c r="AU207">
        <f>survey_responses[[#This Row],[Tôi tin tưởng số tiền thuế tôi đóng sẽ được Nhà nước sử dụng hiệu quả để cải thiện dịch vụ công (y tế, đường xá...). - HUMAN-TRU3]]</f>
        <v>6</v>
      </c>
      <c r="AV207">
        <f t="shared" si="98"/>
        <v>0.55555555555555558</v>
      </c>
      <c r="AW207">
        <f>step3_validation[[#This Row],[AI_TRU4]]</f>
        <v>7</v>
      </c>
      <c r="AX207">
        <f t="shared" si="99"/>
        <v>0.66666666666666663</v>
      </c>
      <c r="AY207">
        <f>survey_responses[[#This Row],[Tôi thấy Nhà nước đã giải thích rõ ràng, minh bạch về lý do và mục tiêu của việc sửa đổi thuế lần này. - HUMAN-TRU4]]</f>
        <v>7</v>
      </c>
      <c r="AZ207">
        <f t="shared" si="100"/>
        <v>0.66666666666666663</v>
      </c>
      <c r="BA207" s="32">
        <f t="shared" si="101"/>
        <v>0.77777777777777768</v>
      </c>
      <c r="BB207" s="32">
        <f t="shared" si="102"/>
        <v>0.61111111111111116</v>
      </c>
      <c r="BC207" s="7">
        <f t="shared" si="103"/>
        <v>0.81481481481481477</v>
      </c>
      <c r="BD207" s="7">
        <f t="shared" si="104"/>
        <v>0.64814814814814825</v>
      </c>
      <c r="BE207">
        <f>step3_validation[[#This Row],[AI_OUT1]]</f>
        <v>9</v>
      </c>
      <c r="BF207">
        <f t="shared" si="105"/>
        <v>0.88888888888888884</v>
      </c>
      <c r="BG207">
        <f>survey_responses[[#This Row],[Sau khi xem xét các quyền lợi và nghĩa vụ, bạn có ủng hộ và tuân thủ chính sách mới hiện nay? - HUMAN-OUT1]]</f>
        <v>7</v>
      </c>
      <c r="BH207">
        <f t="shared" si="106"/>
        <v>0.66666666666666663</v>
      </c>
      <c r="BI207" s="32">
        <f t="shared" si="107"/>
        <v>2</v>
      </c>
    </row>
    <row r="208" spans="1:61" x14ac:dyDescent="0.45">
      <c r="A208" s="30">
        <f>step3_validation[[#This Row],[Persona_ID]]</f>
        <v>207</v>
      </c>
      <c r="B208" s="31">
        <f>step3_validation[[#This Row],[Used_Seed]]</f>
        <v>2197</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60.262001971001808</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7</v>
      </c>
      <c r="R208">
        <f t="shared" si="81"/>
        <v>0.66666666666666663</v>
      </c>
      <c r="S208">
        <f>survey_responses[[#This Row],[Tôi tin rằng với các quy định quản lý thuế hiện nay, hành vi gian lận hoặc trốn thuế sẽ dễ dàng bị phát hiện và xử lý nghiêm. - HUMAN-ENF1]]</f>
        <v>4</v>
      </c>
      <c r="T208">
        <f t="shared" si="82"/>
        <v>0.33333333333333331</v>
      </c>
      <c r="U208">
        <f>step3_validation[[#This Row],[AI_ENF2]]</f>
        <v>8</v>
      </c>
      <c r="V208">
        <f t="shared" si="83"/>
        <v>0.77777777777777779</v>
      </c>
      <c r="W208">
        <f>survey_responses[[#This Row],[Tôi tin rằng Nhà nước, cơ quan thuế có đủ khả năng và công nghệ để phát hiện, xử lý nghiêm các hành vi trốn thuế. - HUMAN-ENF2]]</f>
        <v>3</v>
      </c>
      <c r="X208">
        <f t="shared" si="84"/>
        <v>0.22222222222222221</v>
      </c>
      <c r="Y208" s="32">
        <f t="shared" si="85"/>
        <v>0.72222222222222221</v>
      </c>
      <c r="Z208" s="32">
        <f t="shared" si="86"/>
        <v>0.27777777777777779</v>
      </c>
      <c r="AA208">
        <f>step3_validation[[#This Row],[AI_FAC1]]</f>
        <v>9</v>
      </c>
      <c r="AB208">
        <f t="shared" si="87"/>
        <v>0.88888888888888884</v>
      </c>
      <c r="AC208">
        <f>survey_responses[[#This Row],[Các thủ tục khai báo thuế VÀ/HOẶC quy trình làm việc với cơ quan thuế đơn giản, tiện lợi, nhanh chóng hơn so với trước đây. - HUMAN-FAC1]]</f>
        <v>1</v>
      </c>
      <c r="AD208">
        <f t="shared" si="88"/>
        <v>0</v>
      </c>
      <c r="AE208">
        <f>step3_validation[[#This Row],[AI_FAC2]]</f>
        <v>10</v>
      </c>
      <c r="AF208">
        <f t="shared" si="89"/>
        <v>1</v>
      </c>
      <c r="AG208">
        <f>survey_responses[[#This Row],[So với trước đây, tôi thấy cách tính thuế và các bậc thuế trong phương án mới đơn giản, dễ hiểu và dễ thực hiện hơn. - HUMAN-FAC2]]</f>
        <v>2</v>
      </c>
      <c r="AH208">
        <f t="shared" si="90"/>
        <v>0.1111111111111111</v>
      </c>
      <c r="AI208" s="32">
        <f t="shared" si="91"/>
        <v>0.94444444444444442</v>
      </c>
      <c r="AJ208" s="32">
        <f t="shared" si="92"/>
        <v>5.5555555555555552E-2</v>
      </c>
      <c r="AK208">
        <f>step3_validation[[#This Row],[AI_TRU1]]</f>
        <v>8</v>
      </c>
      <c r="AL208">
        <f t="shared" si="93"/>
        <v>0.77777777777777779</v>
      </c>
      <c r="AM208">
        <f>survey_responses[[#This Row],[Tôi tin rằng Nhà nước, cơ quan thuế sẽ thực thi chính sách mới một cách khách quan, công tâm và đối xử bình đẳng với mọi người nộp thuế.  - HUMAN-TRU1]]</f>
        <v>1</v>
      </c>
      <c r="AN208">
        <f t="shared" si="94"/>
        <v>0</v>
      </c>
      <c r="AO208">
        <f>step3_validation[[#This Row],[AI_TRU2]]</f>
        <v>9</v>
      </c>
      <c r="AP208">
        <f t="shared" si="95"/>
        <v>0.88888888888888884</v>
      </c>
      <c r="AQ208">
        <f>survey_responses[[#This Row],[Tôi thấy mức thuế tôi phải đóng theo phương án mới là công bằng (người thu nhập như tôi đóng mức này là hợp lý). - HUMAN-TRU2]]</f>
        <v>1</v>
      </c>
      <c r="AR208">
        <f t="shared" si="96"/>
        <v>0</v>
      </c>
      <c r="AS208">
        <f>step3_validation[[#This Row],[AI_TRU3]]</f>
        <v>7</v>
      </c>
      <c r="AT208">
        <f t="shared" si="97"/>
        <v>0.66666666666666663</v>
      </c>
      <c r="AU208">
        <f>survey_responses[[#This Row],[Tôi tin tưởng số tiền thuế tôi đóng sẽ được Nhà nước sử dụng hiệu quả để cải thiện dịch vụ công (y tế, đường xá...). - HUMAN-TRU3]]</f>
        <v>1</v>
      </c>
      <c r="AV208">
        <f t="shared" si="98"/>
        <v>0</v>
      </c>
      <c r="AW208">
        <f>step3_validation[[#This Row],[AI_TRU4]]</f>
        <v>6</v>
      </c>
      <c r="AX208">
        <f t="shared" si="99"/>
        <v>0.55555555555555558</v>
      </c>
      <c r="AY208">
        <f>survey_responses[[#This Row],[Tôi thấy Nhà nước đã giải thích rõ ràng, minh bạch về lý do và mục tiêu của việc sửa đổi thuế lần này. - HUMAN-TRU4]]</f>
        <v>4</v>
      </c>
      <c r="AZ208">
        <f t="shared" si="100"/>
        <v>0.33333333333333331</v>
      </c>
      <c r="BA208" s="32">
        <f t="shared" si="101"/>
        <v>0.7222222222222221</v>
      </c>
      <c r="BB208" s="32">
        <f t="shared" si="102"/>
        <v>8.3333333333333329E-2</v>
      </c>
      <c r="BC208" s="7">
        <f t="shared" si="103"/>
        <v>0.79629629629629617</v>
      </c>
      <c r="BD208" s="7">
        <f t="shared" si="104"/>
        <v>0.1388888888888889</v>
      </c>
      <c r="BE208">
        <f>step3_validation[[#This Row],[AI_OUT1]]</f>
        <v>9</v>
      </c>
      <c r="BF208">
        <f t="shared" si="105"/>
        <v>0.88888888888888884</v>
      </c>
      <c r="BG208">
        <f>survey_responses[[#This Row],[Sau khi xem xét các quyền lợi và nghĩa vụ, bạn có ủng hộ và tuân thủ chính sách mới hiện nay? - HUMAN-OUT1]]</f>
        <v>2</v>
      </c>
      <c r="BH208">
        <f t="shared" si="106"/>
        <v>0.1111111111111111</v>
      </c>
      <c r="BI208" s="32">
        <f t="shared" si="107"/>
        <v>7</v>
      </c>
    </row>
    <row r="209" spans="1:61" x14ac:dyDescent="0.45">
      <c r="A209" s="30">
        <f>step3_validation[[#This Row],[Persona_ID]]</f>
        <v>208</v>
      </c>
      <c r="B209" s="31">
        <f>step3_validation[[#This Row],[Used_Seed]]</f>
        <v>2198</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46.752900936072265</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8</v>
      </c>
      <c r="R209">
        <f t="shared" si="81"/>
        <v>0.77777777777777779</v>
      </c>
      <c r="S209">
        <f>survey_responses[[#This Row],[Tôi tin rằng với các quy định quản lý thuế hiện nay, hành vi gian lận hoặc trốn thuế sẽ dễ dàng bị phát hiện và xử lý nghiêm. - HUMAN-ENF1]]</f>
        <v>7</v>
      </c>
      <c r="T209">
        <f t="shared" si="82"/>
        <v>0.66666666666666663</v>
      </c>
      <c r="U209">
        <f>step3_validation[[#This Row],[AI_ENF2]]</f>
        <v>9</v>
      </c>
      <c r="V209">
        <f t="shared" si="83"/>
        <v>0.88888888888888884</v>
      </c>
      <c r="W209">
        <f>survey_responses[[#This Row],[Tôi tin rằng Nhà nước, cơ quan thuế có đủ khả năng và công nghệ để phát hiện, xử lý nghiêm các hành vi trốn thuế. - HUMAN-ENF2]]</f>
        <v>8</v>
      </c>
      <c r="X209">
        <f t="shared" si="84"/>
        <v>0.77777777777777779</v>
      </c>
      <c r="Y209" s="32">
        <f t="shared" si="85"/>
        <v>0.83333333333333326</v>
      </c>
      <c r="Z209" s="32">
        <f t="shared" si="86"/>
        <v>0.72222222222222221</v>
      </c>
      <c r="AA209">
        <f>step3_validation[[#This Row],[AI_FAC1]]</f>
        <v>8</v>
      </c>
      <c r="AB209">
        <f t="shared" si="87"/>
        <v>0.77777777777777779</v>
      </c>
      <c r="AC209">
        <f>survey_responses[[#This Row],[Các thủ tục khai báo thuế VÀ/HOẶC quy trình làm việc với cơ quan thuế đơn giản, tiện lợi, nhanh chóng hơn so với trước đây. - HUMAN-FAC1]]</f>
        <v>6</v>
      </c>
      <c r="AD209">
        <f t="shared" si="88"/>
        <v>0.55555555555555558</v>
      </c>
      <c r="AE209">
        <f>step3_validation[[#This Row],[AI_FAC2]]</f>
        <v>9</v>
      </c>
      <c r="AF209">
        <f t="shared" si="89"/>
        <v>0.88888888888888884</v>
      </c>
      <c r="AG209">
        <f>survey_responses[[#This Row],[So với trước đây, tôi thấy cách tính thuế và các bậc thuế trong phương án mới đơn giản, dễ hiểu và dễ thực hiện hơn. - HUMAN-FAC2]]</f>
        <v>7</v>
      </c>
      <c r="AH209">
        <f t="shared" si="90"/>
        <v>0.66666666666666663</v>
      </c>
      <c r="AI209" s="32">
        <f t="shared" si="91"/>
        <v>0.83333333333333326</v>
      </c>
      <c r="AJ209" s="32">
        <f t="shared" si="92"/>
        <v>0.61111111111111116</v>
      </c>
      <c r="AK209">
        <f>step3_validation[[#This Row],[AI_TRU1]]</f>
        <v>9</v>
      </c>
      <c r="AL209">
        <f t="shared" si="93"/>
        <v>0.88888888888888884</v>
      </c>
      <c r="AM209">
        <f>survey_responses[[#This Row],[Tôi tin rằng Nhà nước, cơ quan thuế sẽ thực thi chính sách mới một cách khách quan, công tâm và đối xử bình đẳng với mọi người nộp thuế.  - HUMAN-TRU1]]</f>
        <v>6</v>
      </c>
      <c r="AN209">
        <f t="shared" si="94"/>
        <v>0.55555555555555558</v>
      </c>
      <c r="AO209">
        <f>step3_validation[[#This Row],[AI_TRU2]]</f>
        <v>8</v>
      </c>
      <c r="AP209">
        <f t="shared" si="95"/>
        <v>0.77777777777777779</v>
      </c>
      <c r="AQ209">
        <f>survey_responses[[#This Row],[Tôi thấy mức thuế tôi phải đóng theo phương án mới là công bằng (người thu nhập như tôi đóng mức này là hợp lý). - HUMAN-TRU2]]</f>
        <v>7</v>
      </c>
      <c r="AR209">
        <f t="shared" si="96"/>
        <v>0.66666666666666663</v>
      </c>
      <c r="AS209">
        <f>step3_validation[[#This Row],[AI_TRU3]]</f>
        <v>9</v>
      </c>
      <c r="AT209">
        <f t="shared" si="97"/>
        <v>0.88888888888888884</v>
      </c>
      <c r="AU209">
        <f>survey_responses[[#This Row],[Tôi tin tưởng số tiền thuế tôi đóng sẽ được Nhà nước sử dụng hiệu quả để cải thiện dịch vụ công (y tế, đường xá...). - HUMAN-TRU3]]</f>
        <v>6</v>
      </c>
      <c r="AV209">
        <f t="shared" si="98"/>
        <v>0.55555555555555558</v>
      </c>
      <c r="AW209">
        <f>step3_validation[[#This Row],[AI_TRU4]]</f>
        <v>8</v>
      </c>
      <c r="AX209">
        <f t="shared" si="99"/>
        <v>0.77777777777777779</v>
      </c>
      <c r="AY209">
        <f>survey_responses[[#This Row],[Tôi thấy Nhà nước đã giải thích rõ ràng, minh bạch về lý do và mục tiêu của việc sửa đổi thuế lần này. - HUMAN-TRU4]]</f>
        <v>6</v>
      </c>
      <c r="AZ209">
        <f t="shared" si="100"/>
        <v>0.55555555555555558</v>
      </c>
      <c r="BA209" s="32">
        <f t="shared" si="101"/>
        <v>0.83333333333333326</v>
      </c>
      <c r="BB209" s="32">
        <f t="shared" si="102"/>
        <v>0.58333333333333337</v>
      </c>
      <c r="BC209" s="7">
        <f t="shared" si="103"/>
        <v>0.83333333333333337</v>
      </c>
      <c r="BD209" s="7">
        <f t="shared" si="104"/>
        <v>0.63888888888888895</v>
      </c>
      <c r="BE209">
        <f>step3_validation[[#This Row],[AI_OUT1]]</f>
        <v>9</v>
      </c>
      <c r="BF209">
        <f t="shared" si="105"/>
        <v>0.88888888888888884</v>
      </c>
      <c r="BG209">
        <f>survey_responses[[#This Row],[Sau khi xem xét các quyền lợi và nghĩa vụ, bạn có ủng hộ và tuân thủ chính sách mới hiện nay? - HUMAN-OUT1]]</f>
        <v>6</v>
      </c>
      <c r="BH209">
        <f t="shared" si="106"/>
        <v>0.55555555555555558</v>
      </c>
      <c r="BI209" s="32">
        <f t="shared" si="107"/>
        <v>3</v>
      </c>
    </row>
    <row r="210" spans="1:61" x14ac:dyDescent="0.45">
      <c r="A210" s="30">
        <f>step3_validation[[#This Row],[Persona_ID]]</f>
        <v>209</v>
      </c>
      <c r="B210" s="31">
        <f>step3_validation[[#This Row],[Used_Seed]]</f>
        <v>2199</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43.547367865424363</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9</v>
      </c>
      <c r="R210">
        <f t="shared" si="81"/>
        <v>0.88888888888888884</v>
      </c>
      <c r="S210">
        <f>survey_responses[[#This Row],[Tôi tin rằng với các quy định quản lý thuế hiện nay, hành vi gian lận hoặc trốn thuế sẽ dễ dàng bị phát hiện và xử lý nghiêm. - HUMAN-ENF1]]</f>
        <v>6</v>
      </c>
      <c r="T210">
        <f t="shared" si="82"/>
        <v>0.55555555555555558</v>
      </c>
      <c r="U210">
        <f>step3_validation[[#This Row],[AI_ENF2]]</f>
        <v>8</v>
      </c>
      <c r="V210">
        <f t="shared" si="83"/>
        <v>0.77777777777777779</v>
      </c>
      <c r="W210">
        <f>survey_responses[[#This Row],[Tôi tin rằng Nhà nước, cơ quan thuế có đủ khả năng và công nghệ để phát hiện, xử lý nghiêm các hành vi trốn thuế. - HUMAN-ENF2]]</f>
        <v>6</v>
      </c>
      <c r="X210">
        <f t="shared" si="84"/>
        <v>0.55555555555555558</v>
      </c>
      <c r="Y210" s="32">
        <f t="shared" si="85"/>
        <v>0.83333333333333326</v>
      </c>
      <c r="Z210" s="32">
        <f t="shared" si="86"/>
        <v>0.55555555555555558</v>
      </c>
      <c r="AA210">
        <f>step3_validation[[#This Row],[AI_FAC1]]</f>
        <v>9</v>
      </c>
      <c r="AB210">
        <f t="shared" si="87"/>
        <v>0.88888888888888884</v>
      </c>
      <c r="AC210">
        <f>survey_responses[[#This Row],[Các thủ tục khai báo thuế VÀ/HOẶC quy trình làm việc với cơ quan thuế đơn giản, tiện lợi, nhanh chóng hơn so với trước đây. - HUMAN-FAC1]]</f>
        <v>6</v>
      </c>
      <c r="AD210">
        <f t="shared" si="88"/>
        <v>0.55555555555555558</v>
      </c>
      <c r="AE210">
        <f>step3_validation[[#This Row],[AI_FAC2]]</f>
        <v>8</v>
      </c>
      <c r="AF210">
        <f t="shared" si="89"/>
        <v>0.77777777777777779</v>
      </c>
      <c r="AG210">
        <f>survey_responses[[#This Row],[So với trước đây, tôi thấy cách tính thuế và các bậc thuế trong phương án mới đơn giản, dễ hiểu và dễ thực hiện hơn. - HUMAN-FAC2]]</f>
        <v>6</v>
      </c>
      <c r="AH210">
        <f t="shared" si="90"/>
        <v>0.55555555555555558</v>
      </c>
      <c r="AI210" s="32">
        <f t="shared" si="91"/>
        <v>0.83333333333333326</v>
      </c>
      <c r="AJ210" s="32">
        <f t="shared" si="92"/>
        <v>0.55555555555555558</v>
      </c>
      <c r="AK210">
        <f>step3_validation[[#This Row],[AI_TRU1]]</f>
        <v>7</v>
      </c>
      <c r="AL210">
        <f t="shared" si="93"/>
        <v>0.66666666666666663</v>
      </c>
      <c r="AM210">
        <f>survey_responses[[#This Row],[Tôi tin rằng Nhà nước, cơ quan thuế sẽ thực thi chính sách mới một cách khách quan, công tâm và đối xử bình đẳng với mọi người nộp thuế.  - HUMAN-TRU1]]</f>
        <v>6</v>
      </c>
      <c r="AN210">
        <f t="shared" si="94"/>
        <v>0.55555555555555558</v>
      </c>
      <c r="AO210">
        <f>step3_validation[[#This Row],[AI_TRU2]]</f>
        <v>8</v>
      </c>
      <c r="AP210">
        <f t="shared" si="95"/>
        <v>0.77777777777777779</v>
      </c>
      <c r="AQ210">
        <f>survey_responses[[#This Row],[Tôi thấy mức thuế tôi phải đóng theo phương án mới là công bằng (người thu nhập như tôi đóng mức này là hợp lý). - HUMAN-TRU2]]</f>
        <v>5</v>
      </c>
      <c r="AR210">
        <f t="shared" si="96"/>
        <v>0.44444444444444442</v>
      </c>
      <c r="AS210">
        <f>step3_validation[[#This Row],[AI_TRU3]]</f>
        <v>7</v>
      </c>
      <c r="AT210">
        <f t="shared" si="97"/>
        <v>0.66666666666666663</v>
      </c>
      <c r="AU210">
        <f>survey_responses[[#This Row],[Tôi tin tưởng số tiền thuế tôi đóng sẽ được Nhà nước sử dụng hiệu quả để cải thiện dịch vụ công (y tế, đường xá...). - HUMAN-TRU3]]</f>
        <v>6</v>
      </c>
      <c r="AV210">
        <f t="shared" si="98"/>
        <v>0.55555555555555558</v>
      </c>
      <c r="AW210">
        <f>step3_validation[[#This Row],[AI_TRU4]]</f>
        <v>8</v>
      </c>
      <c r="AX210">
        <f t="shared" si="99"/>
        <v>0.77777777777777779</v>
      </c>
      <c r="AY210">
        <f>survey_responses[[#This Row],[Tôi thấy Nhà nước đã giải thích rõ ràng, minh bạch về lý do và mục tiêu của việc sửa đổi thuế lần này. - HUMAN-TRU4]]</f>
        <v>6</v>
      </c>
      <c r="AZ210">
        <f t="shared" si="100"/>
        <v>0.55555555555555558</v>
      </c>
      <c r="BA210" s="32">
        <f t="shared" si="101"/>
        <v>0.72222222222222221</v>
      </c>
      <c r="BB210" s="32">
        <f t="shared" si="102"/>
        <v>0.52777777777777779</v>
      </c>
      <c r="BC210" s="7">
        <f t="shared" si="103"/>
        <v>0.79629629629629628</v>
      </c>
      <c r="BD210" s="7">
        <f t="shared" si="104"/>
        <v>0.54629629629629628</v>
      </c>
      <c r="BE210">
        <f>step3_validation[[#This Row],[AI_OUT1]]</f>
        <v>9</v>
      </c>
      <c r="BF210">
        <f t="shared" si="105"/>
        <v>0.88888888888888884</v>
      </c>
      <c r="BG210">
        <f>survey_responses[[#This Row],[Sau khi xem xét các quyền lợi và nghĩa vụ, bạn có ủng hộ và tuân thủ chính sách mới hiện nay? - HUMAN-OUT1]]</f>
        <v>6</v>
      </c>
      <c r="BH210">
        <f t="shared" si="106"/>
        <v>0.55555555555555558</v>
      </c>
      <c r="BI210" s="32">
        <f t="shared" si="107"/>
        <v>3</v>
      </c>
    </row>
    <row r="211" spans="1:61" x14ac:dyDescent="0.45">
      <c r="A211" s="30">
        <f>step3_validation[[#This Row],[Persona_ID]]</f>
        <v>210</v>
      </c>
      <c r="B211" s="31">
        <f>step3_validation[[#This Row],[Used_Seed]]</f>
        <v>2200</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28.560004683260935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f t="shared" si="81"/>
        <v>0.77777777777777779</v>
      </c>
      <c r="S211">
        <f>survey_responses[[#This Row],[Tôi tin rằng với các quy định quản lý thuế hiện nay, hành vi gian lận hoặc trốn thuế sẽ dễ dàng bị phát hiện và xử lý nghiêm. - HUMAN-ENF1]]</f>
        <v>7</v>
      </c>
      <c r="T211">
        <f t="shared" si="82"/>
        <v>0.66666666666666663</v>
      </c>
      <c r="U211">
        <f>step3_validation[[#This Row],[AI_ENF2]]</f>
        <v>10</v>
      </c>
      <c r="V211">
        <f t="shared" si="83"/>
        <v>1</v>
      </c>
      <c r="W211">
        <f>survey_responses[[#This Row],[Tôi tin rằng Nhà nước, cơ quan thuế có đủ khả năng và công nghệ để phát hiện, xử lý nghiêm các hành vi trốn thuế. - HUMAN-ENF2]]</f>
        <v>7</v>
      </c>
      <c r="X211">
        <f t="shared" si="84"/>
        <v>0.66666666666666663</v>
      </c>
      <c r="Y211" s="32">
        <f t="shared" si="85"/>
        <v>0.88888888888888884</v>
      </c>
      <c r="Z211" s="32">
        <f t="shared" si="86"/>
        <v>0.66666666666666663</v>
      </c>
      <c r="AA211">
        <f>step3_validation[[#This Row],[AI_FAC1]]</f>
        <v>10</v>
      </c>
      <c r="AB211">
        <f t="shared" si="87"/>
        <v>1</v>
      </c>
      <c r="AC211">
        <f>survey_responses[[#This Row],[Các thủ tục khai báo thuế VÀ/HOẶC quy trình làm việc với cơ quan thuế đơn giản, tiện lợi, nhanh chóng hơn so với trước đây. - HUMAN-FAC1]]</f>
        <v>8</v>
      </c>
      <c r="AD211">
        <f t="shared" si="88"/>
        <v>0.77777777777777779</v>
      </c>
      <c r="AE211">
        <f>step3_validation[[#This Row],[AI_FAC2]]</f>
        <v>10</v>
      </c>
      <c r="AF211">
        <f t="shared" si="89"/>
        <v>1</v>
      </c>
      <c r="AG211">
        <f>survey_responses[[#This Row],[So với trước đây, tôi thấy cách tính thuế và các bậc thuế trong phương án mới đơn giản, dễ hiểu và dễ thực hiện hơn. - HUMAN-FAC2]]</f>
        <v>8</v>
      </c>
      <c r="AH211">
        <f t="shared" si="90"/>
        <v>0.77777777777777779</v>
      </c>
      <c r="AI211" s="32">
        <f t="shared" si="91"/>
        <v>1</v>
      </c>
      <c r="AJ211" s="32">
        <f t="shared" si="92"/>
        <v>0.77777777777777779</v>
      </c>
      <c r="AK211">
        <f>step3_validation[[#This Row],[AI_TRU1]]</f>
        <v>9</v>
      </c>
      <c r="AL211">
        <f t="shared" si="93"/>
        <v>0.88888888888888884</v>
      </c>
      <c r="AM211">
        <f>survey_responses[[#This Row],[Tôi tin rằng Nhà nước, cơ quan thuế sẽ thực thi chính sách mới một cách khách quan, công tâm và đối xử bình đẳng với mọi người nộp thuế.  - HUMAN-TRU1]]</f>
        <v>8</v>
      </c>
      <c r="AN211">
        <f t="shared" si="94"/>
        <v>0.77777777777777779</v>
      </c>
      <c r="AO211">
        <f>step3_validation[[#This Row],[AI_TRU2]]</f>
        <v>10</v>
      </c>
      <c r="AP211">
        <f t="shared" si="95"/>
        <v>1</v>
      </c>
      <c r="AQ211">
        <f>survey_responses[[#This Row],[Tôi thấy mức thuế tôi phải đóng theo phương án mới là công bằng (người thu nhập như tôi đóng mức này là hợp lý). - HUMAN-TRU2]]</f>
        <v>9</v>
      </c>
      <c r="AR211">
        <f t="shared" si="96"/>
        <v>0.88888888888888884</v>
      </c>
      <c r="AS211">
        <f>step3_validation[[#This Row],[AI_TRU3]]</f>
        <v>9</v>
      </c>
      <c r="AT211">
        <f t="shared" si="97"/>
        <v>0.88888888888888884</v>
      </c>
      <c r="AU211">
        <f>survey_responses[[#This Row],[Tôi tin tưởng số tiền thuế tôi đóng sẽ được Nhà nước sử dụng hiệu quả để cải thiện dịch vụ công (y tế, đường xá...). - HUMAN-TRU3]]</f>
        <v>8</v>
      </c>
      <c r="AV211">
        <f t="shared" si="98"/>
        <v>0.77777777777777779</v>
      </c>
      <c r="AW211">
        <f>step3_validation[[#This Row],[AI_TRU4]]</f>
        <v>10</v>
      </c>
      <c r="AX211">
        <f t="shared" si="99"/>
        <v>1</v>
      </c>
      <c r="AY211">
        <f>survey_responses[[#This Row],[Tôi thấy Nhà nước đã giải thích rõ ràng, minh bạch về lý do và mục tiêu của việc sửa đổi thuế lần này. - HUMAN-TRU4]]</f>
        <v>8</v>
      </c>
      <c r="AZ211">
        <f t="shared" si="100"/>
        <v>0.77777777777777779</v>
      </c>
      <c r="BA211" s="32">
        <f t="shared" si="101"/>
        <v>0.94444444444444442</v>
      </c>
      <c r="BB211" s="32">
        <f t="shared" si="102"/>
        <v>0.80555555555555547</v>
      </c>
      <c r="BC211" s="7">
        <f t="shared" si="103"/>
        <v>0.94444444444444431</v>
      </c>
      <c r="BD211" s="7">
        <f t="shared" si="104"/>
        <v>0.75</v>
      </c>
      <c r="BE211">
        <f>step3_validation[[#This Row],[AI_OUT1]]</f>
        <v>10</v>
      </c>
      <c r="BF211">
        <f t="shared" si="105"/>
        <v>1</v>
      </c>
      <c r="BG211">
        <f>survey_responses[[#This Row],[Sau khi xem xét các quyền lợi và nghĩa vụ, bạn có ủng hộ và tuân thủ chính sách mới hiện nay? - HUMAN-OUT1]]</f>
        <v>8</v>
      </c>
      <c r="BH211">
        <f t="shared" si="106"/>
        <v>0.77777777777777779</v>
      </c>
      <c r="BI211" s="32">
        <f t="shared" si="107"/>
        <v>2</v>
      </c>
    </row>
    <row r="212" spans="1:61" x14ac:dyDescent="0.45">
      <c r="A212" s="30">
        <f>step3_validation[[#This Row],[Persona_ID]]</f>
        <v>211</v>
      </c>
      <c r="B212" s="31">
        <f>step3_validation[[#This Row],[Used_Seed]]</f>
        <v>2201</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63.416603098597655</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8</v>
      </c>
      <c r="R212">
        <f t="shared" si="81"/>
        <v>0.77777777777777779</v>
      </c>
      <c r="S212">
        <f>survey_responses[[#This Row],[Tôi tin rằng với các quy định quản lý thuế hiện nay, hành vi gian lận hoặc trốn thuế sẽ dễ dàng bị phát hiện và xử lý nghiêm. - HUMAN-ENF1]]</f>
        <v>7</v>
      </c>
      <c r="T212">
        <f t="shared" si="82"/>
        <v>0.66666666666666663</v>
      </c>
      <c r="U212">
        <f>step3_validation[[#This Row],[AI_ENF2]]</f>
        <v>8</v>
      </c>
      <c r="V212">
        <f t="shared" si="83"/>
        <v>0.77777777777777779</v>
      </c>
      <c r="W212">
        <f>survey_responses[[#This Row],[Tôi tin rằng Nhà nước, cơ quan thuế có đủ khả năng và công nghệ để phát hiện, xử lý nghiêm các hành vi trốn thuế. - HUMAN-ENF2]]</f>
        <v>7</v>
      </c>
      <c r="X212">
        <f t="shared" si="84"/>
        <v>0.66666666666666663</v>
      </c>
      <c r="Y212" s="32">
        <f t="shared" si="85"/>
        <v>0.77777777777777779</v>
      </c>
      <c r="Z212" s="32">
        <f t="shared" si="86"/>
        <v>0.66666666666666663</v>
      </c>
      <c r="AA212">
        <f>step3_validation[[#This Row],[AI_FAC1]]</f>
        <v>9</v>
      </c>
      <c r="AB212">
        <f t="shared" si="87"/>
        <v>0.88888888888888884</v>
      </c>
      <c r="AC212">
        <f>survey_responses[[#This Row],[Các thủ tục khai báo thuế VÀ/HOẶC quy trình làm việc với cơ quan thuế đơn giản, tiện lợi, nhanh chóng hơn so với trước đây. - HUMAN-FAC1]]</f>
        <v>7</v>
      </c>
      <c r="AD212">
        <f t="shared" si="88"/>
        <v>0.66666666666666663</v>
      </c>
      <c r="AE212">
        <f>step3_validation[[#This Row],[AI_FAC2]]</f>
        <v>9</v>
      </c>
      <c r="AF212">
        <f t="shared" si="89"/>
        <v>0.88888888888888884</v>
      </c>
      <c r="AG212">
        <f>survey_responses[[#This Row],[So với trước đây, tôi thấy cách tính thuế và các bậc thuế trong phương án mới đơn giản, dễ hiểu và dễ thực hiện hơn. - HUMAN-FAC2]]</f>
        <v>7</v>
      </c>
      <c r="AH212">
        <f t="shared" si="90"/>
        <v>0.66666666666666663</v>
      </c>
      <c r="AI212" s="32">
        <f t="shared" si="91"/>
        <v>0.88888888888888884</v>
      </c>
      <c r="AJ212" s="32">
        <f t="shared" si="92"/>
        <v>0.66666666666666663</v>
      </c>
      <c r="AK212">
        <f>step3_validation[[#This Row],[AI_TRU1]]</f>
        <v>8</v>
      </c>
      <c r="AL212">
        <f t="shared" si="93"/>
        <v>0.77777777777777779</v>
      </c>
      <c r="AM212">
        <f>survey_responses[[#This Row],[Tôi tin rằng Nhà nước, cơ quan thuế sẽ thực thi chính sách mới một cách khách quan, công tâm và đối xử bình đẳng với mọi người nộp thuế.  - HUMAN-TRU1]]</f>
        <v>7</v>
      </c>
      <c r="AN212">
        <f t="shared" si="94"/>
        <v>0.66666666666666663</v>
      </c>
      <c r="AO212">
        <f>step3_validation[[#This Row],[AI_TRU2]]</f>
        <v>9</v>
      </c>
      <c r="AP212">
        <f t="shared" si="95"/>
        <v>0.88888888888888884</v>
      </c>
      <c r="AQ212">
        <f>survey_responses[[#This Row],[Tôi thấy mức thuế tôi phải đóng theo phương án mới là công bằng (người thu nhập như tôi đóng mức này là hợp lý). - HUMAN-TRU2]]</f>
        <v>7</v>
      </c>
      <c r="AR212">
        <f t="shared" si="96"/>
        <v>0.66666666666666663</v>
      </c>
      <c r="AS212">
        <f>step3_validation[[#This Row],[AI_TRU3]]</f>
        <v>8</v>
      </c>
      <c r="AT212">
        <f t="shared" si="97"/>
        <v>0.77777777777777779</v>
      </c>
      <c r="AU212">
        <f>survey_responses[[#This Row],[Tôi tin tưởng số tiền thuế tôi đóng sẽ được Nhà nước sử dụng hiệu quả để cải thiện dịch vụ công (y tế, đường xá...). - HUMAN-TRU3]]</f>
        <v>7</v>
      </c>
      <c r="AV212">
        <f t="shared" si="98"/>
        <v>0.66666666666666663</v>
      </c>
      <c r="AW212">
        <f>step3_validation[[#This Row],[AI_TRU4]]</f>
        <v>7</v>
      </c>
      <c r="AX212">
        <f t="shared" si="99"/>
        <v>0.66666666666666663</v>
      </c>
      <c r="AY212">
        <f>survey_responses[[#This Row],[Tôi thấy Nhà nước đã giải thích rõ ràng, minh bạch về lý do và mục tiêu của việc sửa đổi thuế lần này. - HUMAN-TRU4]]</f>
        <v>7</v>
      </c>
      <c r="AZ212">
        <f t="shared" si="100"/>
        <v>0.66666666666666663</v>
      </c>
      <c r="BA212" s="32">
        <f t="shared" si="101"/>
        <v>0.77777777777777768</v>
      </c>
      <c r="BB212" s="32">
        <f t="shared" si="102"/>
        <v>0.66666666666666663</v>
      </c>
      <c r="BC212" s="7">
        <f t="shared" si="103"/>
        <v>0.81481481481481477</v>
      </c>
      <c r="BD212" s="7">
        <f t="shared" si="104"/>
        <v>0.66666666666666663</v>
      </c>
      <c r="BE212">
        <f>step3_validation[[#This Row],[AI_OUT1]]</f>
        <v>9</v>
      </c>
      <c r="BF212">
        <f t="shared" si="105"/>
        <v>0.88888888888888884</v>
      </c>
      <c r="BG212">
        <f>survey_responses[[#This Row],[Sau khi xem xét các quyền lợi và nghĩa vụ, bạn có ủng hộ và tuân thủ chính sách mới hiện nay? - HUMAN-OUT1]]</f>
        <v>7</v>
      </c>
      <c r="BH212">
        <f t="shared" si="106"/>
        <v>0.66666666666666663</v>
      </c>
      <c r="BI212" s="32">
        <f t="shared" si="107"/>
        <v>2</v>
      </c>
    </row>
    <row r="213" spans="1:61" x14ac:dyDescent="0.45">
      <c r="A213" s="30">
        <f>step3_validation[[#This Row],[Persona_ID]]</f>
        <v>212</v>
      </c>
      <c r="B213" s="31">
        <f>step3_validation[[#This Row],[Used_Seed]]</f>
        <v>2202</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62.857520934509097</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f t="shared" si="81"/>
        <v>0.66666666666666663</v>
      </c>
      <c r="S213">
        <f>survey_responses[[#This Row],[Tôi tin rằng với các quy định quản lý thuế hiện nay, hành vi gian lận hoặc trốn thuế sẽ dễ dàng bị phát hiện và xử lý nghiêm. - HUMAN-ENF1]]</f>
        <v>5</v>
      </c>
      <c r="T213">
        <f t="shared" si="82"/>
        <v>0.44444444444444442</v>
      </c>
      <c r="U213">
        <f>step3_validation[[#This Row],[AI_ENF2]]</f>
        <v>6</v>
      </c>
      <c r="V213">
        <f t="shared" si="83"/>
        <v>0.55555555555555558</v>
      </c>
      <c r="W213">
        <f>survey_responses[[#This Row],[Tôi tin rằng Nhà nước, cơ quan thuế có đủ khả năng và công nghệ để phát hiện, xử lý nghiêm các hành vi trốn thuế. - HUMAN-ENF2]]</f>
        <v>5</v>
      </c>
      <c r="X213">
        <f t="shared" si="84"/>
        <v>0.44444444444444442</v>
      </c>
      <c r="Y213" s="32">
        <f t="shared" si="85"/>
        <v>0.61111111111111116</v>
      </c>
      <c r="Z213" s="32">
        <f t="shared" si="86"/>
        <v>0.44444444444444442</v>
      </c>
      <c r="AA213">
        <f>step3_validation[[#This Row],[AI_FAC1]]</f>
        <v>9</v>
      </c>
      <c r="AB213">
        <f t="shared" si="87"/>
        <v>0.88888888888888884</v>
      </c>
      <c r="AC213">
        <f>survey_responses[[#This Row],[Các thủ tục khai báo thuế VÀ/HOẶC quy trình làm việc với cơ quan thuế đơn giản, tiện lợi, nhanh chóng hơn so với trước đây. - HUMAN-FAC1]]</f>
        <v>1</v>
      </c>
      <c r="AD213">
        <f t="shared" si="88"/>
        <v>0</v>
      </c>
      <c r="AE213">
        <f>step3_validation[[#This Row],[AI_FAC2]]</f>
        <v>9</v>
      </c>
      <c r="AF213">
        <f t="shared" si="89"/>
        <v>0.88888888888888884</v>
      </c>
      <c r="AG213">
        <f>survey_responses[[#This Row],[So với trước đây, tôi thấy cách tính thuế và các bậc thuế trong phương án mới đơn giản, dễ hiểu và dễ thực hiện hơn. - HUMAN-FAC2]]</f>
        <v>5</v>
      </c>
      <c r="AH213">
        <f t="shared" si="90"/>
        <v>0.44444444444444442</v>
      </c>
      <c r="AI213" s="32">
        <f t="shared" si="91"/>
        <v>0.88888888888888884</v>
      </c>
      <c r="AJ213" s="32">
        <f t="shared" si="92"/>
        <v>0.22222222222222221</v>
      </c>
      <c r="AK213">
        <f>step3_validation[[#This Row],[AI_TRU1]]</f>
        <v>8</v>
      </c>
      <c r="AL213">
        <f t="shared" si="93"/>
        <v>0.77777777777777779</v>
      </c>
      <c r="AM213">
        <f>survey_responses[[#This Row],[Tôi tin rằng Nhà nước, cơ quan thuế sẽ thực thi chính sách mới một cách khách quan, công tâm và đối xử bình đẳng với mọi người nộp thuế.  - HUMAN-TRU1]]</f>
        <v>5</v>
      </c>
      <c r="AN213">
        <f t="shared" si="94"/>
        <v>0.44444444444444442</v>
      </c>
      <c r="AO213">
        <f>step3_validation[[#This Row],[AI_TRU2]]</f>
        <v>9</v>
      </c>
      <c r="AP213">
        <f t="shared" si="95"/>
        <v>0.88888888888888884</v>
      </c>
      <c r="AQ213">
        <f>survey_responses[[#This Row],[Tôi thấy mức thuế tôi phải đóng theo phương án mới là công bằng (người thu nhập như tôi đóng mức này là hợp lý). - HUMAN-TRU2]]</f>
        <v>5</v>
      </c>
      <c r="AR213">
        <f t="shared" si="96"/>
        <v>0.44444444444444442</v>
      </c>
      <c r="AS213">
        <f>step3_validation[[#This Row],[AI_TRU3]]</f>
        <v>8</v>
      </c>
      <c r="AT213">
        <f t="shared" si="97"/>
        <v>0.77777777777777779</v>
      </c>
      <c r="AU213">
        <f>survey_responses[[#This Row],[Tôi tin tưởng số tiền thuế tôi đóng sẽ được Nhà nước sử dụng hiệu quả để cải thiện dịch vụ công (y tế, đường xá...). - HUMAN-TRU3]]</f>
        <v>4</v>
      </c>
      <c r="AV213">
        <f t="shared" si="98"/>
        <v>0.33333333333333331</v>
      </c>
      <c r="AW213">
        <f>step3_validation[[#This Row],[AI_TRU4]]</f>
        <v>7</v>
      </c>
      <c r="AX213">
        <f t="shared" si="99"/>
        <v>0.66666666666666663</v>
      </c>
      <c r="AY213">
        <f>survey_responses[[#This Row],[Tôi thấy Nhà nước đã giải thích rõ ràng, minh bạch về lý do và mục tiêu của việc sửa đổi thuế lần này. - HUMAN-TRU4]]</f>
        <v>5</v>
      </c>
      <c r="AZ213">
        <f t="shared" si="100"/>
        <v>0.44444444444444442</v>
      </c>
      <c r="BA213" s="32">
        <f t="shared" si="101"/>
        <v>0.77777777777777768</v>
      </c>
      <c r="BB213" s="32">
        <f t="shared" si="102"/>
        <v>0.41666666666666663</v>
      </c>
      <c r="BC213" s="7">
        <f t="shared" si="103"/>
        <v>0.75925925925925919</v>
      </c>
      <c r="BD213" s="7">
        <f t="shared" si="104"/>
        <v>0.3611111111111111</v>
      </c>
      <c r="BE213">
        <f>step3_validation[[#This Row],[AI_OUT1]]</f>
        <v>9</v>
      </c>
      <c r="BF213">
        <f t="shared" si="105"/>
        <v>0.88888888888888884</v>
      </c>
      <c r="BG213">
        <f>survey_responses[[#This Row],[Sau khi xem xét các quyền lợi và nghĩa vụ, bạn có ủng hộ và tuân thủ chính sách mới hiện nay? - HUMAN-OUT1]]</f>
        <v>5</v>
      </c>
      <c r="BH213">
        <f t="shared" si="106"/>
        <v>0.44444444444444442</v>
      </c>
      <c r="BI213" s="32">
        <f t="shared" si="107"/>
        <v>4</v>
      </c>
    </row>
    <row r="214" spans="1:61" x14ac:dyDescent="0.45">
      <c r="A214" s="30">
        <f>step3_validation[[#This Row],[Persona_ID]]</f>
        <v>213</v>
      </c>
      <c r="B214" s="31">
        <f>step3_validation[[#This Row],[Used_Seed]]</f>
        <v>2203</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54.46559089304855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9</v>
      </c>
      <c r="R214">
        <f t="shared" si="81"/>
        <v>0.88888888888888884</v>
      </c>
      <c r="S214">
        <f>survey_responses[[#This Row],[Tôi tin rằng với các quy định quản lý thuế hiện nay, hành vi gian lận hoặc trốn thuế sẽ dễ dàng bị phát hiện và xử lý nghiêm. - HUMAN-ENF1]]</f>
        <v>7</v>
      </c>
      <c r="T214">
        <f t="shared" si="82"/>
        <v>0.66666666666666663</v>
      </c>
      <c r="U214">
        <f>step3_validation[[#This Row],[AI_ENF2]]</f>
        <v>8</v>
      </c>
      <c r="V214">
        <f t="shared" si="83"/>
        <v>0.77777777777777779</v>
      </c>
      <c r="W214">
        <f>survey_responses[[#This Row],[Tôi tin rằng Nhà nước, cơ quan thuế có đủ khả năng và công nghệ để phát hiện, xử lý nghiêm các hành vi trốn thuế. - HUMAN-ENF2]]</f>
        <v>8</v>
      </c>
      <c r="X214">
        <f t="shared" si="84"/>
        <v>0.77777777777777779</v>
      </c>
      <c r="Y214" s="32">
        <f t="shared" si="85"/>
        <v>0.83333333333333326</v>
      </c>
      <c r="Z214" s="32">
        <f t="shared" si="86"/>
        <v>0.72222222222222221</v>
      </c>
      <c r="AA214">
        <f>step3_validation[[#This Row],[AI_FAC1]]</f>
        <v>9</v>
      </c>
      <c r="AB214">
        <f t="shared" si="87"/>
        <v>0.88888888888888884</v>
      </c>
      <c r="AC214">
        <f>survey_responses[[#This Row],[Các thủ tục khai báo thuế VÀ/HOẶC quy trình làm việc với cơ quan thuế đơn giản, tiện lợi, nhanh chóng hơn so với trước đây. - HUMAN-FAC1]]</f>
        <v>8</v>
      </c>
      <c r="AD214">
        <f t="shared" si="88"/>
        <v>0.77777777777777779</v>
      </c>
      <c r="AE214">
        <f>step3_validation[[#This Row],[AI_FAC2]]</f>
        <v>8</v>
      </c>
      <c r="AF214">
        <f t="shared" si="89"/>
        <v>0.77777777777777779</v>
      </c>
      <c r="AG214">
        <f>survey_responses[[#This Row],[So với trước đây, tôi thấy cách tính thuế và các bậc thuế trong phương án mới đơn giản, dễ hiểu và dễ thực hiện hơn. - HUMAN-FAC2]]</f>
        <v>8</v>
      </c>
      <c r="AH214">
        <f t="shared" si="90"/>
        <v>0.77777777777777779</v>
      </c>
      <c r="AI214" s="32">
        <f t="shared" si="91"/>
        <v>0.83333333333333326</v>
      </c>
      <c r="AJ214" s="32">
        <f t="shared" si="92"/>
        <v>0.77777777777777779</v>
      </c>
      <c r="AK214">
        <f>step3_validation[[#This Row],[AI_TRU1]]</f>
        <v>9</v>
      </c>
      <c r="AL214">
        <f t="shared" si="93"/>
        <v>0.88888888888888884</v>
      </c>
      <c r="AM214">
        <f>survey_responses[[#This Row],[Tôi tin rằng Nhà nước, cơ quan thuế sẽ thực thi chính sách mới một cách khách quan, công tâm và đối xử bình đẳng với mọi người nộp thuế.  - HUMAN-TRU1]]</f>
        <v>8</v>
      </c>
      <c r="AN214">
        <f t="shared" si="94"/>
        <v>0.77777777777777779</v>
      </c>
      <c r="AO214">
        <f>step3_validation[[#This Row],[AI_TRU2]]</f>
        <v>8</v>
      </c>
      <c r="AP214">
        <f t="shared" si="95"/>
        <v>0.77777777777777779</v>
      </c>
      <c r="AQ214">
        <f>survey_responses[[#This Row],[Tôi thấy mức thuế tôi phải đóng theo phương án mới là công bằng (người thu nhập như tôi đóng mức này là hợp lý). - HUMAN-TRU2]]</f>
        <v>8</v>
      </c>
      <c r="AR214">
        <f t="shared" si="96"/>
        <v>0.77777777777777779</v>
      </c>
      <c r="AS214">
        <f>step3_validation[[#This Row],[AI_TRU3]]</f>
        <v>9</v>
      </c>
      <c r="AT214">
        <f t="shared" si="97"/>
        <v>0.88888888888888884</v>
      </c>
      <c r="AU214">
        <f>survey_responses[[#This Row],[Tôi tin tưởng số tiền thuế tôi đóng sẽ được Nhà nước sử dụng hiệu quả để cải thiện dịch vụ công (y tế, đường xá...). - HUMAN-TRU3]]</f>
        <v>8</v>
      </c>
      <c r="AV214">
        <f t="shared" si="98"/>
        <v>0.77777777777777779</v>
      </c>
      <c r="AW214">
        <f>step3_validation[[#This Row],[AI_TRU4]]</f>
        <v>8</v>
      </c>
      <c r="AX214">
        <f t="shared" si="99"/>
        <v>0.77777777777777779</v>
      </c>
      <c r="AY214">
        <f>survey_responses[[#This Row],[Tôi thấy Nhà nước đã giải thích rõ ràng, minh bạch về lý do và mục tiêu của việc sửa đổi thuế lần này. - HUMAN-TRU4]]</f>
        <v>8</v>
      </c>
      <c r="AZ214">
        <f t="shared" si="100"/>
        <v>0.77777777777777779</v>
      </c>
      <c r="BA214" s="32">
        <f t="shared" si="101"/>
        <v>0.83333333333333326</v>
      </c>
      <c r="BB214" s="32">
        <f t="shared" si="102"/>
        <v>0.77777777777777779</v>
      </c>
      <c r="BC214" s="7">
        <f t="shared" si="103"/>
        <v>0.83333333333333337</v>
      </c>
      <c r="BD214" s="7">
        <f t="shared" si="104"/>
        <v>0.75925925925925919</v>
      </c>
      <c r="BE214">
        <f>step3_validation[[#This Row],[AI_OUT1]]</f>
        <v>9</v>
      </c>
      <c r="BF214">
        <f t="shared" si="105"/>
        <v>0.88888888888888884</v>
      </c>
      <c r="BG214">
        <f>survey_responses[[#This Row],[Sau khi xem xét các quyền lợi và nghĩa vụ, bạn có ủng hộ và tuân thủ chính sách mới hiện nay? - HUMAN-OUT1]]</f>
        <v>8</v>
      </c>
      <c r="BH214">
        <f t="shared" si="106"/>
        <v>0.77777777777777779</v>
      </c>
      <c r="BI214" s="32">
        <f t="shared" si="107"/>
        <v>1</v>
      </c>
    </row>
    <row r="215" spans="1:61" x14ac:dyDescent="0.45">
      <c r="A215" s="30">
        <f>step3_validation[[#This Row],[Persona_ID]]</f>
        <v>214</v>
      </c>
      <c r="B215" s="31">
        <f>step3_validation[[#This Row],[Used_Seed]]</f>
        <v>2204</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64.809338630682674</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f t="shared" si="81"/>
        <v>0.66666666666666663</v>
      </c>
      <c r="S215">
        <f>survey_responses[[#This Row],[Tôi tin rằng với các quy định quản lý thuế hiện nay, hành vi gian lận hoặc trốn thuế sẽ dễ dàng bị phát hiện và xử lý nghiêm. - HUMAN-ENF1]]</f>
        <v>9</v>
      </c>
      <c r="T215">
        <f t="shared" si="82"/>
        <v>0.88888888888888884</v>
      </c>
      <c r="U215">
        <f>step3_validation[[#This Row],[AI_ENF2]]</f>
        <v>6</v>
      </c>
      <c r="V215">
        <f t="shared" si="83"/>
        <v>0.55555555555555558</v>
      </c>
      <c r="W215">
        <f>survey_responses[[#This Row],[Tôi tin rằng Nhà nước, cơ quan thuế có đủ khả năng và công nghệ để phát hiện, xử lý nghiêm các hành vi trốn thuế. - HUMAN-ENF2]]</f>
        <v>9</v>
      </c>
      <c r="X215">
        <f t="shared" si="84"/>
        <v>0.88888888888888884</v>
      </c>
      <c r="Y215" s="32">
        <f t="shared" si="85"/>
        <v>0.61111111111111116</v>
      </c>
      <c r="Z215" s="32">
        <f t="shared" si="86"/>
        <v>0.88888888888888884</v>
      </c>
      <c r="AA215">
        <f>step3_validation[[#This Row],[AI_FAC1]]</f>
        <v>9</v>
      </c>
      <c r="AB215">
        <f t="shared" si="87"/>
        <v>0.88888888888888884</v>
      </c>
      <c r="AC215">
        <f>survey_responses[[#This Row],[Các thủ tục khai báo thuế VÀ/HOẶC quy trình làm việc với cơ quan thuế đơn giản, tiện lợi, nhanh chóng hơn so với trước đây. - HUMAN-FAC1]]</f>
        <v>9</v>
      </c>
      <c r="AD215">
        <f t="shared" si="88"/>
        <v>0.88888888888888884</v>
      </c>
      <c r="AE215">
        <f>step3_validation[[#This Row],[AI_FAC2]]</f>
        <v>8</v>
      </c>
      <c r="AF215">
        <f t="shared" si="89"/>
        <v>0.77777777777777779</v>
      </c>
      <c r="AG215">
        <f>survey_responses[[#This Row],[So với trước đây, tôi thấy cách tính thuế và các bậc thuế trong phương án mới đơn giản, dễ hiểu và dễ thực hiện hơn. - HUMAN-FAC2]]</f>
        <v>9</v>
      </c>
      <c r="AH215">
        <f t="shared" si="90"/>
        <v>0.88888888888888884</v>
      </c>
      <c r="AI215" s="32">
        <f t="shared" si="91"/>
        <v>0.83333333333333326</v>
      </c>
      <c r="AJ215" s="32">
        <f t="shared" si="92"/>
        <v>0.88888888888888884</v>
      </c>
      <c r="AK215">
        <f>step3_validation[[#This Row],[AI_TRU1]]</f>
        <v>7</v>
      </c>
      <c r="AL215">
        <f t="shared" si="93"/>
        <v>0.66666666666666663</v>
      </c>
      <c r="AM215">
        <f>survey_responses[[#This Row],[Tôi tin rằng Nhà nước, cơ quan thuế sẽ thực thi chính sách mới một cách khách quan, công tâm và đối xử bình đẳng với mọi người nộp thuế.  - HUMAN-TRU1]]</f>
        <v>9</v>
      </c>
      <c r="AN215">
        <f t="shared" si="94"/>
        <v>0.88888888888888884</v>
      </c>
      <c r="AO215">
        <f>step3_validation[[#This Row],[AI_TRU2]]</f>
        <v>9</v>
      </c>
      <c r="AP215">
        <f t="shared" si="95"/>
        <v>0.88888888888888884</v>
      </c>
      <c r="AQ215">
        <f>survey_responses[[#This Row],[Tôi thấy mức thuế tôi phải đóng theo phương án mới là công bằng (người thu nhập như tôi đóng mức này là hợp lý). - HUMAN-TRU2]]</f>
        <v>9</v>
      </c>
      <c r="AR215">
        <f t="shared" si="96"/>
        <v>0.88888888888888884</v>
      </c>
      <c r="AS215">
        <f>step3_validation[[#This Row],[AI_TRU3]]</f>
        <v>6</v>
      </c>
      <c r="AT215">
        <f t="shared" si="97"/>
        <v>0.55555555555555558</v>
      </c>
      <c r="AU215">
        <f>survey_responses[[#This Row],[Tôi tin tưởng số tiền thuế tôi đóng sẽ được Nhà nước sử dụng hiệu quả để cải thiện dịch vụ công (y tế, đường xá...). - HUMAN-TRU3]]</f>
        <v>9</v>
      </c>
      <c r="AV215">
        <f t="shared" si="98"/>
        <v>0.88888888888888884</v>
      </c>
      <c r="AW215">
        <f>step3_validation[[#This Row],[AI_TRU4]]</f>
        <v>8</v>
      </c>
      <c r="AX215">
        <f t="shared" si="99"/>
        <v>0.77777777777777779</v>
      </c>
      <c r="AY215">
        <f>survey_responses[[#This Row],[Tôi thấy Nhà nước đã giải thích rõ ràng, minh bạch về lý do và mục tiêu của việc sửa đổi thuế lần này. - HUMAN-TRU4]]</f>
        <v>9</v>
      </c>
      <c r="AZ215">
        <f t="shared" si="100"/>
        <v>0.88888888888888884</v>
      </c>
      <c r="BA215" s="32">
        <f t="shared" si="101"/>
        <v>0.7222222222222221</v>
      </c>
      <c r="BB215" s="32">
        <f t="shared" si="102"/>
        <v>0.88888888888888884</v>
      </c>
      <c r="BC215" s="7">
        <f t="shared" si="103"/>
        <v>0.72222222222222221</v>
      </c>
      <c r="BD215" s="7">
        <f t="shared" si="104"/>
        <v>0.88888888888888884</v>
      </c>
      <c r="BE215">
        <f>step3_validation[[#This Row],[AI_OUT1]]</f>
        <v>9</v>
      </c>
      <c r="BF215">
        <f t="shared" si="105"/>
        <v>0.88888888888888884</v>
      </c>
      <c r="BG215">
        <f>survey_responses[[#This Row],[Sau khi xem xét các quyền lợi và nghĩa vụ, bạn có ủng hộ và tuân thủ chính sách mới hiện nay? - HUMAN-OUT1]]</f>
        <v>9</v>
      </c>
      <c r="BH215">
        <f t="shared" si="106"/>
        <v>0.88888888888888884</v>
      </c>
      <c r="BI215" s="32">
        <f t="shared" si="107"/>
        <v>0</v>
      </c>
    </row>
    <row r="216" spans="1:61" x14ac:dyDescent="0.45">
      <c r="A216" s="30">
        <f>step3_validation[[#This Row],[Persona_ID]]</f>
        <v>215</v>
      </c>
      <c r="B216" s="31">
        <f>step3_validation[[#This Row],[Used_Seed]]</f>
        <v>2205</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19.821571689948538</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f t="shared" si="81"/>
        <v>0.66666666666666663</v>
      </c>
      <c r="S216">
        <f>survey_responses[[#This Row],[Tôi tin rằng với các quy định quản lý thuế hiện nay, hành vi gian lận hoặc trốn thuế sẽ dễ dàng bị phát hiện và xử lý nghiêm. - HUMAN-ENF1]]</f>
        <v>5</v>
      </c>
      <c r="T216">
        <f t="shared" si="82"/>
        <v>0.44444444444444442</v>
      </c>
      <c r="U216">
        <f>step3_validation[[#This Row],[AI_ENF2]]</f>
        <v>8</v>
      </c>
      <c r="V216">
        <f t="shared" si="83"/>
        <v>0.77777777777777779</v>
      </c>
      <c r="W216">
        <f>survey_responses[[#This Row],[Tôi tin rằng Nhà nước, cơ quan thuế có đủ khả năng và công nghệ để phát hiện, xử lý nghiêm các hành vi trốn thuế. - HUMAN-ENF2]]</f>
        <v>5</v>
      </c>
      <c r="X216">
        <f t="shared" si="84"/>
        <v>0.44444444444444442</v>
      </c>
      <c r="Y216" s="32">
        <f t="shared" si="85"/>
        <v>0.72222222222222221</v>
      </c>
      <c r="Z216" s="32">
        <f t="shared" si="86"/>
        <v>0.44444444444444442</v>
      </c>
      <c r="AA216">
        <f>step3_validation[[#This Row],[AI_FAC1]]</f>
        <v>9</v>
      </c>
      <c r="AB216">
        <f t="shared" si="87"/>
        <v>0.88888888888888884</v>
      </c>
      <c r="AC216">
        <f>survey_responses[[#This Row],[Các thủ tục khai báo thuế VÀ/HOẶC quy trình làm việc với cơ quan thuế đơn giản, tiện lợi, nhanh chóng hơn so với trước đây. - HUMAN-FAC1]]</f>
        <v>5</v>
      </c>
      <c r="AD216">
        <f t="shared" si="88"/>
        <v>0.44444444444444442</v>
      </c>
      <c r="AE216">
        <f>step3_validation[[#This Row],[AI_FAC2]]</f>
        <v>9</v>
      </c>
      <c r="AF216">
        <f t="shared" si="89"/>
        <v>0.88888888888888884</v>
      </c>
      <c r="AG216">
        <f>survey_responses[[#This Row],[So với trước đây, tôi thấy cách tính thuế và các bậc thuế trong phương án mới đơn giản, dễ hiểu và dễ thực hiện hơn. - HUMAN-FAC2]]</f>
        <v>5</v>
      </c>
      <c r="AH216">
        <f t="shared" si="90"/>
        <v>0.44444444444444442</v>
      </c>
      <c r="AI216" s="32">
        <f t="shared" si="91"/>
        <v>0.88888888888888884</v>
      </c>
      <c r="AJ216" s="32">
        <f t="shared" si="92"/>
        <v>0.44444444444444442</v>
      </c>
      <c r="AK216">
        <f>step3_validation[[#This Row],[AI_TRU1]]</f>
        <v>8</v>
      </c>
      <c r="AL216">
        <f t="shared" si="93"/>
        <v>0.77777777777777779</v>
      </c>
      <c r="AM216">
        <f>survey_responses[[#This Row],[Tôi tin rằng Nhà nước, cơ quan thuế sẽ thực thi chính sách mới một cách khách quan, công tâm và đối xử bình đẳng với mọi người nộp thuế.  - HUMAN-TRU1]]</f>
        <v>5</v>
      </c>
      <c r="AN216">
        <f t="shared" si="94"/>
        <v>0.44444444444444442</v>
      </c>
      <c r="AO216">
        <f>step3_validation[[#This Row],[AI_TRU2]]</f>
        <v>9</v>
      </c>
      <c r="AP216">
        <f t="shared" si="95"/>
        <v>0.88888888888888884</v>
      </c>
      <c r="AQ216">
        <f>survey_responses[[#This Row],[Tôi thấy mức thuế tôi phải đóng theo phương án mới là công bằng (người thu nhập như tôi đóng mức này là hợp lý). - HUMAN-TRU2]]</f>
        <v>5</v>
      </c>
      <c r="AR216">
        <f t="shared" si="96"/>
        <v>0.44444444444444442</v>
      </c>
      <c r="AS216">
        <f>step3_validation[[#This Row],[AI_TRU3]]</f>
        <v>8</v>
      </c>
      <c r="AT216">
        <f t="shared" si="97"/>
        <v>0.77777777777777779</v>
      </c>
      <c r="AU216">
        <f>survey_responses[[#This Row],[Tôi tin tưởng số tiền thuế tôi đóng sẽ được Nhà nước sử dụng hiệu quả để cải thiện dịch vụ công (y tế, đường xá...). - HUMAN-TRU3]]</f>
        <v>5</v>
      </c>
      <c r="AV216">
        <f t="shared" si="98"/>
        <v>0.44444444444444442</v>
      </c>
      <c r="AW216">
        <f>step3_validation[[#This Row],[AI_TRU4]]</f>
        <v>7</v>
      </c>
      <c r="AX216">
        <f t="shared" si="99"/>
        <v>0.66666666666666663</v>
      </c>
      <c r="AY216">
        <f>survey_responses[[#This Row],[Tôi thấy Nhà nước đã giải thích rõ ràng, minh bạch về lý do và mục tiêu của việc sửa đổi thuế lần này. - HUMAN-TRU4]]</f>
        <v>5</v>
      </c>
      <c r="AZ216">
        <f t="shared" si="100"/>
        <v>0.44444444444444442</v>
      </c>
      <c r="BA216" s="32">
        <f t="shared" si="101"/>
        <v>0.77777777777777768</v>
      </c>
      <c r="BB216" s="32">
        <f t="shared" si="102"/>
        <v>0.44444444444444442</v>
      </c>
      <c r="BC216" s="7">
        <f t="shared" si="103"/>
        <v>0.79629629629629628</v>
      </c>
      <c r="BD216" s="7">
        <f t="shared" si="104"/>
        <v>0.44444444444444442</v>
      </c>
      <c r="BE216">
        <f>step3_validation[[#This Row],[AI_OUT1]]</f>
        <v>9</v>
      </c>
      <c r="BF216">
        <f t="shared" si="105"/>
        <v>0.88888888888888884</v>
      </c>
      <c r="BG216">
        <f>survey_responses[[#This Row],[Sau khi xem xét các quyền lợi và nghĩa vụ, bạn có ủng hộ và tuân thủ chính sách mới hiện nay? - HUMAN-OUT1]]</f>
        <v>5</v>
      </c>
      <c r="BH216">
        <f t="shared" si="106"/>
        <v>0.44444444444444442</v>
      </c>
      <c r="BI216" s="32">
        <f t="shared" si="107"/>
        <v>4</v>
      </c>
    </row>
    <row r="217" spans="1:61" x14ac:dyDescent="0.45">
      <c r="A217" s="30">
        <f>step3_validation[[#This Row],[Persona_ID]]</f>
        <v>216</v>
      </c>
      <c r="B217" s="31">
        <f>step3_validation[[#This Row],[Used_Seed]]</f>
        <v>2206</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41.401414327447036</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8</v>
      </c>
      <c r="R217">
        <f t="shared" si="81"/>
        <v>0.77777777777777779</v>
      </c>
      <c r="S217">
        <f>survey_responses[[#This Row],[Tôi tin rằng với các quy định quản lý thuế hiện nay, hành vi gian lận hoặc trốn thuế sẽ dễ dàng bị phát hiện và xử lý nghiêm. - HUMAN-ENF1]]</f>
        <v>6</v>
      </c>
      <c r="T217">
        <f t="shared" si="82"/>
        <v>0.55555555555555558</v>
      </c>
      <c r="U217">
        <f>step3_validation[[#This Row],[AI_ENF2]]</f>
        <v>9</v>
      </c>
      <c r="V217">
        <f t="shared" si="83"/>
        <v>0.88888888888888884</v>
      </c>
      <c r="W217">
        <f>survey_responses[[#This Row],[Tôi tin rằng Nhà nước, cơ quan thuế có đủ khả năng và công nghệ để phát hiện, xử lý nghiêm các hành vi trốn thuế. - HUMAN-ENF2]]</f>
        <v>7</v>
      </c>
      <c r="X217">
        <f t="shared" si="84"/>
        <v>0.66666666666666663</v>
      </c>
      <c r="Y217" s="32">
        <f t="shared" si="85"/>
        <v>0.83333333333333326</v>
      </c>
      <c r="Z217" s="32">
        <f t="shared" si="86"/>
        <v>0.61111111111111116</v>
      </c>
      <c r="AA217">
        <f>step3_validation[[#This Row],[AI_FAC1]]</f>
        <v>7</v>
      </c>
      <c r="AB217">
        <f t="shared" si="87"/>
        <v>0.66666666666666663</v>
      </c>
      <c r="AC217">
        <f>survey_responses[[#This Row],[Các thủ tục khai báo thuế VÀ/HOẶC quy trình làm việc với cơ quan thuế đơn giản, tiện lợi, nhanh chóng hơn so với trước đây. - HUMAN-FAC1]]</f>
        <v>7</v>
      </c>
      <c r="AD217">
        <f t="shared" si="88"/>
        <v>0.66666666666666663</v>
      </c>
      <c r="AE217">
        <f>step3_validation[[#This Row],[AI_FAC2]]</f>
        <v>9</v>
      </c>
      <c r="AF217">
        <f t="shared" si="89"/>
        <v>0.88888888888888884</v>
      </c>
      <c r="AG217">
        <f>survey_responses[[#This Row],[So với trước đây, tôi thấy cách tính thuế và các bậc thuế trong phương án mới đơn giản, dễ hiểu và dễ thực hiện hơn. - HUMAN-FAC2]]</f>
        <v>7</v>
      </c>
      <c r="AH217">
        <f t="shared" si="90"/>
        <v>0.66666666666666663</v>
      </c>
      <c r="AI217" s="32">
        <f t="shared" si="91"/>
        <v>0.77777777777777768</v>
      </c>
      <c r="AJ217" s="32">
        <f t="shared" si="92"/>
        <v>0.66666666666666663</v>
      </c>
      <c r="AK217">
        <f>step3_validation[[#This Row],[AI_TRU1]]</f>
        <v>7</v>
      </c>
      <c r="AL217">
        <f t="shared" si="93"/>
        <v>0.66666666666666663</v>
      </c>
      <c r="AM217">
        <f>survey_responses[[#This Row],[Tôi tin rằng Nhà nước, cơ quan thuế sẽ thực thi chính sách mới một cách khách quan, công tâm và đối xử bình đẳng với mọi người nộp thuế.  - HUMAN-TRU1]]</f>
        <v>6</v>
      </c>
      <c r="AN217">
        <f t="shared" si="94"/>
        <v>0.55555555555555558</v>
      </c>
      <c r="AO217">
        <f>step3_validation[[#This Row],[AI_TRU2]]</f>
        <v>8</v>
      </c>
      <c r="AP217">
        <f t="shared" si="95"/>
        <v>0.77777777777777779</v>
      </c>
      <c r="AQ217">
        <f>survey_responses[[#This Row],[Tôi thấy mức thuế tôi phải đóng theo phương án mới là công bằng (người thu nhập như tôi đóng mức này là hợp lý). - HUMAN-TRU2]]</f>
        <v>7</v>
      </c>
      <c r="AR217">
        <f t="shared" si="96"/>
        <v>0.66666666666666663</v>
      </c>
      <c r="AS217">
        <f>step3_validation[[#This Row],[AI_TRU3]]</f>
        <v>7</v>
      </c>
      <c r="AT217">
        <f t="shared" si="97"/>
        <v>0.66666666666666663</v>
      </c>
      <c r="AU217">
        <f>survey_responses[[#This Row],[Tôi tin tưởng số tiền thuế tôi đóng sẽ được Nhà nước sử dụng hiệu quả để cải thiện dịch vụ công (y tế, đường xá...). - HUMAN-TRU3]]</f>
        <v>7</v>
      </c>
      <c r="AV217">
        <f t="shared" si="98"/>
        <v>0.66666666666666663</v>
      </c>
      <c r="AW217">
        <f>step3_validation[[#This Row],[AI_TRU4]]</f>
        <v>6</v>
      </c>
      <c r="AX217">
        <f t="shared" si="99"/>
        <v>0.55555555555555558</v>
      </c>
      <c r="AY217">
        <f>survey_responses[[#This Row],[Tôi thấy Nhà nước đã giải thích rõ ràng, minh bạch về lý do và mục tiêu của việc sửa đổi thuế lần này. - HUMAN-TRU4]]</f>
        <v>7</v>
      </c>
      <c r="AZ217">
        <f t="shared" si="100"/>
        <v>0.66666666666666663</v>
      </c>
      <c r="BA217" s="32">
        <f t="shared" si="101"/>
        <v>0.66666666666666674</v>
      </c>
      <c r="BB217" s="32">
        <f t="shared" si="102"/>
        <v>0.63888888888888884</v>
      </c>
      <c r="BC217" s="7">
        <f t="shared" si="103"/>
        <v>0.75925925925925919</v>
      </c>
      <c r="BD217" s="7">
        <f t="shared" si="104"/>
        <v>0.63888888888888884</v>
      </c>
      <c r="BE217">
        <f>step3_validation[[#This Row],[AI_OUT1]]</f>
        <v>8</v>
      </c>
      <c r="BF217">
        <f t="shared" si="105"/>
        <v>0.77777777777777779</v>
      </c>
      <c r="BG217">
        <f>survey_responses[[#This Row],[Sau khi xem xét các quyền lợi và nghĩa vụ, bạn có ủng hộ và tuân thủ chính sách mới hiện nay? - HUMAN-OUT1]]</f>
        <v>7</v>
      </c>
      <c r="BH217">
        <f t="shared" si="106"/>
        <v>0.66666666666666663</v>
      </c>
      <c r="BI217" s="32">
        <f t="shared" si="107"/>
        <v>1</v>
      </c>
    </row>
    <row r="218" spans="1:61" x14ac:dyDescent="0.45">
      <c r="A218" s="30">
        <f>step3_validation[[#This Row],[Persona_ID]]</f>
        <v>217</v>
      </c>
      <c r="B218" s="31">
        <f>step3_validation[[#This Row],[Used_Seed]]</f>
        <v>2207</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41.834261296939601</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6</v>
      </c>
      <c r="R218">
        <f t="shared" si="81"/>
        <v>0.55555555555555558</v>
      </c>
      <c r="S218">
        <f>survey_responses[[#This Row],[Tôi tin rằng với các quy định quản lý thuế hiện nay, hành vi gian lận hoặc trốn thuế sẽ dễ dàng bị phát hiện và xử lý nghiêm. - HUMAN-ENF1]]</f>
        <v>5</v>
      </c>
      <c r="T218">
        <f t="shared" si="82"/>
        <v>0.44444444444444442</v>
      </c>
      <c r="U218">
        <f>step3_validation[[#This Row],[AI_ENF2]]</f>
        <v>7</v>
      </c>
      <c r="V218">
        <f t="shared" si="83"/>
        <v>0.66666666666666663</v>
      </c>
      <c r="W218">
        <f>survey_responses[[#This Row],[Tôi tin rằng Nhà nước, cơ quan thuế có đủ khả năng và công nghệ để phát hiện, xử lý nghiêm các hành vi trốn thuế. - HUMAN-ENF2]]</f>
        <v>5</v>
      </c>
      <c r="X218">
        <f t="shared" si="84"/>
        <v>0.44444444444444442</v>
      </c>
      <c r="Y218" s="32">
        <f t="shared" si="85"/>
        <v>0.61111111111111116</v>
      </c>
      <c r="Z218" s="32">
        <f t="shared" si="86"/>
        <v>0.44444444444444442</v>
      </c>
      <c r="AA218">
        <f>step3_validation[[#This Row],[AI_FAC1]]</f>
        <v>8</v>
      </c>
      <c r="AB218">
        <f t="shared" si="87"/>
        <v>0.77777777777777779</v>
      </c>
      <c r="AC218">
        <f>survey_responses[[#This Row],[Các thủ tục khai báo thuế VÀ/HOẶC quy trình làm việc với cơ quan thuế đơn giản, tiện lợi, nhanh chóng hơn so với trước đây. - HUMAN-FAC1]]</f>
        <v>5</v>
      </c>
      <c r="AD218">
        <f t="shared" si="88"/>
        <v>0.44444444444444442</v>
      </c>
      <c r="AE218">
        <f>step3_validation[[#This Row],[AI_FAC2]]</f>
        <v>9</v>
      </c>
      <c r="AF218">
        <f t="shared" si="89"/>
        <v>0.88888888888888884</v>
      </c>
      <c r="AG218">
        <f>survey_responses[[#This Row],[So với trước đây, tôi thấy cách tính thuế và các bậc thuế trong phương án mới đơn giản, dễ hiểu và dễ thực hiện hơn. - HUMAN-FAC2]]</f>
        <v>6</v>
      </c>
      <c r="AH218">
        <f t="shared" si="90"/>
        <v>0.55555555555555558</v>
      </c>
      <c r="AI218" s="32">
        <f t="shared" si="91"/>
        <v>0.83333333333333326</v>
      </c>
      <c r="AJ218" s="32">
        <f t="shared" si="92"/>
        <v>0.5</v>
      </c>
      <c r="AK218">
        <f>step3_validation[[#This Row],[AI_TRU1]]</f>
        <v>8</v>
      </c>
      <c r="AL218">
        <f t="shared" si="93"/>
        <v>0.77777777777777779</v>
      </c>
      <c r="AM218">
        <f>survey_responses[[#This Row],[Tôi tin rằng Nhà nước, cơ quan thuế sẽ thực thi chính sách mới một cách khách quan, công tâm và đối xử bình đẳng với mọi người nộp thuế.  - HUMAN-TRU1]]</f>
        <v>5</v>
      </c>
      <c r="AN218">
        <f t="shared" si="94"/>
        <v>0.44444444444444442</v>
      </c>
      <c r="AO218">
        <f>step3_validation[[#This Row],[AI_TRU2]]</f>
        <v>9</v>
      </c>
      <c r="AP218">
        <f t="shared" si="95"/>
        <v>0.88888888888888884</v>
      </c>
      <c r="AQ218">
        <f>survey_responses[[#This Row],[Tôi thấy mức thuế tôi phải đóng theo phương án mới là công bằng (người thu nhập như tôi đóng mức này là hợp lý). - HUMAN-TRU2]]</f>
        <v>5</v>
      </c>
      <c r="AR218">
        <f t="shared" si="96"/>
        <v>0.44444444444444442</v>
      </c>
      <c r="AS218">
        <f>step3_validation[[#This Row],[AI_TRU3]]</f>
        <v>8</v>
      </c>
      <c r="AT218">
        <f t="shared" si="97"/>
        <v>0.77777777777777779</v>
      </c>
      <c r="AU218">
        <f>survey_responses[[#This Row],[Tôi tin tưởng số tiền thuế tôi đóng sẽ được Nhà nước sử dụng hiệu quả để cải thiện dịch vụ công (y tế, đường xá...). - HUMAN-TRU3]]</f>
        <v>5</v>
      </c>
      <c r="AV218">
        <f t="shared" si="98"/>
        <v>0.44444444444444442</v>
      </c>
      <c r="AW218">
        <f>step3_validation[[#This Row],[AI_TRU4]]</f>
        <v>9</v>
      </c>
      <c r="AX218">
        <f t="shared" si="99"/>
        <v>0.88888888888888884</v>
      </c>
      <c r="AY218">
        <f>survey_responses[[#This Row],[Tôi thấy Nhà nước đã giải thích rõ ràng, minh bạch về lý do và mục tiêu của việc sửa đổi thuế lần này. - HUMAN-TRU4]]</f>
        <v>5</v>
      </c>
      <c r="AZ218">
        <f t="shared" si="100"/>
        <v>0.44444444444444442</v>
      </c>
      <c r="BA218" s="32">
        <f t="shared" si="101"/>
        <v>0.83333333333333326</v>
      </c>
      <c r="BB218" s="32">
        <f t="shared" si="102"/>
        <v>0.44444444444444442</v>
      </c>
      <c r="BC218" s="7">
        <f t="shared" si="103"/>
        <v>0.75925925925925919</v>
      </c>
      <c r="BD218" s="7">
        <f t="shared" si="104"/>
        <v>0.46296296296296297</v>
      </c>
      <c r="BE218">
        <f>step3_validation[[#This Row],[AI_OUT1]]</f>
        <v>8</v>
      </c>
      <c r="BF218">
        <f t="shared" si="105"/>
        <v>0.77777777777777779</v>
      </c>
      <c r="BG218">
        <f>survey_responses[[#This Row],[Sau khi xem xét các quyền lợi và nghĩa vụ, bạn có ủng hộ và tuân thủ chính sách mới hiện nay? - HUMAN-OUT1]]</f>
        <v>5</v>
      </c>
      <c r="BH218">
        <f t="shared" si="106"/>
        <v>0.44444444444444442</v>
      </c>
      <c r="BI218" s="32">
        <f t="shared" si="107"/>
        <v>3</v>
      </c>
    </row>
    <row r="219" spans="1:61" x14ac:dyDescent="0.45">
      <c r="A219" s="30">
        <f>step3_validation[[#This Row],[Persona_ID]]</f>
        <v>218</v>
      </c>
      <c r="B219" s="31">
        <f>step3_validation[[#This Row],[Used_Seed]]</f>
        <v>2208</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65.255038986454082</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8</v>
      </c>
      <c r="R219">
        <f t="shared" si="81"/>
        <v>0.77777777777777779</v>
      </c>
      <c r="S219">
        <f>survey_responses[[#This Row],[Tôi tin rằng với các quy định quản lý thuế hiện nay, hành vi gian lận hoặc trốn thuế sẽ dễ dàng bị phát hiện và xử lý nghiêm. - HUMAN-ENF1]]</f>
        <v>6</v>
      </c>
      <c r="T219">
        <f t="shared" si="82"/>
        <v>0.55555555555555558</v>
      </c>
      <c r="U219">
        <f>step3_validation[[#This Row],[AI_ENF2]]</f>
        <v>7</v>
      </c>
      <c r="V219">
        <f t="shared" si="83"/>
        <v>0.66666666666666663</v>
      </c>
      <c r="W219">
        <f>survey_responses[[#This Row],[Tôi tin rằng Nhà nước, cơ quan thuế có đủ khả năng và công nghệ để phát hiện, xử lý nghiêm các hành vi trốn thuế. - HUMAN-ENF2]]</f>
        <v>7</v>
      </c>
      <c r="X219">
        <f t="shared" si="84"/>
        <v>0.66666666666666663</v>
      </c>
      <c r="Y219" s="32">
        <f t="shared" si="85"/>
        <v>0.72222222222222221</v>
      </c>
      <c r="Z219" s="32">
        <f t="shared" si="86"/>
        <v>0.61111111111111116</v>
      </c>
      <c r="AA219">
        <f>step3_validation[[#This Row],[AI_FAC1]]</f>
        <v>9</v>
      </c>
      <c r="AB219">
        <f t="shared" si="87"/>
        <v>0.88888888888888884</v>
      </c>
      <c r="AC219">
        <f>survey_responses[[#This Row],[Các thủ tục khai báo thuế VÀ/HOẶC quy trình làm việc với cơ quan thuế đơn giản, tiện lợi, nhanh chóng hơn so với trước đây. - HUMAN-FAC1]]</f>
        <v>7</v>
      </c>
      <c r="AD219">
        <f t="shared" si="88"/>
        <v>0.66666666666666663</v>
      </c>
      <c r="AE219">
        <f>step3_validation[[#This Row],[AI_FAC2]]</f>
        <v>10</v>
      </c>
      <c r="AF219">
        <f t="shared" si="89"/>
        <v>1</v>
      </c>
      <c r="AG219">
        <f>survey_responses[[#This Row],[So với trước đây, tôi thấy cách tính thuế và các bậc thuế trong phương án mới đơn giản, dễ hiểu và dễ thực hiện hơn. - HUMAN-FAC2]]</f>
        <v>7</v>
      </c>
      <c r="AH219">
        <f t="shared" si="90"/>
        <v>0.66666666666666663</v>
      </c>
      <c r="AI219" s="32">
        <f t="shared" si="91"/>
        <v>0.94444444444444442</v>
      </c>
      <c r="AJ219" s="32">
        <f t="shared" si="92"/>
        <v>0.66666666666666663</v>
      </c>
      <c r="AK219">
        <f>step3_validation[[#This Row],[AI_TRU1]]</f>
        <v>8</v>
      </c>
      <c r="AL219">
        <f t="shared" si="93"/>
        <v>0.77777777777777779</v>
      </c>
      <c r="AM219">
        <f>survey_responses[[#This Row],[Tôi tin rằng Nhà nước, cơ quan thuế sẽ thực thi chính sách mới một cách khách quan, công tâm và đối xử bình đẳng với mọi người nộp thuế.  - HUMAN-TRU1]]</f>
        <v>7</v>
      </c>
      <c r="AN219">
        <f t="shared" si="94"/>
        <v>0.66666666666666663</v>
      </c>
      <c r="AO219">
        <f>step3_validation[[#This Row],[AI_TRU2]]</f>
        <v>9</v>
      </c>
      <c r="AP219">
        <f t="shared" si="95"/>
        <v>0.88888888888888884</v>
      </c>
      <c r="AQ219">
        <f>survey_responses[[#This Row],[Tôi thấy mức thuế tôi phải đóng theo phương án mới là công bằng (người thu nhập như tôi đóng mức này là hợp lý). - HUMAN-TRU2]]</f>
        <v>7</v>
      </c>
      <c r="AR219">
        <f t="shared" si="96"/>
        <v>0.66666666666666663</v>
      </c>
      <c r="AS219">
        <f>step3_validation[[#This Row],[AI_TRU3]]</f>
        <v>8</v>
      </c>
      <c r="AT219">
        <f t="shared" si="97"/>
        <v>0.77777777777777779</v>
      </c>
      <c r="AU219">
        <f>survey_responses[[#This Row],[Tôi tin tưởng số tiền thuế tôi đóng sẽ được Nhà nước sử dụng hiệu quả để cải thiện dịch vụ công (y tế, đường xá...). - HUMAN-TRU3]]</f>
        <v>7</v>
      </c>
      <c r="AV219">
        <f t="shared" si="98"/>
        <v>0.66666666666666663</v>
      </c>
      <c r="AW219">
        <f>step3_validation[[#This Row],[AI_TRU4]]</f>
        <v>7</v>
      </c>
      <c r="AX219">
        <f t="shared" si="99"/>
        <v>0.66666666666666663</v>
      </c>
      <c r="AY219">
        <f>survey_responses[[#This Row],[Tôi thấy Nhà nước đã giải thích rõ ràng, minh bạch về lý do và mục tiêu của việc sửa đổi thuế lần này. - HUMAN-TRU4]]</f>
        <v>7</v>
      </c>
      <c r="AZ219">
        <f t="shared" si="100"/>
        <v>0.66666666666666663</v>
      </c>
      <c r="BA219" s="32">
        <f t="shared" si="101"/>
        <v>0.77777777777777768</v>
      </c>
      <c r="BB219" s="32">
        <f t="shared" si="102"/>
        <v>0.66666666666666663</v>
      </c>
      <c r="BC219" s="7">
        <f t="shared" si="103"/>
        <v>0.81481481481481477</v>
      </c>
      <c r="BD219" s="7">
        <f t="shared" si="104"/>
        <v>0.64814814814814803</v>
      </c>
      <c r="BE219">
        <f>step3_validation[[#This Row],[AI_OUT1]]</f>
        <v>9</v>
      </c>
      <c r="BF219">
        <f t="shared" si="105"/>
        <v>0.88888888888888884</v>
      </c>
      <c r="BG219">
        <f>survey_responses[[#This Row],[Sau khi xem xét các quyền lợi và nghĩa vụ, bạn có ủng hộ và tuân thủ chính sách mới hiện nay? - HUMAN-OUT1]]</f>
        <v>7</v>
      </c>
      <c r="BH219">
        <f t="shared" si="106"/>
        <v>0.66666666666666663</v>
      </c>
      <c r="BI219" s="32">
        <f t="shared" si="107"/>
        <v>2</v>
      </c>
    </row>
    <row r="220" spans="1:61" x14ac:dyDescent="0.45">
      <c r="A220" s="30">
        <f>step3_validation[[#This Row],[Persona_ID]]</f>
        <v>219</v>
      </c>
      <c r="B220" s="31">
        <f>step3_validation[[#This Row],[Used_Seed]]</f>
        <v>2209</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149.08467482785926</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5</v>
      </c>
      <c r="R220">
        <f t="shared" si="81"/>
        <v>0.44444444444444442</v>
      </c>
      <c r="S220">
        <f>survey_responses[[#This Row],[Tôi tin rằng với các quy định quản lý thuế hiện nay, hành vi gian lận hoặc trốn thuế sẽ dễ dàng bị phát hiện và xử lý nghiêm. - HUMAN-ENF1]]</f>
        <v>7</v>
      </c>
      <c r="T220">
        <f t="shared" si="82"/>
        <v>0.66666666666666663</v>
      </c>
      <c r="U220">
        <f>step3_validation[[#This Row],[AI_ENF2]]</f>
        <v>6</v>
      </c>
      <c r="V220">
        <f t="shared" si="83"/>
        <v>0.55555555555555558</v>
      </c>
      <c r="W220">
        <f>survey_responses[[#This Row],[Tôi tin rằng Nhà nước, cơ quan thuế có đủ khả năng và công nghệ để phát hiện, xử lý nghiêm các hành vi trốn thuế. - HUMAN-ENF2]]</f>
        <v>8</v>
      </c>
      <c r="X220">
        <f t="shared" si="84"/>
        <v>0.77777777777777779</v>
      </c>
      <c r="Y220" s="32">
        <f t="shared" si="85"/>
        <v>0.5</v>
      </c>
      <c r="Z220" s="32">
        <f t="shared" si="86"/>
        <v>0.72222222222222221</v>
      </c>
      <c r="AA220">
        <f>step3_validation[[#This Row],[AI_FAC1]]</f>
        <v>7</v>
      </c>
      <c r="AB220">
        <f t="shared" si="87"/>
        <v>0.66666666666666663</v>
      </c>
      <c r="AC220">
        <f>survey_responses[[#This Row],[Các thủ tục khai báo thuế VÀ/HOẶC quy trình làm việc với cơ quan thuế đơn giản, tiện lợi, nhanh chóng hơn so với trước đây. - HUMAN-FAC1]]</f>
        <v>8</v>
      </c>
      <c r="AD220">
        <f t="shared" si="88"/>
        <v>0.77777777777777779</v>
      </c>
      <c r="AE220">
        <f>step3_validation[[#This Row],[AI_FAC2]]</f>
        <v>8</v>
      </c>
      <c r="AF220">
        <f t="shared" si="89"/>
        <v>0.77777777777777779</v>
      </c>
      <c r="AG220">
        <f>survey_responses[[#This Row],[So với trước đây, tôi thấy cách tính thuế và các bậc thuế trong phương án mới đơn giản, dễ hiểu và dễ thực hiện hơn. - HUMAN-FAC2]]</f>
        <v>8</v>
      </c>
      <c r="AH220">
        <f t="shared" si="90"/>
        <v>0.77777777777777779</v>
      </c>
      <c r="AI220" s="32">
        <f t="shared" si="91"/>
        <v>0.72222222222222221</v>
      </c>
      <c r="AJ220" s="32">
        <f t="shared" si="92"/>
        <v>0.77777777777777779</v>
      </c>
      <c r="AK220">
        <f>step3_validation[[#This Row],[AI_TRU1]]</f>
        <v>6</v>
      </c>
      <c r="AL220">
        <f t="shared" si="93"/>
        <v>0.55555555555555558</v>
      </c>
      <c r="AM220">
        <f>survey_responses[[#This Row],[Tôi tin rằng Nhà nước, cơ quan thuế sẽ thực thi chính sách mới một cách khách quan, công tâm và đối xử bình đẳng với mọi người nộp thuế.  - HUMAN-TRU1]]</f>
        <v>8</v>
      </c>
      <c r="AN220">
        <f t="shared" si="94"/>
        <v>0.77777777777777779</v>
      </c>
      <c r="AO220">
        <f>step3_validation[[#This Row],[AI_TRU2]]</f>
        <v>9</v>
      </c>
      <c r="AP220">
        <f t="shared" si="95"/>
        <v>0.88888888888888884</v>
      </c>
      <c r="AQ220">
        <f>survey_responses[[#This Row],[Tôi thấy mức thuế tôi phải đóng theo phương án mới là công bằng (người thu nhập như tôi đóng mức này là hợp lý). - HUMAN-TRU2]]</f>
        <v>5</v>
      </c>
      <c r="AR220">
        <f t="shared" si="96"/>
        <v>0.44444444444444442</v>
      </c>
      <c r="AS220">
        <f>step3_validation[[#This Row],[AI_TRU3]]</f>
        <v>7</v>
      </c>
      <c r="AT220">
        <f t="shared" si="97"/>
        <v>0.66666666666666663</v>
      </c>
      <c r="AU220">
        <f>survey_responses[[#This Row],[Tôi tin tưởng số tiền thuế tôi đóng sẽ được Nhà nước sử dụng hiệu quả để cải thiện dịch vụ công (y tế, đường xá...). - HUMAN-TRU3]]</f>
        <v>5</v>
      </c>
      <c r="AV220">
        <f t="shared" si="98"/>
        <v>0.44444444444444442</v>
      </c>
      <c r="AW220">
        <f>step3_validation[[#This Row],[AI_TRU4]]</f>
        <v>6</v>
      </c>
      <c r="AX220">
        <f t="shared" si="99"/>
        <v>0.55555555555555558</v>
      </c>
      <c r="AY220">
        <f>survey_responses[[#This Row],[Tôi thấy Nhà nước đã giải thích rõ ràng, minh bạch về lý do và mục tiêu của việc sửa đổi thuế lần này. - HUMAN-TRU4]]</f>
        <v>7</v>
      </c>
      <c r="AZ220">
        <f t="shared" si="100"/>
        <v>0.66666666666666663</v>
      </c>
      <c r="BA220" s="32">
        <f t="shared" si="101"/>
        <v>0.66666666666666674</v>
      </c>
      <c r="BB220" s="32">
        <f t="shared" si="102"/>
        <v>0.58333333333333337</v>
      </c>
      <c r="BC220" s="7">
        <f t="shared" si="103"/>
        <v>0.62962962962962965</v>
      </c>
      <c r="BD220" s="7">
        <f t="shared" si="104"/>
        <v>0.69444444444444453</v>
      </c>
      <c r="BE220">
        <f>step3_validation[[#This Row],[AI_OUT1]]</f>
        <v>8</v>
      </c>
      <c r="BF220">
        <f t="shared" si="105"/>
        <v>0.77777777777777779</v>
      </c>
      <c r="BG220">
        <f>survey_responses[[#This Row],[Sau khi xem xét các quyền lợi và nghĩa vụ, bạn có ủng hộ và tuân thủ chính sách mới hiện nay? - HUMAN-OUT1]]</f>
        <v>6</v>
      </c>
      <c r="BH220">
        <f t="shared" si="106"/>
        <v>0.55555555555555558</v>
      </c>
      <c r="BI220" s="32">
        <f t="shared" si="107"/>
        <v>2</v>
      </c>
    </row>
    <row r="221" spans="1:61" x14ac:dyDescent="0.45">
      <c r="A221" s="30">
        <f>step3_validation[[#This Row],[Persona_ID]]</f>
        <v>220</v>
      </c>
      <c r="B221" s="31">
        <f>step3_validation[[#This Row],[Used_Seed]]</f>
        <v>2210</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215.45995146555558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9</v>
      </c>
      <c r="R221">
        <f t="shared" si="81"/>
        <v>0.88888888888888884</v>
      </c>
      <c r="S221">
        <f>survey_responses[[#This Row],[Tôi tin rằng với các quy định quản lý thuế hiện nay, hành vi gian lận hoặc trốn thuế sẽ dễ dàng bị phát hiện và xử lý nghiêm. - HUMAN-ENF1]]</f>
        <v>10</v>
      </c>
      <c r="T221">
        <f t="shared" si="82"/>
        <v>1</v>
      </c>
      <c r="U221">
        <f>step3_validation[[#This Row],[AI_ENF2]]</f>
        <v>9</v>
      </c>
      <c r="V221">
        <f t="shared" si="83"/>
        <v>0.88888888888888884</v>
      </c>
      <c r="W221">
        <f>survey_responses[[#This Row],[Tôi tin rằng Nhà nước, cơ quan thuế có đủ khả năng và công nghệ để phát hiện, xử lý nghiêm các hành vi trốn thuế. - HUMAN-ENF2]]</f>
        <v>10</v>
      </c>
      <c r="X221">
        <f t="shared" si="84"/>
        <v>1</v>
      </c>
      <c r="Y221" s="32">
        <f t="shared" si="85"/>
        <v>0.88888888888888884</v>
      </c>
      <c r="Z221" s="32">
        <f t="shared" si="86"/>
        <v>1</v>
      </c>
      <c r="AA221">
        <f>step3_validation[[#This Row],[AI_FAC1]]</f>
        <v>8</v>
      </c>
      <c r="AB221">
        <f t="shared" si="87"/>
        <v>0.77777777777777779</v>
      </c>
      <c r="AC221">
        <f>survey_responses[[#This Row],[Các thủ tục khai báo thuế VÀ/HOẶC quy trình làm việc với cơ quan thuế đơn giản, tiện lợi, nhanh chóng hơn so với trước đây. - HUMAN-FAC1]]</f>
        <v>6</v>
      </c>
      <c r="AD221">
        <f t="shared" si="88"/>
        <v>0.55555555555555558</v>
      </c>
      <c r="AE221">
        <f>step3_validation[[#This Row],[AI_FAC2]]</f>
        <v>9</v>
      </c>
      <c r="AF221">
        <f t="shared" si="89"/>
        <v>0.88888888888888884</v>
      </c>
      <c r="AG221">
        <f>survey_responses[[#This Row],[So với trước đây, tôi thấy cách tính thuế và các bậc thuế trong phương án mới đơn giản, dễ hiểu và dễ thực hiện hơn. - HUMAN-FAC2]]</f>
        <v>9</v>
      </c>
      <c r="AH221">
        <f t="shared" si="90"/>
        <v>0.88888888888888884</v>
      </c>
      <c r="AI221" s="32">
        <f t="shared" si="91"/>
        <v>0.83333333333333326</v>
      </c>
      <c r="AJ221" s="32">
        <f t="shared" si="92"/>
        <v>0.72222222222222221</v>
      </c>
      <c r="AK221">
        <f>step3_validation[[#This Row],[AI_TRU1]]</f>
        <v>8</v>
      </c>
      <c r="AL221">
        <f t="shared" si="93"/>
        <v>0.77777777777777779</v>
      </c>
      <c r="AM221">
        <f>survey_responses[[#This Row],[Tôi tin rằng Nhà nước, cơ quan thuế sẽ thực thi chính sách mới một cách khách quan, công tâm và đối xử bình đẳng với mọi người nộp thuế.  - HUMAN-TRU1]]</f>
        <v>9</v>
      </c>
      <c r="AN221">
        <f t="shared" si="94"/>
        <v>0.88888888888888884</v>
      </c>
      <c r="AO221">
        <f>step3_validation[[#This Row],[AI_TRU2]]</f>
        <v>9</v>
      </c>
      <c r="AP221">
        <f t="shared" si="95"/>
        <v>0.88888888888888884</v>
      </c>
      <c r="AQ221">
        <f>survey_responses[[#This Row],[Tôi thấy mức thuế tôi phải đóng theo phương án mới là công bằng (người thu nhập như tôi đóng mức này là hợp lý). - HUMAN-TRU2]]</f>
        <v>9</v>
      </c>
      <c r="AR221">
        <f t="shared" si="96"/>
        <v>0.88888888888888884</v>
      </c>
      <c r="AS221">
        <f>step3_validation[[#This Row],[AI_TRU3]]</f>
        <v>8</v>
      </c>
      <c r="AT221">
        <f t="shared" si="97"/>
        <v>0.77777777777777779</v>
      </c>
      <c r="AU221">
        <f>survey_responses[[#This Row],[Tôi tin tưởng số tiền thuế tôi đóng sẽ được Nhà nước sử dụng hiệu quả để cải thiện dịch vụ công (y tế, đường xá...). - HUMAN-TRU3]]</f>
        <v>9</v>
      </c>
      <c r="AV221">
        <f t="shared" si="98"/>
        <v>0.88888888888888884</v>
      </c>
      <c r="AW221">
        <f>step3_validation[[#This Row],[AI_TRU4]]</f>
        <v>9</v>
      </c>
      <c r="AX221">
        <f t="shared" si="99"/>
        <v>0.88888888888888884</v>
      </c>
      <c r="AY221">
        <f>survey_responses[[#This Row],[Tôi thấy Nhà nước đã giải thích rõ ràng, minh bạch về lý do và mục tiêu của việc sửa đổi thuế lần này. - HUMAN-TRU4]]</f>
        <v>8</v>
      </c>
      <c r="AZ221">
        <f t="shared" si="100"/>
        <v>0.77777777777777779</v>
      </c>
      <c r="BA221" s="32">
        <f t="shared" si="101"/>
        <v>0.83333333333333326</v>
      </c>
      <c r="BB221" s="32">
        <f t="shared" si="102"/>
        <v>0.86111111111111105</v>
      </c>
      <c r="BC221" s="7">
        <f t="shared" si="103"/>
        <v>0.85185185185185175</v>
      </c>
      <c r="BD221" s="7">
        <f t="shared" si="104"/>
        <v>0.86111111111111116</v>
      </c>
      <c r="BE221">
        <f>step3_validation[[#This Row],[AI_OUT1]]</f>
        <v>8</v>
      </c>
      <c r="BF221">
        <f t="shared" si="105"/>
        <v>0.77777777777777779</v>
      </c>
      <c r="BG221">
        <f>survey_responses[[#This Row],[Sau khi xem xét các quyền lợi và nghĩa vụ, bạn có ủng hộ và tuân thủ chính sách mới hiện nay? - HUMAN-OUT1]]</f>
        <v>8</v>
      </c>
      <c r="BH221">
        <f t="shared" si="106"/>
        <v>0.77777777777777779</v>
      </c>
      <c r="BI221" s="32">
        <f t="shared" si="107"/>
        <v>0</v>
      </c>
    </row>
    <row r="222" spans="1:61" x14ac:dyDescent="0.45">
      <c r="A222" s="30">
        <f>step3_validation[[#This Row],[Persona_ID]]</f>
        <v>221</v>
      </c>
      <c r="B222" s="31">
        <f>step3_validation[[#This Row],[Used_Seed]]</f>
        <v>2211</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64.305378599568215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6</v>
      </c>
      <c r="R222">
        <f t="shared" si="81"/>
        <v>0.55555555555555558</v>
      </c>
      <c r="S222">
        <f>survey_responses[[#This Row],[Tôi tin rằng với các quy định quản lý thuế hiện nay, hành vi gian lận hoặc trốn thuế sẽ dễ dàng bị phát hiện và xử lý nghiêm. - HUMAN-ENF1]]</f>
        <v>4</v>
      </c>
      <c r="T222">
        <f t="shared" si="82"/>
        <v>0.33333333333333331</v>
      </c>
      <c r="U222">
        <f>step3_validation[[#This Row],[AI_ENF2]]</f>
        <v>6</v>
      </c>
      <c r="V222">
        <f t="shared" si="83"/>
        <v>0.55555555555555558</v>
      </c>
      <c r="W222">
        <f>survey_responses[[#This Row],[Tôi tin rằng Nhà nước, cơ quan thuế có đủ khả năng và công nghệ để phát hiện, xử lý nghiêm các hành vi trốn thuế. - HUMAN-ENF2]]</f>
        <v>4</v>
      </c>
      <c r="X222">
        <f t="shared" si="84"/>
        <v>0.33333333333333331</v>
      </c>
      <c r="Y222" s="32">
        <f t="shared" si="85"/>
        <v>0.55555555555555558</v>
      </c>
      <c r="Z222" s="32">
        <f t="shared" si="86"/>
        <v>0.33333333333333331</v>
      </c>
      <c r="AA222">
        <f>step3_validation[[#This Row],[AI_FAC1]]</f>
        <v>7</v>
      </c>
      <c r="AB222">
        <f t="shared" si="87"/>
        <v>0.66666666666666663</v>
      </c>
      <c r="AC222">
        <f>survey_responses[[#This Row],[Các thủ tục khai báo thuế VÀ/HOẶC quy trình làm việc với cơ quan thuế đơn giản, tiện lợi, nhanh chóng hơn so với trước đây. - HUMAN-FAC1]]</f>
        <v>4</v>
      </c>
      <c r="AD222">
        <f t="shared" si="88"/>
        <v>0.33333333333333331</v>
      </c>
      <c r="AE222">
        <f>step3_validation[[#This Row],[AI_FAC2]]</f>
        <v>7</v>
      </c>
      <c r="AF222">
        <f t="shared" si="89"/>
        <v>0.66666666666666663</v>
      </c>
      <c r="AG222">
        <f>survey_responses[[#This Row],[So với trước đây, tôi thấy cách tính thuế và các bậc thuế trong phương án mới đơn giản, dễ hiểu và dễ thực hiện hơn. - HUMAN-FAC2]]</f>
        <v>6</v>
      </c>
      <c r="AH222">
        <f t="shared" si="90"/>
        <v>0.55555555555555558</v>
      </c>
      <c r="AI222" s="32">
        <f t="shared" si="91"/>
        <v>0.66666666666666663</v>
      </c>
      <c r="AJ222" s="32">
        <f t="shared" si="92"/>
        <v>0.44444444444444442</v>
      </c>
      <c r="AK222">
        <f>step3_validation[[#This Row],[AI_TRU1]]</f>
        <v>8</v>
      </c>
      <c r="AL222">
        <f t="shared" si="93"/>
        <v>0.77777777777777779</v>
      </c>
      <c r="AM222">
        <f>survey_responses[[#This Row],[Tôi tin rằng Nhà nước, cơ quan thuế sẽ thực thi chính sách mới một cách khách quan, công tâm và đối xử bình đẳng với mọi người nộp thuế.  - HUMAN-TRU1]]</f>
        <v>5</v>
      </c>
      <c r="AN222">
        <f t="shared" si="94"/>
        <v>0.44444444444444442</v>
      </c>
      <c r="AO222">
        <f>step3_validation[[#This Row],[AI_TRU2]]</f>
        <v>9</v>
      </c>
      <c r="AP222">
        <f t="shared" si="95"/>
        <v>0.88888888888888884</v>
      </c>
      <c r="AQ222">
        <f>survey_responses[[#This Row],[Tôi thấy mức thuế tôi phải đóng theo phương án mới là công bằng (người thu nhập như tôi đóng mức này là hợp lý). - HUMAN-TRU2]]</f>
        <v>6</v>
      </c>
      <c r="AR222">
        <f t="shared" si="96"/>
        <v>0.55555555555555558</v>
      </c>
      <c r="AS222">
        <f>step3_validation[[#This Row],[AI_TRU3]]</f>
        <v>7</v>
      </c>
      <c r="AT222">
        <f t="shared" si="97"/>
        <v>0.66666666666666663</v>
      </c>
      <c r="AU222">
        <f>survey_responses[[#This Row],[Tôi tin tưởng số tiền thuế tôi đóng sẽ được Nhà nước sử dụng hiệu quả để cải thiện dịch vụ công (y tế, đường xá...). - HUMAN-TRU3]]</f>
        <v>5</v>
      </c>
      <c r="AV222">
        <f t="shared" si="98"/>
        <v>0.44444444444444442</v>
      </c>
      <c r="AW222">
        <f>step3_validation[[#This Row],[AI_TRU4]]</f>
        <v>8</v>
      </c>
      <c r="AX222">
        <f t="shared" si="99"/>
        <v>0.77777777777777779</v>
      </c>
      <c r="AY222">
        <f>survey_responses[[#This Row],[Tôi thấy Nhà nước đã giải thích rõ ràng, minh bạch về lý do và mục tiêu của việc sửa đổi thuế lần này. - HUMAN-TRU4]]</f>
        <v>6</v>
      </c>
      <c r="AZ222">
        <f t="shared" si="100"/>
        <v>0.55555555555555558</v>
      </c>
      <c r="BA222" s="32">
        <f t="shared" si="101"/>
        <v>0.77777777777777768</v>
      </c>
      <c r="BB222" s="32">
        <f t="shared" si="102"/>
        <v>0.5</v>
      </c>
      <c r="BC222" s="7">
        <f t="shared" si="103"/>
        <v>0.66666666666666663</v>
      </c>
      <c r="BD222" s="7">
        <f t="shared" si="104"/>
        <v>0.42592592592592587</v>
      </c>
      <c r="BE222">
        <f>step3_validation[[#This Row],[AI_OUT1]]</f>
        <v>9</v>
      </c>
      <c r="BF222">
        <f t="shared" si="105"/>
        <v>0.88888888888888884</v>
      </c>
      <c r="BG222">
        <f>survey_responses[[#This Row],[Sau khi xem xét các quyền lợi và nghĩa vụ, bạn có ủng hộ và tuân thủ chính sách mới hiện nay? - HUMAN-OUT1]]</f>
        <v>5</v>
      </c>
      <c r="BH222">
        <f t="shared" si="106"/>
        <v>0.44444444444444442</v>
      </c>
      <c r="BI222" s="32">
        <f t="shared" si="107"/>
        <v>4</v>
      </c>
    </row>
    <row r="223" spans="1:61" x14ac:dyDescent="0.45">
      <c r="A223" s="30">
        <f>step3_validation[[#This Row],[Persona_ID]]</f>
        <v>222</v>
      </c>
      <c r="B223" s="31">
        <f>step3_validation[[#This Row],[Used_Seed]]</f>
        <v>2212</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64.997736802972142</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f t="shared" si="81"/>
        <v>0.66666666666666663</v>
      </c>
      <c r="S223">
        <f>survey_responses[[#This Row],[Tôi tin rằng với các quy định quản lý thuế hiện nay, hành vi gian lận hoặc trốn thuế sẽ dễ dàng bị phát hiện và xử lý nghiêm. - HUMAN-ENF1]]</f>
        <v>4</v>
      </c>
      <c r="T223">
        <f t="shared" si="82"/>
        <v>0.33333333333333331</v>
      </c>
      <c r="U223">
        <f>step3_validation[[#This Row],[AI_ENF2]]</f>
        <v>6</v>
      </c>
      <c r="V223">
        <f t="shared" si="83"/>
        <v>0.55555555555555558</v>
      </c>
      <c r="W223">
        <f>survey_responses[[#This Row],[Tôi tin rằng Nhà nước, cơ quan thuế có đủ khả năng và công nghệ để phát hiện, xử lý nghiêm các hành vi trốn thuế. - HUMAN-ENF2]]</f>
        <v>5</v>
      </c>
      <c r="X223">
        <f t="shared" si="84"/>
        <v>0.44444444444444442</v>
      </c>
      <c r="Y223" s="32">
        <f t="shared" si="85"/>
        <v>0.61111111111111116</v>
      </c>
      <c r="Z223" s="32">
        <f t="shared" si="86"/>
        <v>0.38888888888888884</v>
      </c>
      <c r="AA223">
        <f>step3_validation[[#This Row],[AI_FAC1]]</f>
        <v>8</v>
      </c>
      <c r="AB223">
        <f t="shared" si="87"/>
        <v>0.77777777777777779</v>
      </c>
      <c r="AC223">
        <f>survey_responses[[#This Row],[Các thủ tục khai báo thuế VÀ/HOẶC quy trình làm việc với cơ quan thuế đơn giản, tiện lợi, nhanh chóng hơn so với trước đây. - HUMAN-FAC1]]</f>
        <v>4</v>
      </c>
      <c r="AD223">
        <f t="shared" si="88"/>
        <v>0.33333333333333331</v>
      </c>
      <c r="AE223">
        <f>step3_validation[[#This Row],[AI_FAC2]]</f>
        <v>9</v>
      </c>
      <c r="AF223">
        <f t="shared" si="89"/>
        <v>0.88888888888888884</v>
      </c>
      <c r="AG223">
        <f>survey_responses[[#This Row],[So với trước đây, tôi thấy cách tính thuế và các bậc thuế trong phương án mới đơn giản, dễ hiểu và dễ thực hiện hơn. - HUMAN-FAC2]]</f>
        <v>5</v>
      </c>
      <c r="AH223">
        <f t="shared" si="90"/>
        <v>0.44444444444444442</v>
      </c>
      <c r="AI223" s="32">
        <f t="shared" si="91"/>
        <v>0.83333333333333326</v>
      </c>
      <c r="AJ223" s="32">
        <f t="shared" si="92"/>
        <v>0.38888888888888884</v>
      </c>
      <c r="AK223">
        <f>step3_validation[[#This Row],[AI_TRU1]]</f>
        <v>6</v>
      </c>
      <c r="AL223">
        <f t="shared" si="93"/>
        <v>0.55555555555555558</v>
      </c>
      <c r="AM223">
        <f>survey_responses[[#This Row],[Tôi tin rằng Nhà nước, cơ quan thuế sẽ thực thi chính sách mới một cách khách quan, công tâm và đối xử bình đẳng với mọi người nộp thuế.  - HUMAN-TRU1]]</f>
        <v>5</v>
      </c>
      <c r="AN223">
        <f t="shared" si="94"/>
        <v>0.44444444444444442</v>
      </c>
      <c r="AO223">
        <f>step3_validation[[#This Row],[AI_TRU2]]</f>
        <v>8</v>
      </c>
      <c r="AP223">
        <f t="shared" si="95"/>
        <v>0.77777777777777779</v>
      </c>
      <c r="AQ223">
        <f>survey_responses[[#This Row],[Tôi thấy mức thuế tôi phải đóng theo phương án mới là công bằng (người thu nhập như tôi đóng mức này là hợp lý). - HUMAN-TRU2]]</f>
        <v>5</v>
      </c>
      <c r="AR223">
        <f t="shared" si="96"/>
        <v>0.44444444444444442</v>
      </c>
      <c r="AS223">
        <f>step3_validation[[#This Row],[AI_TRU3]]</f>
        <v>7</v>
      </c>
      <c r="AT223">
        <f t="shared" si="97"/>
        <v>0.66666666666666663</v>
      </c>
      <c r="AU223">
        <f>survey_responses[[#This Row],[Tôi tin tưởng số tiền thuế tôi đóng sẽ được Nhà nước sử dụng hiệu quả để cải thiện dịch vụ công (y tế, đường xá...). - HUMAN-TRU3]]</f>
        <v>5</v>
      </c>
      <c r="AV223">
        <f t="shared" si="98"/>
        <v>0.44444444444444442</v>
      </c>
      <c r="AW223">
        <f>step3_validation[[#This Row],[AI_TRU4]]</f>
        <v>5</v>
      </c>
      <c r="AX223">
        <f t="shared" si="99"/>
        <v>0.44444444444444442</v>
      </c>
      <c r="AY223">
        <f>survey_responses[[#This Row],[Tôi thấy Nhà nước đã giải thích rõ ràng, minh bạch về lý do và mục tiêu của việc sửa đổi thuế lần này. - HUMAN-TRU4]]</f>
        <v>5</v>
      </c>
      <c r="AZ223">
        <f t="shared" si="100"/>
        <v>0.44444444444444442</v>
      </c>
      <c r="BA223" s="32">
        <f t="shared" si="101"/>
        <v>0.61111111111111116</v>
      </c>
      <c r="BB223" s="32">
        <f t="shared" si="102"/>
        <v>0.44444444444444442</v>
      </c>
      <c r="BC223" s="7">
        <f t="shared" si="103"/>
        <v>0.68518518518518512</v>
      </c>
      <c r="BD223" s="7">
        <f t="shared" si="104"/>
        <v>0.40740740740740738</v>
      </c>
      <c r="BE223">
        <f>step3_validation[[#This Row],[AI_OUT1]]</f>
        <v>8</v>
      </c>
      <c r="BF223">
        <f t="shared" si="105"/>
        <v>0.77777777777777779</v>
      </c>
      <c r="BG223">
        <f>survey_responses[[#This Row],[Sau khi xem xét các quyền lợi và nghĩa vụ, bạn có ủng hộ và tuân thủ chính sách mới hiện nay? - HUMAN-OUT1]]</f>
        <v>5</v>
      </c>
      <c r="BH223">
        <f t="shared" si="106"/>
        <v>0.44444444444444442</v>
      </c>
      <c r="BI223" s="32">
        <f t="shared" si="107"/>
        <v>3</v>
      </c>
    </row>
    <row r="224" spans="1:61" x14ac:dyDescent="0.45">
      <c r="A224" s="30">
        <f>step3_validation[[#This Row],[Persona_ID]]</f>
        <v>223</v>
      </c>
      <c r="B224" s="31">
        <f>step3_validation[[#This Row],[Used_Seed]]</f>
        <v>2213</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65.920209687056527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9</v>
      </c>
      <c r="R224">
        <f t="shared" si="81"/>
        <v>0.88888888888888884</v>
      </c>
      <c r="S224">
        <f>survey_responses[[#This Row],[Tôi tin rằng với các quy định quản lý thuế hiện nay, hành vi gian lận hoặc trốn thuế sẽ dễ dàng bị phát hiện và xử lý nghiêm. - HUMAN-ENF1]]</f>
        <v>6</v>
      </c>
      <c r="T224">
        <f t="shared" si="82"/>
        <v>0.55555555555555558</v>
      </c>
      <c r="U224">
        <f>step3_validation[[#This Row],[AI_ENF2]]</f>
        <v>8</v>
      </c>
      <c r="V224">
        <f t="shared" si="83"/>
        <v>0.77777777777777779</v>
      </c>
      <c r="W224">
        <f>survey_responses[[#This Row],[Tôi tin rằng Nhà nước, cơ quan thuế có đủ khả năng và công nghệ để phát hiện, xử lý nghiêm các hành vi trốn thuế. - HUMAN-ENF2]]</f>
        <v>6</v>
      </c>
      <c r="X224">
        <f t="shared" si="84"/>
        <v>0.55555555555555558</v>
      </c>
      <c r="Y224" s="32">
        <f t="shared" si="85"/>
        <v>0.83333333333333326</v>
      </c>
      <c r="Z224" s="32">
        <f t="shared" si="86"/>
        <v>0.55555555555555558</v>
      </c>
      <c r="AA224">
        <f>step3_validation[[#This Row],[AI_FAC1]]</f>
        <v>9</v>
      </c>
      <c r="AB224">
        <f t="shared" si="87"/>
        <v>0.88888888888888884</v>
      </c>
      <c r="AC224">
        <f>survey_responses[[#This Row],[Các thủ tục khai báo thuế VÀ/HOẶC quy trình làm việc với cơ quan thuế đơn giản, tiện lợi, nhanh chóng hơn so với trước đây. - HUMAN-FAC1]]</f>
        <v>7</v>
      </c>
      <c r="AD224">
        <f t="shared" si="88"/>
        <v>0.66666666666666663</v>
      </c>
      <c r="AE224">
        <f>step3_validation[[#This Row],[AI_FAC2]]</f>
        <v>8</v>
      </c>
      <c r="AF224">
        <f t="shared" si="89"/>
        <v>0.77777777777777779</v>
      </c>
      <c r="AG224">
        <f>survey_responses[[#This Row],[So với trước đây, tôi thấy cách tính thuế và các bậc thuế trong phương án mới đơn giản, dễ hiểu và dễ thực hiện hơn. - HUMAN-FAC2]]</f>
        <v>7</v>
      </c>
      <c r="AH224">
        <f t="shared" si="90"/>
        <v>0.66666666666666663</v>
      </c>
      <c r="AI224" s="32">
        <f t="shared" si="91"/>
        <v>0.83333333333333326</v>
      </c>
      <c r="AJ224" s="32">
        <f t="shared" si="92"/>
        <v>0.66666666666666663</v>
      </c>
      <c r="AK224">
        <f>step3_validation[[#This Row],[AI_TRU1]]</f>
        <v>9</v>
      </c>
      <c r="AL224">
        <f t="shared" si="93"/>
        <v>0.88888888888888884</v>
      </c>
      <c r="AM224">
        <f>survey_responses[[#This Row],[Tôi tin rằng Nhà nước, cơ quan thuế sẽ thực thi chính sách mới một cách khách quan, công tâm và đối xử bình đẳng với mọi người nộp thuế.  - HUMAN-TRU1]]</f>
        <v>6</v>
      </c>
      <c r="AN224">
        <f t="shared" si="94"/>
        <v>0.55555555555555558</v>
      </c>
      <c r="AO224">
        <f>step3_validation[[#This Row],[AI_TRU2]]</f>
        <v>8</v>
      </c>
      <c r="AP224">
        <f t="shared" si="95"/>
        <v>0.77777777777777779</v>
      </c>
      <c r="AQ224">
        <f>survey_responses[[#This Row],[Tôi thấy mức thuế tôi phải đóng theo phương án mới là công bằng (người thu nhập như tôi đóng mức này là hợp lý). - HUMAN-TRU2]]</f>
        <v>6</v>
      </c>
      <c r="AR224">
        <f t="shared" si="96"/>
        <v>0.55555555555555558</v>
      </c>
      <c r="AS224">
        <f>step3_validation[[#This Row],[AI_TRU3]]</f>
        <v>9</v>
      </c>
      <c r="AT224">
        <f t="shared" si="97"/>
        <v>0.88888888888888884</v>
      </c>
      <c r="AU224">
        <f>survey_responses[[#This Row],[Tôi tin tưởng số tiền thuế tôi đóng sẽ được Nhà nước sử dụng hiệu quả để cải thiện dịch vụ công (y tế, đường xá...). - HUMAN-TRU3]]</f>
        <v>8</v>
      </c>
      <c r="AV224">
        <f t="shared" si="98"/>
        <v>0.77777777777777779</v>
      </c>
      <c r="AW224">
        <f>step3_validation[[#This Row],[AI_TRU4]]</f>
        <v>8</v>
      </c>
      <c r="AX224">
        <f t="shared" si="99"/>
        <v>0.77777777777777779</v>
      </c>
      <c r="AY224">
        <f>survey_responses[[#This Row],[Tôi thấy Nhà nước đã giải thích rõ ràng, minh bạch về lý do và mục tiêu của việc sửa đổi thuế lần này. - HUMAN-TRU4]]</f>
        <v>8</v>
      </c>
      <c r="AZ224">
        <f t="shared" si="100"/>
        <v>0.77777777777777779</v>
      </c>
      <c r="BA224" s="32">
        <f t="shared" si="101"/>
        <v>0.83333333333333326</v>
      </c>
      <c r="BB224" s="32">
        <f t="shared" si="102"/>
        <v>0.66666666666666663</v>
      </c>
      <c r="BC224" s="7">
        <f t="shared" si="103"/>
        <v>0.83333333333333337</v>
      </c>
      <c r="BD224" s="7">
        <f t="shared" si="104"/>
        <v>0.62962962962962965</v>
      </c>
      <c r="BE224">
        <f>step3_validation[[#This Row],[AI_OUT1]]</f>
        <v>9</v>
      </c>
      <c r="BF224">
        <f t="shared" si="105"/>
        <v>0.88888888888888884</v>
      </c>
      <c r="BG224">
        <f>survey_responses[[#This Row],[Sau khi xem xét các quyền lợi và nghĩa vụ, bạn có ủng hộ và tuân thủ chính sách mới hiện nay? - HUMAN-OUT1]]</f>
        <v>7</v>
      </c>
      <c r="BH224">
        <f t="shared" si="106"/>
        <v>0.66666666666666663</v>
      </c>
      <c r="BI224" s="32">
        <f t="shared" si="107"/>
        <v>2</v>
      </c>
    </row>
    <row r="225" spans="1:61" x14ac:dyDescent="0.45">
      <c r="A225" s="30">
        <f>step3_validation[[#This Row],[Persona_ID]]</f>
        <v>224</v>
      </c>
      <c r="B225" s="31">
        <f>step3_validation[[#This Row],[Used_Seed]]</f>
        <v>2214</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54.0873404483496</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7</v>
      </c>
      <c r="R225">
        <f t="shared" si="81"/>
        <v>0.66666666666666663</v>
      </c>
      <c r="S225">
        <f>survey_responses[[#This Row],[Tôi tin rằng với các quy định quản lý thuế hiện nay, hành vi gian lận hoặc trốn thuế sẽ dễ dàng bị phát hiện và xử lý nghiêm. - HUMAN-ENF1]]</f>
        <v>7</v>
      </c>
      <c r="T225">
        <f t="shared" si="82"/>
        <v>0.66666666666666663</v>
      </c>
      <c r="U225">
        <f>step3_validation[[#This Row],[AI_ENF2]]</f>
        <v>7</v>
      </c>
      <c r="V225">
        <f t="shared" si="83"/>
        <v>0.66666666666666663</v>
      </c>
      <c r="W225">
        <f>survey_responses[[#This Row],[Tôi tin rằng Nhà nước, cơ quan thuế có đủ khả năng và công nghệ để phát hiện, xử lý nghiêm các hành vi trốn thuế. - HUMAN-ENF2]]</f>
        <v>7</v>
      </c>
      <c r="X225">
        <f t="shared" si="84"/>
        <v>0.66666666666666663</v>
      </c>
      <c r="Y225" s="32">
        <f t="shared" si="85"/>
        <v>0.66666666666666663</v>
      </c>
      <c r="Z225" s="32">
        <f t="shared" si="86"/>
        <v>0.66666666666666663</v>
      </c>
      <c r="AA225">
        <f>step3_validation[[#This Row],[AI_FAC1]]</f>
        <v>8</v>
      </c>
      <c r="AB225">
        <f t="shared" si="87"/>
        <v>0.77777777777777779</v>
      </c>
      <c r="AC225">
        <f>survey_responses[[#This Row],[Các thủ tục khai báo thuế VÀ/HOẶC quy trình làm việc với cơ quan thuế đơn giản, tiện lợi, nhanh chóng hơn so với trước đây. - HUMAN-FAC1]]</f>
        <v>7</v>
      </c>
      <c r="AD225">
        <f t="shared" si="88"/>
        <v>0.66666666666666663</v>
      </c>
      <c r="AE225">
        <f>step3_validation[[#This Row],[AI_FAC2]]</f>
        <v>9</v>
      </c>
      <c r="AF225">
        <f t="shared" si="89"/>
        <v>0.88888888888888884</v>
      </c>
      <c r="AG225">
        <f>survey_responses[[#This Row],[So với trước đây, tôi thấy cách tính thuế và các bậc thuế trong phương án mới đơn giản, dễ hiểu và dễ thực hiện hơn. - HUMAN-FAC2]]</f>
        <v>7</v>
      </c>
      <c r="AH225">
        <f t="shared" si="90"/>
        <v>0.66666666666666663</v>
      </c>
      <c r="AI225" s="32">
        <f t="shared" si="91"/>
        <v>0.83333333333333326</v>
      </c>
      <c r="AJ225" s="32">
        <f t="shared" si="92"/>
        <v>0.66666666666666663</v>
      </c>
      <c r="AK225">
        <f>step3_validation[[#This Row],[AI_TRU1]]</f>
        <v>8</v>
      </c>
      <c r="AL225">
        <f t="shared" si="93"/>
        <v>0.77777777777777779</v>
      </c>
      <c r="AM225">
        <f>survey_responses[[#This Row],[Tôi tin rằng Nhà nước, cơ quan thuế sẽ thực thi chính sách mới một cách khách quan, công tâm và đối xử bình đẳng với mọi người nộp thuế.  - HUMAN-TRU1]]</f>
        <v>7</v>
      </c>
      <c r="AN225">
        <f t="shared" si="94"/>
        <v>0.66666666666666663</v>
      </c>
      <c r="AO225">
        <f>step3_validation[[#This Row],[AI_TRU2]]</f>
        <v>8</v>
      </c>
      <c r="AP225">
        <f t="shared" si="95"/>
        <v>0.77777777777777779</v>
      </c>
      <c r="AQ225">
        <f>survey_responses[[#This Row],[Tôi thấy mức thuế tôi phải đóng theo phương án mới là công bằng (người thu nhập như tôi đóng mức này là hợp lý). - HUMAN-TRU2]]</f>
        <v>7</v>
      </c>
      <c r="AR225">
        <f t="shared" si="96"/>
        <v>0.66666666666666663</v>
      </c>
      <c r="AS225">
        <f>step3_validation[[#This Row],[AI_TRU3]]</f>
        <v>7</v>
      </c>
      <c r="AT225">
        <f t="shared" si="97"/>
        <v>0.66666666666666663</v>
      </c>
      <c r="AU225">
        <f>survey_responses[[#This Row],[Tôi tin tưởng số tiền thuế tôi đóng sẽ được Nhà nước sử dụng hiệu quả để cải thiện dịch vụ công (y tế, đường xá...). - HUMAN-TRU3]]</f>
        <v>7</v>
      </c>
      <c r="AV225">
        <f t="shared" si="98"/>
        <v>0.66666666666666663</v>
      </c>
      <c r="AW225">
        <f>step3_validation[[#This Row],[AI_TRU4]]</f>
        <v>6</v>
      </c>
      <c r="AX225">
        <f t="shared" si="99"/>
        <v>0.55555555555555558</v>
      </c>
      <c r="AY225">
        <f>survey_responses[[#This Row],[Tôi thấy Nhà nước đã giải thích rõ ràng, minh bạch về lý do và mục tiêu của việc sửa đổi thuế lần này. - HUMAN-TRU4]]</f>
        <v>7</v>
      </c>
      <c r="AZ225">
        <f t="shared" si="100"/>
        <v>0.66666666666666663</v>
      </c>
      <c r="BA225" s="32">
        <f t="shared" si="101"/>
        <v>0.69444444444444442</v>
      </c>
      <c r="BB225" s="32">
        <f t="shared" si="102"/>
        <v>0.66666666666666663</v>
      </c>
      <c r="BC225" s="7">
        <f t="shared" si="103"/>
        <v>0.73148148148148151</v>
      </c>
      <c r="BD225" s="7">
        <f t="shared" si="104"/>
        <v>0.66666666666666663</v>
      </c>
      <c r="BE225">
        <f>step3_validation[[#This Row],[AI_OUT1]]</f>
        <v>9</v>
      </c>
      <c r="BF225">
        <f t="shared" si="105"/>
        <v>0.88888888888888884</v>
      </c>
      <c r="BG225">
        <f>survey_responses[[#This Row],[Sau khi xem xét các quyền lợi và nghĩa vụ, bạn có ủng hộ và tuân thủ chính sách mới hiện nay? - HUMAN-OUT1]]</f>
        <v>7</v>
      </c>
      <c r="BH225">
        <f t="shared" si="106"/>
        <v>0.66666666666666663</v>
      </c>
      <c r="BI225" s="32">
        <f t="shared" si="107"/>
        <v>2</v>
      </c>
    </row>
    <row r="226" spans="1:61" x14ac:dyDescent="0.45">
      <c r="A226" s="30">
        <f>step3_validation[[#This Row],[Persona_ID]]</f>
        <v>225</v>
      </c>
      <c r="B226" s="31">
        <f>step3_validation[[#This Row],[Used_Seed]]</f>
        <v>2215</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43.414690117838731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f t="shared" si="81"/>
        <v>0.55555555555555558</v>
      </c>
      <c r="S226">
        <f>survey_responses[[#This Row],[Tôi tin rằng với các quy định quản lý thuế hiện nay, hành vi gian lận hoặc trốn thuế sẽ dễ dàng bị phát hiện và xử lý nghiêm. - HUMAN-ENF1]]</f>
        <v>6</v>
      </c>
      <c r="T226">
        <f t="shared" si="82"/>
        <v>0.55555555555555558</v>
      </c>
      <c r="U226">
        <f>step3_validation[[#This Row],[AI_ENF2]]</f>
        <v>7</v>
      </c>
      <c r="V226">
        <f t="shared" si="83"/>
        <v>0.66666666666666663</v>
      </c>
      <c r="W226">
        <f>survey_responses[[#This Row],[Tôi tin rằng Nhà nước, cơ quan thuế có đủ khả năng và công nghệ để phát hiện, xử lý nghiêm các hành vi trốn thuế. - HUMAN-ENF2]]</f>
        <v>6</v>
      </c>
      <c r="X226">
        <f t="shared" si="84"/>
        <v>0.55555555555555558</v>
      </c>
      <c r="Y226" s="32">
        <f t="shared" si="85"/>
        <v>0.61111111111111116</v>
      </c>
      <c r="Z226" s="32">
        <f t="shared" si="86"/>
        <v>0.55555555555555558</v>
      </c>
      <c r="AA226">
        <f>step3_validation[[#This Row],[AI_FAC1]]</f>
        <v>8</v>
      </c>
      <c r="AB226">
        <f t="shared" si="87"/>
        <v>0.77777777777777779</v>
      </c>
      <c r="AC226">
        <f>survey_responses[[#This Row],[Các thủ tục khai báo thuế VÀ/HOẶC quy trình làm việc với cơ quan thuế đơn giản, tiện lợi, nhanh chóng hơn so với trước đây. - HUMAN-FAC1]]</f>
        <v>7</v>
      </c>
      <c r="AD226">
        <f t="shared" si="88"/>
        <v>0.66666666666666663</v>
      </c>
      <c r="AE226">
        <f>step3_validation[[#This Row],[AI_FAC2]]</f>
        <v>9</v>
      </c>
      <c r="AF226">
        <f t="shared" si="89"/>
        <v>0.88888888888888884</v>
      </c>
      <c r="AG226">
        <f>survey_responses[[#This Row],[So với trước đây, tôi thấy cách tính thuế và các bậc thuế trong phương án mới đơn giản, dễ hiểu và dễ thực hiện hơn. - HUMAN-FAC2]]</f>
        <v>7</v>
      </c>
      <c r="AH226">
        <f t="shared" si="90"/>
        <v>0.66666666666666663</v>
      </c>
      <c r="AI226" s="32">
        <f t="shared" si="91"/>
        <v>0.83333333333333326</v>
      </c>
      <c r="AJ226" s="32">
        <f t="shared" si="92"/>
        <v>0.66666666666666663</v>
      </c>
      <c r="AK226">
        <f>step3_validation[[#This Row],[AI_TRU1]]</f>
        <v>7</v>
      </c>
      <c r="AL226">
        <f t="shared" si="93"/>
        <v>0.66666666666666663</v>
      </c>
      <c r="AM226">
        <f>survey_responses[[#This Row],[Tôi tin rằng Nhà nước, cơ quan thuế sẽ thực thi chính sách mới một cách khách quan, công tâm và đối xử bình đẳng với mọi người nộp thuế.  - HUMAN-TRU1]]</f>
        <v>5</v>
      </c>
      <c r="AN226">
        <f t="shared" si="94"/>
        <v>0.44444444444444442</v>
      </c>
      <c r="AO226">
        <f>step3_validation[[#This Row],[AI_TRU2]]</f>
        <v>9</v>
      </c>
      <c r="AP226">
        <f t="shared" si="95"/>
        <v>0.88888888888888884</v>
      </c>
      <c r="AQ226">
        <f>survey_responses[[#This Row],[Tôi thấy mức thuế tôi phải đóng theo phương án mới là công bằng (người thu nhập như tôi đóng mức này là hợp lý). - HUMAN-TRU2]]</f>
        <v>6</v>
      </c>
      <c r="AR226">
        <f t="shared" si="96"/>
        <v>0.55555555555555558</v>
      </c>
      <c r="AS226">
        <f>step3_validation[[#This Row],[AI_TRU3]]</f>
        <v>7</v>
      </c>
      <c r="AT226">
        <f t="shared" si="97"/>
        <v>0.66666666666666663</v>
      </c>
      <c r="AU226">
        <f>survey_responses[[#This Row],[Tôi tin tưởng số tiền thuế tôi đóng sẽ được Nhà nước sử dụng hiệu quả để cải thiện dịch vụ công (y tế, đường xá...). - HUMAN-TRU3]]</f>
        <v>6</v>
      </c>
      <c r="AV226">
        <f t="shared" si="98"/>
        <v>0.55555555555555558</v>
      </c>
      <c r="AW226">
        <f>step3_validation[[#This Row],[AI_TRU4]]</f>
        <v>8</v>
      </c>
      <c r="AX226">
        <f t="shared" si="99"/>
        <v>0.77777777777777779</v>
      </c>
      <c r="AY226">
        <f>survey_responses[[#This Row],[Tôi thấy Nhà nước đã giải thích rõ ràng, minh bạch về lý do và mục tiêu của việc sửa đổi thuế lần này. - HUMAN-TRU4]]</f>
        <v>6</v>
      </c>
      <c r="AZ226">
        <f t="shared" si="100"/>
        <v>0.55555555555555558</v>
      </c>
      <c r="BA226" s="32">
        <f t="shared" si="101"/>
        <v>0.74999999999999989</v>
      </c>
      <c r="BB226" s="32">
        <f t="shared" si="102"/>
        <v>0.52777777777777779</v>
      </c>
      <c r="BC226" s="7">
        <f t="shared" si="103"/>
        <v>0.7314814814814814</v>
      </c>
      <c r="BD226" s="7">
        <f t="shared" si="104"/>
        <v>0.58333333333333337</v>
      </c>
      <c r="BE226">
        <f>step3_validation[[#This Row],[AI_OUT1]]</f>
        <v>9</v>
      </c>
      <c r="BF226">
        <f t="shared" si="105"/>
        <v>0.88888888888888884</v>
      </c>
      <c r="BG226">
        <f>survey_responses[[#This Row],[Sau khi xem xét các quyền lợi và nghĩa vụ, bạn có ủng hộ và tuân thủ chính sách mới hiện nay? - HUMAN-OUT1]]</f>
        <v>7</v>
      </c>
      <c r="BH226">
        <f t="shared" si="106"/>
        <v>0.66666666666666663</v>
      </c>
      <c r="BI226" s="32">
        <f t="shared" si="107"/>
        <v>2</v>
      </c>
    </row>
    <row r="227" spans="1:61" x14ac:dyDescent="0.45">
      <c r="A227" s="30">
        <f>step3_validation[[#This Row],[Persona_ID]]</f>
        <v>226</v>
      </c>
      <c r="B227" s="31">
        <f>step3_validation[[#This Row],[Used_Seed]]</f>
        <v>2216</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84.074035270115829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9</v>
      </c>
      <c r="R227">
        <f t="shared" si="81"/>
        <v>0.88888888888888884</v>
      </c>
      <c r="S227">
        <f>survey_responses[[#This Row],[Tôi tin rằng với các quy định quản lý thuế hiện nay, hành vi gian lận hoặc trốn thuế sẽ dễ dàng bị phát hiện và xử lý nghiêm. - HUMAN-ENF1]]</f>
        <v>7</v>
      </c>
      <c r="T227">
        <f t="shared" si="82"/>
        <v>0.66666666666666663</v>
      </c>
      <c r="U227">
        <f>step3_validation[[#This Row],[AI_ENF2]]</f>
        <v>7</v>
      </c>
      <c r="V227">
        <f t="shared" si="83"/>
        <v>0.66666666666666663</v>
      </c>
      <c r="W227">
        <f>survey_responses[[#This Row],[Tôi tin rằng Nhà nước, cơ quan thuế có đủ khả năng và công nghệ để phát hiện, xử lý nghiêm các hành vi trốn thuế. - HUMAN-ENF2]]</f>
        <v>7</v>
      </c>
      <c r="X227">
        <f t="shared" si="84"/>
        <v>0.66666666666666663</v>
      </c>
      <c r="Y227" s="32">
        <f t="shared" si="85"/>
        <v>0.77777777777777768</v>
      </c>
      <c r="Z227" s="32">
        <f t="shared" si="86"/>
        <v>0.66666666666666663</v>
      </c>
      <c r="AA227">
        <f>step3_validation[[#This Row],[AI_FAC1]]</f>
        <v>8</v>
      </c>
      <c r="AB227">
        <f t="shared" si="87"/>
        <v>0.77777777777777779</v>
      </c>
      <c r="AC227">
        <f>survey_responses[[#This Row],[Các thủ tục khai báo thuế VÀ/HOẶC quy trình làm việc với cơ quan thuế đơn giản, tiện lợi, nhanh chóng hơn so với trước đây. - HUMAN-FAC1]]</f>
        <v>6</v>
      </c>
      <c r="AD227">
        <f t="shared" si="88"/>
        <v>0.55555555555555558</v>
      </c>
      <c r="AE227">
        <f>step3_validation[[#This Row],[AI_FAC2]]</f>
        <v>9</v>
      </c>
      <c r="AF227">
        <f t="shared" si="89"/>
        <v>0.88888888888888884</v>
      </c>
      <c r="AG227">
        <f>survey_responses[[#This Row],[So với trước đây, tôi thấy cách tính thuế và các bậc thuế trong phương án mới đơn giản, dễ hiểu và dễ thực hiện hơn. - HUMAN-FAC2]]</f>
        <v>7</v>
      </c>
      <c r="AH227">
        <f t="shared" si="90"/>
        <v>0.66666666666666663</v>
      </c>
      <c r="AI227" s="32">
        <f t="shared" si="91"/>
        <v>0.83333333333333326</v>
      </c>
      <c r="AJ227" s="32">
        <f t="shared" si="92"/>
        <v>0.61111111111111116</v>
      </c>
      <c r="AK227">
        <f>step3_validation[[#This Row],[AI_TRU1]]</f>
        <v>7</v>
      </c>
      <c r="AL227">
        <f t="shared" si="93"/>
        <v>0.66666666666666663</v>
      </c>
      <c r="AM227">
        <f>survey_responses[[#This Row],[Tôi tin rằng Nhà nước, cơ quan thuế sẽ thực thi chính sách mới một cách khách quan, công tâm và đối xử bình đẳng với mọi người nộp thuế.  - HUMAN-TRU1]]</f>
        <v>7</v>
      </c>
      <c r="AN227">
        <f t="shared" si="94"/>
        <v>0.66666666666666663</v>
      </c>
      <c r="AO227">
        <f>step3_validation[[#This Row],[AI_TRU2]]</f>
        <v>8</v>
      </c>
      <c r="AP227">
        <f t="shared" si="95"/>
        <v>0.77777777777777779</v>
      </c>
      <c r="AQ227">
        <f>survey_responses[[#This Row],[Tôi thấy mức thuế tôi phải đóng theo phương án mới là công bằng (người thu nhập như tôi đóng mức này là hợp lý). - HUMAN-TRU2]]</f>
        <v>7</v>
      </c>
      <c r="AR227">
        <f t="shared" si="96"/>
        <v>0.66666666666666663</v>
      </c>
      <c r="AS227">
        <f>step3_validation[[#This Row],[AI_TRU3]]</f>
        <v>7</v>
      </c>
      <c r="AT227">
        <f t="shared" si="97"/>
        <v>0.66666666666666663</v>
      </c>
      <c r="AU227">
        <f>survey_responses[[#This Row],[Tôi tin tưởng số tiền thuế tôi đóng sẽ được Nhà nước sử dụng hiệu quả để cải thiện dịch vụ công (y tế, đường xá...). - HUMAN-TRU3]]</f>
        <v>7</v>
      </c>
      <c r="AV227">
        <f t="shared" si="98"/>
        <v>0.66666666666666663</v>
      </c>
      <c r="AW227">
        <f>step3_validation[[#This Row],[AI_TRU4]]</f>
        <v>6</v>
      </c>
      <c r="AX227">
        <f t="shared" si="99"/>
        <v>0.55555555555555558</v>
      </c>
      <c r="AY227">
        <f>survey_responses[[#This Row],[Tôi thấy Nhà nước đã giải thích rõ ràng, minh bạch về lý do và mục tiêu của việc sửa đổi thuế lần này. - HUMAN-TRU4]]</f>
        <v>7</v>
      </c>
      <c r="AZ227">
        <f t="shared" si="100"/>
        <v>0.66666666666666663</v>
      </c>
      <c r="BA227" s="32">
        <f t="shared" si="101"/>
        <v>0.66666666666666674</v>
      </c>
      <c r="BB227" s="32">
        <f t="shared" si="102"/>
        <v>0.66666666666666663</v>
      </c>
      <c r="BC227" s="7">
        <f t="shared" si="103"/>
        <v>0.75925925925925919</v>
      </c>
      <c r="BD227" s="7">
        <f t="shared" si="104"/>
        <v>0.64814814814814803</v>
      </c>
      <c r="BE227">
        <f>step3_validation[[#This Row],[AI_OUT1]]</f>
        <v>8</v>
      </c>
      <c r="BF227">
        <f t="shared" si="105"/>
        <v>0.77777777777777779</v>
      </c>
      <c r="BG227">
        <f>survey_responses[[#This Row],[Sau khi xem xét các quyền lợi và nghĩa vụ, bạn có ủng hộ và tuân thủ chính sách mới hiện nay? - HUMAN-OUT1]]</f>
        <v>7</v>
      </c>
      <c r="BH227">
        <f t="shared" si="106"/>
        <v>0.66666666666666663</v>
      </c>
      <c r="BI227" s="32">
        <f t="shared" si="107"/>
        <v>1</v>
      </c>
    </row>
    <row r="228" spans="1:61" x14ac:dyDescent="0.45">
      <c r="A228" s="30">
        <f>step3_validation[[#This Row],[Persona_ID]]</f>
        <v>227</v>
      </c>
      <c r="B228" s="31">
        <f>step3_validation[[#This Row],[Used_Seed]]</f>
        <v>2217</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26.554586124237517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f t="shared" si="81"/>
        <v>0.66666666666666663</v>
      </c>
      <c r="S228">
        <f>survey_responses[[#This Row],[Tôi tin rằng với các quy định quản lý thuế hiện nay, hành vi gian lận hoặc trốn thuế sẽ dễ dàng bị phát hiện và xử lý nghiêm. - HUMAN-ENF1]]</f>
        <v>6</v>
      </c>
      <c r="T228">
        <f t="shared" si="82"/>
        <v>0.55555555555555558</v>
      </c>
      <c r="U228">
        <f>step3_validation[[#This Row],[AI_ENF2]]</f>
        <v>6</v>
      </c>
      <c r="V228">
        <f t="shared" si="83"/>
        <v>0.55555555555555558</v>
      </c>
      <c r="W228">
        <f>survey_responses[[#This Row],[Tôi tin rằng Nhà nước, cơ quan thuế có đủ khả năng và công nghệ để phát hiện, xử lý nghiêm các hành vi trốn thuế. - HUMAN-ENF2]]</f>
        <v>6</v>
      </c>
      <c r="X228">
        <f t="shared" si="84"/>
        <v>0.55555555555555558</v>
      </c>
      <c r="Y228" s="32">
        <f t="shared" si="85"/>
        <v>0.61111111111111116</v>
      </c>
      <c r="Z228" s="32">
        <f t="shared" si="86"/>
        <v>0.55555555555555558</v>
      </c>
      <c r="AA228">
        <f>step3_validation[[#This Row],[AI_FAC1]]</f>
        <v>9</v>
      </c>
      <c r="AB228">
        <f t="shared" si="87"/>
        <v>0.88888888888888884</v>
      </c>
      <c r="AC228">
        <f>survey_responses[[#This Row],[Các thủ tục khai báo thuế VÀ/HOẶC quy trình làm việc với cơ quan thuế đơn giản, tiện lợi, nhanh chóng hơn so với trước đây. - HUMAN-FAC1]]</f>
        <v>6</v>
      </c>
      <c r="AD228">
        <f t="shared" si="88"/>
        <v>0.55555555555555558</v>
      </c>
      <c r="AE228">
        <f>step3_validation[[#This Row],[AI_FAC2]]</f>
        <v>10</v>
      </c>
      <c r="AF228">
        <f t="shared" si="89"/>
        <v>1</v>
      </c>
      <c r="AG228">
        <f>survey_responses[[#This Row],[So với trước đây, tôi thấy cách tính thuế và các bậc thuế trong phương án mới đơn giản, dễ hiểu và dễ thực hiện hơn. - HUMAN-FAC2]]</f>
        <v>6</v>
      </c>
      <c r="AH228">
        <f t="shared" si="90"/>
        <v>0.55555555555555558</v>
      </c>
      <c r="AI228" s="32">
        <f t="shared" si="91"/>
        <v>0.94444444444444442</v>
      </c>
      <c r="AJ228" s="32">
        <f t="shared" si="92"/>
        <v>0.55555555555555558</v>
      </c>
      <c r="AK228">
        <f>step3_validation[[#This Row],[AI_TRU1]]</f>
        <v>7</v>
      </c>
      <c r="AL228">
        <f t="shared" si="93"/>
        <v>0.66666666666666663</v>
      </c>
      <c r="AM228">
        <f>survey_responses[[#This Row],[Tôi tin rằng Nhà nước, cơ quan thuế sẽ thực thi chính sách mới một cách khách quan, công tâm và đối xử bình đẳng với mọi người nộp thuế.  - HUMAN-TRU1]]</f>
        <v>6</v>
      </c>
      <c r="AN228">
        <f t="shared" si="94"/>
        <v>0.55555555555555558</v>
      </c>
      <c r="AO228">
        <f>step3_validation[[#This Row],[AI_TRU2]]</f>
        <v>8</v>
      </c>
      <c r="AP228">
        <f t="shared" si="95"/>
        <v>0.77777777777777779</v>
      </c>
      <c r="AQ228">
        <f>survey_responses[[#This Row],[Tôi thấy mức thuế tôi phải đóng theo phương án mới là công bằng (người thu nhập như tôi đóng mức này là hợp lý). - HUMAN-TRU2]]</f>
        <v>6</v>
      </c>
      <c r="AR228">
        <f t="shared" si="96"/>
        <v>0.55555555555555558</v>
      </c>
      <c r="AS228">
        <f>step3_validation[[#This Row],[AI_TRU3]]</f>
        <v>7</v>
      </c>
      <c r="AT228">
        <f t="shared" si="97"/>
        <v>0.66666666666666663</v>
      </c>
      <c r="AU228">
        <f>survey_responses[[#This Row],[Tôi tin tưởng số tiền thuế tôi đóng sẽ được Nhà nước sử dụng hiệu quả để cải thiện dịch vụ công (y tế, đường xá...). - HUMAN-TRU3]]</f>
        <v>6</v>
      </c>
      <c r="AV228">
        <f t="shared" si="98"/>
        <v>0.55555555555555558</v>
      </c>
      <c r="AW228">
        <f>step3_validation[[#This Row],[AI_TRU4]]</f>
        <v>6</v>
      </c>
      <c r="AX228">
        <f t="shared" si="99"/>
        <v>0.55555555555555558</v>
      </c>
      <c r="AY228">
        <f>survey_responses[[#This Row],[Tôi thấy Nhà nước đã giải thích rõ ràng, minh bạch về lý do và mục tiêu của việc sửa đổi thuế lần này. - HUMAN-TRU4]]</f>
        <v>6</v>
      </c>
      <c r="AZ228">
        <f t="shared" si="100"/>
        <v>0.55555555555555558</v>
      </c>
      <c r="BA228" s="32">
        <f t="shared" si="101"/>
        <v>0.66666666666666674</v>
      </c>
      <c r="BB228" s="32">
        <f t="shared" si="102"/>
        <v>0.55555555555555558</v>
      </c>
      <c r="BC228" s="7">
        <f t="shared" si="103"/>
        <v>0.74074074074074081</v>
      </c>
      <c r="BD228" s="7">
        <f t="shared" si="104"/>
        <v>0.55555555555555558</v>
      </c>
      <c r="BE228">
        <f>step3_validation[[#This Row],[AI_OUT1]]</f>
        <v>9</v>
      </c>
      <c r="BF228">
        <f t="shared" si="105"/>
        <v>0.88888888888888884</v>
      </c>
      <c r="BG228">
        <f>survey_responses[[#This Row],[Sau khi xem xét các quyền lợi và nghĩa vụ, bạn có ủng hộ và tuân thủ chính sách mới hiện nay? - HUMAN-OUT1]]</f>
        <v>6</v>
      </c>
      <c r="BH228">
        <f t="shared" si="106"/>
        <v>0.55555555555555558</v>
      </c>
      <c r="BI228" s="32">
        <f t="shared" si="107"/>
        <v>3</v>
      </c>
    </row>
    <row r="229" spans="1:61" x14ac:dyDescent="0.45">
      <c r="A229" s="30">
        <f>step3_validation[[#This Row],[Persona_ID]]</f>
        <v>228</v>
      </c>
      <c r="B229" s="31">
        <f>step3_validation[[#This Row],[Used_Seed]]</f>
        <v>2218</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18.971675083764307</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6</v>
      </c>
      <c r="R229">
        <f t="shared" si="81"/>
        <v>0.55555555555555558</v>
      </c>
      <c r="S229">
        <f>survey_responses[[#This Row],[Tôi tin rằng với các quy định quản lý thuế hiện nay, hành vi gian lận hoặc trốn thuế sẽ dễ dàng bị phát hiện và xử lý nghiêm. - HUMAN-ENF1]]</f>
        <v>8</v>
      </c>
      <c r="T229">
        <f t="shared" si="82"/>
        <v>0.77777777777777779</v>
      </c>
      <c r="U229">
        <f>step3_validation[[#This Row],[AI_ENF2]]</f>
        <v>7</v>
      </c>
      <c r="V229">
        <f t="shared" si="83"/>
        <v>0.66666666666666663</v>
      </c>
      <c r="W229">
        <f>survey_responses[[#This Row],[Tôi tin rằng Nhà nước, cơ quan thuế có đủ khả năng và công nghệ để phát hiện, xử lý nghiêm các hành vi trốn thuế. - HUMAN-ENF2]]</f>
        <v>9</v>
      </c>
      <c r="X229">
        <f t="shared" si="84"/>
        <v>0.88888888888888884</v>
      </c>
      <c r="Y229" s="32">
        <f t="shared" si="85"/>
        <v>0.61111111111111116</v>
      </c>
      <c r="Z229" s="32">
        <f t="shared" si="86"/>
        <v>0.83333333333333326</v>
      </c>
      <c r="AA229">
        <f>step3_validation[[#This Row],[AI_FAC1]]</f>
        <v>9</v>
      </c>
      <c r="AB229">
        <f t="shared" si="87"/>
        <v>0.88888888888888884</v>
      </c>
      <c r="AC229">
        <f>survey_responses[[#This Row],[Các thủ tục khai báo thuế VÀ/HOẶC quy trình làm việc với cơ quan thuế đơn giản, tiện lợi, nhanh chóng hơn so với trước đây. - HUMAN-FAC1]]</f>
        <v>7</v>
      </c>
      <c r="AD229">
        <f t="shared" si="88"/>
        <v>0.66666666666666663</v>
      </c>
      <c r="AE229">
        <f>step3_validation[[#This Row],[AI_FAC2]]</f>
        <v>8</v>
      </c>
      <c r="AF229">
        <f t="shared" si="89"/>
        <v>0.77777777777777779</v>
      </c>
      <c r="AG229">
        <f>survey_responses[[#This Row],[So với trước đây, tôi thấy cách tính thuế và các bậc thuế trong phương án mới đơn giản, dễ hiểu và dễ thực hiện hơn. - HUMAN-FAC2]]</f>
        <v>8</v>
      </c>
      <c r="AH229">
        <f t="shared" si="90"/>
        <v>0.77777777777777779</v>
      </c>
      <c r="AI229" s="32">
        <f t="shared" si="91"/>
        <v>0.83333333333333326</v>
      </c>
      <c r="AJ229" s="32">
        <f t="shared" si="92"/>
        <v>0.72222222222222221</v>
      </c>
      <c r="AK229">
        <f>step3_validation[[#This Row],[AI_TRU1]]</f>
        <v>9</v>
      </c>
      <c r="AL229">
        <f t="shared" si="93"/>
        <v>0.88888888888888884</v>
      </c>
      <c r="AM229">
        <f>survey_responses[[#This Row],[Tôi tin rằng Nhà nước, cơ quan thuế sẽ thực thi chính sách mới một cách khách quan, công tâm và đối xử bình đẳng với mọi người nộp thuế.  - HUMAN-TRU1]]</f>
        <v>9</v>
      </c>
      <c r="AN229">
        <f t="shared" si="94"/>
        <v>0.88888888888888884</v>
      </c>
      <c r="AO229">
        <f>step3_validation[[#This Row],[AI_TRU2]]</f>
        <v>8</v>
      </c>
      <c r="AP229">
        <f t="shared" si="95"/>
        <v>0.77777777777777779</v>
      </c>
      <c r="AQ229">
        <f>survey_responses[[#This Row],[Tôi thấy mức thuế tôi phải đóng theo phương án mới là công bằng (người thu nhập như tôi đóng mức này là hợp lý). - HUMAN-TRU2]]</f>
        <v>8</v>
      </c>
      <c r="AR229">
        <f t="shared" si="96"/>
        <v>0.77777777777777779</v>
      </c>
      <c r="AS229">
        <f>step3_validation[[#This Row],[AI_TRU3]]</f>
        <v>9</v>
      </c>
      <c r="AT229">
        <f t="shared" si="97"/>
        <v>0.88888888888888884</v>
      </c>
      <c r="AU229">
        <f>survey_responses[[#This Row],[Tôi tin tưởng số tiền thuế tôi đóng sẽ được Nhà nước sử dụng hiệu quả để cải thiện dịch vụ công (y tế, đường xá...). - HUMAN-TRU3]]</f>
        <v>8</v>
      </c>
      <c r="AV229">
        <f t="shared" si="98"/>
        <v>0.77777777777777779</v>
      </c>
      <c r="AW229">
        <f>step3_validation[[#This Row],[AI_TRU4]]</f>
        <v>8</v>
      </c>
      <c r="AX229">
        <f t="shared" si="99"/>
        <v>0.77777777777777779</v>
      </c>
      <c r="AY229">
        <f>survey_responses[[#This Row],[Tôi thấy Nhà nước đã giải thích rõ ràng, minh bạch về lý do và mục tiêu của việc sửa đổi thuế lần này. - HUMAN-TRU4]]</f>
        <v>8</v>
      </c>
      <c r="AZ229">
        <f t="shared" si="100"/>
        <v>0.77777777777777779</v>
      </c>
      <c r="BA229" s="32">
        <f t="shared" si="101"/>
        <v>0.83333333333333326</v>
      </c>
      <c r="BB229" s="32">
        <f t="shared" si="102"/>
        <v>0.80555555555555547</v>
      </c>
      <c r="BC229" s="7">
        <f t="shared" si="103"/>
        <v>0.75925925925925919</v>
      </c>
      <c r="BD229" s="7">
        <f t="shared" si="104"/>
        <v>0.78703703703703687</v>
      </c>
      <c r="BE229">
        <f>step3_validation[[#This Row],[AI_OUT1]]</f>
        <v>9</v>
      </c>
      <c r="BF229">
        <f t="shared" si="105"/>
        <v>0.88888888888888884</v>
      </c>
      <c r="BG229">
        <f>survey_responses[[#This Row],[Sau khi xem xét các quyền lợi và nghĩa vụ, bạn có ủng hộ và tuân thủ chính sách mới hiện nay? - HUMAN-OUT1]]</f>
        <v>8</v>
      </c>
      <c r="BH229">
        <f t="shared" si="106"/>
        <v>0.77777777777777779</v>
      </c>
      <c r="BI229" s="32">
        <f t="shared" si="107"/>
        <v>1</v>
      </c>
    </row>
    <row r="230" spans="1:61" x14ac:dyDescent="0.45">
      <c r="A230" s="30">
        <f>step3_validation[[#This Row],[Persona_ID]]</f>
        <v>229</v>
      </c>
      <c r="B230" s="31">
        <f>step3_validation[[#This Row],[Used_Seed]]</f>
        <v>2219</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62.619751996049857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5</v>
      </c>
      <c r="R230">
        <f t="shared" si="81"/>
        <v>0.44444444444444442</v>
      </c>
      <c r="S230">
        <f>survey_responses[[#This Row],[Tôi tin rằng với các quy định quản lý thuế hiện nay, hành vi gian lận hoặc trốn thuế sẽ dễ dàng bị phát hiện và xử lý nghiêm. - HUMAN-ENF1]]</f>
        <v>6</v>
      </c>
      <c r="T230">
        <f t="shared" si="82"/>
        <v>0.55555555555555558</v>
      </c>
      <c r="U230">
        <f>step3_validation[[#This Row],[AI_ENF2]]</f>
        <v>7</v>
      </c>
      <c r="V230">
        <f t="shared" si="83"/>
        <v>0.66666666666666663</v>
      </c>
      <c r="W230">
        <f>survey_responses[[#This Row],[Tôi tin rằng Nhà nước, cơ quan thuế có đủ khả năng và công nghệ để phát hiện, xử lý nghiêm các hành vi trốn thuế. - HUMAN-ENF2]]</f>
        <v>6</v>
      </c>
      <c r="X230">
        <f t="shared" si="84"/>
        <v>0.55555555555555558</v>
      </c>
      <c r="Y230" s="32">
        <f t="shared" si="85"/>
        <v>0.55555555555555558</v>
      </c>
      <c r="Z230" s="32">
        <f t="shared" si="86"/>
        <v>0.55555555555555558</v>
      </c>
      <c r="AA230">
        <f>step3_validation[[#This Row],[AI_FAC1]]</f>
        <v>9</v>
      </c>
      <c r="AB230">
        <f t="shared" si="87"/>
        <v>0.88888888888888884</v>
      </c>
      <c r="AC230">
        <f>survey_responses[[#This Row],[Các thủ tục khai báo thuế VÀ/HOẶC quy trình làm việc với cơ quan thuế đơn giản, tiện lợi, nhanh chóng hơn so với trước đây. - HUMAN-FAC1]]</f>
        <v>6</v>
      </c>
      <c r="AD230">
        <f t="shared" si="88"/>
        <v>0.55555555555555558</v>
      </c>
      <c r="AE230">
        <f>step3_validation[[#This Row],[AI_FAC2]]</f>
        <v>8</v>
      </c>
      <c r="AF230">
        <f t="shared" si="89"/>
        <v>0.77777777777777779</v>
      </c>
      <c r="AG230">
        <f>survey_responses[[#This Row],[So với trước đây, tôi thấy cách tính thuế và các bậc thuế trong phương án mới đơn giản, dễ hiểu và dễ thực hiện hơn. - HUMAN-FAC2]]</f>
        <v>6</v>
      </c>
      <c r="AH230">
        <f t="shared" si="90"/>
        <v>0.55555555555555558</v>
      </c>
      <c r="AI230" s="32">
        <f t="shared" si="91"/>
        <v>0.83333333333333326</v>
      </c>
      <c r="AJ230" s="32">
        <f t="shared" si="92"/>
        <v>0.55555555555555558</v>
      </c>
      <c r="AK230">
        <f>step3_validation[[#This Row],[AI_TRU1]]</f>
        <v>7</v>
      </c>
      <c r="AL230">
        <f t="shared" si="93"/>
        <v>0.66666666666666663</v>
      </c>
      <c r="AM230">
        <f>survey_responses[[#This Row],[Tôi tin rằng Nhà nước, cơ quan thuế sẽ thực thi chính sách mới một cách khách quan, công tâm và đối xử bình đẳng với mọi người nộp thuế.  - HUMAN-TRU1]]</f>
        <v>6</v>
      </c>
      <c r="AN230">
        <f t="shared" si="94"/>
        <v>0.55555555555555558</v>
      </c>
      <c r="AO230">
        <f>step3_validation[[#This Row],[AI_TRU2]]</f>
        <v>8</v>
      </c>
      <c r="AP230">
        <f t="shared" si="95"/>
        <v>0.77777777777777779</v>
      </c>
      <c r="AQ230">
        <f>survey_responses[[#This Row],[Tôi thấy mức thuế tôi phải đóng theo phương án mới là công bằng (người thu nhập như tôi đóng mức này là hợp lý). - HUMAN-TRU2]]</f>
        <v>7</v>
      </c>
      <c r="AR230">
        <f t="shared" si="96"/>
        <v>0.66666666666666663</v>
      </c>
      <c r="AS230">
        <f>step3_validation[[#This Row],[AI_TRU3]]</f>
        <v>6</v>
      </c>
      <c r="AT230">
        <f t="shared" si="97"/>
        <v>0.55555555555555558</v>
      </c>
      <c r="AU230">
        <f>survey_responses[[#This Row],[Tôi tin tưởng số tiền thuế tôi đóng sẽ được Nhà nước sử dụng hiệu quả để cải thiện dịch vụ công (y tế, đường xá...). - HUMAN-TRU3]]</f>
        <v>6</v>
      </c>
      <c r="AV230">
        <f t="shared" si="98"/>
        <v>0.55555555555555558</v>
      </c>
      <c r="AW230">
        <f>step3_validation[[#This Row],[AI_TRU4]]</f>
        <v>7</v>
      </c>
      <c r="AX230">
        <f t="shared" si="99"/>
        <v>0.66666666666666663</v>
      </c>
      <c r="AY230">
        <f>survey_responses[[#This Row],[Tôi thấy Nhà nước đã giải thích rõ ràng, minh bạch về lý do và mục tiêu của việc sửa đổi thuế lần này. - HUMAN-TRU4]]</f>
        <v>6</v>
      </c>
      <c r="AZ230">
        <f t="shared" si="100"/>
        <v>0.55555555555555558</v>
      </c>
      <c r="BA230" s="32">
        <f t="shared" si="101"/>
        <v>0.66666666666666663</v>
      </c>
      <c r="BB230" s="32">
        <f t="shared" si="102"/>
        <v>0.58333333333333337</v>
      </c>
      <c r="BC230" s="7">
        <f t="shared" si="103"/>
        <v>0.68518518518518512</v>
      </c>
      <c r="BD230" s="7">
        <f t="shared" si="104"/>
        <v>0.56481481481481488</v>
      </c>
      <c r="BE230">
        <f>step3_validation[[#This Row],[AI_OUT1]]</f>
        <v>9</v>
      </c>
      <c r="BF230">
        <f t="shared" si="105"/>
        <v>0.88888888888888884</v>
      </c>
      <c r="BG230">
        <f>survey_responses[[#This Row],[Sau khi xem xét các quyền lợi và nghĩa vụ, bạn có ủng hộ và tuân thủ chính sách mới hiện nay? - HUMAN-OUT1]]</f>
        <v>7</v>
      </c>
      <c r="BH230">
        <f t="shared" si="106"/>
        <v>0.66666666666666663</v>
      </c>
      <c r="BI230" s="32">
        <f t="shared" si="107"/>
        <v>2</v>
      </c>
    </row>
    <row r="231" spans="1:61" x14ac:dyDescent="0.45">
      <c r="A231" s="30">
        <f>step3_validation[[#This Row],[Persona_ID]]</f>
        <v>230</v>
      </c>
      <c r="B231" s="31">
        <f>step3_validation[[#This Row],[Used_Seed]]</f>
        <v>2220</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95.054824638140062</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7</v>
      </c>
      <c r="R231">
        <f t="shared" si="81"/>
        <v>0.66666666666666663</v>
      </c>
      <c r="S231">
        <f>survey_responses[[#This Row],[Tôi tin rằng với các quy định quản lý thuế hiện nay, hành vi gian lận hoặc trốn thuế sẽ dễ dàng bị phát hiện và xử lý nghiêm. - HUMAN-ENF1]]</f>
        <v>4</v>
      </c>
      <c r="T231">
        <f t="shared" si="82"/>
        <v>0.33333333333333331</v>
      </c>
      <c r="U231">
        <f>step3_validation[[#This Row],[AI_ENF2]]</f>
        <v>8</v>
      </c>
      <c r="V231">
        <f t="shared" si="83"/>
        <v>0.77777777777777779</v>
      </c>
      <c r="W231">
        <f>survey_responses[[#This Row],[Tôi tin rằng Nhà nước, cơ quan thuế có đủ khả năng và công nghệ để phát hiện, xử lý nghiêm các hành vi trốn thuế. - HUMAN-ENF2]]</f>
        <v>5</v>
      </c>
      <c r="X231">
        <f t="shared" si="84"/>
        <v>0.44444444444444442</v>
      </c>
      <c r="Y231" s="32">
        <f t="shared" si="85"/>
        <v>0.72222222222222221</v>
      </c>
      <c r="Z231" s="32">
        <f t="shared" si="86"/>
        <v>0.38888888888888884</v>
      </c>
      <c r="AA231">
        <f>step3_validation[[#This Row],[AI_FAC1]]</f>
        <v>9</v>
      </c>
      <c r="AB231">
        <f t="shared" si="87"/>
        <v>0.88888888888888884</v>
      </c>
      <c r="AC231">
        <f>survey_responses[[#This Row],[Các thủ tục khai báo thuế VÀ/HOẶC quy trình làm việc với cơ quan thuế đơn giản, tiện lợi, nhanh chóng hơn so với trước đây. - HUMAN-FAC1]]</f>
        <v>1</v>
      </c>
      <c r="AD231">
        <f t="shared" si="88"/>
        <v>0</v>
      </c>
      <c r="AE231">
        <f>step3_validation[[#This Row],[AI_FAC2]]</f>
        <v>10</v>
      </c>
      <c r="AF231">
        <f t="shared" si="89"/>
        <v>1</v>
      </c>
      <c r="AG231">
        <f>survey_responses[[#This Row],[So với trước đây, tôi thấy cách tính thuế và các bậc thuế trong phương án mới đơn giản, dễ hiểu và dễ thực hiện hơn. - HUMAN-FAC2]]</f>
        <v>6</v>
      </c>
      <c r="AH231">
        <f t="shared" si="90"/>
        <v>0.55555555555555558</v>
      </c>
      <c r="AI231" s="32">
        <f t="shared" si="91"/>
        <v>0.94444444444444442</v>
      </c>
      <c r="AJ231" s="32">
        <f t="shared" si="92"/>
        <v>0.27777777777777779</v>
      </c>
      <c r="AK231">
        <f>step3_validation[[#This Row],[AI_TRU1]]</f>
        <v>9</v>
      </c>
      <c r="AL231">
        <f t="shared" si="93"/>
        <v>0.88888888888888884</v>
      </c>
      <c r="AM231">
        <f>survey_responses[[#This Row],[Tôi tin rằng Nhà nước, cơ quan thuế sẽ thực thi chính sách mới một cách khách quan, công tâm và đối xử bình đẳng với mọi người nộp thuế.  - HUMAN-TRU1]]</f>
        <v>4</v>
      </c>
      <c r="AN231">
        <f t="shared" si="94"/>
        <v>0.33333333333333331</v>
      </c>
      <c r="AO231">
        <f>step3_validation[[#This Row],[AI_TRU2]]</f>
        <v>8</v>
      </c>
      <c r="AP231">
        <f t="shared" si="95"/>
        <v>0.77777777777777779</v>
      </c>
      <c r="AQ231">
        <f>survey_responses[[#This Row],[Tôi thấy mức thuế tôi phải đóng theo phương án mới là công bằng (người thu nhập như tôi đóng mức này là hợp lý). - HUMAN-TRU2]]</f>
        <v>4</v>
      </c>
      <c r="AR231">
        <f t="shared" si="96"/>
        <v>0.33333333333333331</v>
      </c>
      <c r="AS231">
        <f>step3_validation[[#This Row],[AI_TRU3]]</f>
        <v>9</v>
      </c>
      <c r="AT231">
        <f t="shared" si="97"/>
        <v>0.88888888888888884</v>
      </c>
      <c r="AU231">
        <f>survey_responses[[#This Row],[Tôi tin tưởng số tiền thuế tôi đóng sẽ được Nhà nước sử dụng hiệu quả để cải thiện dịch vụ công (y tế, đường xá...). - HUMAN-TRU3]]</f>
        <v>5</v>
      </c>
      <c r="AV231">
        <f t="shared" si="98"/>
        <v>0.44444444444444442</v>
      </c>
      <c r="AW231">
        <f>step3_validation[[#This Row],[AI_TRU4]]</f>
        <v>7</v>
      </c>
      <c r="AX231">
        <f t="shared" si="99"/>
        <v>0.66666666666666663</v>
      </c>
      <c r="AY231">
        <f>survey_responses[[#This Row],[Tôi thấy Nhà nước đã giải thích rõ ràng, minh bạch về lý do và mục tiêu của việc sửa đổi thuế lần này. - HUMAN-TRU4]]</f>
        <v>5</v>
      </c>
      <c r="AZ231">
        <f t="shared" si="100"/>
        <v>0.44444444444444442</v>
      </c>
      <c r="BA231" s="32">
        <f t="shared" si="101"/>
        <v>0.80555555555555547</v>
      </c>
      <c r="BB231" s="32">
        <f t="shared" si="102"/>
        <v>0.3888888888888889</v>
      </c>
      <c r="BC231" s="7">
        <f t="shared" si="103"/>
        <v>0.82407407407407396</v>
      </c>
      <c r="BD231" s="7">
        <f t="shared" si="104"/>
        <v>0.35185185185185186</v>
      </c>
      <c r="BE231">
        <f>step3_validation[[#This Row],[AI_OUT1]]</f>
        <v>8</v>
      </c>
      <c r="BF231">
        <f t="shared" si="105"/>
        <v>0.77777777777777779</v>
      </c>
      <c r="BG231">
        <f>survey_responses[[#This Row],[Sau khi xem xét các quyền lợi và nghĩa vụ, bạn có ủng hộ và tuân thủ chính sách mới hiện nay? - HUMAN-OUT1]]</f>
        <v>5</v>
      </c>
      <c r="BH231">
        <f t="shared" si="106"/>
        <v>0.44444444444444442</v>
      </c>
      <c r="BI231" s="32">
        <f t="shared" si="107"/>
        <v>3</v>
      </c>
    </row>
    <row r="232" spans="1:61" x14ac:dyDescent="0.45">
      <c r="A232" s="30">
        <f>step3_validation[[#This Row],[Persona_ID]]</f>
        <v>231</v>
      </c>
      <c r="B232" s="31">
        <f>step3_validation[[#This Row],[Used_Seed]]</f>
        <v>2221</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186.43692716427915</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6</v>
      </c>
      <c r="R232">
        <f t="shared" si="81"/>
        <v>0.55555555555555558</v>
      </c>
      <c r="S232">
        <f>survey_responses[[#This Row],[Tôi tin rằng với các quy định quản lý thuế hiện nay, hành vi gian lận hoặc trốn thuế sẽ dễ dàng bị phát hiện và xử lý nghiêm. - HUMAN-ENF1]]</f>
        <v>8</v>
      </c>
      <c r="T232">
        <f t="shared" si="82"/>
        <v>0.77777777777777779</v>
      </c>
      <c r="U232">
        <f>step3_validation[[#This Row],[AI_ENF2]]</f>
        <v>8</v>
      </c>
      <c r="V232">
        <f t="shared" si="83"/>
        <v>0.77777777777777779</v>
      </c>
      <c r="W232">
        <f>survey_responses[[#This Row],[Tôi tin rằng Nhà nước, cơ quan thuế có đủ khả năng và công nghệ để phát hiện, xử lý nghiêm các hành vi trốn thuế. - HUMAN-ENF2]]</f>
        <v>8</v>
      </c>
      <c r="X232">
        <f t="shared" si="84"/>
        <v>0.77777777777777779</v>
      </c>
      <c r="Y232" s="32">
        <f t="shared" si="85"/>
        <v>0.66666666666666674</v>
      </c>
      <c r="Z232" s="32">
        <f t="shared" si="86"/>
        <v>0.77777777777777779</v>
      </c>
      <c r="AA232">
        <f>step3_validation[[#This Row],[AI_FAC1]]</f>
        <v>7</v>
      </c>
      <c r="AB232">
        <f t="shared" si="87"/>
        <v>0.66666666666666663</v>
      </c>
      <c r="AC232">
        <f>survey_responses[[#This Row],[Các thủ tục khai báo thuế VÀ/HOẶC quy trình làm việc với cơ quan thuế đơn giản, tiện lợi, nhanh chóng hơn so với trước đây. - HUMAN-FAC1]]</f>
        <v>8</v>
      </c>
      <c r="AD232">
        <f t="shared" si="88"/>
        <v>0.77777777777777779</v>
      </c>
      <c r="AE232">
        <f>step3_validation[[#This Row],[AI_FAC2]]</f>
        <v>9</v>
      </c>
      <c r="AF232">
        <f t="shared" si="89"/>
        <v>0.88888888888888884</v>
      </c>
      <c r="AG232">
        <f>survey_responses[[#This Row],[So với trước đây, tôi thấy cách tính thuế và các bậc thuế trong phương án mới đơn giản, dễ hiểu và dễ thực hiện hơn. - HUMAN-FAC2]]</f>
        <v>8</v>
      </c>
      <c r="AH232">
        <f t="shared" si="90"/>
        <v>0.77777777777777779</v>
      </c>
      <c r="AI232" s="32">
        <f t="shared" si="91"/>
        <v>0.77777777777777768</v>
      </c>
      <c r="AJ232" s="32">
        <f t="shared" si="92"/>
        <v>0.77777777777777779</v>
      </c>
      <c r="AK232">
        <f>step3_validation[[#This Row],[AI_TRU1]]</f>
        <v>7</v>
      </c>
      <c r="AL232">
        <f t="shared" si="93"/>
        <v>0.66666666666666663</v>
      </c>
      <c r="AM232">
        <f>survey_responses[[#This Row],[Tôi tin rằng Nhà nước, cơ quan thuế sẽ thực thi chính sách mới một cách khách quan, công tâm và đối xử bình đẳng với mọi người nộp thuế.  - HUMAN-TRU1]]</f>
        <v>7</v>
      </c>
      <c r="AN232">
        <f t="shared" si="94"/>
        <v>0.66666666666666663</v>
      </c>
      <c r="AO232">
        <f>step3_validation[[#This Row],[AI_TRU2]]</f>
        <v>8</v>
      </c>
      <c r="AP232">
        <f t="shared" si="95"/>
        <v>0.77777777777777779</v>
      </c>
      <c r="AQ232">
        <f>survey_responses[[#This Row],[Tôi thấy mức thuế tôi phải đóng theo phương án mới là công bằng (người thu nhập như tôi đóng mức này là hợp lý). - HUMAN-TRU2]]</f>
        <v>7</v>
      </c>
      <c r="AR232">
        <f t="shared" si="96"/>
        <v>0.66666666666666663</v>
      </c>
      <c r="AS232">
        <f>step3_validation[[#This Row],[AI_TRU3]]</f>
        <v>7</v>
      </c>
      <c r="AT232">
        <f t="shared" si="97"/>
        <v>0.66666666666666663</v>
      </c>
      <c r="AU232">
        <f>survey_responses[[#This Row],[Tôi tin tưởng số tiền thuế tôi đóng sẽ được Nhà nước sử dụng hiệu quả để cải thiện dịch vụ công (y tế, đường xá...). - HUMAN-TRU3]]</f>
        <v>8</v>
      </c>
      <c r="AV232">
        <f t="shared" si="98"/>
        <v>0.77777777777777779</v>
      </c>
      <c r="AW232">
        <f>step3_validation[[#This Row],[AI_TRU4]]</f>
        <v>9</v>
      </c>
      <c r="AX232">
        <f t="shared" si="99"/>
        <v>0.88888888888888884</v>
      </c>
      <c r="AY232">
        <f>survey_responses[[#This Row],[Tôi thấy Nhà nước đã giải thích rõ ràng, minh bạch về lý do và mục tiêu của việc sửa đổi thuế lần này. - HUMAN-TRU4]]</f>
        <v>7</v>
      </c>
      <c r="AZ232">
        <f t="shared" si="100"/>
        <v>0.66666666666666663</v>
      </c>
      <c r="BA232" s="32">
        <f t="shared" si="101"/>
        <v>0.75</v>
      </c>
      <c r="BB232" s="32">
        <f t="shared" si="102"/>
        <v>0.69444444444444442</v>
      </c>
      <c r="BC232" s="7">
        <f t="shared" si="103"/>
        <v>0.73148148148148151</v>
      </c>
      <c r="BD232" s="7">
        <f t="shared" si="104"/>
        <v>0.75</v>
      </c>
      <c r="BE232">
        <f>step3_validation[[#This Row],[AI_OUT1]]</f>
        <v>8</v>
      </c>
      <c r="BF232">
        <f t="shared" si="105"/>
        <v>0.77777777777777779</v>
      </c>
      <c r="BG232">
        <f>survey_responses[[#This Row],[Sau khi xem xét các quyền lợi và nghĩa vụ, bạn có ủng hộ và tuân thủ chính sách mới hiện nay? - HUMAN-OUT1]]</f>
        <v>8</v>
      </c>
      <c r="BH232">
        <f t="shared" si="106"/>
        <v>0.77777777777777779</v>
      </c>
      <c r="BI232" s="32">
        <f t="shared" si="107"/>
        <v>0</v>
      </c>
    </row>
    <row r="233" spans="1:61" x14ac:dyDescent="0.45">
      <c r="A233" s="30">
        <f>step3_validation[[#This Row],[Persona_ID]]</f>
        <v>232</v>
      </c>
      <c r="B233" s="31">
        <f>step3_validation[[#This Row],[Used_Seed]]</f>
        <v>2222</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54.677067865377872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f t="shared" si="81"/>
        <v>0.66666666666666663</v>
      </c>
      <c r="S233">
        <f>survey_responses[[#This Row],[Tôi tin rằng với các quy định quản lý thuế hiện nay, hành vi gian lận hoặc trốn thuế sẽ dễ dàng bị phát hiện và xử lý nghiêm. - HUMAN-ENF1]]</f>
        <v>6</v>
      </c>
      <c r="T233">
        <f t="shared" si="82"/>
        <v>0.55555555555555558</v>
      </c>
      <c r="U233">
        <f>step3_validation[[#This Row],[AI_ENF2]]</f>
        <v>6</v>
      </c>
      <c r="V233">
        <f t="shared" si="83"/>
        <v>0.55555555555555558</v>
      </c>
      <c r="W233">
        <f>survey_responses[[#This Row],[Tôi tin rằng Nhà nước, cơ quan thuế có đủ khả năng và công nghệ để phát hiện, xử lý nghiêm các hành vi trốn thuế. - HUMAN-ENF2]]</f>
        <v>6</v>
      </c>
      <c r="X233">
        <f t="shared" si="84"/>
        <v>0.55555555555555558</v>
      </c>
      <c r="Y233" s="32">
        <f t="shared" si="85"/>
        <v>0.61111111111111116</v>
      </c>
      <c r="Z233" s="32">
        <f t="shared" si="86"/>
        <v>0.55555555555555558</v>
      </c>
      <c r="AA233">
        <f>step3_validation[[#This Row],[AI_FAC1]]</f>
        <v>8</v>
      </c>
      <c r="AB233">
        <f t="shared" si="87"/>
        <v>0.77777777777777779</v>
      </c>
      <c r="AC233">
        <f>survey_responses[[#This Row],[Các thủ tục khai báo thuế VÀ/HOẶC quy trình làm việc với cơ quan thuế đơn giản, tiện lợi, nhanh chóng hơn so với trước đây. - HUMAN-FAC1]]</f>
        <v>6</v>
      </c>
      <c r="AD233">
        <f t="shared" si="88"/>
        <v>0.55555555555555558</v>
      </c>
      <c r="AE233">
        <f>step3_validation[[#This Row],[AI_FAC2]]</f>
        <v>9</v>
      </c>
      <c r="AF233">
        <f t="shared" si="89"/>
        <v>0.88888888888888884</v>
      </c>
      <c r="AG233">
        <f>survey_responses[[#This Row],[So với trước đây, tôi thấy cách tính thuế và các bậc thuế trong phương án mới đơn giản, dễ hiểu và dễ thực hiện hơn. - HUMAN-FAC2]]</f>
        <v>6</v>
      </c>
      <c r="AH233">
        <f t="shared" si="90"/>
        <v>0.55555555555555558</v>
      </c>
      <c r="AI233" s="32">
        <f t="shared" si="91"/>
        <v>0.83333333333333326</v>
      </c>
      <c r="AJ233" s="32">
        <f t="shared" si="92"/>
        <v>0.55555555555555558</v>
      </c>
      <c r="AK233">
        <f>step3_validation[[#This Row],[AI_TRU1]]</f>
        <v>8</v>
      </c>
      <c r="AL233">
        <f t="shared" si="93"/>
        <v>0.77777777777777779</v>
      </c>
      <c r="AM233">
        <f>survey_responses[[#This Row],[Tôi tin rằng Nhà nước, cơ quan thuế sẽ thực thi chính sách mới một cách khách quan, công tâm và đối xử bình đẳng với mọi người nộp thuế.  - HUMAN-TRU1]]</f>
        <v>6</v>
      </c>
      <c r="AN233">
        <f t="shared" si="94"/>
        <v>0.55555555555555558</v>
      </c>
      <c r="AO233">
        <f>step3_validation[[#This Row],[AI_TRU2]]</f>
        <v>9</v>
      </c>
      <c r="AP233">
        <f t="shared" si="95"/>
        <v>0.88888888888888884</v>
      </c>
      <c r="AQ233">
        <f>survey_responses[[#This Row],[Tôi thấy mức thuế tôi phải đóng theo phương án mới là công bằng (người thu nhập như tôi đóng mức này là hợp lý). - HUMAN-TRU2]]</f>
        <v>6</v>
      </c>
      <c r="AR233">
        <f t="shared" si="96"/>
        <v>0.55555555555555558</v>
      </c>
      <c r="AS233">
        <f>step3_validation[[#This Row],[AI_TRU3]]</f>
        <v>8</v>
      </c>
      <c r="AT233">
        <f t="shared" si="97"/>
        <v>0.77777777777777779</v>
      </c>
      <c r="AU233">
        <f>survey_responses[[#This Row],[Tôi tin tưởng số tiền thuế tôi đóng sẽ được Nhà nước sử dụng hiệu quả để cải thiện dịch vụ công (y tế, đường xá...). - HUMAN-TRU3]]</f>
        <v>6</v>
      </c>
      <c r="AV233">
        <f t="shared" si="98"/>
        <v>0.55555555555555558</v>
      </c>
      <c r="AW233">
        <f>step3_validation[[#This Row],[AI_TRU4]]</f>
        <v>9</v>
      </c>
      <c r="AX233">
        <f t="shared" si="99"/>
        <v>0.88888888888888884</v>
      </c>
      <c r="AY233">
        <f>survey_responses[[#This Row],[Tôi thấy Nhà nước đã giải thích rõ ràng, minh bạch về lý do và mục tiêu của việc sửa đổi thuế lần này. - HUMAN-TRU4]]</f>
        <v>6</v>
      </c>
      <c r="AZ233">
        <f t="shared" si="100"/>
        <v>0.55555555555555558</v>
      </c>
      <c r="BA233" s="32">
        <f t="shared" si="101"/>
        <v>0.83333333333333326</v>
      </c>
      <c r="BB233" s="32">
        <f t="shared" si="102"/>
        <v>0.55555555555555558</v>
      </c>
      <c r="BC233" s="7">
        <f t="shared" si="103"/>
        <v>0.75925925925925919</v>
      </c>
      <c r="BD233" s="7">
        <f t="shared" si="104"/>
        <v>0.55555555555555558</v>
      </c>
      <c r="BE233">
        <f>step3_validation[[#This Row],[AI_OUT1]]</f>
        <v>8</v>
      </c>
      <c r="BF233">
        <f t="shared" si="105"/>
        <v>0.77777777777777779</v>
      </c>
      <c r="BG233">
        <f>survey_responses[[#This Row],[Sau khi xem xét các quyền lợi và nghĩa vụ, bạn có ủng hộ và tuân thủ chính sách mới hiện nay? - HUMAN-OUT1]]</f>
        <v>6</v>
      </c>
      <c r="BH233">
        <f t="shared" si="106"/>
        <v>0.55555555555555558</v>
      </c>
      <c r="BI233" s="32">
        <f t="shared" si="107"/>
        <v>2</v>
      </c>
    </row>
    <row r="234" spans="1:61" x14ac:dyDescent="0.45">
      <c r="A234" s="30">
        <f>step3_validation[[#This Row],[Persona_ID]]</f>
        <v>233</v>
      </c>
      <c r="B234" s="31">
        <f>step3_validation[[#This Row],[Used_Seed]]</f>
        <v>2223</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13.101521068160853</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f t="shared" si="81"/>
        <v>0.77777777777777779</v>
      </c>
      <c r="S234">
        <f>survey_responses[[#This Row],[Tôi tin rằng với các quy định quản lý thuế hiện nay, hành vi gian lận hoặc trốn thuế sẽ dễ dàng bị phát hiện và xử lý nghiêm. - HUMAN-ENF1]]</f>
        <v>8</v>
      </c>
      <c r="T234">
        <f t="shared" si="82"/>
        <v>0.77777777777777779</v>
      </c>
      <c r="U234">
        <f>step3_validation[[#This Row],[AI_ENF2]]</f>
        <v>9</v>
      </c>
      <c r="V234">
        <f t="shared" si="83"/>
        <v>0.88888888888888884</v>
      </c>
      <c r="W234">
        <f>survey_responses[[#This Row],[Tôi tin rằng Nhà nước, cơ quan thuế có đủ khả năng và công nghệ để phát hiện, xử lý nghiêm các hành vi trốn thuế. - HUMAN-ENF2]]</f>
        <v>8</v>
      </c>
      <c r="X234">
        <f t="shared" si="84"/>
        <v>0.77777777777777779</v>
      </c>
      <c r="Y234" s="32">
        <f t="shared" si="85"/>
        <v>0.83333333333333326</v>
      </c>
      <c r="Z234" s="32">
        <f t="shared" si="86"/>
        <v>0.77777777777777779</v>
      </c>
      <c r="AA234">
        <f>step3_validation[[#This Row],[AI_FAC1]]</f>
        <v>8</v>
      </c>
      <c r="AB234">
        <f t="shared" si="87"/>
        <v>0.77777777777777779</v>
      </c>
      <c r="AC234">
        <f>survey_responses[[#This Row],[Các thủ tục khai báo thuế VÀ/HOẶC quy trình làm việc với cơ quan thuế đơn giản, tiện lợi, nhanh chóng hơn so với trước đây. - HUMAN-FAC1]]</f>
        <v>8</v>
      </c>
      <c r="AD234">
        <f t="shared" si="88"/>
        <v>0.77777777777777779</v>
      </c>
      <c r="AE234">
        <f>step3_validation[[#This Row],[AI_FAC2]]</f>
        <v>9</v>
      </c>
      <c r="AF234">
        <f t="shared" si="89"/>
        <v>0.88888888888888884</v>
      </c>
      <c r="AG234">
        <f>survey_responses[[#This Row],[So với trước đây, tôi thấy cách tính thuế và các bậc thuế trong phương án mới đơn giản, dễ hiểu và dễ thực hiện hơn. - HUMAN-FAC2]]</f>
        <v>8</v>
      </c>
      <c r="AH234">
        <f t="shared" si="90"/>
        <v>0.77777777777777779</v>
      </c>
      <c r="AI234" s="32">
        <f t="shared" si="91"/>
        <v>0.83333333333333326</v>
      </c>
      <c r="AJ234" s="32">
        <f t="shared" si="92"/>
        <v>0.77777777777777779</v>
      </c>
      <c r="AK234">
        <f>step3_validation[[#This Row],[AI_TRU1]]</f>
        <v>8</v>
      </c>
      <c r="AL234">
        <f t="shared" si="93"/>
        <v>0.77777777777777779</v>
      </c>
      <c r="AM234">
        <f>survey_responses[[#This Row],[Tôi tin rằng Nhà nước, cơ quan thuế sẽ thực thi chính sách mới một cách khách quan, công tâm và đối xử bình đẳng với mọi người nộp thuế.  - HUMAN-TRU1]]</f>
        <v>9</v>
      </c>
      <c r="AN234">
        <f t="shared" si="94"/>
        <v>0.88888888888888884</v>
      </c>
      <c r="AO234">
        <f>step3_validation[[#This Row],[AI_TRU2]]</f>
        <v>9</v>
      </c>
      <c r="AP234">
        <f t="shared" si="95"/>
        <v>0.88888888888888884</v>
      </c>
      <c r="AQ234">
        <f>survey_responses[[#This Row],[Tôi thấy mức thuế tôi phải đóng theo phương án mới là công bằng (người thu nhập như tôi đóng mức này là hợp lý). - HUMAN-TRU2]]</f>
        <v>8</v>
      </c>
      <c r="AR234">
        <f t="shared" si="96"/>
        <v>0.77777777777777779</v>
      </c>
      <c r="AS234">
        <f>step3_validation[[#This Row],[AI_TRU3]]</f>
        <v>8</v>
      </c>
      <c r="AT234">
        <f t="shared" si="97"/>
        <v>0.77777777777777779</v>
      </c>
      <c r="AU234">
        <f>survey_responses[[#This Row],[Tôi tin tưởng số tiền thuế tôi đóng sẽ được Nhà nước sử dụng hiệu quả để cải thiện dịch vụ công (y tế, đường xá...). - HUMAN-TRU3]]</f>
        <v>8</v>
      </c>
      <c r="AV234">
        <f t="shared" si="98"/>
        <v>0.77777777777777779</v>
      </c>
      <c r="AW234">
        <f>step3_validation[[#This Row],[AI_TRU4]]</f>
        <v>9</v>
      </c>
      <c r="AX234">
        <f t="shared" si="99"/>
        <v>0.88888888888888884</v>
      </c>
      <c r="AY234">
        <f>survey_responses[[#This Row],[Tôi thấy Nhà nước đã giải thích rõ ràng, minh bạch về lý do và mục tiêu của việc sửa đổi thuế lần này. - HUMAN-TRU4]]</f>
        <v>8</v>
      </c>
      <c r="AZ234">
        <f t="shared" si="100"/>
        <v>0.77777777777777779</v>
      </c>
      <c r="BA234" s="32">
        <f t="shared" si="101"/>
        <v>0.83333333333333326</v>
      </c>
      <c r="BB234" s="32">
        <f t="shared" si="102"/>
        <v>0.80555555555555547</v>
      </c>
      <c r="BC234" s="7">
        <f t="shared" si="103"/>
        <v>0.83333333333333337</v>
      </c>
      <c r="BD234" s="7">
        <f t="shared" si="104"/>
        <v>0.78703703703703709</v>
      </c>
      <c r="BE234">
        <f>step3_validation[[#This Row],[AI_OUT1]]</f>
        <v>9</v>
      </c>
      <c r="BF234">
        <f t="shared" si="105"/>
        <v>0.88888888888888884</v>
      </c>
      <c r="BG234">
        <f>survey_responses[[#This Row],[Sau khi xem xét các quyền lợi và nghĩa vụ, bạn có ủng hộ và tuân thủ chính sách mới hiện nay? - HUMAN-OUT1]]</f>
        <v>10</v>
      </c>
      <c r="BH234">
        <f t="shared" si="106"/>
        <v>1</v>
      </c>
      <c r="BI234" s="32">
        <f t="shared" si="107"/>
        <v>1</v>
      </c>
    </row>
    <row r="235" spans="1:61" x14ac:dyDescent="0.45">
      <c r="A235" s="30">
        <f>step3_validation[[#This Row],[Persona_ID]]</f>
        <v>234</v>
      </c>
      <c r="B235" s="31">
        <f>step3_validation[[#This Row],[Used_Seed]]</f>
        <v>2224</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91.549762628109718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f t="shared" si="81"/>
        <v>0.77777777777777779</v>
      </c>
      <c r="S235">
        <f>survey_responses[[#This Row],[Tôi tin rằng với các quy định quản lý thuế hiện nay, hành vi gian lận hoặc trốn thuế sẽ dễ dàng bị phát hiện và xử lý nghiêm. - HUMAN-ENF1]]</f>
        <v>4</v>
      </c>
      <c r="T235">
        <f t="shared" si="82"/>
        <v>0.33333333333333331</v>
      </c>
      <c r="U235">
        <f>step3_validation[[#This Row],[AI_ENF2]]</f>
        <v>9</v>
      </c>
      <c r="V235">
        <f t="shared" si="83"/>
        <v>0.88888888888888884</v>
      </c>
      <c r="W235">
        <f>survey_responses[[#This Row],[Tôi tin rằng Nhà nước, cơ quan thuế có đủ khả năng và công nghệ để phát hiện, xử lý nghiêm các hành vi trốn thuế. - HUMAN-ENF2]]</f>
        <v>4</v>
      </c>
      <c r="X235">
        <f t="shared" si="84"/>
        <v>0.33333333333333331</v>
      </c>
      <c r="Y235" s="32">
        <f t="shared" si="85"/>
        <v>0.83333333333333326</v>
      </c>
      <c r="Z235" s="32">
        <f t="shared" si="86"/>
        <v>0.33333333333333331</v>
      </c>
      <c r="AA235">
        <f>step3_validation[[#This Row],[AI_FAC1]]</f>
        <v>7</v>
      </c>
      <c r="AB235">
        <f t="shared" si="87"/>
        <v>0.66666666666666663</v>
      </c>
      <c r="AC235">
        <f>survey_responses[[#This Row],[Các thủ tục khai báo thuế VÀ/HOẶC quy trình làm việc với cơ quan thuế đơn giản, tiện lợi, nhanh chóng hơn so với trước đây. - HUMAN-FAC1]]</f>
        <v>4</v>
      </c>
      <c r="AD235">
        <f t="shared" si="88"/>
        <v>0.33333333333333331</v>
      </c>
      <c r="AE235">
        <f>step3_validation[[#This Row],[AI_FAC2]]</f>
        <v>9</v>
      </c>
      <c r="AF235">
        <f t="shared" si="89"/>
        <v>0.88888888888888884</v>
      </c>
      <c r="AG235">
        <f>survey_responses[[#This Row],[So với trước đây, tôi thấy cách tính thuế và các bậc thuế trong phương án mới đơn giản, dễ hiểu và dễ thực hiện hơn. - HUMAN-FAC2]]</f>
        <v>4</v>
      </c>
      <c r="AH235">
        <f t="shared" si="90"/>
        <v>0.33333333333333331</v>
      </c>
      <c r="AI235" s="32">
        <f t="shared" si="91"/>
        <v>0.77777777777777768</v>
      </c>
      <c r="AJ235" s="32">
        <f t="shared" si="92"/>
        <v>0.33333333333333331</v>
      </c>
      <c r="AK235">
        <f>step3_validation[[#This Row],[AI_TRU1]]</f>
        <v>7</v>
      </c>
      <c r="AL235">
        <f t="shared" si="93"/>
        <v>0.66666666666666663</v>
      </c>
      <c r="AM235">
        <f>survey_responses[[#This Row],[Tôi tin rằng Nhà nước, cơ quan thuế sẽ thực thi chính sách mới một cách khách quan, công tâm và đối xử bình đẳng với mọi người nộp thuế.  - HUMAN-TRU1]]</f>
        <v>1</v>
      </c>
      <c r="AN235">
        <f t="shared" si="94"/>
        <v>0</v>
      </c>
      <c r="AO235">
        <f>step3_validation[[#This Row],[AI_TRU2]]</f>
        <v>8</v>
      </c>
      <c r="AP235">
        <f t="shared" si="95"/>
        <v>0.77777777777777779</v>
      </c>
      <c r="AQ235">
        <f>survey_responses[[#This Row],[Tôi thấy mức thuế tôi phải đóng theo phương án mới là công bằng (người thu nhập như tôi đóng mức này là hợp lý). - HUMAN-TRU2]]</f>
        <v>3</v>
      </c>
      <c r="AR235">
        <f t="shared" si="96"/>
        <v>0.22222222222222221</v>
      </c>
      <c r="AS235">
        <f>step3_validation[[#This Row],[AI_TRU3]]</f>
        <v>7</v>
      </c>
      <c r="AT235">
        <f t="shared" si="97"/>
        <v>0.66666666666666663</v>
      </c>
      <c r="AU235">
        <f>survey_responses[[#This Row],[Tôi tin tưởng số tiền thuế tôi đóng sẽ được Nhà nước sử dụng hiệu quả để cải thiện dịch vụ công (y tế, đường xá...). - HUMAN-TRU3]]</f>
        <v>1</v>
      </c>
      <c r="AV235">
        <f t="shared" si="98"/>
        <v>0</v>
      </c>
      <c r="AW235">
        <f>step3_validation[[#This Row],[AI_TRU4]]</f>
        <v>8</v>
      </c>
      <c r="AX235">
        <f t="shared" si="99"/>
        <v>0.77777777777777779</v>
      </c>
      <c r="AY235">
        <f>survey_responses[[#This Row],[Tôi thấy Nhà nước đã giải thích rõ ràng, minh bạch về lý do và mục tiêu của việc sửa đổi thuế lần này. - HUMAN-TRU4]]</f>
        <v>1</v>
      </c>
      <c r="AZ235">
        <f t="shared" si="100"/>
        <v>0</v>
      </c>
      <c r="BA235" s="32">
        <f t="shared" si="101"/>
        <v>0.72222222222222221</v>
      </c>
      <c r="BB235" s="32">
        <f t="shared" si="102"/>
        <v>5.5555555555555552E-2</v>
      </c>
      <c r="BC235" s="7">
        <f t="shared" si="103"/>
        <v>0.77777777777777768</v>
      </c>
      <c r="BD235" s="7">
        <f t="shared" si="104"/>
        <v>0.24074074074074073</v>
      </c>
      <c r="BE235">
        <f>step3_validation[[#This Row],[AI_OUT1]]</f>
        <v>9</v>
      </c>
      <c r="BF235">
        <f t="shared" si="105"/>
        <v>0.88888888888888884</v>
      </c>
      <c r="BG235">
        <f>survey_responses[[#This Row],[Sau khi xem xét các quyền lợi và nghĩa vụ, bạn có ủng hộ và tuân thủ chính sách mới hiện nay? - HUMAN-OUT1]]</f>
        <v>1</v>
      </c>
      <c r="BH235">
        <f t="shared" si="106"/>
        <v>0</v>
      </c>
      <c r="BI235" s="32">
        <f t="shared" si="107"/>
        <v>8</v>
      </c>
    </row>
    <row r="236" spans="1:61" x14ac:dyDescent="0.45">
      <c r="A236" s="30">
        <f>step3_validation[[#This Row],[Persona_ID]]</f>
        <v>235</v>
      </c>
      <c r="B236" s="31">
        <f>step3_validation[[#This Row],[Used_Seed]]</f>
        <v>2225</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35.712238417609569</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f t="shared" si="81"/>
        <v>0.66666666666666663</v>
      </c>
      <c r="S236">
        <f>survey_responses[[#This Row],[Tôi tin rằng với các quy định quản lý thuế hiện nay, hành vi gian lận hoặc trốn thuế sẽ dễ dàng bị phát hiện và xử lý nghiêm. - HUMAN-ENF1]]</f>
        <v>6</v>
      </c>
      <c r="T236">
        <f t="shared" si="82"/>
        <v>0.55555555555555558</v>
      </c>
      <c r="U236">
        <f>step3_validation[[#This Row],[AI_ENF2]]</f>
        <v>8</v>
      </c>
      <c r="V236">
        <f t="shared" si="83"/>
        <v>0.77777777777777779</v>
      </c>
      <c r="W236">
        <f>survey_responses[[#This Row],[Tôi tin rằng Nhà nước, cơ quan thuế có đủ khả năng và công nghệ để phát hiện, xử lý nghiêm các hành vi trốn thuế. - HUMAN-ENF2]]</f>
        <v>6</v>
      </c>
      <c r="X236">
        <f t="shared" si="84"/>
        <v>0.55555555555555558</v>
      </c>
      <c r="Y236" s="32">
        <f t="shared" si="85"/>
        <v>0.72222222222222221</v>
      </c>
      <c r="Z236" s="32">
        <f t="shared" si="86"/>
        <v>0.55555555555555558</v>
      </c>
      <c r="AA236">
        <f>step3_validation[[#This Row],[AI_FAC1]]</f>
        <v>6</v>
      </c>
      <c r="AB236">
        <f t="shared" si="87"/>
        <v>0.55555555555555558</v>
      </c>
      <c r="AC236">
        <f>survey_responses[[#This Row],[Các thủ tục khai báo thuế VÀ/HOẶC quy trình làm việc với cơ quan thuế đơn giản, tiện lợi, nhanh chóng hơn so với trước đây. - HUMAN-FAC1]]</f>
        <v>1</v>
      </c>
      <c r="AD236">
        <f t="shared" si="88"/>
        <v>0</v>
      </c>
      <c r="AE236">
        <f>step3_validation[[#This Row],[AI_FAC2]]</f>
        <v>9</v>
      </c>
      <c r="AF236">
        <f t="shared" si="89"/>
        <v>0.88888888888888884</v>
      </c>
      <c r="AG236">
        <f>survey_responses[[#This Row],[So với trước đây, tôi thấy cách tính thuế và các bậc thuế trong phương án mới đơn giản, dễ hiểu và dễ thực hiện hơn. - HUMAN-FAC2]]</f>
        <v>6</v>
      </c>
      <c r="AH236">
        <f t="shared" si="90"/>
        <v>0.55555555555555558</v>
      </c>
      <c r="AI236" s="32">
        <f t="shared" si="91"/>
        <v>0.72222222222222221</v>
      </c>
      <c r="AJ236" s="32">
        <f t="shared" si="92"/>
        <v>0.27777777777777779</v>
      </c>
      <c r="AK236">
        <f>step3_validation[[#This Row],[AI_TRU1]]</f>
        <v>8</v>
      </c>
      <c r="AL236">
        <f t="shared" si="93"/>
        <v>0.77777777777777779</v>
      </c>
      <c r="AM236">
        <f>survey_responses[[#This Row],[Tôi tin rằng Nhà nước, cơ quan thuế sẽ thực thi chính sách mới một cách khách quan, công tâm và đối xử bình đẳng với mọi người nộp thuế.  - HUMAN-TRU1]]</f>
        <v>5</v>
      </c>
      <c r="AN236">
        <f t="shared" si="94"/>
        <v>0.44444444444444442</v>
      </c>
      <c r="AO236">
        <f>step3_validation[[#This Row],[AI_TRU2]]</f>
        <v>9</v>
      </c>
      <c r="AP236">
        <f t="shared" si="95"/>
        <v>0.88888888888888884</v>
      </c>
      <c r="AQ236">
        <f>survey_responses[[#This Row],[Tôi thấy mức thuế tôi phải đóng theo phương án mới là công bằng (người thu nhập như tôi đóng mức này là hợp lý). - HUMAN-TRU2]]</f>
        <v>6</v>
      </c>
      <c r="AR236">
        <f t="shared" si="96"/>
        <v>0.55555555555555558</v>
      </c>
      <c r="AS236">
        <f>step3_validation[[#This Row],[AI_TRU3]]</f>
        <v>8</v>
      </c>
      <c r="AT236">
        <f t="shared" si="97"/>
        <v>0.77777777777777779</v>
      </c>
      <c r="AU236">
        <f>survey_responses[[#This Row],[Tôi tin tưởng số tiền thuế tôi đóng sẽ được Nhà nước sử dụng hiệu quả để cải thiện dịch vụ công (y tế, đường xá...). - HUMAN-TRU3]]</f>
        <v>5</v>
      </c>
      <c r="AV236">
        <f t="shared" si="98"/>
        <v>0.44444444444444442</v>
      </c>
      <c r="AW236">
        <f>step3_validation[[#This Row],[AI_TRU4]]</f>
        <v>7</v>
      </c>
      <c r="AX236">
        <f t="shared" si="99"/>
        <v>0.66666666666666663</v>
      </c>
      <c r="AY236">
        <f>survey_responses[[#This Row],[Tôi thấy Nhà nước đã giải thích rõ ràng, minh bạch về lý do và mục tiêu của việc sửa đổi thuế lần này. - HUMAN-TRU4]]</f>
        <v>6</v>
      </c>
      <c r="AZ236">
        <f t="shared" si="100"/>
        <v>0.55555555555555558</v>
      </c>
      <c r="BA236" s="32">
        <f t="shared" si="101"/>
        <v>0.77777777777777768</v>
      </c>
      <c r="BB236" s="32">
        <f t="shared" si="102"/>
        <v>0.5</v>
      </c>
      <c r="BC236" s="7">
        <f t="shared" si="103"/>
        <v>0.74074074074074081</v>
      </c>
      <c r="BD236" s="7">
        <f t="shared" si="104"/>
        <v>0.44444444444444448</v>
      </c>
      <c r="BE236">
        <f>step3_validation[[#This Row],[AI_OUT1]]</f>
        <v>9</v>
      </c>
      <c r="BF236">
        <f t="shared" si="105"/>
        <v>0.88888888888888884</v>
      </c>
      <c r="BG236">
        <f>survey_responses[[#This Row],[Sau khi xem xét các quyền lợi và nghĩa vụ, bạn có ủng hộ và tuân thủ chính sách mới hiện nay? - HUMAN-OUT1]]</f>
        <v>6</v>
      </c>
      <c r="BH236">
        <f t="shared" si="106"/>
        <v>0.55555555555555558</v>
      </c>
      <c r="BI236" s="32">
        <f t="shared" si="107"/>
        <v>3</v>
      </c>
    </row>
    <row r="237" spans="1:61" x14ac:dyDescent="0.45">
      <c r="A237" s="30">
        <f>step3_validation[[#This Row],[Persona_ID]]</f>
        <v>236</v>
      </c>
      <c r="B237" s="31">
        <f>step3_validation[[#This Row],[Used_Seed]]</f>
        <v>2226</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58.668880008919636</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f t="shared" si="81"/>
        <v>0.55555555555555558</v>
      </c>
      <c r="S237">
        <f>survey_responses[[#This Row],[Tôi tin rằng với các quy định quản lý thuế hiện nay, hành vi gian lận hoặc trốn thuế sẽ dễ dàng bị phát hiện và xử lý nghiêm. - HUMAN-ENF1]]</f>
        <v>7</v>
      </c>
      <c r="T237">
        <f t="shared" si="82"/>
        <v>0.66666666666666663</v>
      </c>
      <c r="U237">
        <f>step3_validation[[#This Row],[AI_ENF2]]</f>
        <v>8</v>
      </c>
      <c r="V237">
        <f t="shared" si="83"/>
        <v>0.77777777777777779</v>
      </c>
      <c r="W237">
        <f>survey_responses[[#This Row],[Tôi tin rằng Nhà nước, cơ quan thuế có đủ khả năng và công nghệ để phát hiện, xử lý nghiêm các hành vi trốn thuế. - HUMAN-ENF2]]</f>
        <v>7</v>
      </c>
      <c r="X237">
        <f t="shared" si="84"/>
        <v>0.66666666666666663</v>
      </c>
      <c r="Y237" s="32">
        <f t="shared" si="85"/>
        <v>0.66666666666666674</v>
      </c>
      <c r="Z237" s="32">
        <f t="shared" si="86"/>
        <v>0.66666666666666663</v>
      </c>
      <c r="AA237">
        <f>step3_validation[[#This Row],[AI_FAC1]]</f>
        <v>9</v>
      </c>
      <c r="AB237">
        <f t="shared" si="87"/>
        <v>0.88888888888888884</v>
      </c>
      <c r="AC237">
        <f>survey_responses[[#This Row],[Các thủ tục khai báo thuế VÀ/HOẶC quy trình làm việc với cơ quan thuế đơn giản, tiện lợi, nhanh chóng hơn so với trước đây. - HUMAN-FAC1]]</f>
        <v>7</v>
      </c>
      <c r="AD237">
        <f t="shared" si="88"/>
        <v>0.66666666666666663</v>
      </c>
      <c r="AE237">
        <f>step3_validation[[#This Row],[AI_FAC2]]</f>
        <v>9</v>
      </c>
      <c r="AF237">
        <f t="shared" si="89"/>
        <v>0.88888888888888884</v>
      </c>
      <c r="AG237">
        <f>survey_responses[[#This Row],[So với trước đây, tôi thấy cách tính thuế và các bậc thuế trong phương án mới đơn giản, dễ hiểu và dễ thực hiện hơn. - HUMAN-FAC2]]</f>
        <v>7</v>
      </c>
      <c r="AH237">
        <f t="shared" si="90"/>
        <v>0.66666666666666663</v>
      </c>
      <c r="AI237" s="32">
        <f t="shared" si="91"/>
        <v>0.88888888888888884</v>
      </c>
      <c r="AJ237" s="32">
        <f t="shared" si="92"/>
        <v>0.66666666666666663</v>
      </c>
      <c r="AK237">
        <f>step3_validation[[#This Row],[AI_TRU1]]</f>
        <v>7</v>
      </c>
      <c r="AL237">
        <f t="shared" si="93"/>
        <v>0.66666666666666663</v>
      </c>
      <c r="AM237">
        <f>survey_responses[[#This Row],[Tôi tin rằng Nhà nước, cơ quan thuế sẽ thực thi chính sách mới một cách khách quan, công tâm và đối xử bình đẳng với mọi người nộp thuế.  - HUMAN-TRU1]]</f>
        <v>7</v>
      </c>
      <c r="AN237">
        <f t="shared" si="94"/>
        <v>0.66666666666666663</v>
      </c>
      <c r="AO237">
        <f>step3_validation[[#This Row],[AI_TRU2]]</f>
        <v>8</v>
      </c>
      <c r="AP237">
        <f t="shared" si="95"/>
        <v>0.77777777777777779</v>
      </c>
      <c r="AQ237">
        <f>survey_responses[[#This Row],[Tôi thấy mức thuế tôi phải đóng theo phương án mới là công bằng (người thu nhập như tôi đóng mức này là hợp lý). - HUMAN-TRU2]]</f>
        <v>7</v>
      </c>
      <c r="AR237">
        <f t="shared" si="96"/>
        <v>0.66666666666666663</v>
      </c>
      <c r="AS237">
        <f>step3_validation[[#This Row],[AI_TRU3]]</f>
        <v>7</v>
      </c>
      <c r="AT237">
        <f t="shared" si="97"/>
        <v>0.66666666666666663</v>
      </c>
      <c r="AU237">
        <f>survey_responses[[#This Row],[Tôi tin tưởng số tiền thuế tôi đóng sẽ được Nhà nước sử dụng hiệu quả để cải thiện dịch vụ công (y tế, đường xá...). - HUMAN-TRU3]]</f>
        <v>7</v>
      </c>
      <c r="AV237">
        <f t="shared" si="98"/>
        <v>0.66666666666666663</v>
      </c>
      <c r="AW237">
        <f>step3_validation[[#This Row],[AI_TRU4]]</f>
        <v>8</v>
      </c>
      <c r="AX237">
        <f t="shared" si="99"/>
        <v>0.77777777777777779</v>
      </c>
      <c r="AY237">
        <f>survey_responses[[#This Row],[Tôi thấy Nhà nước đã giải thích rõ ràng, minh bạch về lý do và mục tiêu của việc sửa đổi thuế lần này. - HUMAN-TRU4]]</f>
        <v>7</v>
      </c>
      <c r="AZ237">
        <f t="shared" si="100"/>
        <v>0.66666666666666663</v>
      </c>
      <c r="BA237" s="32">
        <f t="shared" si="101"/>
        <v>0.72222222222222221</v>
      </c>
      <c r="BB237" s="32">
        <f t="shared" si="102"/>
        <v>0.66666666666666663</v>
      </c>
      <c r="BC237" s="7">
        <f t="shared" si="103"/>
        <v>0.75925925925925919</v>
      </c>
      <c r="BD237" s="7">
        <f t="shared" si="104"/>
        <v>0.66666666666666663</v>
      </c>
      <c r="BE237">
        <f>step3_validation[[#This Row],[AI_OUT1]]</f>
        <v>9</v>
      </c>
      <c r="BF237">
        <f t="shared" si="105"/>
        <v>0.88888888888888884</v>
      </c>
      <c r="BG237">
        <f>survey_responses[[#This Row],[Sau khi xem xét các quyền lợi và nghĩa vụ, bạn có ủng hộ và tuân thủ chính sách mới hiện nay? - HUMAN-OUT1]]</f>
        <v>7</v>
      </c>
      <c r="BH237">
        <f t="shared" si="106"/>
        <v>0.66666666666666663</v>
      </c>
      <c r="BI237" s="32">
        <f t="shared" si="107"/>
        <v>2</v>
      </c>
    </row>
    <row r="238" spans="1:61" x14ac:dyDescent="0.45">
      <c r="A238" s="30">
        <f>step3_validation[[#This Row],[Persona_ID]]</f>
        <v>237</v>
      </c>
      <c r="B238" s="31">
        <f>step3_validation[[#This Row],[Used_Seed]]</f>
        <v>2227</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15.776987206239891</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5</v>
      </c>
      <c r="R238">
        <f t="shared" si="81"/>
        <v>0.44444444444444442</v>
      </c>
      <c r="S238">
        <f>survey_responses[[#This Row],[Tôi tin rằng với các quy định quản lý thuế hiện nay, hành vi gian lận hoặc trốn thuế sẽ dễ dàng bị phát hiện và xử lý nghiêm. - HUMAN-ENF1]]</f>
        <v>10</v>
      </c>
      <c r="T238">
        <f t="shared" si="82"/>
        <v>1</v>
      </c>
      <c r="U238">
        <f>step3_validation[[#This Row],[AI_ENF2]]</f>
        <v>8</v>
      </c>
      <c r="V238">
        <f t="shared" si="83"/>
        <v>0.77777777777777779</v>
      </c>
      <c r="W238">
        <f>survey_responses[[#This Row],[Tôi tin rằng Nhà nước, cơ quan thuế có đủ khả năng và công nghệ để phát hiện, xử lý nghiêm các hành vi trốn thuế. - HUMAN-ENF2]]</f>
        <v>10</v>
      </c>
      <c r="X238">
        <f t="shared" si="84"/>
        <v>1</v>
      </c>
      <c r="Y238" s="32">
        <f t="shared" si="85"/>
        <v>0.61111111111111116</v>
      </c>
      <c r="Z238" s="32">
        <f t="shared" si="86"/>
        <v>1</v>
      </c>
      <c r="AA238">
        <f>step3_validation[[#This Row],[AI_FAC1]]</f>
        <v>6</v>
      </c>
      <c r="AB238">
        <f t="shared" si="87"/>
        <v>0.55555555555555558</v>
      </c>
      <c r="AC238">
        <f>survey_responses[[#This Row],[Các thủ tục khai báo thuế VÀ/HOẶC quy trình làm việc với cơ quan thuế đơn giản, tiện lợi, nhanh chóng hơn so với trước đây. - HUMAN-FAC1]]</f>
        <v>4</v>
      </c>
      <c r="AD238">
        <f t="shared" si="88"/>
        <v>0.33333333333333331</v>
      </c>
      <c r="AE238">
        <f>step3_validation[[#This Row],[AI_FAC2]]</f>
        <v>7</v>
      </c>
      <c r="AF238">
        <f t="shared" si="89"/>
        <v>0.66666666666666663</v>
      </c>
      <c r="AG238">
        <f>survey_responses[[#This Row],[So với trước đây, tôi thấy cách tính thuế và các bậc thuế trong phương án mới đơn giản, dễ hiểu và dễ thực hiện hơn. - HUMAN-FAC2]]</f>
        <v>6</v>
      </c>
      <c r="AH238">
        <f t="shared" si="90"/>
        <v>0.55555555555555558</v>
      </c>
      <c r="AI238" s="32">
        <f t="shared" si="91"/>
        <v>0.61111111111111116</v>
      </c>
      <c r="AJ238" s="32">
        <f t="shared" si="92"/>
        <v>0.44444444444444442</v>
      </c>
      <c r="AK238">
        <f>step3_validation[[#This Row],[AI_TRU1]]</f>
        <v>6</v>
      </c>
      <c r="AL238">
        <f t="shared" si="93"/>
        <v>0.55555555555555558</v>
      </c>
      <c r="AM238">
        <f>survey_responses[[#This Row],[Tôi tin rằng Nhà nước, cơ quan thuế sẽ thực thi chính sách mới một cách khách quan, công tâm và đối xử bình đẳng với mọi người nộp thuế.  - HUMAN-TRU1]]</f>
        <v>3</v>
      </c>
      <c r="AN238">
        <f t="shared" si="94"/>
        <v>0.22222222222222221</v>
      </c>
      <c r="AO238">
        <f>step3_validation[[#This Row],[AI_TRU2]]</f>
        <v>8</v>
      </c>
      <c r="AP238">
        <f t="shared" si="95"/>
        <v>0.77777777777777779</v>
      </c>
      <c r="AQ238">
        <f>survey_responses[[#This Row],[Tôi thấy mức thuế tôi phải đóng theo phương án mới là công bằng (người thu nhập như tôi đóng mức này là hợp lý). - HUMAN-TRU2]]</f>
        <v>1</v>
      </c>
      <c r="AR238">
        <f t="shared" si="96"/>
        <v>0</v>
      </c>
      <c r="AS238">
        <f>step3_validation[[#This Row],[AI_TRU3]]</f>
        <v>6</v>
      </c>
      <c r="AT238">
        <f t="shared" si="97"/>
        <v>0.55555555555555558</v>
      </c>
      <c r="AU238">
        <f>survey_responses[[#This Row],[Tôi tin tưởng số tiền thuế tôi đóng sẽ được Nhà nước sử dụng hiệu quả để cải thiện dịch vụ công (y tế, đường xá...). - HUMAN-TRU3]]</f>
        <v>1</v>
      </c>
      <c r="AV238">
        <f t="shared" si="98"/>
        <v>0</v>
      </c>
      <c r="AW238">
        <f>step3_validation[[#This Row],[AI_TRU4]]</f>
        <v>7</v>
      </c>
      <c r="AX238">
        <f t="shared" si="99"/>
        <v>0.66666666666666663</v>
      </c>
      <c r="AY238">
        <f>survey_responses[[#This Row],[Tôi thấy Nhà nước đã giải thích rõ ràng, minh bạch về lý do và mục tiêu của việc sửa đổi thuế lần này. - HUMAN-TRU4]]</f>
        <v>3</v>
      </c>
      <c r="AZ238">
        <f t="shared" si="100"/>
        <v>0.22222222222222221</v>
      </c>
      <c r="BA238" s="32">
        <f t="shared" si="101"/>
        <v>0.63888888888888895</v>
      </c>
      <c r="BB238" s="32">
        <f t="shared" si="102"/>
        <v>0.1111111111111111</v>
      </c>
      <c r="BC238" s="7">
        <f t="shared" si="103"/>
        <v>0.62037037037037035</v>
      </c>
      <c r="BD238" s="7">
        <f t="shared" si="104"/>
        <v>0.51851851851851849</v>
      </c>
      <c r="BE238">
        <f>step3_validation[[#This Row],[AI_OUT1]]</f>
        <v>8</v>
      </c>
      <c r="BF238">
        <f t="shared" si="105"/>
        <v>0.77777777777777779</v>
      </c>
      <c r="BG238">
        <f>survey_responses[[#This Row],[Sau khi xem xét các quyền lợi và nghĩa vụ, bạn có ủng hộ và tuân thủ chính sách mới hiện nay? - HUMAN-OUT1]]</f>
        <v>1</v>
      </c>
      <c r="BH238">
        <f t="shared" si="106"/>
        <v>0</v>
      </c>
      <c r="BI238" s="32">
        <f t="shared" si="107"/>
        <v>7</v>
      </c>
    </row>
    <row r="239" spans="1:61" x14ac:dyDescent="0.45">
      <c r="A239" s="30">
        <f>step3_validation[[#This Row],[Persona_ID]]</f>
        <v>238</v>
      </c>
      <c r="B239" s="31">
        <f>step3_validation[[#This Row],[Used_Seed]]</f>
        <v>2228</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28.665414840729056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8</v>
      </c>
      <c r="R239">
        <f t="shared" si="81"/>
        <v>0.77777777777777779</v>
      </c>
      <c r="S239">
        <f>survey_responses[[#This Row],[Tôi tin rằng với các quy định quản lý thuế hiện nay, hành vi gian lận hoặc trốn thuế sẽ dễ dàng bị phát hiện và xử lý nghiêm. - HUMAN-ENF1]]</f>
        <v>8</v>
      </c>
      <c r="T239">
        <f t="shared" si="82"/>
        <v>0.77777777777777779</v>
      </c>
      <c r="U239">
        <f>step3_validation[[#This Row],[AI_ENF2]]</f>
        <v>9</v>
      </c>
      <c r="V239">
        <f t="shared" si="83"/>
        <v>0.88888888888888884</v>
      </c>
      <c r="W239">
        <f>survey_responses[[#This Row],[Tôi tin rằng Nhà nước, cơ quan thuế có đủ khả năng và công nghệ để phát hiện, xử lý nghiêm các hành vi trốn thuế. - HUMAN-ENF2]]</f>
        <v>10</v>
      </c>
      <c r="X239">
        <f t="shared" si="84"/>
        <v>1</v>
      </c>
      <c r="Y239" s="32">
        <f t="shared" si="85"/>
        <v>0.83333333333333326</v>
      </c>
      <c r="Z239" s="32">
        <f t="shared" si="86"/>
        <v>0.88888888888888884</v>
      </c>
      <c r="AA239">
        <f>step3_validation[[#This Row],[AI_FAC1]]</f>
        <v>7</v>
      </c>
      <c r="AB239">
        <f t="shared" si="87"/>
        <v>0.66666666666666663</v>
      </c>
      <c r="AC239">
        <f>survey_responses[[#This Row],[Các thủ tục khai báo thuế VÀ/HOẶC quy trình làm việc với cơ quan thuế đơn giản, tiện lợi, nhanh chóng hơn so với trước đây. - HUMAN-FAC1]]</f>
        <v>8</v>
      </c>
      <c r="AD239">
        <f t="shared" si="88"/>
        <v>0.77777777777777779</v>
      </c>
      <c r="AE239">
        <f>step3_validation[[#This Row],[AI_FAC2]]</f>
        <v>9</v>
      </c>
      <c r="AF239">
        <f t="shared" si="89"/>
        <v>0.88888888888888884</v>
      </c>
      <c r="AG239">
        <f>survey_responses[[#This Row],[So với trước đây, tôi thấy cách tính thuế và các bậc thuế trong phương án mới đơn giản, dễ hiểu và dễ thực hiện hơn. - HUMAN-FAC2]]</f>
        <v>10</v>
      </c>
      <c r="AH239">
        <f t="shared" si="90"/>
        <v>1</v>
      </c>
      <c r="AI239" s="32">
        <f t="shared" si="91"/>
        <v>0.77777777777777768</v>
      </c>
      <c r="AJ239" s="32">
        <f t="shared" si="92"/>
        <v>0.88888888888888884</v>
      </c>
      <c r="AK239">
        <f>step3_validation[[#This Row],[AI_TRU1]]</f>
        <v>8</v>
      </c>
      <c r="AL239">
        <f t="shared" si="93"/>
        <v>0.77777777777777779</v>
      </c>
      <c r="AM239">
        <f>survey_responses[[#This Row],[Tôi tin rằng Nhà nước, cơ quan thuế sẽ thực thi chính sách mới một cách khách quan, công tâm và đối xử bình đẳng với mọi người nộp thuế.  - HUMAN-TRU1]]</f>
        <v>9</v>
      </c>
      <c r="AN239">
        <f t="shared" si="94"/>
        <v>0.88888888888888884</v>
      </c>
      <c r="AO239">
        <f>step3_validation[[#This Row],[AI_TRU2]]</f>
        <v>9</v>
      </c>
      <c r="AP239">
        <f t="shared" si="95"/>
        <v>0.88888888888888884</v>
      </c>
      <c r="AQ239">
        <f>survey_responses[[#This Row],[Tôi thấy mức thuế tôi phải đóng theo phương án mới là công bằng (người thu nhập như tôi đóng mức này là hợp lý). - HUMAN-TRU2]]</f>
        <v>8</v>
      </c>
      <c r="AR239">
        <f t="shared" si="96"/>
        <v>0.77777777777777779</v>
      </c>
      <c r="AS239">
        <f>step3_validation[[#This Row],[AI_TRU3]]</f>
        <v>8</v>
      </c>
      <c r="AT239">
        <f t="shared" si="97"/>
        <v>0.77777777777777779</v>
      </c>
      <c r="AU239">
        <f>survey_responses[[#This Row],[Tôi tin tưởng số tiền thuế tôi đóng sẽ được Nhà nước sử dụng hiệu quả để cải thiện dịch vụ công (y tế, đường xá...). - HUMAN-TRU3]]</f>
        <v>7</v>
      </c>
      <c r="AV239">
        <f t="shared" si="98"/>
        <v>0.66666666666666663</v>
      </c>
      <c r="AW239">
        <f>step3_validation[[#This Row],[AI_TRU4]]</f>
        <v>9</v>
      </c>
      <c r="AX239">
        <f t="shared" si="99"/>
        <v>0.88888888888888884</v>
      </c>
      <c r="AY239">
        <f>survey_responses[[#This Row],[Tôi thấy Nhà nước đã giải thích rõ ràng, minh bạch về lý do và mục tiêu của việc sửa đổi thuế lần này. - HUMAN-TRU4]]</f>
        <v>9</v>
      </c>
      <c r="AZ239">
        <f t="shared" si="100"/>
        <v>0.88888888888888884</v>
      </c>
      <c r="BA239" s="32">
        <f t="shared" si="101"/>
        <v>0.83333333333333326</v>
      </c>
      <c r="BB239" s="32">
        <f t="shared" si="102"/>
        <v>0.80555555555555547</v>
      </c>
      <c r="BC239" s="7">
        <f t="shared" si="103"/>
        <v>0.81481481481481477</v>
      </c>
      <c r="BD239" s="7">
        <f t="shared" si="104"/>
        <v>0.86111111111111105</v>
      </c>
      <c r="BE239">
        <f>step3_validation[[#This Row],[AI_OUT1]]</f>
        <v>10</v>
      </c>
      <c r="BF239">
        <f t="shared" si="105"/>
        <v>1</v>
      </c>
      <c r="BG239">
        <f>survey_responses[[#This Row],[Sau khi xem xét các quyền lợi và nghĩa vụ, bạn có ủng hộ và tuân thủ chính sách mới hiện nay? - HUMAN-OUT1]]</f>
        <v>9</v>
      </c>
      <c r="BH239">
        <f t="shared" si="106"/>
        <v>0.88888888888888884</v>
      </c>
      <c r="BI239" s="32">
        <f t="shared" si="107"/>
        <v>1</v>
      </c>
    </row>
    <row r="240" spans="1:61" x14ac:dyDescent="0.45">
      <c r="A240" s="30">
        <f>step3_validation[[#This Row],[Persona_ID]]</f>
        <v>239</v>
      </c>
      <c r="B240" s="31">
        <f>step3_validation[[#This Row],[Used_Seed]]</f>
        <v>2229</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70.63326556537244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7</v>
      </c>
      <c r="R240">
        <f t="shared" si="81"/>
        <v>0.66666666666666663</v>
      </c>
      <c r="S240">
        <f>survey_responses[[#This Row],[Tôi tin rằng với các quy định quản lý thuế hiện nay, hành vi gian lận hoặc trốn thuế sẽ dễ dàng bị phát hiện và xử lý nghiêm. - HUMAN-ENF1]]</f>
        <v>6</v>
      </c>
      <c r="T240">
        <f t="shared" si="82"/>
        <v>0.55555555555555558</v>
      </c>
      <c r="U240">
        <f>step3_validation[[#This Row],[AI_ENF2]]</f>
        <v>8</v>
      </c>
      <c r="V240">
        <f t="shared" si="83"/>
        <v>0.77777777777777779</v>
      </c>
      <c r="W240">
        <f>survey_responses[[#This Row],[Tôi tin rằng Nhà nước, cơ quan thuế có đủ khả năng và công nghệ để phát hiện, xử lý nghiêm các hành vi trốn thuế. - HUMAN-ENF2]]</f>
        <v>6</v>
      </c>
      <c r="X240">
        <f t="shared" si="84"/>
        <v>0.55555555555555558</v>
      </c>
      <c r="Y240" s="32">
        <f t="shared" si="85"/>
        <v>0.72222222222222221</v>
      </c>
      <c r="Z240" s="32">
        <f t="shared" si="86"/>
        <v>0.55555555555555558</v>
      </c>
      <c r="AA240">
        <f>step3_validation[[#This Row],[AI_FAC1]]</f>
        <v>9</v>
      </c>
      <c r="AB240">
        <f t="shared" si="87"/>
        <v>0.88888888888888884</v>
      </c>
      <c r="AC240">
        <f>survey_responses[[#This Row],[Các thủ tục khai báo thuế VÀ/HOẶC quy trình làm việc với cơ quan thuế đơn giản, tiện lợi, nhanh chóng hơn so với trước đây. - HUMAN-FAC1]]</f>
        <v>6</v>
      </c>
      <c r="AD240">
        <f t="shared" si="88"/>
        <v>0.55555555555555558</v>
      </c>
      <c r="AE240">
        <f>step3_validation[[#This Row],[AI_FAC2]]</f>
        <v>10</v>
      </c>
      <c r="AF240">
        <f t="shared" si="89"/>
        <v>1</v>
      </c>
      <c r="AG240">
        <f>survey_responses[[#This Row],[So với trước đây, tôi thấy cách tính thuế và các bậc thuế trong phương án mới đơn giản, dễ hiểu và dễ thực hiện hơn. - HUMAN-FAC2]]</f>
        <v>6</v>
      </c>
      <c r="AH240">
        <f t="shared" si="90"/>
        <v>0.55555555555555558</v>
      </c>
      <c r="AI240" s="32">
        <f t="shared" si="91"/>
        <v>0.94444444444444442</v>
      </c>
      <c r="AJ240" s="32">
        <f t="shared" si="92"/>
        <v>0.55555555555555558</v>
      </c>
      <c r="AK240">
        <f>step3_validation[[#This Row],[AI_TRU1]]</f>
        <v>7</v>
      </c>
      <c r="AL240">
        <f t="shared" si="93"/>
        <v>0.66666666666666663</v>
      </c>
      <c r="AM240">
        <f>survey_responses[[#This Row],[Tôi tin rằng Nhà nước, cơ quan thuế sẽ thực thi chính sách mới một cách khách quan, công tâm và đối xử bình đẳng với mọi người nộp thuế.  - HUMAN-TRU1]]</f>
        <v>6</v>
      </c>
      <c r="AN240">
        <f t="shared" si="94"/>
        <v>0.55555555555555558</v>
      </c>
      <c r="AO240">
        <f>step3_validation[[#This Row],[AI_TRU2]]</f>
        <v>9</v>
      </c>
      <c r="AP240">
        <f t="shared" si="95"/>
        <v>0.88888888888888884</v>
      </c>
      <c r="AQ240">
        <f>survey_responses[[#This Row],[Tôi thấy mức thuế tôi phải đóng theo phương án mới là công bằng (người thu nhập như tôi đóng mức này là hợp lý). - HUMAN-TRU2]]</f>
        <v>6</v>
      </c>
      <c r="AR240">
        <f t="shared" si="96"/>
        <v>0.55555555555555558</v>
      </c>
      <c r="AS240">
        <f>step3_validation[[#This Row],[AI_TRU3]]</f>
        <v>6</v>
      </c>
      <c r="AT240">
        <f t="shared" si="97"/>
        <v>0.55555555555555558</v>
      </c>
      <c r="AU240">
        <f>survey_responses[[#This Row],[Tôi tin tưởng số tiền thuế tôi đóng sẽ được Nhà nước sử dụng hiệu quả để cải thiện dịch vụ công (y tế, đường xá...). - HUMAN-TRU3]]</f>
        <v>6</v>
      </c>
      <c r="AV240">
        <f t="shared" si="98"/>
        <v>0.55555555555555558</v>
      </c>
      <c r="AW240">
        <f>step3_validation[[#This Row],[AI_TRU4]]</f>
        <v>8</v>
      </c>
      <c r="AX240">
        <f t="shared" si="99"/>
        <v>0.77777777777777779</v>
      </c>
      <c r="AY240">
        <f>survey_responses[[#This Row],[Tôi thấy Nhà nước đã giải thích rõ ràng, minh bạch về lý do và mục tiêu của việc sửa đổi thuế lần này. - HUMAN-TRU4]]</f>
        <v>7</v>
      </c>
      <c r="AZ240">
        <f t="shared" si="100"/>
        <v>0.66666666666666663</v>
      </c>
      <c r="BA240" s="32">
        <f t="shared" si="101"/>
        <v>0.7222222222222221</v>
      </c>
      <c r="BB240" s="32">
        <f t="shared" si="102"/>
        <v>0.58333333333333337</v>
      </c>
      <c r="BC240" s="7">
        <f t="shared" si="103"/>
        <v>0.79629629629629617</v>
      </c>
      <c r="BD240" s="7">
        <f t="shared" si="104"/>
        <v>0.56481481481481488</v>
      </c>
      <c r="BE240">
        <f>step3_validation[[#This Row],[AI_OUT1]]</f>
        <v>9</v>
      </c>
      <c r="BF240">
        <f t="shared" si="105"/>
        <v>0.88888888888888884</v>
      </c>
      <c r="BG240">
        <f>survey_responses[[#This Row],[Sau khi xem xét các quyền lợi và nghĩa vụ, bạn có ủng hộ và tuân thủ chính sách mới hiện nay? - HUMAN-OUT1]]</f>
        <v>6</v>
      </c>
      <c r="BH240">
        <f t="shared" si="106"/>
        <v>0.55555555555555558</v>
      </c>
      <c r="BI240" s="32">
        <f t="shared" si="107"/>
        <v>3</v>
      </c>
    </row>
    <row r="241" spans="1:61" x14ac:dyDescent="0.45">
      <c r="A241" s="30">
        <f>step3_validation[[#This Row],[Persona_ID]]</f>
        <v>240</v>
      </c>
      <c r="B241" s="31">
        <f>step3_validation[[#This Row],[Used_Seed]]</f>
        <v>2230</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68.011487226736349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6</v>
      </c>
      <c r="R241">
        <f t="shared" si="81"/>
        <v>0.55555555555555558</v>
      </c>
      <c r="S241">
        <f>survey_responses[[#This Row],[Tôi tin rằng với các quy định quản lý thuế hiện nay, hành vi gian lận hoặc trốn thuế sẽ dễ dàng bị phát hiện và xử lý nghiêm. - HUMAN-ENF1]]</f>
        <v>8</v>
      </c>
      <c r="T241">
        <f t="shared" si="82"/>
        <v>0.77777777777777779</v>
      </c>
      <c r="U241">
        <f>step3_validation[[#This Row],[AI_ENF2]]</f>
        <v>7</v>
      </c>
      <c r="V241">
        <f t="shared" si="83"/>
        <v>0.66666666666666663</v>
      </c>
      <c r="W241">
        <f>survey_responses[[#This Row],[Tôi tin rằng Nhà nước, cơ quan thuế có đủ khả năng và công nghệ để phát hiện, xử lý nghiêm các hành vi trốn thuế. - HUMAN-ENF2]]</f>
        <v>8</v>
      </c>
      <c r="X241">
        <f t="shared" si="84"/>
        <v>0.77777777777777779</v>
      </c>
      <c r="Y241" s="32">
        <f t="shared" si="85"/>
        <v>0.61111111111111116</v>
      </c>
      <c r="Z241" s="32">
        <f t="shared" si="86"/>
        <v>0.77777777777777779</v>
      </c>
      <c r="AA241">
        <f>step3_validation[[#This Row],[AI_FAC1]]</f>
        <v>8</v>
      </c>
      <c r="AB241">
        <f t="shared" si="87"/>
        <v>0.77777777777777779</v>
      </c>
      <c r="AC241">
        <f>survey_responses[[#This Row],[Các thủ tục khai báo thuế VÀ/HOẶC quy trình làm việc với cơ quan thuế đơn giản, tiện lợi, nhanh chóng hơn so với trước đây. - HUMAN-FAC1]]</f>
        <v>8</v>
      </c>
      <c r="AD241">
        <f t="shared" si="88"/>
        <v>0.77777777777777779</v>
      </c>
      <c r="AE241">
        <f>step3_validation[[#This Row],[AI_FAC2]]</f>
        <v>9</v>
      </c>
      <c r="AF241">
        <f t="shared" si="89"/>
        <v>0.88888888888888884</v>
      </c>
      <c r="AG241">
        <f>survey_responses[[#This Row],[So với trước đây, tôi thấy cách tính thuế và các bậc thuế trong phương án mới đơn giản, dễ hiểu và dễ thực hiện hơn. - HUMAN-FAC2]]</f>
        <v>8</v>
      </c>
      <c r="AH241">
        <f t="shared" si="90"/>
        <v>0.77777777777777779</v>
      </c>
      <c r="AI241" s="32">
        <f t="shared" si="91"/>
        <v>0.83333333333333326</v>
      </c>
      <c r="AJ241" s="32">
        <f t="shared" si="92"/>
        <v>0.77777777777777779</v>
      </c>
      <c r="AK241">
        <f>step3_validation[[#This Row],[AI_TRU1]]</f>
        <v>7</v>
      </c>
      <c r="AL241">
        <f t="shared" si="93"/>
        <v>0.66666666666666663</v>
      </c>
      <c r="AM241">
        <f>survey_responses[[#This Row],[Tôi tin rằng Nhà nước, cơ quan thuế sẽ thực thi chính sách mới một cách khách quan, công tâm và đối xử bình đẳng với mọi người nộp thuế.  - HUMAN-TRU1]]</f>
        <v>8</v>
      </c>
      <c r="AN241">
        <f t="shared" si="94"/>
        <v>0.77777777777777779</v>
      </c>
      <c r="AO241">
        <f>step3_validation[[#This Row],[AI_TRU2]]</f>
        <v>8</v>
      </c>
      <c r="AP241">
        <f t="shared" si="95"/>
        <v>0.77777777777777779</v>
      </c>
      <c r="AQ241">
        <f>survey_responses[[#This Row],[Tôi thấy mức thuế tôi phải đóng theo phương án mới là công bằng (người thu nhập như tôi đóng mức này là hợp lý). - HUMAN-TRU2]]</f>
        <v>8</v>
      </c>
      <c r="AR241">
        <f t="shared" si="96"/>
        <v>0.77777777777777779</v>
      </c>
      <c r="AS241">
        <f>step3_validation[[#This Row],[AI_TRU3]]</f>
        <v>6</v>
      </c>
      <c r="AT241">
        <f t="shared" si="97"/>
        <v>0.55555555555555558</v>
      </c>
      <c r="AU241">
        <f>survey_responses[[#This Row],[Tôi tin tưởng số tiền thuế tôi đóng sẽ được Nhà nước sử dụng hiệu quả để cải thiện dịch vụ công (y tế, đường xá...). - HUMAN-TRU3]]</f>
        <v>8</v>
      </c>
      <c r="AV241">
        <f t="shared" si="98"/>
        <v>0.77777777777777779</v>
      </c>
      <c r="AW241">
        <f>step3_validation[[#This Row],[AI_TRU4]]</f>
        <v>8</v>
      </c>
      <c r="AX241">
        <f t="shared" si="99"/>
        <v>0.77777777777777779</v>
      </c>
      <c r="AY241">
        <f>survey_responses[[#This Row],[Tôi thấy Nhà nước đã giải thích rõ ràng, minh bạch về lý do và mục tiêu của việc sửa đổi thuế lần này. - HUMAN-TRU4]]</f>
        <v>8</v>
      </c>
      <c r="AZ241">
        <f t="shared" si="100"/>
        <v>0.77777777777777779</v>
      </c>
      <c r="BA241" s="32">
        <f t="shared" si="101"/>
        <v>0.69444444444444442</v>
      </c>
      <c r="BB241" s="32">
        <f t="shared" si="102"/>
        <v>0.77777777777777779</v>
      </c>
      <c r="BC241" s="7">
        <f t="shared" si="103"/>
        <v>0.71296296296296291</v>
      </c>
      <c r="BD241" s="7">
        <f t="shared" si="104"/>
        <v>0.77777777777777779</v>
      </c>
      <c r="BE241">
        <f>step3_validation[[#This Row],[AI_OUT1]]</f>
        <v>9</v>
      </c>
      <c r="BF241">
        <f t="shared" si="105"/>
        <v>0.88888888888888884</v>
      </c>
      <c r="BG241">
        <f>survey_responses[[#This Row],[Sau khi xem xét các quyền lợi và nghĩa vụ, bạn có ủng hộ và tuân thủ chính sách mới hiện nay? - HUMAN-OUT1]]</f>
        <v>8</v>
      </c>
      <c r="BH241">
        <f t="shared" si="106"/>
        <v>0.77777777777777779</v>
      </c>
      <c r="BI241" s="32">
        <f t="shared" si="107"/>
        <v>1</v>
      </c>
    </row>
    <row r="242" spans="1:61" x14ac:dyDescent="0.45">
      <c r="A242" s="30">
        <f>step3_validation[[#This Row],[Persona_ID]]</f>
        <v>241</v>
      </c>
      <c r="B242" s="31">
        <f>step3_validation[[#This Row],[Used_Seed]]</f>
        <v>2231</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66.754555655497384</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8</v>
      </c>
      <c r="R242">
        <f t="shared" si="81"/>
        <v>0.77777777777777779</v>
      </c>
      <c r="S242">
        <f>survey_responses[[#This Row],[Tôi tin rằng với các quy định quản lý thuế hiện nay, hành vi gian lận hoặc trốn thuế sẽ dễ dàng bị phát hiện và xử lý nghiêm. - HUMAN-ENF1]]</f>
        <v>7</v>
      </c>
      <c r="T242">
        <f t="shared" si="82"/>
        <v>0.66666666666666663</v>
      </c>
      <c r="U242">
        <f>step3_validation[[#This Row],[AI_ENF2]]</f>
        <v>7</v>
      </c>
      <c r="V242">
        <f t="shared" si="83"/>
        <v>0.66666666666666663</v>
      </c>
      <c r="W242">
        <f>survey_responses[[#This Row],[Tôi tin rằng Nhà nước, cơ quan thuế có đủ khả năng và công nghệ để phát hiện, xử lý nghiêm các hành vi trốn thuế. - HUMAN-ENF2]]</f>
        <v>6</v>
      </c>
      <c r="X242">
        <f t="shared" si="84"/>
        <v>0.55555555555555558</v>
      </c>
      <c r="Y242" s="32">
        <f t="shared" si="85"/>
        <v>0.72222222222222221</v>
      </c>
      <c r="Z242" s="32">
        <f t="shared" si="86"/>
        <v>0.61111111111111116</v>
      </c>
      <c r="AA242">
        <f>step3_validation[[#This Row],[AI_FAC1]]</f>
        <v>9</v>
      </c>
      <c r="AB242">
        <f t="shared" si="87"/>
        <v>0.88888888888888884</v>
      </c>
      <c r="AC242">
        <f>survey_responses[[#This Row],[Các thủ tục khai báo thuế VÀ/HOẶC quy trình làm việc với cơ quan thuế đơn giản, tiện lợi, nhanh chóng hơn so với trước đây. - HUMAN-FAC1]]</f>
        <v>7</v>
      </c>
      <c r="AD242">
        <f t="shared" si="88"/>
        <v>0.66666666666666663</v>
      </c>
      <c r="AE242">
        <f>step3_validation[[#This Row],[AI_FAC2]]</f>
        <v>8</v>
      </c>
      <c r="AF242">
        <f t="shared" si="89"/>
        <v>0.77777777777777779</v>
      </c>
      <c r="AG242">
        <f>survey_responses[[#This Row],[So với trước đây, tôi thấy cách tính thuế và các bậc thuế trong phương án mới đơn giản, dễ hiểu và dễ thực hiện hơn. - HUMAN-FAC2]]</f>
        <v>7</v>
      </c>
      <c r="AH242">
        <f t="shared" si="90"/>
        <v>0.66666666666666663</v>
      </c>
      <c r="AI242" s="32">
        <f t="shared" si="91"/>
        <v>0.83333333333333326</v>
      </c>
      <c r="AJ242" s="32">
        <f t="shared" si="92"/>
        <v>0.66666666666666663</v>
      </c>
      <c r="AK242">
        <f>step3_validation[[#This Row],[AI_TRU1]]</f>
        <v>9</v>
      </c>
      <c r="AL242">
        <f t="shared" si="93"/>
        <v>0.88888888888888884</v>
      </c>
      <c r="AM242">
        <f>survey_responses[[#This Row],[Tôi tin rằng Nhà nước, cơ quan thuế sẽ thực thi chính sách mới một cách khách quan, công tâm và đối xử bình đẳng với mọi người nộp thuế.  - HUMAN-TRU1]]</f>
        <v>8</v>
      </c>
      <c r="AN242">
        <f t="shared" si="94"/>
        <v>0.77777777777777779</v>
      </c>
      <c r="AO242">
        <f>step3_validation[[#This Row],[AI_TRU2]]</f>
        <v>8</v>
      </c>
      <c r="AP242">
        <f t="shared" si="95"/>
        <v>0.77777777777777779</v>
      </c>
      <c r="AQ242">
        <f>survey_responses[[#This Row],[Tôi thấy mức thuế tôi phải đóng theo phương án mới là công bằng (người thu nhập như tôi đóng mức này là hợp lý). - HUMAN-TRU2]]</f>
        <v>8</v>
      </c>
      <c r="AR242">
        <f t="shared" si="96"/>
        <v>0.77777777777777779</v>
      </c>
      <c r="AS242">
        <f>step3_validation[[#This Row],[AI_TRU3]]</f>
        <v>9</v>
      </c>
      <c r="AT242">
        <f t="shared" si="97"/>
        <v>0.88888888888888884</v>
      </c>
      <c r="AU242">
        <f>survey_responses[[#This Row],[Tôi tin tưởng số tiền thuế tôi đóng sẽ được Nhà nước sử dụng hiệu quả để cải thiện dịch vụ công (y tế, đường xá...). - HUMAN-TRU3]]</f>
        <v>8</v>
      </c>
      <c r="AV242">
        <f t="shared" si="98"/>
        <v>0.77777777777777779</v>
      </c>
      <c r="AW242">
        <f>step3_validation[[#This Row],[AI_TRU4]]</f>
        <v>8</v>
      </c>
      <c r="AX242">
        <f t="shared" si="99"/>
        <v>0.77777777777777779</v>
      </c>
      <c r="AY242">
        <f>survey_responses[[#This Row],[Tôi thấy Nhà nước đã giải thích rõ ràng, minh bạch về lý do và mục tiêu của việc sửa đổi thuế lần này. - HUMAN-TRU4]]</f>
        <v>8</v>
      </c>
      <c r="AZ242">
        <f t="shared" si="100"/>
        <v>0.77777777777777779</v>
      </c>
      <c r="BA242" s="32">
        <f t="shared" si="101"/>
        <v>0.83333333333333326</v>
      </c>
      <c r="BB242" s="32">
        <f t="shared" si="102"/>
        <v>0.77777777777777779</v>
      </c>
      <c r="BC242" s="7">
        <f t="shared" si="103"/>
        <v>0.79629629629629617</v>
      </c>
      <c r="BD242" s="7">
        <f t="shared" si="104"/>
        <v>0.68518518518518512</v>
      </c>
      <c r="BE242">
        <f>step3_validation[[#This Row],[AI_OUT1]]</f>
        <v>9</v>
      </c>
      <c r="BF242">
        <f t="shared" si="105"/>
        <v>0.88888888888888884</v>
      </c>
      <c r="BG242">
        <f>survey_responses[[#This Row],[Sau khi xem xét các quyền lợi và nghĩa vụ, bạn có ủng hộ và tuân thủ chính sách mới hiện nay? - HUMAN-OUT1]]</f>
        <v>8</v>
      </c>
      <c r="BH242">
        <f t="shared" si="106"/>
        <v>0.77777777777777779</v>
      </c>
      <c r="BI242" s="32">
        <f t="shared" si="107"/>
        <v>1</v>
      </c>
    </row>
    <row r="243" spans="1:61" x14ac:dyDescent="0.45">
      <c r="A243" s="30">
        <f>step3_validation[[#This Row],[Persona_ID]]</f>
        <v>242</v>
      </c>
      <c r="B243" s="31">
        <f>step3_validation[[#This Row],[Used_Seed]]</f>
        <v>2232</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48.582354279252861</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9</v>
      </c>
      <c r="R243">
        <f t="shared" si="81"/>
        <v>0.88888888888888884</v>
      </c>
      <c r="S243">
        <f>survey_responses[[#This Row],[Tôi tin rằng với các quy định quản lý thuế hiện nay, hành vi gian lận hoặc trốn thuế sẽ dễ dàng bị phát hiện và xử lý nghiêm. - HUMAN-ENF1]]</f>
        <v>6</v>
      </c>
      <c r="T243">
        <f t="shared" si="82"/>
        <v>0.55555555555555558</v>
      </c>
      <c r="U243">
        <f>step3_validation[[#This Row],[AI_ENF2]]</f>
        <v>8</v>
      </c>
      <c r="V243">
        <f t="shared" si="83"/>
        <v>0.77777777777777779</v>
      </c>
      <c r="W243">
        <f>survey_responses[[#This Row],[Tôi tin rằng Nhà nước, cơ quan thuế có đủ khả năng và công nghệ để phát hiện, xử lý nghiêm các hành vi trốn thuế. - HUMAN-ENF2]]</f>
        <v>5</v>
      </c>
      <c r="X243">
        <f t="shared" si="84"/>
        <v>0.44444444444444442</v>
      </c>
      <c r="Y243" s="32">
        <f t="shared" si="85"/>
        <v>0.83333333333333326</v>
      </c>
      <c r="Z243" s="32">
        <f t="shared" si="86"/>
        <v>0.5</v>
      </c>
      <c r="AA243">
        <f>step3_validation[[#This Row],[AI_FAC1]]</f>
        <v>7</v>
      </c>
      <c r="AB243">
        <f t="shared" si="87"/>
        <v>0.66666666666666663</v>
      </c>
      <c r="AC243">
        <f>survey_responses[[#This Row],[Các thủ tục khai báo thuế VÀ/HOẶC quy trình làm việc với cơ quan thuế đơn giản, tiện lợi, nhanh chóng hơn so với trước đây. - HUMAN-FAC1]]</f>
        <v>5</v>
      </c>
      <c r="AD243">
        <f t="shared" si="88"/>
        <v>0.44444444444444442</v>
      </c>
      <c r="AE243">
        <f>step3_validation[[#This Row],[AI_FAC2]]</f>
        <v>8</v>
      </c>
      <c r="AF243">
        <f t="shared" si="89"/>
        <v>0.77777777777777779</v>
      </c>
      <c r="AG243">
        <f>survey_responses[[#This Row],[So với trước đây, tôi thấy cách tính thuế và các bậc thuế trong phương án mới đơn giản, dễ hiểu và dễ thực hiện hơn. - HUMAN-FAC2]]</f>
        <v>7</v>
      </c>
      <c r="AH243">
        <f t="shared" si="90"/>
        <v>0.66666666666666663</v>
      </c>
      <c r="AI243" s="32">
        <f t="shared" si="91"/>
        <v>0.72222222222222221</v>
      </c>
      <c r="AJ243" s="32">
        <f t="shared" si="92"/>
        <v>0.55555555555555558</v>
      </c>
      <c r="AK243">
        <f>step3_validation[[#This Row],[AI_TRU1]]</f>
        <v>9</v>
      </c>
      <c r="AL243">
        <f t="shared" si="93"/>
        <v>0.88888888888888884</v>
      </c>
      <c r="AM243">
        <f>survey_responses[[#This Row],[Tôi tin rằng Nhà nước, cơ quan thuế sẽ thực thi chính sách mới một cách khách quan, công tâm và đối xử bình đẳng với mọi người nộp thuế.  - HUMAN-TRU1]]</f>
        <v>7</v>
      </c>
      <c r="AN243">
        <f t="shared" si="94"/>
        <v>0.66666666666666663</v>
      </c>
      <c r="AO243">
        <f>step3_validation[[#This Row],[AI_TRU2]]</f>
        <v>9</v>
      </c>
      <c r="AP243">
        <f t="shared" si="95"/>
        <v>0.88888888888888884</v>
      </c>
      <c r="AQ243">
        <f>survey_responses[[#This Row],[Tôi thấy mức thuế tôi phải đóng theo phương án mới là công bằng (người thu nhập như tôi đóng mức này là hợp lý). - HUMAN-TRU2]]</f>
        <v>7</v>
      </c>
      <c r="AR243">
        <f t="shared" si="96"/>
        <v>0.66666666666666663</v>
      </c>
      <c r="AS243">
        <f>step3_validation[[#This Row],[AI_TRU3]]</f>
        <v>8</v>
      </c>
      <c r="AT243">
        <f t="shared" si="97"/>
        <v>0.77777777777777779</v>
      </c>
      <c r="AU243">
        <f>survey_responses[[#This Row],[Tôi tin tưởng số tiền thuế tôi đóng sẽ được Nhà nước sử dụng hiệu quả để cải thiện dịch vụ công (y tế, đường xá...). - HUMAN-TRU3]]</f>
        <v>7</v>
      </c>
      <c r="AV243">
        <f t="shared" si="98"/>
        <v>0.66666666666666663</v>
      </c>
      <c r="AW243">
        <f>step3_validation[[#This Row],[AI_TRU4]]</f>
        <v>9</v>
      </c>
      <c r="AX243">
        <f t="shared" si="99"/>
        <v>0.88888888888888884</v>
      </c>
      <c r="AY243">
        <f>survey_responses[[#This Row],[Tôi thấy Nhà nước đã giải thích rõ ràng, minh bạch về lý do và mục tiêu của việc sửa đổi thuế lần này. - HUMAN-TRU4]]</f>
        <v>8</v>
      </c>
      <c r="AZ243">
        <f t="shared" si="100"/>
        <v>0.77777777777777779</v>
      </c>
      <c r="BA243" s="32">
        <f t="shared" si="101"/>
        <v>0.86111111111111105</v>
      </c>
      <c r="BB243" s="32">
        <f t="shared" si="102"/>
        <v>0.69444444444444442</v>
      </c>
      <c r="BC243" s="7">
        <f t="shared" si="103"/>
        <v>0.80555555555555547</v>
      </c>
      <c r="BD243" s="7">
        <f t="shared" si="104"/>
        <v>0.58333333333333337</v>
      </c>
      <c r="BE243">
        <f>step3_validation[[#This Row],[AI_OUT1]]</f>
        <v>9</v>
      </c>
      <c r="BF243">
        <f t="shared" si="105"/>
        <v>0.88888888888888884</v>
      </c>
      <c r="BG243">
        <f>survey_responses[[#This Row],[Sau khi xem xét các quyền lợi và nghĩa vụ, bạn có ủng hộ và tuân thủ chính sách mới hiện nay? - HUMAN-OUT1]]</f>
        <v>8</v>
      </c>
      <c r="BH243">
        <f t="shared" si="106"/>
        <v>0.77777777777777779</v>
      </c>
      <c r="BI243" s="32">
        <f t="shared" si="107"/>
        <v>1</v>
      </c>
    </row>
    <row r="244" spans="1:61" x14ac:dyDescent="0.45">
      <c r="A244" s="30">
        <f>step3_validation[[#This Row],[Persona_ID]]</f>
        <v>243</v>
      </c>
      <c r="B244" s="31">
        <f>step3_validation[[#This Row],[Used_Seed]]</f>
        <v>2233</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79.535115011982171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8</v>
      </c>
      <c r="R244">
        <f t="shared" si="81"/>
        <v>0.77777777777777779</v>
      </c>
      <c r="S244">
        <f>survey_responses[[#This Row],[Tôi tin rằng với các quy định quản lý thuế hiện nay, hành vi gian lận hoặc trốn thuế sẽ dễ dàng bị phát hiện và xử lý nghiêm. - HUMAN-ENF1]]</f>
        <v>6</v>
      </c>
      <c r="T244">
        <f t="shared" si="82"/>
        <v>0.55555555555555558</v>
      </c>
      <c r="U244">
        <f>step3_validation[[#This Row],[AI_ENF2]]</f>
        <v>9</v>
      </c>
      <c r="V244">
        <f t="shared" si="83"/>
        <v>0.88888888888888884</v>
      </c>
      <c r="W244">
        <f>survey_responses[[#This Row],[Tôi tin rằng Nhà nước, cơ quan thuế có đủ khả năng và công nghệ để phát hiện, xử lý nghiêm các hành vi trốn thuế. - HUMAN-ENF2]]</f>
        <v>6</v>
      </c>
      <c r="X244">
        <f t="shared" si="84"/>
        <v>0.55555555555555558</v>
      </c>
      <c r="Y244" s="32">
        <f t="shared" si="85"/>
        <v>0.83333333333333326</v>
      </c>
      <c r="Z244" s="32">
        <f t="shared" si="86"/>
        <v>0.55555555555555558</v>
      </c>
      <c r="AA244">
        <f>step3_validation[[#This Row],[AI_FAC1]]</f>
        <v>8</v>
      </c>
      <c r="AB244">
        <f t="shared" si="87"/>
        <v>0.77777777777777779</v>
      </c>
      <c r="AC244">
        <f>survey_responses[[#This Row],[Các thủ tục khai báo thuế VÀ/HOẶC quy trình làm việc với cơ quan thuế đơn giản, tiện lợi, nhanh chóng hơn so với trước đây. - HUMAN-FAC1]]</f>
        <v>6</v>
      </c>
      <c r="AD244">
        <f t="shared" si="88"/>
        <v>0.55555555555555558</v>
      </c>
      <c r="AE244">
        <f>step3_validation[[#This Row],[AI_FAC2]]</f>
        <v>9</v>
      </c>
      <c r="AF244">
        <f t="shared" si="89"/>
        <v>0.88888888888888884</v>
      </c>
      <c r="AG244">
        <f>survey_responses[[#This Row],[So với trước đây, tôi thấy cách tính thuế và các bậc thuế trong phương án mới đơn giản, dễ hiểu và dễ thực hiện hơn. - HUMAN-FAC2]]</f>
        <v>6</v>
      </c>
      <c r="AH244">
        <f t="shared" si="90"/>
        <v>0.55555555555555558</v>
      </c>
      <c r="AI244" s="32">
        <f t="shared" si="91"/>
        <v>0.83333333333333326</v>
      </c>
      <c r="AJ244" s="32">
        <f t="shared" si="92"/>
        <v>0.55555555555555558</v>
      </c>
      <c r="AK244">
        <f>step3_validation[[#This Row],[AI_TRU1]]</f>
        <v>8</v>
      </c>
      <c r="AL244">
        <f t="shared" si="93"/>
        <v>0.77777777777777779</v>
      </c>
      <c r="AM244">
        <f>survey_responses[[#This Row],[Tôi tin rằng Nhà nước, cơ quan thuế sẽ thực thi chính sách mới một cách khách quan, công tâm và đối xử bình đẳng với mọi người nộp thuế.  - HUMAN-TRU1]]</f>
        <v>6</v>
      </c>
      <c r="AN244">
        <f t="shared" si="94"/>
        <v>0.55555555555555558</v>
      </c>
      <c r="AO244">
        <f>step3_validation[[#This Row],[AI_TRU2]]</f>
        <v>9</v>
      </c>
      <c r="AP244">
        <f t="shared" si="95"/>
        <v>0.88888888888888884</v>
      </c>
      <c r="AQ244">
        <f>survey_responses[[#This Row],[Tôi thấy mức thuế tôi phải đóng theo phương án mới là công bằng (người thu nhập như tôi đóng mức này là hợp lý). - HUMAN-TRU2]]</f>
        <v>6</v>
      </c>
      <c r="AR244">
        <f t="shared" si="96"/>
        <v>0.55555555555555558</v>
      </c>
      <c r="AS244">
        <f>step3_validation[[#This Row],[AI_TRU3]]</f>
        <v>8</v>
      </c>
      <c r="AT244">
        <f t="shared" si="97"/>
        <v>0.77777777777777779</v>
      </c>
      <c r="AU244">
        <f>survey_responses[[#This Row],[Tôi tin tưởng số tiền thuế tôi đóng sẽ được Nhà nước sử dụng hiệu quả để cải thiện dịch vụ công (y tế, đường xá...). - HUMAN-TRU3]]</f>
        <v>6</v>
      </c>
      <c r="AV244">
        <f t="shared" si="98"/>
        <v>0.55555555555555558</v>
      </c>
      <c r="AW244">
        <f>step3_validation[[#This Row],[AI_TRU4]]</f>
        <v>9</v>
      </c>
      <c r="AX244">
        <f t="shared" si="99"/>
        <v>0.88888888888888884</v>
      </c>
      <c r="AY244">
        <f>survey_responses[[#This Row],[Tôi thấy Nhà nước đã giải thích rõ ràng, minh bạch về lý do và mục tiêu của việc sửa đổi thuế lần này. - HUMAN-TRU4]]</f>
        <v>6</v>
      </c>
      <c r="AZ244">
        <f t="shared" si="100"/>
        <v>0.55555555555555558</v>
      </c>
      <c r="BA244" s="32">
        <f t="shared" si="101"/>
        <v>0.83333333333333326</v>
      </c>
      <c r="BB244" s="32">
        <f t="shared" si="102"/>
        <v>0.55555555555555558</v>
      </c>
      <c r="BC244" s="7">
        <f t="shared" si="103"/>
        <v>0.83333333333333337</v>
      </c>
      <c r="BD244" s="7">
        <f t="shared" si="104"/>
        <v>0.55555555555555558</v>
      </c>
      <c r="BE244">
        <f>step3_validation[[#This Row],[AI_OUT1]]</f>
        <v>8</v>
      </c>
      <c r="BF244">
        <f t="shared" si="105"/>
        <v>0.77777777777777779</v>
      </c>
      <c r="BG244">
        <f>survey_responses[[#This Row],[Sau khi xem xét các quyền lợi và nghĩa vụ, bạn có ủng hộ và tuân thủ chính sách mới hiện nay? - HUMAN-OUT1]]</f>
        <v>6</v>
      </c>
      <c r="BH244">
        <f t="shared" si="106"/>
        <v>0.55555555555555558</v>
      </c>
      <c r="BI244" s="32">
        <f t="shared" si="107"/>
        <v>2</v>
      </c>
    </row>
    <row r="245" spans="1:61" x14ac:dyDescent="0.45">
      <c r="A245" s="30">
        <f>step3_validation[[#This Row],[Persona_ID]]</f>
        <v>244</v>
      </c>
      <c r="B245" s="31">
        <f>step3_validation[[#This Row],[Used_Seed]]</f>
        <v>2234</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55.622846529421899</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6</v>
      </c>
      <c r="R245">
        <f t="shared" si="81"/>
        <v>0.55555555555555558</v>
      </c>
      <c r="S245">
        <f>survey_responses[[#This Row],[Tôi tin rằng với các quy định quản lý thuế hiện nay, hành vi gian lận hoặc trốn thuế sẽ dễ dàng bị phát hiện và xử lý nghiêm. - HUMAN-ENF1]]</f>
        <v>7</v>
      </c>
      <c r="T245">
        <f t="shared" si="82"/>
        <v>0.66666666666666663</v>
      </c>
      <c r="U245">
        <f>step3_validation[[#This Row],[AI_ENF2]]</f>
        <v>7</v>
      </c>
      <c r="V245">
        <f t="shared" si="83"/>
        <v>0.66666666666666663</v>
      </c>
      <c r="W245">
        <f>survey_responses[[#This Row],[Tôi tin rằng Nhà nước, cơ quan thuế có đủ khả năng và công nghệ để phát hiện, xử lý nghiêm các hành vi trốn thuế. - HUMAN-ENF2]]</f>
        <v>6</v>
      </c>
      <c r="X245">
        <f t="shared" si="84"/>
        <v>0.55555555555555558</v>
      </c>
      <c r="Y245" s="32">
        <f t="shared" si="85"/>
        <v>0.61111111111111116</v>
      </c>
      <c r="Z245" s="32">
        <f t="shared" si="86"/>
        <v>0.61111111111111116</v>
      </c>
      <c r="AA245">
        <f>step3_validation[[#This Row],[AI_FAC1]]</f>
        <v>8</v>
      </c>
      <c r="AB245">
        <f t="shared" si="87"/>
        <v>0.77777777777777779</v>
      </c>
      <c r="AC245">
        <f>survey_responses[[#This Row],[Các thủ tục khai báo thuế VÀ/HOẶC quy trình làm việc với cơ quan thuế đơn giản, tiện lợi, nhanh chóng hơn so với trước đây. - HUMAN-FAC1]]</f>
        <v>6</v>
      </c>
      <c r="AD245">
        <f t="shared" si="88"/>
        <v>0.55555555555555558</v>
      </c>
      <c r="AE245">
        <f>step3_validation[[#This Row],[AI_FAC2]]</f>
        <v>9</v>
      </c>
      <c r="AF245">
        <f t="shared" si="89"/>
        <v>0.88888888888888884</v>
      </c>
      <c r="AG245">
        <f>survey_responses[[#This Row],[So với trước đây, tôi thấy cách tính thuế và các bậc thuế trong phương án mới đơn giản, dễ hiểu và dễ thực hiện hơn. - HUMAN-FAC2]]</f>
        <v>8</v>
      </c>
      <c r="AH245">
        <f t="shared" si="90"/>
        <v>0.77777777777777779</v>
      </c>
      <c r="AI245" s="32">
        <f t="shared" si="91"/>
        <v>0.83333333333333326</v>
      </c>
      <c r="AJ245" s="32">
        <f t="shared" si="92"/>
        <v>0.66666666666666674</v>
      </c>
      <c r="AK245">
        <f>step3_validation[[#This Row],[AI_TRU1]]</f>
        <v>7</v>
      </c>
      <c r="AL245">
        <f t="shared" si="93"/>
        <v>0.66666666666666663</v>
      </c>
      <c r="AM245">
        <f>survey_responses[[#This Row],[Tôi tin rằng Nhà nước, cơ quan thuế sẽ thực thi chính sách mới một cách khách quan, công tâm và đối xử bình đẳng với mọi người nộp thuế.  - HUMAN-TRU1]]</f>
        <v>6</v>
      </c>
      <c r="AN245">
        <f t="shared" si="94"/>
        <v>0.55555555555555558</v>
      </c>
      <c r="AO245">
        <f>step3_validation[[#This Row],[AI_TRU2]]</f>
        <v>9</v>
      </c>
      <c r="AP245">
        <f t="shared" si="95"/>
        <v>0.88888888888888884</v>
      </c>
      <c r="AQ245">
        <f>survey_responses[[#This Row],[Tôi thấy mức thuế tôi phải đóng theo phương án mới là công bằng (người thu nhập như tôi đóng mức này là hợp lý). - HUMAN-TRU2]]</f>
        <v>6</v>
      </c>
      <c r="AR245">
        <f t="shared" si="96"/>
        <v>0.55555555555555558</v>
      </c>
      <c r="AS245">
        <f>step3_validation[[#This Row],[AI_TRU3]]</f>
        <v>8</v>
      </c>
      <c r="AT245">
        <f t="shared" si="97"/>
        <v>0.77777777777777779</v>
      </c>
      <c r="AU245">
        <f>survey_responses[[#This Row],[Tôi tin tưởng số tiền thuế tôi đóng sẽ được Nhà nước sử dụng hiệu quả để cải thiện dịch vụ công (y tế, đường xá...). - HUMAN-TRU3]]</f>
        <v>6</v>
      </c>
      <c r="AV245">
        <f t="shared" si="98"/>
        <v>0.55555555555555558</v>
      </c>
      <c r="AW245">
        <f>step3_validation[[#This Row],[AI_TRU4]]</f>
        <v>9</v>
      </c>
      <c r="AX245">
        <f t="shared" si="99"/>
        <v>0.88888888888888884</v>
      </c>
      <c r="AY245">
        <f>survey_responses[[#This Row],[Tôi thấy Nhà nước đã giải thích rõ ràng, minh bạch về lý do và mục tiêu của việc sửa đổi thuế lần này. - HUMAN-TRU4]]</f>
        <v>6</v>
      </c>
      <c r="AZ245">
        <f t="shared" si="100"/>
        <v>0.55555555555555558</v>
      </c>
      <c r="BA245" s="32">
        <f t="shared" si="101"/>
        <v>0.80555555555555547</v>
      </c>
      <c r="BB245" s="32">
        <f t="shared" si="102"/>
        <v>0.55555555555555558</v>
      </c>
      <c r="BC245" s="7">
        <f t="shared" si="103"/>
        <v>0.75</v>
      </c>
      <c r="BD245" s="7">
        <f t="shared" si="104"/>
        <v>0.61111111111111116</v>
      </c>
      <c r="BE245">
        <f>step3_validation[[#This Row],[AI_OUT1]]</f>
        <v>8</v>
      </c>
      <c r="BF245">
        <f t="shared" si="105"/>
        <v>0.77777777777777779</v>
      </c>
      <c r="BG245">
        <f>survey_responses[[#This Row],[Sau khi xem xét các quyền lợi và nghĩa vụ, bạn có ủng hộ và tuân thủ chính sách mới hiện nay? - HUMAN-OUT1]]</f>
        <v>6</v>
      </c>
      <c r="BH245">
        <f t="shared" si="106"/>
        <v>0.55555555555555558</v>
      </c>
      <c r="BI245" s="32">
        <f t="shared" si="107"/>
        <v>2</v>
      </c>
    </row>
    <row r="246" spans="1:61" x14ac:dyDescent="0.45">
      <c r="A246" s="30">
        <f>step3_validation[[#This Row],[Persona_ID]]</f>
        <v>245</v>
      </c>
      <c r="B246" s="31">
        <f>step3_validation[[#This Row],[Used_Seed]]</f>
        <v>2235</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166.35065651465328</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f t="shared" si="81"/>
        <v>0.66666666666666663</v>
      </c>
      <c r="S246">
        <f>survey_responses[[#This Row],[Tôi tin rằng với các quy định quản lý thuế hiện nay, hành vi gian lận hoặc trốn thuế sẽ dễ dàng bị phát hiện và xử lý nghiêm. - HUMAN-ENF1]]</f>
        <v>4</v>
      </c>
      <c r="T246">
        <f t="shared" si="82"/>
        <v>0.33333333333333331</v>
      </c>
      <c r="U246">
        <f>step3_validation[[#This Row],[AI_ENF2]]</f>
        <v>6</v>
      </c>
      <c r="V246">
        <f t="shared" si="83"/>
        <v>0.55555555555555558</v>
      </c>
      <c r="W246">
        <f>survey_responses[[#This Row],[Tôi tin rằng Nhà nước, cơ quan thuế có đủ khả năng và công nghệ để phát hiện, xử lý nghiêm các hành vi trốn thuế. - HUMAN-ENF2]]</f>
        <v>4</v>
      </c>
      <c r="X246">
        <f t="shared" si="84"/>
        <v>0.33333333333333331</v>
      </c>
      <c r="Y246" s="32">
        <f t="shared" si="85"/>
        <v>0.61111111111111116</v>
      </c>
      <c r="Z246" s="32">
        <f t="shared" si="86"/>
        <v>0.33333333333333331</v>
      </c>
      <c r="AA246">
        <f>step3_validation[[#This Row],[AI_FAC1]]</f>
        <v>8</v>
      </c>
      <c r="AB246">
        <f t="shared" si="87"/>
        <v>0.77777777777777779</v>
      </c>
      <c r="AC246">
        <f>survey_responses[[#This Row],[Các thủ tục khai báo thuế VÀ/HOẶC quy trình làm việc với cơ quan thuế đơn giản, tiện lợi, nhanh chóng hơn so với trước đây. - HUMAN-FAC1]]</f>
        <v>1</v>
      </c>
      <c r="AD246">
        <f t="shared" si="88"/>
        <v>0</v>
      </c>
      <c r="AE246">
        <f>step3_validation[[#This Row],[AI_FAC2]]</f>
        <v>9</v>
      </c>
      <c r="AF246">
        <f t="shared" si="89"/>
        <v>0.88888888888888884</v>
      </c>
      <c r="AG246">
        <f>survey_responses[[#This Row],[So với trước đây, tôi thấy cách tính thuế và các bậc thuế trong phương án mới đơn giản, dễ hiểu và dễ thực hiện hơn. - HUMAN-FAC2]]</f>
        <v>4</v>
      </c>
      <c r="AH246">
        <f t="shared" si="90"/>
        <v>0.33333333333333331</v>
      </c>
      <c r="AI246" s="32">
        <f t="shared" si="91"/>
        <v>0.83333333333333326</v>
      </c>
      <c r="AJ246" s="32">
        <f t="shared" si="92"/>
        <v>0.16666666666666666</v>
      </c>
      <c r="AK246">
        <f>step3_validation[[#This Row],[AI_TRU1]]</f>
        <v>7</v>
      </c>
      <c r="AL246">
        <f t="shared" si="93"/>
        <v>0.66666666666666663</v>
      </c>
      <c r="AM246">
        <f>survey_responses[[#This Row],[Tôi tin rằng Nhà nước, cơ quan thuế sẽ thực thi chính sách mới một cách khách quan, công tâm và đối xử bình đẳng với mọi người nộp thuế.  - HUMAN-TRU1]]</f>
        <v>4</v>
      </c>
      <c r="AN246">
        <f t="shared" si="94"/>
        <v>0.33333333333333331</v>
      </c>
      <c r="AO246">
        <f>step3_validation[[#This Row],[AI_TRU2]]</f>
        <v>8</v>
      </c>
      <c r="AP246">
        <f t="shared" si="95"/>
        <v>0.77777777777777779</v>
      </c>
      <c r="AQ246">
        <f>survey_responses[[#This Row],[Tôi thấy mức thuế tôi phải đóng theo phương án mới là công bằng (người thu nhập như tôi đóng mức này là hợp lý). - HUMAN-TRU2]]</f>
        <v>4</v>
      </c>
      <c r="AR246">
        <f t="shared" si="96"/>
        <v>0.33333333333333331</v>
      </c>
      <c r="AS246">
        <f>step3_validation[[#This Row],[AI_TRU3]]</f>
        <v>7</v>
      </c>
      <c r="AT246">
        <f t="shared" si="97"/>
        <v>0.66666666666666663</v>
      </c>
      <c r="AU246">
        <f>survey_responses[[#This Row],[Tôi tin tưởng số tiền thuế tôi đóng sẽ được Nhà nước sử dụng hiệu quả để cải thiện dịch vụ công (y tế, đường xá...). - HUMAN-TRU3]]</f>
        <v>5</v>
      </c>
      <c r="AV246">
        <f t="shared" si="98"/>
        <v>0.44444444444444442</v>
      </c>
      <c r="AW246">
        <f>step3_validation[[#This Row],[AI_TRU4]]</f>
        <v>6</v>
      </c>
      <c r="AX246">
        <f t="shared" si="99"/>
        <v>0.55555555555555558</v>
      </c>
      <c r="AY246">
        <f>survey_responses[[#This Row],[Tôi thấy Nhà nước đã giải thích rõ ràng, minh bạch về lý do và mục tiêu của việc sửa đổi thuế lần này. - HUMAN-TRU4]]</f>
        <v>5</v>
      </c>
      <c r="AZ246">
        <f t="shared" si="100"/>
        <v>0.44444444444444442</v>
      </c>
      <c r="BA246" s="32">
        <f t="shared" si="101"/>
        <v>0.66666666666666674</v>
      </c>
      <c r="BB246" s="32">
        <f t="shared" si="102"/>
        <v>0.3888888888888889</v>
      </c>
      <c r="BC246" s="7">
        <f t="shared" si="103"/>
        <v>0.70370370370370372</v>
      </c>
      <c r="BD246" s="7">
        <f t="shared" si="104"/>
        <v>0.29629629629629628</v>
      </c>
      <c r="BE246">
        <f>step3_validation[[#This Row],[AI_OUT1]]</f>
        <v>8</v>
      </c>
      <c r="BF246">
        <f t="shared" si="105"/>
        <v>0.77777777777777779</v>
      </c>
      <c r="BG246">
        <f>survey_responses[[#This Row],[Sau khi xem xét các quyền lợi và nghĩa vụ, bạn có ủng hộ và tuân thủ chính sách mới hiện nay? - HUMAN-OUT1]]</f>
        <v>5</v>
      </c>
      <c r="BH246">
        <f t="shared" si="106"/>
        <v>0.44444444444444442</v>
      </c>
      <c r="BI246" s="32">
        <f t="shared" si="107"/>
        <v>3</v>
      </c>
    </row>
    <row r="247" spans="1:61" x14ac:dyDescent="0.45">
      <c r="A247" s="30">
        <f>step3_validation[[#This Row],[Persona_ID]]</f>
        <v>246</v>
      </c>
      <c r="B247" s="31">
        <f>step3_validation[[#This Row],[Used_Seed]]</f>
        <v>2236</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26.151790808185822</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7</v>
      </c>
      <c r="R247">
        <f t="shared" si="81"/>
        <v>0.66666666666666663</v>
      </c>
      <c r="S247">
        <f>survey_responses[[#This Row],[Tôi tin rằng với các quy định quản lý thuế hiện nay, hành vi gian lận hoặc trốn thuế sẽ dễ dàng bị phát hiện và xử lý nghiêm. - HUMAN-ENF1]]</f>
        <v>6</v>
      </c>
      <c r="T247">
        <f t="shared" si="82"/>
        <v>0.55555555555555558</v>
      </c>
      <c r="U247">
        <f>step3_validation[[#This Row],[AI_ENF2]]</f>
        <v>6</v>
      </c>
      <c r="V247">
        <f t="shared" si="83"/>
        <v>0.55555555555555558</v>
      </c>
      <c r="W247">
        <f>survey_responses[[#This Row],[Tôi tin rằng Nhà nước, cơ quan thuế có đủ khả năng và công nghệ để phát hiện, xử lý nghiêm các hành vi trốn thuế. - HUMAN-ENF2]]</f>
        <v>7</v>
      </c>
      <c r="X247">
        <f t="shared" si="84"/>
        <v>0.66666666666666663</v>
      </c>
      <c r="Y247" s="32">
        <f t="shared" si="85"/>
        <v>0.61111111111111116</v>
      </c>
      <c r="Z247" s="32">
        <f t="shared" si="86"/>
        <v>0.61111111111111116</v>
      </c>
      <c r="AA247">
        <f>step3_validation[[#This Row],[AI_FAC1]]</f>
        <v>8</v>
      </c>
      <c r="AB247">
        <f t="shared" si="87"/>
        <v>0.77777777777777779</v>
      </c>
      <c r="AC247">
        <f>survey_responses[[#This Row],[Các thủ tục khai báo thuế VÀ/HOẶC quy trình làm việc với cơ quan thuế đơn giản, tiện lợi, nhanh chóng hơn so với trước đây. - HUMAN-FAC1]]</f>
        <v>7</v>
      </c>
      <c r="AD247">
        <f t="shared" si="88"/>
        <v>0.66666666666666663</v>
      </c>
      <c r="AE247">
        <f>step3_validation[[#This Row],[AI_FAC2]]</f>
        <v>9</v>
      </c>
      <c r="AF247">
        <f t="shared" si="89"/>
        <v>0.88888888888888884</v>
      </c>
      <c r="AG247">
        <f>survey_responses[[#This Row],[So với trước đây, tôi thấy cách tính thuế và các bậc thuế trong phương án mới đơn giản, dễ hiểu và dễ thực hiện hơn. - HUMAN-FAC2]]</f>
        <v>7</v>
      </c>
      <c r="AH247">
        <f t="shared" si="90"/>
        <v>0.66666666666666663</v>
      </c>
      <c r="AI247" s="32">
        <f t="shared" si="91"/>
        <v>0.83333333333333326</v>
      </c>
      <c r="AJ247" s="32">
        <f t="shared" si="92"/>
        <v>0.66666666666666663</v>
      </c>
      <c r="AK247">
        <f>step3_validation[[#This Row],[AI_TRU1]]</f>
        <v>7</v>
      </c>
      <c r="AL247">
        <f t="shared" si="93"/>
        <v>0.66666666666666663</v>
      </c>
      <c r="AM247">
        <f>survey_responses[[#This Row],[Tôi tin rằng Nhà nước, cơ quan thuế sẽ thực thi chính sách mới một cách khách quan, công tâm và đối xử bình đẳng với mọi người nộp thuế.  - HUMAN-TRU1]]</f>
        <v>7</v>
      </c>
      <c r="AN247">
        <f t="shared" si="94"/>
        <v>0.66666666666666663</v>
      </c>
      <c r="AO247">
        <f>step3_validation[[#This Row],[AI_TRU2]]</f>
        <v>8</v>
      </c>
      <c r="AP247">
        <f t="shared" si="95"/>
        <v>0.77777777777777779</v>
      </c>
      <c r="AQ247">
        <f>survey_responses[[#This Row],[Tôi thấy mức thuế tôi phải đóng theo phương án mới là công bằng (người thu nhập như tôi đóng mức này là hợp lý). - HUMAN-TRU2]]</f>
        <v>7</v>
      </c>
      <c r="AR247">
        <f t="shared" si="96"/>
        <v>0.66666666666666663</v>
      </c>
      <c r="AS247">
        <f>step3_validation[[#This Row],[AI_TRU3]]</f>
        <v>7</v>
      </c>
      <c r="AT247">
        <f t="shared" si="97"/>
        <v>0.66666666666666663</v>
      </c>
      <c r="AU247">
        <f>survey_responses[[#This Row],[Tôi tin tưởng số tiền thuế tôi đóng sẽ được Nhà nước sử dụng hiệu quả để cải thiện dịch vụ công (y tế, đường xá...). - HUMAN-TRU3]]</f>
        <v>7</v>
      </c>
      <c r="AV247">
        <f t="shared" si="98"/>
        <v>0.66666666666666663</v>
      </c>
      <c r="AW247">
        <f>step3_validation[[#This Row],[AI_TRU4]]</f>
        <v>6</v>
      </c>
      <c r="AX247">
        <f t="shared" si="99"/>
        <v>0.55555555555555558</v>
      </c>
      <c r="AY247">
        <f>survey_responses[[#This Row],[Tôi thấy Nhà nước đã giải thích rõ ràng, minh bạch về lý do và mục tiêu của việc sửa đổi thuế lần này. - HUMAN-TRU4]]</f>
        <v>7</v>
      </c>
      <c r="AZ247">
        <f t="shared" si="100"/>
        <v>0.66666666666666663</v>
      </c>
      <c r="BA247" s="32">
        <f t="shared" si="101"/>
        <v>0.66666666666666674</v>
      </c>
      <c r="BB247" s="32">
        <f t="shared" si="102"/>
        <v>0.66666666666666663</v>
      </c>
      <c r="BC247" s="7">
        <f t="shared" si="103"/>
        <v>0.70370370370370372</v>
      </c>
      <c r="BD247" s="7">
        <f t="shared" si="104"/>
        <v>0.64814814814814803</v>
      </c>
      <c r="BE247">
        <f>step3_validation[[#This Row],[AI_OUT1]]</f>
        <v>9</v>
      </c>
      <c r="BF247">
        <f t="shared" si="105"/>
        <v>0.88888888888888884</v>
      </c>
      <c r="BG247">
        <f>survey_responses[[#This Row],[Sau khi xem xét các quyền lợi và nghĩa vụ, bạn có ủng hộ và tuân thủ chính sách mới hiện nay? - HUMAN-OUT1]]</f>
        <v>7</v>
      </c>
      <c r="BH247">
        <f t="shared" si="106"/>
        <v>0.66666666666666663</v>
      </c>
      <c r="BI247" s="32">
        <f t="shared" si="107"/>
        <v>2</v>
      </c>
    </row>
    <row r="248" spans="1:61" x14ac:dyDescent="0.45">
      <c r="A248" s="30">
        <f>step3_validation[[#This Row],[Persona_ID]]</f>
        <v>247</v>
      </c>
      <c r="B248" s="31">
        <f>step3_validation[[#This Row],[Used_Seed]]</f>
        <v>2237</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64.505820703954043</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f t="shared" si="81"/>
        <v>0.77777777777777779</v>
      </c>
      <c r="S248">
        <f>survey_responses[[#This Row],[Tôi tin rằng với các quy định quản lý thuế hiện nay, hành vi gian lận hoặc trốn thuế sẽ dễ dàng bị phát hiện và xử lý nghiêm. - HUMAN-ENF1]]</f>
        <v>8</v>
      </c>
      <c r="T248">
        <f t="shared" si="82"/>
        <v>0.77777777777777779</v>
      </c>
      <c r="U248">
        <f>step3_validation[[#This Row],[AI_ENF2]]</f>
        <v>9</v>
      </c>
      <c r="V248">
        <f t="shared" si="83"/>
        <v>0.88888888888888884</v>
      </c>
      <c r="W248">
        <f>survey_responses[[#This Row],[Tôi tin rằng Nhà nước, cơ quan thuế có đủ khả năng và công nghệ để phát hiện, xử lý nghiêm các hành vi trốn thuế. - HUMAN-ENF2]]</f>
        <v>8</v>
      </c>
      <c r="X248">
        <f t="shared" si="84"/>
        <v>0.77777777777777779</v>
      </c>
      <c r="Y248" s="32">
        <f t="shared" si="85"/>
        <v>0.83333333333333326</v>
      </c>
      <c r="Z248" s="32">
        <f t="shared" si="86"/>
        <v>0.77777777777777779</v>
      </c>
      <c r="AA248">
        <f>step3_validation[[#This Row],[AI_FAC1]]</f>
        <v>8</v>
      </c>
      <c r="AB248">
        <f t="shared" si="87"/>
        <v>0.77777777777777779</v>
      </c>
      <c r="AC248">
        <f>survey_responses[[#This Row],[Các thủ tục khai báo thuế VÀ/HOẶC quy trình làm việc với cơ quan thuế đơn giản, tiện lợi, nhanh chóng hơn so với trước đây. - HUMAN-FAC1]]</f>
        <v>8</v>
      </c>
      <c r="AD248">
        <f t="shared" si="88"/>
        <v>0.77777777777777779</v>
      </c>
      <c r="AE248">
        <f>step3_validation[[#This Row],[AI_FAC2]]</f>
        <v>9</v>
      </c>
      <c r="AF248">
        <f t="shared" si="89"/>
        <v>0.88888888888888884</v>
      </c>
      <c r="AG248">
        <f>survey_responses[[#This Row],[So với trước đây, tôi thấy cách tính thuế và các bậc thuế trong phương án mới đơn giản, dễ hiểu và dễ thực hiện hơn. - HUMAN-FAC2]]</f>
        <v>8</v>
      </c>
      <c r="AH248">
        <f t="shared" si="90"/>
        <v>0.77777777777777779</v>
      </c>
      <c r="AI248" s="32">
        <f t="shared" si="91"/>
        <v>0.83333333333333326</v>
      </c>
      <c r="AJ248" s="32">
        <f t="shared" si="92"/>
        <v>0.77777777777777779</v>
      </c>
      <c r="AK248">
        <f>step3_validation[[#This Row],[AI_TRU1]]</f>
        <v>8</v>
      </c>
      <c r="AL248">
        <f t="shared" si="93"/>
        <v>0.77777777777777779</v>
      </c>
      <c r="AM248">
        <f>survey_responses[[#This Row],[Tôi tin rằng Nhà nước, cơ quan thuế sẽ thực thi chính sách mới một cách khách quan, công tâm và đối xử bình đẳng với mọi người nộp thuế.  - HUMAN-TRU1]]</f>
        <v>8</v>
      </c>
      <c r="AN248">
        <f t="shared" si="94"/>
        <v>0.77777777777777779</v>
      </c>
      <c r="AO248">
        <f>step3_validation[[#This Row],[AI_TRU2]]</f>
        <v>9</v>
      </c>
      <c r="AP248">
        <f t="shared" si="95"/>
        <v>0.88888888888888884</v>
      </c>
      <c r="AQ248">
        <f>survey_responses[[#This Row],[Tôi thấy mức thuế tôi phải đóng theo phương án mới là công bằng (người thu nhập như tôi đóng mức này là hợp lý). - HUMAN-TRU2]]</f>
        <v>8</v>
      </c>
      <c r="AR248">
        <f t="shared" si="96"/>
        <v>0.77777777777777779</v>
      </c>
      <c r="AS248">
        <f>step3_validation[[#This Row],[AI_TRU3]]</f>
        <v>8</v>
      </c>
      <c r="AT248">
        <f t="shared" si="97"/>
        <v>0.77777777777777779</v>
      </c>
      <c r="AU248">
        <f>survey_responses[[#This Row],[Tôi tin tưởng số tiền thuế tôi đóng sẽ được Nhà nước sử dụng hiệu quả để cải thiện dịch vụ công (y tế, đường xá...). - HUMAN-TRU3]]</f>
        <v>8</v>
      </c>
      <c r="AV248">
        <f t="shared" si="98"/>
        <v>0.77777777777777779</v>
      </c>
      <c r="AW248">
        <f>step3_validation[[#This Row],[AI_TRU4]]</f>
        <v>9</v>
      </c>
      <c r="AX248">
        <f t="shared" si="99"/>
        <v>0.88888888888888884</v>
      </c>
      <c r="AY248">
        <f>survey_responses[[#This Row],[Tôi thấy Nhà nước đã giải thích rõ ràng, minh bạch về lý do và mục tiêu của việc sửa đổi thuế lần này. - HUMAN-TRU4]]</f>
        <v>8</v>
      </c>
      <c r="AZ248">
        <f t="shared" si="100"/>
        <v>0.77777777777777779</v>
      </c>
      <c r="BA248" s="32">
        <f t="shared" si="101"/>
        <v>0.83333333333333326</v>
      </c>
      <c r="BB248" s="32">
        <f t="shared" si="102"/>
        <v>0.77777777777777779</v>
      </c>
      <c r="BC248" s="7">
        <f t="shared" si="103"/>
        <v>0.83333333333333337</v>
      </c>
      <c r="BD248" s="7">
        <f t="shared" si="104"/>
        <v>0.77777777777777779</v>
      </c>
      <c r="BE248">
        <f>step3_validation[[#This Row],[AI_OUT1]]</f>
        <v>9</v>
      </c>
      <c r="BF248">
        <f t="shared" si="105"/>
        <v>0.88888888888888884</v>
      </c>
      <c r="BG248">
        <f>survey_responses[[#This Row],[Sau khi xem xét các quyền lợi và nghĩa vụ, bạn có ủng hộ và tuân thủ chính sách mới hiện nay? - HUMAN-OUT1]]</f>
        <v>8</v>
      </c>
      <c r="BH248">
        <f t="shared" si="106"/>
        <v>0.77777777777777779</v>
      </c>
      <c r="BI248" s="32">
        <f t="shared" si="107"/>
        <v>1</v>
      </c>
    </row>
    <row r="249" spans="1:61" x14ac:dyDescent="0.45">
      <c r="A249" s="30">
        <f>step3_validation[[#This Row],[Persona_ID]]</f>
        <v>248</v>
      </c>
      <c r="B249" s="31">
        <f>step3_validation[[#This Row],[Used_Seed]]</f>
        <v>2238</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38.111758052996414</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f t="shared" si="81"/>
        <v>0.66666666666666663</v>
      </c>
      <c r="S249">
        <f>survey_responses[[#This Row],[Tôi tin rằng với các quy định quản lý thuế hiện nay, hành vi gian lận hoặc trốn thuế sẽ dễ dàng bị phát hiện và xử lý nghiêm. - HUMAN-ENF1]]</f>
        <v>7</v>
      </c>
      <c r="T249">
        <f t="shared" si="82"/>
        <v>0.66666666666666663</v>
      </c>
      <c r="U249">
        <f>step3_validation[[#This Row],[AI_ENF2]]</f>
        <v>7</v>
      </c>
      <c r="V249">
        <f t="shared" si="83"/>
        <v>0.66666666666666663</v>
      </c>
      <c r="W249">
        <f>survey_responses[[#This Row],[Tôi tin rằng Nhà nước, cơ quan thuế có đủ khả năng và công nghệ để phát hiện, xử lý nghiêm các hành vi trốn thuế. - HUMAN-ENF2]]</f>
        <v>7</v>
      </c>
      <c r="X249">
        <f t="shared" si="84"/>
        <v>0.66666666666666663</v>
      </c>
      <c r="Y249" s="32">
        <f t="shared" si="85"/>
        <v>0.66666666666666663</v>
      </c>
      <c r="Z249" s="32">
        <f t="shared" si="86"/>
        <v>0.66666666666666663</v>
      </c>
      <c r="AA249">
        <f>step3_validation[[#This Row],[AI_FAC1]]</f>
        <v>9</v>
      </c>
      <c r="AB249">
        <f t="shared" si="87"/>
        <v>0.88888888888888884</v>
      </c>
      <c r="AC249">
        <f>survey_responses[[#This Row],[Các thủ tục khai báo thuế VÀ/HOẶC quy trình làm việc với cơ quan thuế đơn giản, tiện lợi, nhanh chóng hơn so với trước đây. - HUMAN-FAC1]]</f>
        <v>7</v>
      </c>
      <c r="AD249">
        <f t="shared" si="88"/>
        <v>0.66666666666666663</v>
      </c>
      <c r="AE249">
        <f>step3_validation[[#This Row],[AI_FAC2]]</f>
        <v>9</v>
      </c>
      <c r="AF249">
        <f t="shared" si="89"/>
        <v>0.88888888888888884</v>
      </c>
      <c r="AG249">
        <f>survey_responses[[#This Row],[So với trước đây, tôi thấy cách tính thuế và các bậc thuế trong phương án mới đơn giản, dễ hiểu và dễ thực hiện hơn. - HUMAN-FAC2]]</f>
        <v>7</v>
      </c>
      <c r="AH249">
        <f t="shared" si="90"/>
        <v>0.66666666666666663</v>
      </c>
      <c r="AI249" s="32">
        <f t="shared" si="91"/>
        <v>0.88888888888888884</v>
      </c>
      <c r="AJ249" s="32">
        <f t="shared" si="92"/>
        <v>0.66666666666666663</v>
      </c>
      <c r="AK249">
        <f>step3_validation[[#This Row],[AI_TRU1]]</f>
        <v>7</v>
      </c>
      <c r="AL249">
        <f t="shared" si="93"/>
        <v>0.66666666666666663</v>
      </c>
      <c r="AM249">
        <f>survey_responses[[#This Row],[Tôi tin rằng Nhà nước, cơ quan thuế sẽ thực thi chính sách mới một cách khách quan, công tâm và đối xử bình đẳng với mọi người nộp thuế.  - HUMAN-TRU1]]</f>
        <v>7</v>
      </c>
      <c r="AN249">
        <f t="shared" si="94"/>
        <v>0.66666666666666663</v>
      </c>
      <c r="AO249">
        <f>step3_validation[[#This Row],[AI_TRU2]]</f>
        <v>9</v>
      </c>
      <c r="AP249">
        <f t="shared" si="95"/>
        <v>0.88888888888888884</v>
      </c>
      <c r="AQ249">
        <f>survey_responses[[#This Row],[Tôi thấy mức thuế tôi phải đóng theo phương án mới là công bằng (người thu nhập như tôi đóng mức này là hợp lý). - HUMAN-TRU2]]</f>
        <v>7</v>
      </c>
      <c r="AR249">
        <f t="shared" si="96"/>
        <v>0.66666666666666663</v>
      </c>
      <c r="AS249">
        <f>step3_validation[[#This Row],[AI_TRU3]]</f>
        <v>7</v>
      </c>
      <c r="AT249">
        <f t="shared" si="97"/>
        <v>0.66666666666666663</v>
      </c>
      <c r="AU249">
        <f>survey_responses[[#This Row],[Tôi tin tưởng số tiền thuế tôi đóng sẽ được Nhà nước sử dụng hiệu quả để cải thiện dịch vụ công (y tế, đường xá...). - HUMAN-TRU3]]</f>
        <v>7</v>
      </c>
      <c r="AV249">
        <f t="shared" si="98"/>
        <v>0.66666666666666663</v>
      </c>
      <c r="AW249">
        <f>step3_validation[[#This Row],[AI_TRU4]]</f>
        <v>6</v>
      </c>
      <c r="AX249">
        <f t="shared" si="99"/>
        <v>0.55555555555555558</v>
      </c>
      <c r="AY249">
        <f>survey_responses[[#This Row],[Tôi thấy Nhà nước đã giải thích rõ ràng, minh bạch về lý do và mục tiêu của việc sửa đổi thuế lần này. - HUMAN-TRU4]]</f>
        <v>7</v>
      </c>
      <c r="AZ249">
        <f t="shared" si="100"/>
        <v>0.66666666666666663</v>
      </c>
      <c r="BA249" s="32">
        <f t="shared" si="101"/>
        <v>0.69444444444444442</v>
      </c>
      <c r="BB249" s="32">
        <f t="shared" si="102"/>
        <v>0.66666666666666663</v>
      </c>
      <c r="BC249" s="7">
        <f t="shared" si="103"/>
        <v>0.75</v>
      </c>
      <c r="BD249" s="7">
        <f t="shared" si="104"/>
        <v>0.66666666666666663</v>
      </c>
      <c r="BE249">
        <f>step3_validation[[#This Row],[AI_OUT1]]</f>
        <v>9</v>
      </c>
      <c r="BF249">
        <f t="shared" si="105"/>
        <v>0.88888888888888884</v>
      </c>
      <c r="BG249">
        <f>survey_responses[[#This Row],[Sau khi xem xét các quyền lợi và nghĩa vụ, bạn có ủng hộ và tuân thủ chính sách mới hiện nay? - HUMAN-OUT1]]</f>
        <v>7</v>
      </c>
      <c r="BH249">
        <f t="shared" si="106"/>
        <v>0.66666666666666663</v>
      </c>
      <c r="BI249" s="32">
        <f t="shared" si="107"/>
        <v>2</v>
      </c>
    </row>
    <row r="250" spans="1:61" x14ac:dyDescent="0.45">
      <c r="A250" s="30">
        <f>step3_validation[[#This Row],[Persona_ID]]</f>
        <v>249</v>
      </c>
      <c r="B250" s="31">
        <f>step3_validation[[#This Row],[Used_Seed]]</f>
        <v>2239</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91.208481489169714</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8</v>
      </c>
      <c r="R250">
        <f t="shared" si="81"/>
        <v>0.77777777777777779</v>
      </c>
      <c r="S250">
        <f>survey_responses[[#This Row],[Tôi tin rằng với các quy định quản lý thuế hiện nay, hành vi gian lận hoặc trốn thuế sẽ dễ dàng bị phát hiện và xử lý nghiêm. - HUMAN-ENF1]]</f>
        <v>9</v>
      </c>
      <c r="T250">
        <f t="shared" si="82"/>
        <v>0.88888888888888884</v>
      </c>
      <c r="U250">
        <f>step3_validation[[#This Row],[AI_ENF2]]</f>
        <v>9</v>
      </c>
      <c r="V250">
        <f t="shared" si="83"/>
        <v>0.88888888888888884</v>
      </c>
      <c r="W250">
        <f>survey_responses[[#This Row],[Tôi tin rằng Nhà nước, cơ quan thuế có đủ khả năng và công nghệ để phát hiện, xử lý nghiêm các hành vi trốn thuế. - HUMAN-ENF2]]</f>
        <v>9</v>
      </c>
      <c r="X250">
        <f t="shared" si="84"/>
        <v>0.88888888888888884</v>
      </c>
      <c r="Y250" s="32">
        <f t="shared" si="85"/>
        <v>0.83333333333333326</v>
      </c>
      <c r="Z250" s="32">
        <f t="shared" si="86"/>
        <v>0.88888888888888884</v>
      </c>
      <c r="AA250">
        <f>step3_validation[[#This Row],[AI_FAC1]]</f>
        <v>8</v>
      </c>
      <c r="AB250">
        <f t="shared" si="87"/>
        <v>0.77777777777777779</v>
      </c>
      <c r="AC250">
        <f>survey_responses[[#This Row],[Các thủ tục khai báo thuế VÀ/HOẶC quy trình làm việc với cơ quan thuế đơn giản, tiện lợi, nhanh chóng hơn so với trước đây. - HUMAN-FAC1]]</f>
        <v>9</v>
      </c>
      <c r="AD250">
        <f t="shared" si="88"/>
        <v>0.88888888888888884</v>
      </c>
      <c r="AE250">
        <f>step3_validation[[#This Row],[AI_FAC2]]</f>
        <v>9</v>
      </c>
      <c r="AF250">
        <f t="shared" si="89"/>
        <v>0.88888888888888884</v>
      </c>
      <c r="AG250">
        <f>survey_responses[[#This Row],[So với trước đây, tôi thấy cách tính thuế và các bậc thuế trong phương án mới đơn giản, dễ hiểu và dễ thực hiện hơn. - HUMAN-FAC2]]</f>
        <v>9</v>
      </c>
      <c r="AH250">
        <f t="shared" si="90"/>
        <v>0.88888888888888884</v>
      </c>
      <c r="AI250" s="32">
        <f t="shared" si="91"/>
        <v>0.83333333333333326</v>
      </c>
      <c r="AJ250" s="32">
        <f t="shared" si="92"/>
        <v>0.88888888888888884</v>
      </c>
      <c r="AK250">
        <f>step3_validation[[#This Row],[AI_TRU1]]</f>
        <v>8</v>
      </c>
      <c r="AL250">
        <f t="shared" si="93"/>
        <v>0.77777777777777779</v>
      </c>
      <c r="AM250">
        <f>survey_responses[[#This Row],[Tôi tin rằng Nhà nước, cơ quan thuế sẽ thực thi chính sách mới một cách khách quan, công tâm và đối xử bình đẳng với mọi người nộp thuế.  - HUMAN-TRU1]]</f>
        <v>9</v>
      </c>
      <c r="AN250">
        <f t="shared" si="94"/>
        <v>0.88888888888888884</v>
      </c>
      <c r="AO250">
        <f>step3_validation[[#This Row],[AI_TRU2]]</f>
        <v>9</v>
      </c>
      <c r="AP250">
        <f t="shared" si="95"/>
        <v>0.88888888888888884</v>
      </c>
      <c r="AQ250">
        <f>survey_responses[[#This Row],[Tôi thấy mức thuế tôi phải đóng theo phương án mới là công bằng (người thu nhập như tôi đóng mức này là hợp lý). - HUMAN-TRU2]]</f>
        <v>9</v>
      </c>
      <c r="AR250">
        <f t="shared" si="96"/>
        <v>0.88888888888888884</v>
      </c>
      <c r="AS250">
        <f>step3_validation[[#This Row],[AI_TRU3]]</f>
        <v>8</v>
      </c>
      <c r="AT250">
        <f t="shared" si="97"/>
        <v>0.77777777777777779</v>
      </c>
      <c r="AU250">
        <f>survey_responses[[#This Row],[Tôi tin tưởng số tiền thuế tôi đóng sẽ được Nhà nước sử dụng hiệu quả để cải thiện dịch vụ công (y tế, đường xá...). - HUMAN-TRU3]]</f>
        <v>9</v>
      </c>
      <c r="AV250">
        <f t="shared" si="98"/>
        <v>0.88888888888888884</v>
      </c>
      <c r="AW250">
        <f>step3_validation[[#This Row],[AI_TRU4]]</f>
        <v>9</v>
      </c>
      <c r="AX250">
        <f t="shared" si="99"/>
        <v>0.88888888888888884</v>
      </c>
      <c r="AY250">
        <f>survey_responses[[#This Row],[Tôi thấy Nhà nước đã giải thích rõ ràng, minh bạch về lý do và mục tiêu của việc sửa đổi thuế lần này. - HUMAN-TRU4]]</f>
        <v>9</v>
      </c>
      <c r="AZ250">
        <f t="shared" si="100"/>
        <v>0.88888888888888884</v>
      </c>
      <c r="BA250" s="32">
        <f t="shared" si="101"/>
        <v>0.83333333333333326</v>
      </c>
      <c r="BB250" s="32">
        <f t="shared" si="102"/>
        <v>0.88888888888888884</v>
      </c>
      <c r="BC250" s="7">
        <f t="shared" si="103"/>
        <v>0.83333333333333337</v>
      </c>
      <c r="BD250" s="7">
        <f t="shared" si="104"/>
        <v>0.88888888888888884</v>
      </c>
      <c r="BE250">
        <f>step3_validation[[#This Row],[AI_OUT1]]</f>
        <v>9</v>
      </c>
      <c r="BF250">
        <f t="shared" si="105"/>
        <v>0.88888888888888884</v>
      </c>
      <c r="BG250">
        <f>survey_responses[[#This Row],[Sau khi xem xét các quyền lợi và nghĩa vụ, bạn có ủng hộ và tuân thủ chính sách mới hiện nay? - HUMAN-OUT1]]</f>
        <v>9</v>
      </c>
      <c r="BH250">
        <f t="shared" si="106"/>
        <v>0.88888888888888884</v>
      </c>
      <c r="BI250" s="32">
        <f t="shared" si="107"/>
        <v>0</v>
      </c>
    </row>
    <row r="251" spans="1:61" x14ac:dyDescent="0.45">
      <c r="A251" s="30">
        <f>step3_validation[[#This Row],[Persona_ID]]</f>
        <v>250</v>
      </c>
      <c r="B251" s="31">
        <f>step3_validation[[#This Row],[Used_Seed]]</f>
        <v>2240</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64.573837101658071</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9</v>
      </c>
      <c r="R251">
        <f t="shared" si="81"/>
        <v>0.88888888888888884</v>
      </c>
      <c r="S251">
        <f>survey_responses[[#This Row],[Tôi tin rằng với các quy định quản lý thuế hiện nay, hành vi gian lận hoặc trốn thuế sẽ dễ dàng bị phát hiện và xử lý nghiêm. - HUMAN-ENF1]]</f>
        <v>7</v>
      </c>
      <c r="T251">
        <f t="shared" si="82"/>
        <v>0.66666666666666663</v>
      </c>
      <c r="U251">
        <f>step3_validation[[#This Row],[AI_ENF2]]</f>
        <v>8</v>
      </c>
      <c r="V251">
        <f t="shared" si="83"/>
        <v>0.77777777777777779</v>
      </c>
      <c r="W251">
        <f>survey_responses[[#This Row],[Tôi tin rằng Nhà nước, cơ quan thuế có đủ khả năng và công nghệ để phát hiện, xử lý nghiêm các hành vi trốn thuế. - HUMAN-ENF2]]</f>
        <v>6</v>
      </c>
      <c r="X251">
        <f t="shared" si="84"/>
        <v>0.55555555555555558</v>
      </c>
      <c r="Y251" s="32">
        <f t="shared" si="85"/>
        <v>0.83333333333333326</v>
      </c>
      <c r="Z251" s="32">
        <f t="shared" si="86"/>
        <v>0.61111111111111116</v>
      </c>
      <c r="AA251">
        <f>step3_validation[[#This Row],[AI_FAC1]]</f>
        <v>7</v>
      </c>
      <c r="AB251">
        <f t="shared" si="87"/>
        <v>0.66666666666666663</v>
      </c>
      <c r="AC251">
        <f>survey_responses[[#This Row],[Các thủ tục khai báo thuế VÀ/HOẶC quy trình làm việc với cơ quan thuế đơn giản, tiện lợi, nhanh chóng hơn so với trước đây. - HUMAN-FAC1]]</f>
        <v>5</v>
      </c>
      <c r="AD251">
        <f t="shared" si="88"/>
        <v>0.44444444444444442</v>
      </c>
      <c r="AE251">
        <f>step3_validation[[#This Row],[AI_FAC2]]</f>
        <v>9</v>
      </c>
      <c r="AF251">
        <f t="shared" si="89"/>
        <v>0.88888888888888884</v>
      </c>
      <c r="AG251">
        <f>survey_responses[[#This Row],[So với trước đây, tôi thấy cách tính thuế và các bậc thuế trong phương án mới đơn giản, dễ hiểu và dễ thực hiện hơn. - HUMAN-FAC2]]</f>
        <v>6</v>
      </c>
      <c r="AH251">
        <f t="shared" si="90"/>
        <v>0.55555555555555558</v>
      </c>
      <c r="AI251" s="32">
        <f t="shared" si="91"/>
        <v>0.77777777777777768</v>
      </c>
      <c r="AJ251" s="32">
        <f t="shared" si="92"/>
        <v>0.5</v>
      </c>
      <c r="AK251">
        <f>step3_validation[[#This Row],[AI_TRU1]]</f>
        <v>8</v>
      </c>
      <c r="AL251">
        <f t="shared" si="93"/>
        <v>0.77777777777777779</v>
      </c>
      <c r="AM251">
        <f>survey_responses[[#This Row],[Tôi tin rằng Nhà nước, cơ quan thuế sẽ thực thi chính sách mới một cách khách quan, công tâm và đối xử bình đẳng với mọi người nộp thuế.  - HUMAN-TRU1]]</f>
        <v>6</v>
      </c>
      <c r="AN251">
        <f t="shared" si="94"/>
        <v>0.55555555555555558</v>
      </c>
      <c r="AO251">
        <f>step3_validation[[#This Row],[AI_TRU2]]</f>
        <v>9</v>
      </c>
      <c r="AP251">
        <f t="shared" si="95"/>
        <v>0.88888888888888884</v>
      </c>
      <c r="AQ251">
        <f>survey_responses[[#This Row],[Tôi thấy mức thuế tôi phải đóng theo phương án mới là công bằng (người thu nhập như tôi đóng mức này là hợp lý). - HUMAN-TRU2]]</f>
        <v>6</v>
      </c>
      <c r="AR251">
        <f t="shared" si="96"/>
        <v>0.55555555555555558</v>
      </c>
      <c r="AS251">
        <f>step3_validation[[#This Row],[AI_TRU3]]</f>
        <v>8</v>
      </c>
      <c r="AT251">
        <f t="shared" si="97"/>
        <v>0.77777777777777779</v>
      </c>
      <c r="AU251">
        <f>survey_responses[[#This Row],[Tôi tin tưởng số tiền thuế tôi đóng sẽ được Nhà nước sử dụng hiệu quả để cải thiện dịch vụ công (y tế, đường xá...). - HUMAN-TRU3]]</f>
        <v>6</v>
      </c>
      <c r="AV251">
        <f t="shared" si="98"/>
        <v>0.55555555555555558</v>
      </c>
      <c r="AW251">
        <f>step3_validation[[#This Row],[AI_TRU4]]</f>
        <v>9</v>
      </c>
      <c r="AX251">
        <f t="shared" si="99"/>
        <v>0.88888888888888884</v>
      </c>
      <c r="AY251">
        <f>survey_responses[[#This Row],[Tôi thấy Nhà nước đã giải thích rõ ràng, minh bạch về lý do và mục tiêu của việc sửa đổi thuế lần này. - HUMAN-TRU4]]</f>
        <v>6</v>
      </c>
      <c r="AZ251">
        <f t="shared" si="100"/>
        <v>0.55555555555555558</v>
      </c>
      <c r="BA251" s="32">
        <f t="shared" si="101"/>
        <v>0.83333333333333326</v>
      </c>
      <c r="BB251" s="32">
        <f t="shared" si="102"/>
        <v>0.55555555555555558</v>
      </c>
      <c r="BC251" s="7">
        <f t="shared" si="103"/>
        <v>0.81481481481481477</v>
      </c>
      <c r="BD251" s="7">
        <f t="shared" si="104"/>
        <v>0.55555555555555558</v>
      </c>
      <c r="BE251">
        <f>step3_validation[[#This Row],[AI_OUT1]]</f>
        <v>8</v>
      </c>
      <c r="BF251">
        <f t="shared" si="105"/>
        <v>0.77777777777777779</v>
      </c>
      <c r="BG251">
        <f>survey_responses[[#This Row],[Sau khi xem xét các quyền lợi và nghĩa vụ, bạn có ủng hộ và tuân thủ chính sách mới hiện nay? - HUMAN-OUT1]]</f>
        <v>7</v>
      </c>
      <c r="BH251">
        <f t="shared" si="106"/>
        <v>0.66666666666666663</v>
      </c>
      <c r="BI251" s="32">
        <f t="shared" si="107"/>
        <v>1</v>
      </c>
    </row>
    <row r="252" spans="1:61" x14ac:dyDescent="0.45">
      <c r="A252" s="30">
        <f>step3_validation[[#This Row],[Persona_ID]]</f>
        <v>251</v>
      </c>
      <c r="B252" s="31">
        <f>step3_validation[[#This Row],[Used_Seed]]</f>
        <v>2241</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46.732707487689403</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6</v>
      </c>
      <c r="R252">
        <f t="shared" si="81"/>
        <v>0.55555555555555558</v>
      </c>
      <c r="S252">
        <f>survey_responses[[#This Row],[Tôi tin rằng với các quy định quản lý thuế hiện nay, hành vi gian lận hoặc trốn thuế sẽ dễ dàng bị phát hiện và xử lý nghiêm. - HUMAN-ENF1]]</f>
        <v>8</v>
      </c>
      <c r="T252">
        <f t="shared" si="82"/>
        <v>0.77777777777777779</v>
      </c>
      <c r="U252">
        <f>step3_validation[[#This Row],[AI_ENF2]]</f>
        <v>8</v>
      </c>
      <c r="V252">
        <f t="shared" si="83"/>
        <v>0.77777777777777779</v>
      </c>
      <c r="W252">
        <f>survey_responses[[#This Row],[Tôi tin rằng Nhà nước, cơ quan thuế có đủ khả năng và công nghệ để phát hiện, xử lý nghiêm các hành vi trốn thuế. - HUMAN-ENF2]]</f>
        <v>8</v>
      </c>
      <c r="X252">
        <f t="shared" si="84"/>
        <v>0.77777777777777779</v>
      </c>
      <c r="Y252" s="32">
        <f t="shared" si="85"/>
        <v>0.66666666666666674</v>
      </c>
      <c r="Z252" s="32">
        <f t="shared" si="86"/>
        <v>0.77777777777777779</v>
      </c>
      <c r="AA252">
        <f>step3_validation[[#This Row],[AI_FAC1]]</f>
        <v>7</v>
      </c>
      <c r="AB252">
        <f t="shared" si="87"/>
        <v>0.66666666666666663</v>
      </c>
      <c r="AC252">
        <f>survey_responses[[#This Row],[Các thủ tục khai báo thuế VÀ/HOẶC quy trình làm việc với cơ quan thuế đơn giản, tiện lợi, nhanh chóng hơn so với trước đây. - HUMAN-FAC1]]</f>
        <v>8</v>
      </c>
      <c r="AD252">
        <f t="shared" si="88"/>
        <v>0.77777777777777779</v>
      </c>
      <c r="AE252">
        <f>step3_validation[[#This Row],[AI_FAC2]]</f>
        <v>9</v>
      </c>
      <c r="AF252">
        <f t="shared" si="89"/>
        <v>0.88888888888888884</v>
      </c>
      <c r="AG252">
        <f>survey_responses[[#This Row],[So với trước đây, tôi thấy cách tính thuế và các bậc thuế trong phương án mới đơn giản, dễ hiểu và dễ thực hiện hơn. - HUMAN-FAC2]]</f>
        <v>9</v>
      </c>
      <c r="AH252">
        <f t="shared" si="90"/>
        <v>0.88888888888888884</v>
      </c>
      <c r="AI252" s="32">
        <f t="shared" si="91"/>
        <v>0.77777777777777768</v>
      </c>
      <c r="AJ252" s="32">
        <f t="shared" si="92"/>
        <v>0.83333333333333326</v>
      </c>
      <c r="AK252">
        <f>step3_validation[[#This Row],[AI_TRU1]]</f>
        <v>7</v>
      </c>
      <c r="AL252">
        <f t="shared" si="93"/>
        <v>0.66666666666666663</v>
      </c>
      <c r="AM252">
        <f>survey_responses[[#This Row],[Tôi tin rằng Nhà nước, cơ quan thuế sẽ thực thi chính sách mới một cách khách quan, công tâm và đối xử bình đẳng với mọi người nộp thuế.  - HUMAN-TRU1]]</f>
        <v>8</v>
      </c>
      <c r="AN252">
        <f t="shared" si="94"/>
        <v>0.77777777777777779</v>
      </c>
      <c r="AO252">
        <f>step3_validation[[#This Row],[AI_TRU2]]</f>
        <v>9</v>
      </c>
      <c r="AP252">
        <f t="shared" si="95"/>
        <v>0.88888888888888884</v>
      </c>
      <c r="AQ252">
        <f>survey_responses[[#This Row],[Tôi thấy mức thuế tôi phải đóng theo phương án mới là công bằng (người thu nhập như tôi đóng mức này là hợp lý). - HUMAN-TRU2]]</f>
        <v>10</v>
      </c>
      <c r="AR252">
        <f t="shared" si="96"/>
        <v>1</v>
      </c>
      <c r="AS252">
        <f>step3_validation[[#This Row],[AI_TRU3]]</f>
        <v>8</v>
      </c>
      <c r="AT252">
        <f t="shared" si="97"/>
        <v>0.77777777777777779</v>
      </c>
      <c r="AU252">
        <f>survey_responses[[#This Row],[Tôi tin tưởng số tiền thuế tôi đóng sẽ được Nhà nước sử dụng hiệu quả để cải thiện dịch vụ công (y tế, đường xá...). - HUMAN-TRU3]]</f>
        <v>7</v>
      </c>
      <c r="AV252">
        <f t="shared" si="98"/>
        <v>0.66666666666666663</v>
      </c>
      <c r="AW252">
        <f>step3_validation[[#This Row],[AI_TRU4]]</f>
        <v>7</v>
      </c>
      <c r="AX252">
        <f t="shared" si="99"/>
        <v>0.66666666666666663</v>
      </c>
      <c r="AY252">
        <f>survey_responses[[#This Row],[Tôi thấy Nhà nước đã giải thích rõ ràng, minh bạch về lý do và mục tiêu của việc sửa đổi thuế lần này. - HUMAN-TRU4]]</f>
        <v>7</v>
      </c>
      <c r="AZ252">
        <f t="shared" si="100"/>
        <v>0.66666666666666663</v>
      </c>
      <c r="BA252" s="32">
        <f t="shared" si="101"/>
        <v>0.74999999999999989</v>
      </c>
      <c r="BB252" s="32">
        <f t="shared" si="102"/>
        <v>0.77777777777777768</v>
      </c>
      <c r="BC252" s="7">
        <f t="shared" si="103"/>
        <v>0.7314814814814814</v>
      </c>
      <c r="BD252" s="7">
        <f t="shared" si="104"/>
        <v>0.79629629629629628</v>
      </c>
      <c r="BE252">
        <f>step3_validation[[#This Row],[AI_OUT1]]</f>
        <v>9</v>
      </c>
      <c r="BF252">
        <f t="shared" si="105"/>
        <v>0.88888888888888884</v>
      </c>
      <c r="BG252">
        <f>survey_responses[[#This Row],[Sau khi xem xét các quyền lợi và nghĩa vụ, bạn có ủng hộ và tuân thủ chính sách mới hiện nay? - HUMAN-OUT1]]</f>
        <v>10</v>
      </c>
      <c r="BH252">
        <f t="shared" si="106"/>
        <v>1</v>
      </c>
      <c r="BI252" s="32">
        <f t="shared" si="107"/>
        <v>1</v>
      </c>
    </row>
    <row r="253" spans="1:61" x14ac:dyDescent="0.45">
      <c r="A253" s="30">
        <f>step3_validation[[#This Row],[Persona_ID]]</f>
        <v>252</v>
      </c>
      <c r="B253" s="31">
        <f>step3_validation[[#This Row],[Used_Seed]]</f>
        <v>2242</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65.532943390828976</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f t="shared" si="81"/>
        <v>0.66666666666666663</v>
      </c>
      <c r="S253">
        <f>survey_responses[[#This Row],[Tôi tin rằng với các quy định quản lý thuế hiện nay, hành vi gian lận hoặc trốn thuế sẽ dễ dàng bị phát hiện và xử lý nghiêm. - HUMAN-ENF1]]</f>
        <v>6</v>
      </c>
      <c r="T253">
        <f t="shared" si="82"/>
        <v>0.55555555555555558</v>
      </c>
      <c r="U253">
        <f>step3_validation[[#This Row],[AI_ENF2]]</f>
        <v>8</v>
      </c>
      <c r="V253">
        <f t="shared" si="83"/>
        <v>0.77777777777777779</v>
      </c>
      <c r="W253">
        <f>survey_responses[[#This Row],[Tôi tin rằng Nhà nước, cơ quan thuế có đủ khả năng và công nghệ để phát hiện, xử lý nghiêm các hành vi trốn thuế. - HUMAN-ENF2]]</f>
        <v>6</v>
      </c>
      <c r="X253">
        <f t="shared" si="84"/>
        <v>0.55555555555555558</v>
      </c>
      <c r="Y253" s="32">
        <f t="shared" si="85"/>
        <v>0.72222222222222221</v>
      </c>
      <c r="Z253" s="32">
        <f t="shared" si="86"/>
        <v>0.55555555555555558</v>
      </c>
      <c r="AA253">
        <f>step3_validation[[#This Row],[AI_FAC1]]</f>
        <v>9</v>
      </c>
      <c r="AB253">
        <f t="shared" si="87"/>
        <v>0.88888888888888884</v>
      </c>
      <c r="AC253">
        <f>survey_responses[[#This Row],[Các thủ tục khai báo thuế VÀ/HOẶC quy trình làm việc với cơ quan thuế đơn giản, tiện lợi, nhanh chóng hơn so với trước đây. - HUMAN-FAC1]]</f>
        <v>1</v>
      </c>
      <c r="AD253">
        <f t="shared" si="88"/>
        <v>0</v>
      </c>
      <c r="AE253">
        <f>step3_validation[[#This Row],[AI_FAC2]]</f>
        <v>9</v>
      </c>
      <c r="AF253">
        <f t="shared" si="89"/>
        <v>0.88888888888888884</v>
      </c>
      <c r="AG253">
        <f>survey_responses[[#This Row],[So với trước đây, tôi thấy cách tính thuế và các bậc thuế trong phương án mới đơn giản, dễ hiểu và dễ thực hiện hơn. - HUMAN-FAC2]]</f>
        <v>6</v>
      </c>
      <c r="AH253">
        <f t="shared" si="90"/>
        <v>0.55555555555555558</v>
      </c>
      <c r="AI253" s="32">
        <f t="shared" si="91"/>
        <v>0.88888888888888884</v>
      </c>
      <c r="AJ253" s="32">
        <f t="shared" si="92"/>
        <v>0.27777777777777779</v>
      </c>
      <c r="AK253">
        <f>step3_validation[[#This Row],[AI_TRU1]]</f>
        <v>8</v>
      </c>
      <c r="AL253">
        <f t="shared" si="93"/>
        <v>0.77777777777777779</v>
      </c>
      <c r="AM253">
        <f>survey_responses[[#This Row],[Tôi tin rằng Nhà nước, cơ quan thuế sẽ thực thi chính sách mới một cách khách quan, công tâm và đối xử bình đẳng với mọi người nộp thuế.  - HUMAN-TRU1]]</f>
        <v>5</v>
      </c>
      <c r="AN253">
        <f t="shared" si="94"/>
        <v>0.44444444444444442</v>
      </c>
      <c r="AO253">
        <f>step3_validation[[#This Row],[AI_TRU2]]</f>
        <v>9</v>
      </c>
      <c r="AP253">
        <f t="shared" si="95"/>
        <v>0.88888888888888884</v>
      </c>
      <c r="AQ253">
        <f>survey_responses[[#This Row],[Tôi thấy mức thuế tôi phải đóng theo phương án mới là công bằng (người thu nhập như tôi đóng mức này là hợp lý). - HUMAN-TRU2]]</f>
        <v>6</v>
      </c>
      <c r="AR253">
        <f t="shared" si="96"/>
        <v>0.55555555555555558</v>
      </c>
      <c r="AS253">
        <f>step3_validation[[#This Row],[AI_TRU3]]</f>
        <v>8</v>
      </c>
      <c r="AT253">
        <f t="shared" si="97"/>
        <v>0.77777777777777779</v>
      </c>
      <c r="AU253">
        <f>survey_responses[[#This Row],[Tôi tin tưởng số tiền thuế tôi đóng sẽ được Nhà nước sử dụng hiệu quả để cải thiện dịch vụ công (y tế, đường xá...). - HUMAN-TRU3]]</f>
        <v>6</v>
      </c>
      <c r="AV253">
        <f t="shared" si="98"/>
        <v>0.55555555555555558</v>
      </c>
      <c r="AW253">
        <f>step3_validation[[#This Row],[AI_TRU4]]</f>
        <v>7</v>
      </c>
      <c r="AX253">
        <f t="shared" si="99"/>
        <v>0.66666666666666663</v>
      </c>
      <c r="AY253">
        <f>survey_responses[[#This Row],[Tôi thấy Nhà nước đã giải thích rõ ràng, minh bạch về lý do và mục tiêu của việc sửa đổi thuế lần này. - HUMAN-TRU4]]</f>
        <v>6</v>
      </c>
      <c r="AZ253">
        <f t="shared" si="100"/>
        <v>0.55555555555555558</v>
      </c>
      <c r="BA253" s="32">
        <f t="shared" si="101"/>
        <v>0.77777777777777768</v>
      </c>
      <c r="BB253" s="32">
        <f t="shared" si="102"/>
        <v>0.52777777777777779</v>
      </c>
      <c r="BC253" s="7">
        <f t="shared" si="103"/>
        <v>0.79629629629629628</v>
      </c>
      <c r="BD253" s="7">
        <f t="shared" si="104"/>
        <v>0.45370370370370372</v>
      </c>
      <c r="BE253">
        <f>step3_validation[[#This Row],[AI_OUT1]]</f>
        <v>9</v>
      </c>
      <c r="BF253">
        <f t="shared" si="105"/>
        <v>0.88888888888888884</v>
      </c>
      <c r="BG253">
        <f>survey_responses[[#This Row],[Sau khi xem xét các quyền lợi và nghĩa vụ, bạn có ủng hộ và tuân thủ chính sách mới hiện nay? - HUMAN-OUT1]]</f>
        <v>6</v>
      </c>
      <c r="BH253">
        <f t="shared" si="106"/>
        <v>0.55555555555555558</v>
      </c>
      <c r="BI253" s="32">
        <f t="shared" si="107"/>
        <v>3</v>
      </c>
    </row>
    <row r="254" spans="1:61" x14ac:dyDescent="0.45">
      <c r="A254" s="30">
        <f>step3_validation[[#This Row],[Persona_ID]]</f>
        <v>253</v>
      </c>
      <c r="B254" s="31">
        <f>step3_validation[[#This Row],[Used_Seed]]</f>
        <v>2243</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82.14951735135385</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f t="shared" si="81"/>
        <v>0.66666666666666663</v>
      </c>
      <c r="S254">
        <f>survey_responses[[#This Row],[Tôi tin rằng với các quy định quản lý thuế hiện nay, hành vi gian lận hoặc trốn thuế sẽ dễ dàng bị phát hiện và xử lý nghiêm. - HUMAN-ENF1]]</f>
        <v>8</v>
      </c>
      <c r="T254">
        <f t="shared" si="82"/>
        <v>0.77777777777777779</v>
      </c>
      <c r="U254">
        <f>step3_validation[[#This Row],[AI_ENF2]]</f>
        <v>6</v>
      </c>
      <c r="V254">
        <f t="shared" si="83"/>
        <v>0.55555555555555558</v>
      </c>
      <c r="W254">
        <f>survey_responses[[#This Row],[Tôi tin rằng Nhà nước, cơ quan thuế có đủ khả năng và công nghệ để phát hiện, xử lý nghiêm các hành vi trốn thuế. - HUMAN-ENF2]]</f>
        <v>8</v>
      </c>
      <c r="X254">
        <f t="shared" si="84"/>
        <v>0.77777777777777779</v>
      </c>
      <c r="Y254" s="32">
        <f t="shared" si="85"/>
        <v>0.61111111111111116</v>
      </c>
      <c r="Z254" s="32">
        <f t="shared" si="86"/>
        <v>0.77777777777777779</v>
      </c>
      <c r="AA254">
        <f>step3_validation[[#This Row],[AI_FAC1]]</f>
        <v>8</v>
      </c>
      <c r="AB254">
        <f t="shared" si="87"/>
        <v>0.77777777777777779</v>
      </c>
      <c r="AC254">
        <f>survey_responses[[#This Row],[Các thủ tục khai báo thuế VÀ/HOẶC quy trình làm việc với cơ quan thuế đơn giản, tiện lợi, nhanh chóng hơn so với trước đây. - HUMAN-FAC1]]</f>
        <v>3</v>
      </c>
      <c r="AD254">
        <f t="shared" si="88"/>
        <v>0.22222222222222221</v>
      </c>
      <c r="AE254">
        <f>step3_validation[[#This Row],[AI_FAC2]]</f>
        <v>9</v>
      </c>
      <c r="AF254">
        <f t="shared" si="89"/>
        <v>0.88888888888888884</v>
      </c>
      <c r="AG254">
        <f>survey_responses[[#This Row],[So với trước đây, tôi thấy cách tính thuế và các bậc thuế trong phương án mới đơn giản, dễ hiểu và dễ thực hiện hơn. - HUMAN-FAC2]]</f>
        <v>9</v>
      </c>
      <c r="AH254">
        <f t="shared" si="90"/>
        <v>0.88888888888888884</v>
      </c>
      <c r="AI254" s="32">
        <f t="shared" si="91"/>
        <v>0.83333333333333326</v>
      </c>
      <c r="AJ254" s="32">
        <f t="shared" si="92"/>
        <v>0.55555555555555558</v>
      </c>
      <c r="AK254">
        <f>step3_validation[[#This Row],[AI_TRU1]]</f>
        <v>7</v>
      </c>
      <c r="AL254">
        <f t="shared" si="93"/>
        <v>0.66666666666666663</v>
      </c>
      <c r="AM254">
        <f>survey_responses[[#This Row],[Tôi tin rằng Nhà nước, cơ quan thuế sẽ thực thi chính sách mới một cách khách quan, công tâm và đối xử bình đẳng với mọi người nộp thuế.  - HUMAN-TRU1]]</f>
        <v>8</v>
      </c>
      <c r="AN254">
        <f t="shared" si="94"/>
        <v>0.77777777777777779</v>
      </c>
      <c r="AO254">
        <f>step3_validation[[#This Row],[AI_TRU2]]</f>
        <v>8</v>
      </c>
      <c r="AP254">
        <f t="shared" si="95"/>
        <v>0.77777777777777779</v>
      </c>
      <c r="AQ254">
        <f>survey_responses[[#This Row],[Tôi thấy mức thuế tôi phải đóng theo phương án mới là công bằng (người thu nhập như tôi đóng mức này là hợp lý). - HUMAN-TRU2]]</f>
        <v>8</v>
      </c>
      <c r="AR254">
        <f t="shared" si="96"/>
        <v>0.77777777777777779</v>
      </c>
      <c r="AS254">
        <f>step3_validation[[#This Row],[AI_TRU3]]</f>
        <v>7</v>
      </c>
      <c r="AT254">
        <f t="shared" si="97"/>
        <v>0.66666666666666663</v>
      </c>
      <c r="AU254">
        <f>survey_responses[[#This Row],[Tôi tin tưởng số tiền thuế tôi đóng sẽ được Nhà nước sử dụng hiệu quả để cải thiện dịch vụ công (y tế, đường xá...). - HUMAN-TRU3]]</f>
        <v>8</v>
      </c>
      <c r="AV254">
        <f t="shared" si="98"/>
        <v>0.77777777777777779</v>
      </c>
      <c r="AW254">
        <f>step3_validation[[#This Row],[AI_TRU4]]</f>
        <v>6</v>
      </c>
      <c r="AX254">
        <f t="shared" si="99"/>
        <v>0.55555555555555558</v>
      </c>
      <c r="AY254">
        <f>survey_responses[[#This Row],[Tôi thấy Nhà nước đã giải thích rõ ràng, minh bạch về lý do và mục tiêu của việc sửa đổi thuế lần này. - HUMAN-TRU4]]</f>
        <v>8</v>
      </c>
      <c r="AZ254">
        <f t="shared" si="100"/>
        <v>0.77777777777777779</v>
      </c>
      <c r="BA254" s="32">
        <f t="shared" si="101"/>
        <v>0.66666666666666674</v>
      </c>
      <c r="BB254" s="32">
        <f t="shared" si="102"/>
        <v>0.77777777777777779</v>
      </c>
      <c r="BC254" s="7">
        <f t="shared" si="103"/>
        <v>0.70370370370370372</v>
      </c>
      <c r="BD254" s="7">
        <f t="shared" si="104"/>
        <v>0.70370370370370372</v>
      </c>
      <c r="BE254">
        <f>step3_validation[[#This Row],[AI_OUT1]]</f>
        <v>9</v>
      </c>
      <c r="BF254">
        <f t="shared" si="105"/>
        <v>0.88888888888888884</v>
      </c>
      <c r="BG254">
        <f>survey_responses[[#This Row],[Sau khi xem xét các quyền lợi và nghĩa vụ, bạn có ủng hộ và tuân thủ chính sách mới hiện nay? - HUMAN-OUT1]]</f>
        <v>8</v>
      </c>
      <c r="BH254">
        <f t="shared" si="106"/>
        <v>0.77777777777777779</v>
      </c>
      <c r="BI254" s="32">
        <f t="shared" si="107"/>
        <v>1</v>
      </c>
    </row>
    <row r="255" spans="1:61" x14ac:dyDescent="0.45">
      <c r="A255" s="30">
        <f>step3_validation[[#This Row],[Persona_ID]]</f>
        <v>254</v>
      </c>
      <c r="B255" s="31">
        <f>step3_validation[[#This Row],[Used_Seed]]</f>
        <v>2244</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86.850437301740783</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f t="shared" si="81"/>
        <v>0.66666666666666663</v>
      </c>
      <c r="S255">
        <f>survey_responses[[#This Row],[Tôi tin rằng với các quy định quản lý thuế hiện nay, hành vi gian lận hoặc trốn thuế sẽ dễ dàng bị phát hiện và xử lý nghiêm. - HUMAN-ENF1]]</f>
        <v>4</v>
      </c>
      <c r="T255">
        <f t="shared" si="82"/>
        <v>0.33333333333333331</v>
      </c>
      <c r="U255">
        <f>step3_validation[[#This Row],[AI_ENF2]]</f>
        <v>6</v>
      </c>
      <c r="V255">
        <f t="shared" si="83"/>
        <v>0.55555555555555558</v>
      </c>
      <c r="W255">
        <f>survey_responses[[#This Row],[Tôi tin rằng Nhà nước, cơ quan thuế có đủ khả năng và công nghệ để phát hiện, xử lý nghiêm các hành vi trốn thuế. - HUMAN-ENF2]]</f>
        <v>3</v>
      </c>
      <c r="X255">
        <f t="shared" si="84"/>
        <v>0.22222222222222221</v>
      </c>
      <c r="Y255" s="32">
        <f t="shared" si="85"/>
        <v>0.61111111111111116</v>
      </c>
      <c r="Z255" s="32">
        <f t="shared" si="86"/>
        <v>0.27777777777777779</v>
      </c>
      <c r="AA255">
        <f>step3_validation[[#This Row],[AI_FAC1]]</f>
        <v>8</v>
      </c>
      <c r="AB255">
        <f t="shared" si="87"/>
        <v>0.77777777777777779</v>
      </c>
      <c r="AC255">
        <f>survey_responses[[#This Row],[Các thủ tục khai báo thuế VÀ/HOẶC quy trình làm việc với cơ quan thuế đơn giản, tiện lợi, nhanh chóng hơn so với trước đây. - HUMAN-FAC1]]</f>
        <v>1</v>
      </c>
      <c r="AD255">
        <f t="shared" si="88"/>
        <v>0</v>
      </c>
      <c r="AE255">
        <f>step3_validation[[#This Row],[AI_FAC2]]</f>
        <v>9</v>
      </c>
      <c r="AF255">
        <f t="shared" si="89"/>
        <v>0.88888888888888884</v>
      </c>
      <c r="AG255">
        <f>survey_responses[[#This Row],[So với trước đây, tôi thấy cách tính thuế và các bậc thuế trong phương án mới đơn giản, dễ hiểu và dễ thực hiện hơn. - HUMAN-FAC2]]</f>
        <v>7</v>
      </c>
      <c r="AH255">
        <f t="shared" si="90"/>
        <v>0.66666666666666663</v>
      </c>
      <c r="AI255" s="32">
        <f t="shared" si="91"/>
        <v>0.83333333333333326</v>
      </c>
      <c r="AJ255" s="32">
        <f t="shared" si="92"/>
        <v>0.33333333333333331</v>
      </c>
      <c r="AK255">
        <f>step3_validation[[#This Row],[AI_TRU1]]</f>
        <v>8</v>
      </c>
      <c r="AL255">
        <f t="shared" si="93"/>
        <v>0.77777777777777779</v>
      </c>
      <c r="AM255">
        <f>survey_responses[[#This Row],[Tôi tin rằng Nhà nước, cơ quan thuế sẽ thực thi chính sách mới một cách khách quan, công tâm và đối xử bình đẳng với mọi người nộp thuế.  - HUMAN-TRU1]]</f>
        <v>3</v>
      </c>
      <c r="AN255">
        <f t="shared" si="94"/>
        <v>0.22222222222222221</v>
      </c>
      <c r="AO255">
        <f>step3_validation[[#This Row],[AI_TRU2]]</f>
        <v>9</v>
      </c>
      <c r="AP255">
        <f t="shared" si="95"/>
        <v>0.88888888888888884</v>
      </c>
      <c r="AQ255">
        <f>survey_responses[[#This Row],[Tôi thấy mức thuế tôi phải đóng theo phương án mới là công bằng (người thu nhập như tôi đóng mức này là hợp lý). - HUMAN-TRU2]]</f>
        <v>6</v>
      </c>
      <c r="AR255">
        <f t="shared" si="96"/>
        <v>0.55555555555555558</v>
      </c>
      <c r="AS255">
        <f>step3_validation[[#This Row],[AI_TRU3]]</f>
        <v>8</v>
      </c>
      <c r="AT255">
        <f t="shared" si="97"/>
        <v>0.77777777777777779</v>
      </c>
      <c r="AU255">
        <f>survey_responses[[#This Row],[Tôi tin tưởng số tiền thuế tôi đóng sẽ được Nhà nước sử dụng hiệu quả để cải thiện dịch vụ công (y tế, đường xá...). - HUMAN-TRU3]]</f>
        <v>5</v>
      </c>
      <c r="AV255">
        <f t="shared" si="98"/>
        <v>0.44444444444444442</v>
      </c>
      <c r="AW255">
        <f>step3_validation[[#This Row],[AI_TRU4]]</f>
        <v>7</v>
      </c>
      <c r="AX255">
        <f t="shared" si="99"/>
        <v>0.66666666666666663</v>
      </c>
      <c r="AY255">
        <f>survey_responses[[#This Row],[Tôi thấy Nhà nước đã giải thích rõ ràng, minh bạch về lý do và mục tiêu của việc sửa đổi thuế lần này. - HUMAN-TRU4]]</f>
        <v>6</v>
      </c>
      <c r="AZ255">
        <f t="shared" si="100"/>
        <v>0.55555555555555558</v>
      </c>
      <c r="BA255" s="32">
        <f t="shared" si="101"/>
        <v>0.77777777777777768</v>
      </c>
      <c r="BB255" s="32">
        <f t="shared" si="102"/>
        <v>0.44444444444444448</v>
      </c>
      <c r="BC255" s="7">
        <f t="shared" si="103"/>
        <v>0.74074074074074081</v>
      </c>
      <c r="BD255" s="7">
        <f t="shared" si="104"/>
        <v>0.35185185185185186</v>
      </c>
      <c r="BE255">
        <f>step3_validation[[#This Row],[AI_OUT1]]</f>
        <v>9</v>
      </c>
      <c r="BF255">
        <f t="shared" si="105"/>
        <v>0.88888888888888884</v>
      </c>
      <c r="BG255">
        <f>survey_responses[[#This Row],[Sau khi xem xét các quyền lợi và nghĩa vụ, bạn có ủng hộ và tuân thủ chính sách mới hiện nay? - HUMAN-OUT1]]</f>
        <v>6</v>
      </c>
      <c r="BH255">
        <f t="shared" si="106"/>
        <v>0.55555555555555558</v>
      </c>
      <c r="BI255" s="32">
        <f t="shared" si="107"/>
        <v>3</v>
      </c>
    </row>
    <row r="256" spans="1:61" x14ac:dyDescent="0.45">
      <c r="A256" s="30">
        <f>step3_validation[[#This Row],[Persona_ID]]</f>
        <v>255</v>
      </c>
      <c r="B256" s="31">
        <f>step3_validation[[#This Row],[Used_Seed]]</f>
        <v>2245</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61.469377991722489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8</v>
      </c>
      <c r="R256">
        <f t="shared" si="81"/>
        <v>0.77777777777777779</v>
      </c>
      <c r="S256">
        <f>survey_responses[[#This Row],[Tôi tin rằng với các quy định quản lý thuế hiện nay, hành vi gian lận hoặc trốn thuế sẽ dễ dàng bị phát hiện và xử lý nghiêm. - HUMAN-ENF1]]</f>
        <v>6</v>
      </c>
      <c r="T256">
        <f t="shared" si="82"/>
        <v>0.55555555555555558</v>
      </c>
      <c r="U256">
        <f>step3_validation[[#This Row],[AI_ENF2]]</f>
        <v>7</v>
      </c>
      <c r="V256">
        <f t="shared" si="83"/>
        <v>0.66666666666666663</v>
      </c>
      <c r="W256">
        <f>survey_responses[[#This Row],[Tôi tin rằng Nhà nước, cơ quan thuế có đủ khả năng và công nghệ để phát hiện, xử lý nghiêm các hành vi trốn thuế. - HUMAN-ENF2]]</f>
        <v>6</v>
      </c>
      <c r="X256">
        <f t="shared" si="84"/>
        <v>0.55555555555555558</v>
      </c>
      <c r="Y256" s="32">
        <f t="shared" si="85"/>
        <v>0.72222222222222221</v>
      </c>
      <c r="Z256" s="32">
        <f t="shared" si="86"/>
        <v>0.55555555555555558</v>
      </c>
      <c r="AA256">
        <f>step3_validation[[#This Row],[AI_FAC1]]</f>
        <v>9</v>
      </c>
      <c r="AB256">
        <f t="shared" si="87"/>
        <v>0.88888888888888884</v>
      </c>
      <c r="AC256">
        <f>survey_responses[[#This Row],[Các thủ tục khai báo thuế VÀ/HOẶC quy trình làm việc với cơ quan thuế đơn giản, tiện lợi, nhanh chóng hơn so với trước đây. - HUMAN-FAC1]]</f>
        <v>1</v>
      </c>
      <c r="AD256">
        <f t="shared" si="88"/>
        <v>0</v>
      </c>
      <c r="AE256">
        <f>step3_validation[[#This Row],[AI_FAC2]]</f>
        <v>9</v>
      </c>
      <c r="AF256">
        <f t="shared" si="89"/>
        <v>0.88888888888888884</v>
      </c>
      <c r="AG256">
        <f>survey_responses[[#This Row],[So với trước đây, tôi thấy cách tính thuế và các bậc thuế trong phương án mới đơn giản, dễ hiểu và dễ thực hiện hơn. - HUMAN-FAC2]]</f>
        <v>7</v>
      </c>
      <c r="AH256">
        <f t="shared" si="90"/>
        <v>0.66666666666666663</v>
      </c>
      <c r="AI256" s="32">
        <f t="shared" si="91"/>
        <v>0.88888888888888884</v>
      </c>
      <c r="AJ256" s="32">
        <f t="shared" si="92"/>
        <v>0.33333333333333331</v>
      </c>
      <c r="AK256">
        <f>step3_validation[[#This Row],[AI_TRU1]]</f>
        <v>8</v>
      </c>
      <c r="AL256">
        <f t="shared" si="93"/>
        <v>0.77777777777777779</v>
      </c>
      <c r="AM256">
        <f>survey_responses[[#This Row],[Tôi tin rằng Nhà nước, cơ quan thuế sẽ thực thi chính sách mới một cách khách quan, công tâm và đối xử bình đẳng với mọi người nộp thuế.  - HUMAN-TRU1]]</f>
        <v>5</v>
      </c>
      <c r="AN256">
        <f t="shared" si="94"/>
        <v>0.44444444444444442</v>
      </c>
      <c r="AO256">
        <f>step3_validation[[#This Row],[AI_TRU2]]</f>
        <v>9</v>
      </c>
      <c r="AP256">
        <f t="shared" si="95"/>
        <v>0.88888888888888884</v>
      </c>
      <c r="AQ256">
        <f>survey_responses[[#This Row],[Tôi thấy mức thuế tôi phải đóng theo phương án mới là công bằng (người thu nhập như tôi đóng mức này là hợp lý). - HUMAN-TRU2]]</f>
        <v>6</v>
      </c>
      <c r="AR256">
        <f t="shared" si="96"/>
        <v>0.55555555555555558</v>
      </c>
      <c r="AS256">
        <f>step3_validation[[#This Row],[AI_TRU3]]</f>
        <v>8</v>
      </c>
      <c r="AT256">
        <f t="shared" si="97"/>
        <v>0.77777777777777779</v>
      </c>
      <c r="AU256">
        <f>survey_responses[[#This Row],[Tôi tin tưởng số tiền thuế tôi đóng sẽ được Nhà nước sử dụng hiệu quả để cải thiện dịch vụ công (y tế, đường xá...). - HUMAN-TRU3]]</f>
        <v>6</v>
      </c>
      <c r="AV256">
        <f t="shared" si="98"/>
        <v>0.55555555555555558</v>
      </c>
      <c r="AW256">
        <f>step3_validation[[#This Row],[AI_TRU4]]</f>
        <v>7</v>
      </c>
      <c r="AX256">
        <f t="shared" si="99"/>
        <v>0.66666666666666663</v>
      </c>
      <c r="AY256">
        <f>survey_responses[[#This Row],[Tôi thấy Nhà nước đã giải thích rõ ràng, minh bạch về lý do và mục tiêu của việc sửa đổi thuế lần này. - HUMAN-TRU4]]</f>
        <v>6</v>
      </c>
      <c r="AZ256">
        <f t="shared" si="100"/>
        <v>0.55555555555555558</v>
      </c>
      <c r="BA256" s="32">
        <f t="shared" si="101"/>
        <v>0.77777777777777768</v>
      </c>
      <c r="BB256" s="32">
        <f t="shared" si="102"/>
        <v>0.52777777777777779</v>
      </c>
      <c r="BC256" s="7">
        <f t="shared" si="103"/>
        <v>0.79629629629629628</v>
      </c>
      <c r="BD256" s="7">
        <f t="shared" si="104"/>
        <v>0.47222222222222215</v>
      </c>
      <c r="BE256">
        <f>step3_validation[[#This Row],[AI_OUT1]]</f>
        <v>9</v>
      </c>
      <c r="BF256">
        <f t="shared" si="105"/>
        <v>0.88888888888888884</v>
      </c>
      <c r="BG256">
        <f>survey_responses[[#This Row],[Sau khi xem xét các quyền lợi và nghĩa vụ, bạn có ủng hộ và tuân thủ chính sách mới hiện nay? - HUMAN-OUT1]]</f>
        <v>6</v>
      </c>
      <c r="BH256">
        <f t="shared" si="106"/>
        <v>0.55555555555555558</v>
      </c>
      <c r="BI256" s="32">
        <f t="shared" si="107"/>
        <v>3</v>
      </c>
    </row>
    <row r="257" spans="1:61" x14ac:dyDescent="0.45">
      <c r="A257" s="30">
        <f>step3_validation[[#This Row],[Persona_ID]]</f>
        <v>256</v>
      </c>
      <c r="B257" s="31">
        <f>step3_validation[[#This Row],[Used_Seed]]</f>
        <v>2246</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155.46569674021657</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f t="shared" si="81"/>
        <v>0.66666666666666663</v>
      </c>
      <c r="S257">
        <f>survey_responses[[#This Row],[Tôi tin rằng với các quy định quản lý thuế hiện nay, hành vi gian lận hoặc trốn thuế sẽ dễ dàng bị phát hiện và xử lý nghiêm. - HUMAN-ENF1]]</f>
        <v>8</v>
      </c>
      <c r="T257">
        <f t="shared" si="82"/>
        <v>0.77777777777777779</v>
      </c>
      <c r="U257">
        <f>step3_validation[[#This Row],[AI_ENF2]]</f>
        <v>8</v>
      </c>
      <c r="V257">
        <f t="shared" si="83"/>
        <v>0.77777777777777779</v>
      </c>
      <c r="W257">
        <f>survey_responses[[#This Row],[Tôi tin rằng Nhà nước, cơ quan thuế có đủ khả năng và công nghệ để phát hiện, xử lý nghiêm các hành vi trốn thuế. - HUMAN-ENF2]]</f>
        <v>8</v>
      </c>
      <c r="X257">
        <f t="shared" si="84"/>
        <v>0.77777777777777779</v>
      </c>
      <c r="Y257" s="32">
        <f t="shared" si="85"/>
        <v>0.72222222222222221</v>
      </c>
      <c r="Z257" s="32">
        <f t="shared" si="86"/>
        <v>0.77777777777777779</v>
      </c>
      <c r="AA257">
        <f>step3_validation[[#This Row],[AI_FAC1]]</f>
        <v>7</v>
      </c>
      <c r="AB257">
        <f t="shared" si="87"/>
        <v>0.66666666666666663</v>
      </c>
      <c r="AC257">
        <f>survey_responses[[#This Row],[Các thủ tục khai báo thuế VÀ/HOẶC quy trình làm việc với cơ quan thuế đơn giản, tiện lợi, nhanh chóng hơn so với trước đây. - HUMAN-FAC1]]</f>
        <v>5</v>
      </c>
      <c r="AD257">
        <f t="shared" si="88"/>
        <v>0.44444444444444442</v>
      </c>
      <c r="AE257">
        <f>step3_validation[[#This Row],[AI_FAC2]]</f>
        <v>8</v>
      </c>
      <c r="AF257">
        <f t="shared" si="89"/>
        <v>0.77777777777777779</v>
      </c>
      <c r="AG257">
        <f>survey_responses[[#This Row],[So với trước đây, tôi thấy cách tính thuế và các bậc thuế trong phương án mới đơn giản, dễ hiểu và dễ thực hiện hơn. - HUMAN-FAC2]]</f>
        <v>8</v>
      </c>
      <c r="AH257">
        <f t="shared" si="90"/>
        <v>0.77777777777777779</v>
      </c>
      <c r="AI257" s="32">
        <f t="shared" si="91"/>
        <v>0.72222222222222221</v>
      </c>
      <c r="AJ257" s="32">
        <f t="shared" si="92"/>
        <v>0.61111111111111116</v>
      </c>
      <c r="AK257">
        <f>step3_validation[[#This Row],[AI_TRU1]]</f>
        <v>6</v>
      </c>
      <c r="AL257">
        <f t="shared" si="93"/>
        <v>0.55555555555555558</v>
      </c>
      <c r="AM257">
        <f>survey_responses[[#This Row],[Tôi tin rằng Nhà nước, cơ quan thuế sẽ thực thi chính sách mới một cách khách quan, công tâm và đối xử bình đẳng với mọi người nộp thuế.  - HUMAN-TRU1]]</f>
        <v>8</v>
      </c>
      <c r="AN257">
        <f t="shared" si="94"/>
        <v>0.77777777777777779</v>
      </c>
      <c r="AO257">
        <f>step3_validation[[#This Row],[AI_TRU2]]</f>
        <v>8</v>
      </c>
      <c r="AP257">
        <f t="shared" si="95"/>
        <v>0.77777777777777779</v>
      </c>
      <c r="AQ257">
        <f>survey_responses[[#This Row],[Tôi thấy mức thuế tôi phải đóng theo phương án mới là công bằng (người thu nhập như tôi đóng mức này là hợp lý). - HUMAN-TRU2]]</f>
        <v>7</v>
      </c>
      <c r="AR257">
        <f t="shared" si="96"/>
        <v>0.66666666666666663</v>
      </c>
      <c r="AS257">
        <f>step3_validation[[#This Row],[AI_TRU3]]</f>
        <v>6</v>
      </c>
      <c r="AT257">
        <f t="shared" si="97"/>
        <v>0.55555555555555558</v>
      </c>
      <c r="AU257">
        <f>survey_responses[[#This Row],[Tôi tin tưởng số tiền thuế tôi đóng sẽ được Nhà nước sử dụng hiệu quả để cải thiện dịch vụ công (y tế, đường xá...). - HUMAN-TRU3]]</f>
        <v>7</v>
      </c>
      <c r="AV257">
        <f t="shared" si="98"/>
        <v>0.66666666666666663</v>
      </c>
      <c r="AW257">
        <f>step3_validation[[#This Row],[AI_TRU4]]</f>
        <v>7</v>
      </c>
      <c r="AX257">
        <f t="shared" si="99"/>
        <v>0.66666666666666663</v>
      </c>
      <c r="AY257">
        <f>survey_responses[[#This Row],[Tôi thấy Nhà nước đã giải thích rõ ràng, minh bạch về lý do và mục tiêu của việc sửa đổi thuế lần này. - HUMAN-TRU4]]</f>
        <v>7</v>
      </c>
      <c r="AZ257">
        <f t="shared" si="100"/>
        <v>0.66666666666666663</v>
      </c>
      <c r="BA257" s="32">
        <f t="shared" si="101"/>
        <v>0.63888888888888895</v>
      </c>
      <c r="BB257" s="32">
        <f t="shared" si="102"/>
        <v>0.69444444444444442</v>
      </c>
      <c r="BC257" s="7">
        <f t="shared" si="103"/>
        <v>0.69444444444444453</v>
      </c>
      <c r="BD257" s="7">
        <f t="shared" si="104"/>
        <v>0.69444444444444431</v>
      </c>
      <c r="BE257">
        <f>step3_validation[[#This Row],[AI_OUT1]]</f>
        <v>8</v>
      </c>
      <c r="BF257">
        <f t="shared" si="105"/>
        <v>0.77777777777777779</v>
      </c>
      <c r="BG257">
        <f>survey_responses[[#This Row],[Sau khi xem xét các quyền lợi và nghĩa vụ, bạn có ủng hộ và tuân thủ chính sách mới hiện nay? - HUMAN-OUT1]]</f>
        <v>7</v>
      </c>
      <c r="BH257">
        <f t="shared" si="106"/>
        <v>0.66666666666666663</v>
      </c>
      <c r="BI257" s="32">
        <f t="shared" si="107"/>
        <v>1</v>
      </c>
    </row>
    <row r="258" spans="1:61" x14ac:dyDescent="0.45">
      <c r="A258" s="30">
        <f>step3_validation[[#This Row],[Persona_ID]]</f>
        <v>257</v>
      </c>
      <c r="B258" s="31">
        <f>step3_validation[[#This Row],[Used_Seed]]</f>
        <v>2247</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32.842725037886026</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5</v>
      </c>
      <c r="R258">
        <f t="shared" si="81"/>
        <v>0.44444444444444442</v>
      </c>
      <c r="S258">
        <f>survey_responses[[#This Row],[Tôi tin rằng với các quy định quản lý thuế hiện nay, hành vi gian lận hoặc trốn thuế sẽ dễ dàng bị phát hiện và xử lý nghiêm. - HUMAN-ENF1]]</f>
        <v>7</v>
      </c>
      <c r="T258">
        <f t="shared" si="82"/>
        <v>0.66666666666666663</v>
      </c>
      <c r="U258">
        <f>step3_validation[[#This Row],[AI_ENF2]]</f>
        <v>6</v>
      </c>
      <c r="V258">
        <f t="shared" si="83"/>
        <v>0.55555555555555558</v>
      </c>
      <c r="W258">
        <f>survey_responses[[#This Row],[Tôi tin rằng Nhà nước, cơ quan thuế có đủ khả năng và công nghệ để phát hiện, xử lý nghiêm các hành vi trốn thuế. - HUMAN-ENF2]]</f>
        <v>8</v>
      </c>
      <c r="X258">
        <f t="shared" si="84"/>
        <v>0.77777777777777779</v>
      </c>
      <c r="Y258" s="32">
        <f t="shared" si="85"/>
        <v>0.5</v>
      </c>
      <c r="Z258" s="32">
        <f t="shared" si="86"/>
        <v>0.72222222222222221</v>
      </c>
      <c r="AA258">
        <f>step3_validation[[#This Row],[AI_FAC1]]</f>
        <v>8</v>
      </c>
      <c r="AB258">
        <f t="shared" si="87"/>
        <v>0.77777777777777779</v>
      </c>
      <c r="AC258">
        <f>survey_responses[[#This Row],[Các thủ tục khai báo thuế VÀ/HOẶC quy trình làm việc với cơ quan thuế đơn giản, tiện lợi, nhanh chóng hơn so với trước đây. - HUMAN-FAC1]]</f>
        <v>4</v>
      </c>
      <c r="AD258">
        <f t="shared" si="88"/>
        <v>0.33333333333333331</v>
      </c>
      <c r="AE258">
        <f>step3_validation[[#This Row],[AI_FAC2]]</f>
        <v>9</v>
      </c>
      <c r="AF258">
        <f t="shared" si="89"/>
        <v>0.88888888888888884</v>
      </c>
      <c r="AG258">
        <f>survey_responses[[#This Row],[So với trước đây, tôi thấy cách tính thuế và các bậc thuế trong phương án mới đơn giản, dễ hiểu và dễ thực hiện hơn. - HUMAN-FAC2]]</f>
        <v>8</v>
      </c>
      <c r="AH258">
        <f t="shared" si="90"/>
        <v>0.77777777777777779</v>
      </c>
      <c r="AI258" s="32">
        <f t="shared" si="91"/>
        <v>0.83333333333333326</v>
      </c>
      <c r="AJ258" s="32">
        <f t="shared" si="92"/>
        <v>0.55555555555555558</v>
      </c>
      <c r="AK258">
        <f>step3_validation[[#This Row],[AI_TRU1]]</f>
        <v>7</v>
      </c>
      <c r="AL258">
        <f t="shared" si="93"/>
        <v>0.66666666666666663</v>
      </c>
      <c r="AM258">
        <f>survey_responses[[#This Row],[Tôi tin rằng Nhà nước, cơ quan thuế sẽ thực thi chính sách mới một cách khách quan, công tâm và đối xử bình đẳng với mọi người nộp thuế.  - HUMAN-TRU1]]</f>
        <v>5</v>
      </c>
      <c r="AN258">
        <f t="shared" si="94"/>
        <v>0.44444444444444442</v>
      </c>
      <c r="AO258">
        <f>step3_validation[[#This Row],[AI_TRU2]]</f>
        <v>8</v>
      </c>
      <c r="AP258">
        <f t="shared" si="95"/>
        <v>0.77777777777777779</v>
      </c>
      <c r="AQ258">
        <f>survey_responses[[#This Row],[Tôi thấy mức thuế tôi phải đóng theo phương án mới là công bằng (người thu nhập như tôi đóng mức này là hợp lý). - HUMAN-TRU2]]</f>
        <v>7</v>
      </c>
      <c r="AR258">
        <f t="shared" si="96"/>
        <v>0.66666666666666663</v>
      </c>
      <c r="AS258">
        <f>step3_validation[[#This Row],[AI_TRU3]]</f>
        <v>7</v>
      </c>
      <c r="AT258">
        <f t="shared" si="97"/>
        <v>0.66666666666666663</v>
      </c>
      <c r="AU258">
        <f>survey_responses[[#This Row],[Tôi tin tưởng số tiền thuế tôi đóng sẽ được Nhà nước sử dụng hiệu quả để cải thiện dịch vụ công (y tế, đường xá...). - HUMAN-TRU3]]</f>
        <v>5</v>
      </c>
      <c r="AV258">
        <f t="shared" si="98"/>
        <v>0.44444444444444442</v>
      </c>
      <c r="AW258">
        <f>step3_validation[[#This Row],[AI_TRU4]]</f>
        <v>6</v>
      </c>
      <c r="AX258">
        <f t="shared" si="99"/>
        <v>0.55555555555555558</v>
      </c>
      <c r="AY258">
        <f>survey_responses[[#This Row],[Tôi thấy Nhà nước đã giải thích rõ ràng, minh bạch về lý do và mục tiêu của việc sửa đổi thuế lần này. - HUMAN-TRU4]]</f>
        <v>6</v>
      </c>
      <c r="AZ258">
        <f t="shared" si="100"/>
        <v>0.55555555555555558</v>
      </c>
      <c r="BA258" s="32">
        <f t="shared" si="101"/>
        <v>0.66666666666666674</v>
      </c>
      <c r="BB258" s="32">
        <f t="shared" si="102"/>
        <v>0.52777777777777779</v>
      </c>
      <c r="BC258" s="7">
        <f t="shared" si="103"/>
        <v>0.66666666666666663</v>
      </c>
      <c r="BD258" s="7">
        <f t="shared" si="104"/>
        <v>0.60185185185185175</v>
      </c>
      <c r="BE258">
        <f>step3_validation[[#This Row],[AI_OUT1]]</f>
        <v>8</v>
      </c>
      <c r="BF258">
        <f t="shared" si="105"/>
        <v>0.77777777777777779</v>
      </c>
      <c r="BG258">
        <f>survey_responses[[#This Row],[Sau khi xem xét các quyền lợi và nghĩa vụ, bạn có ủng hộ và tuân thủ chính sách mới hiện nay? - HUMAN-OUT1]]</f>
        <v>6</v>
      </c>
      <c r="BH258">
        <f t="shared" si="106"/>
        <v>0.55555555555555558</v>
      </c>
      <c r="BI258" s="32">
        <f t="shared" si="107"/>
        <v>2</v>
      </c>
    </row>
    <row r="259" spans="1:61" x14ac:dyDescent="0.45">
      <c r="A259" s="30">
        <f>step3_validation[[#This Row],[Persona_ID]]</f>
        <v>258</v>
      </c>
      <c r="B259" s="31">
        <f>step3_validation[[#This Row],[Used_Seed]]</f>
        <v>2248</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68.345061331934133</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f t="shared" ref="R259:R322" si="108">(Q259-1)/9</f>
        <v>0.55555555555555558</v>
      </c>
      <c r="S259">
        <f>survey_responses[[#This Row],[Tôi tin rằng với các quy định quản lý thuế hiện nay, hành vi gian lận hoặc trốn thuế sẽ dễ dàng bị phát hiện và xử lý nghiêm. - HUMAN-ENF1]]</f>
        <v>6</v>
      </c>
      <c r="T259">
        <f t="shared" ref="T259:T322" si="109">(S259-1)/9</f>
        <v>0.55555555555555558</v>
      </c>
      <c r="U259">
        <f>step3_validation[[#This Row],[AI_ENF2]]</f>
        <v>5</v>
      </c>
      <c r="V259">
        <f t="shared" ref="V259:V322" si="110">(U259-1)/9</f>
        <v>0.44444444444444442</v>
      </c>
      <c r="W259">
        <f>survey_responses[[#This Row],[Tôi tin rằng Nhà nước, cơ quan thuế có đủ khả năng và công nghệ để phát hiện, xử lý nghiêm các hành vi trốn thuế. - HUMAN-ENF2]]</f>
        <v>7</v>
      </c>
      <c r="X259">
        <f t="shared" ref="X259:X322" si="111">(W259-1)/9</f>
        <v>0.66666666666666663</v>
      </c>
      <c r="Y259" s="32">
        <f t="shared" ref="Y259:Y322" si="112">AVERAGE(R259,V259)</f>
        <v>0.5</v>
      </c>
      <c r="Z259" s="32">
        <f t="shared" ref="Z259:Z322" si="113">AVERAGE(T259,X259)</f>
        <v>0.61111111111111116</v>
      </c>
      <c r="AA259">
        <f>step3_validation[[#This Row],[AI_FAC1]]</f>
        <v>7</v>
      </c>
      <c r="AB259">
        <f t="shared" ref="AB259:AB322" si="114">(AA259-1)/9</f>
        <v>0.66666666666666663</v>
      </c>
      <c r="AC259">
        <f>survey_responses[[#This Row],[Các thủ tục khai báo thuế VÀ/HOẶC quy trình làm việc với cơ quan thuế đơn giản, tiện lợi, nhanh chóng hơn so với trước đây. - HUMAN-FAC1]]</f>
        <v>2</v>
      </c>
      <c r="AD259">
        <f t="shared" ref="AD259:AD322" si="115">(AC259-1)/9</f>
        <v>0.1111111111111111</v>
      </c>
      <c r="AE259">
        <f>step3_validation[[#This Row],[AI_FAC2]]</f>
        <v>8</v>
      </c>
      <c r="AF259">
        <f t="shared" ref="AF259:AF322" si="116">(AE259-1)/9</f>
        <v>0.77777777777777779</v>
      </c>
      <c r="AG259">
        <f>survey_responses[[#This Row],[So với trước đây, tôi thấy cách tính thuế và các bậc thuế trong phương án mới đơn giản, dễ hiểu và dễ thực hiện hơn. - HUMAN-FAC2]]</f>
        <v>7</v>
      </c>
      <c r="AH259">
        <f t="shared" ref="AH259:AH322" si="117">(AG259-1)/9</f>
        <v>0.66666666666666663</v>
      </c>
      <c r="AI259" s="32">
        <f t="shared" ref="AI259:AI322" si="118">AVERAGE(AB259,AF259)</f>
        <v>0.72222222222222221</v>
      </c>
      <c r="AJ259" s="32">
        <f t="shared" ref="AJ259:AJ322" si="119">AVERAGE(AD259,AH259)</f>
        <v>0.38888888888888884</v>
      </c>
      <c r="AK259">
        <f>step3_validation[[#This Row],[AI_TRU1]]</f>
        <v>7</v>
      </c>
      <c r="AL259">
        <f t="shared" ref="AL259:AL322" si="120">(AK259-1)/9</f>
        <v>0.66666666666666663</v>
      </c>
      <c r="AM259">
        <f>survey_responses[[#This Row],[Tôi tin rằng Nhà nước, cơ quan thuế sẽ thực thi chính sách mới một cách khách quan, công tâm và đối xử bình đẳng với mọi người nộp thuế.  - HUMAN-TRU1]]</f>
        <v>5</v>
      </c>
      <c r="AN259">
        <f t="shared" ref="AN259:AN322" si="121">(AM259-1)/9</f>
        <v>0.44444444444444442</v>
      </c>
      <c r="AO259">
        <f>step3_validation[[#This Row],[AI_TRU2]]</f>
        <v>9</v>
      </c>
      <c r="AP259">
        <f t="shared" ref="AP259:AP322" si="122">(AO259-1)/9</f>
        <v>0.88888888888888884</v>
      </c>
      <c r="AQ259">
        <f>survey_responses[[#This Row],[Tôi thấy mức thuế tôi phải đóng theo phương án mới là công bằng (người thu nhập như tôi đóng mức này là hợp lý). - HUMAN-TRU2]]</f>
        <v>5</v>
      </c>
      <c r="AR259">
        <f t="shared" ref="AR259:AR322" si="123">(AQ259-1)/9</f>
        <v>0.44444444444444442</v>
      </c>
      <c r="AS259">
        <f>step3_validation[[#This Row],[AI_TRU3]]</f>
        <v>8</v>
      </c>
      <c r="AT259">
        <f t="shared" ref="AT259:AT322" si="124">(AS259-1)/9</f>
        <v>0.77777777777777779</v>
      </c>
      <c r="AU259">
        <f>survey_responses[[#This Row],[Tôi tin tưởng số tiền thuế tôi đóng sẽ được Nhà nước sử dụng hiệu quả để cải thiện dịch vụ công (y tế, đường xá...). - HUMAN-TRU3]]</f>
        <v>5</v>
      </c>
      <c r="AV259">
        <f t="shared" ref="AV259:AV322" si="125">(AU259-1)/9</f>
        <v>0.44444444444444442</v>
      </c>
      <c r="AW259">
        <f>step3_validation[[#This Row],[AI_TRU4]]</f>
        <v>9</v>
      </c>
      <c r="AX259">
        <f t="shared" ref="AX259:AX322" si="126">(AW259-1)/9</f>
        <v>0.88888888888888884</v>
      </c>
      <c r="AY259">
        <f>survey_responses[[#This Row],[Tôi thấy Nhà nước đã giải thích rõ ràng, minh bạch về lý do và mục tiêu của việc sửa đổi thuế lần này. - HUMAN-TRU4]]</f>
        <v>6</v>
      </c>
      <c r="AZ259">
        <f t="shared" ref="AZ259:AZ322" si="127">(AY259-1)/9</f>
        <v>0.55555555555555558</v>
      </c>
      <c r="BA259" s="32">
        <f t="shared" ref="BA259:BA322" si="128">AVERAGE(AL259,AP259,AT259,AX259)</f>
        <v>0.80555555555555547</v>
      </c>
      <c r="BB259" s="32">
        <f t="shared" ref="BB259:BB322" si="129">AVERAGE(AN259,AR259,AV259,AZ259)</f>
        <v>0.47222222222222221</v>
      </c>
      <c r="BC259" s="7">
        <f t="shared" ref="BC259:BC322" si="130">(Y259+AI259+BA259)/3</f>
        <v>0.67592592592592593</v>
      </c>
      <c r="BD259" s="7">
        <f t="shared" ref="BD259:BD322" si="131">(Z259+AJ259+BB259)/3</f>
        <v>0.49074074074074076</v>
      </c>
      <c r="BE259">
        <f>step3_validation[[#This Row],[AI_OUT1]]</f>
        <v>8</v>
      </c>
      <c r="BF259">
        <f t="shared" ref="BF259:BF322" si="132">(BE259-1)/9</f>
        <v>0.77777777777777779</v>
      </c>
      <c r="BG259">
        <f>survey_responses[[#This Row],[Sau khi xem xét các quyền lợi và nghĩa vụ, bạn có ủng hộ và tuân thủ chính sách mới hiện nay? - HUMAN-OUT1]]</f>
        <v>5</v>
      </c>
      <c r="BH259">
        <f t="shared" ref="BH259:BH322" si="133">(BG259-1)/9</f>
        <v>0.44444444444444442</v>
      </c>
      <c r="BI259" s="32">
        <f t="shared" ref="BI259:BI322" si="134">ABS(BG259-BE259)</f>
        <v>3</v>
      </c>
    </row>
    <row r="260" spans="1:61" x14ac:dyDescent="0.45">
      <c r="A260" s="30">
        <f>step3_validation[[#This Row],[Persona_ID]]</f>
        <v>259</v>
      </c>
      <c r="B260" s="31">
        <f>step3_validation[[#This Row],[Used_Seed]]</f>
        <v>2249</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191.86155060733867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8</v>
      </c>
      <c r="R260">
        <f t="shared" si="108"/>
        <v>0.77777777777777779</v>
      </c>
      <c r="S260">
        <f>survey_responses[[#This Row],[Tôi tin rằng với các quy định quản lý thuế hiện nay, hành vi gian lận hoặc trốn thuế sẽ dễ dàng bị phát hiện và xử lý nghiêm. - HUMAN-ENF1]]</f>
        <v>2</v>
      </c>
      <c r="T260">
        <f t="shared" si="109"/>
        <v>0.1111111111111111</v>
      </c>
      <c r="U260">
        <f>step3_validation[[#This Row],[AI_ENF2]]</f>
        <v>9</v>
      </c>
      <c r="V260">
        <f t="shared" si="110"/>
        <v>0.88888888888888884</v>
      </c>
      <c r="W260">
        <f>survey_responses[[#This Row],[Tôi tin rằng Nhà nước, cơ quan thuế có đủ khả năng và công nghệ để phát hiện, xử lý nghiêm các hành vi trốn thuế. - HUMAN-ENF2]]</f>
        <v>1</v>
      </c>
      <c r="X260">
        <f t="shared" si="111"/>
        <v>0</v>
      </c>
      <c r="Y260" s="32">
        <f t="shared" si="112"/>
        <v>0.83333333333333326</v>
      </c>
      <c r="Z260" s="32">
        <f t="shared" si="113"/>
        <v>5.5555555555555552E-2</v>
      </c>
      <c r="AA260">
        <f>step3_validation[[#This Row],[AI_FAC1]]</f>
        <v>7</v>
      </c>
      <c r="AB260">
        <f t="shared" si="114"/>
        <v>0.66666666666666663</v>
      </c>
      <c r="AC260">
        <f>survey_responses[[#This Row],[Các thủ tục khai báo thuế VÀ/HOẶC quy trình làm việc với cơ quan thuế đơn giản, tiện lợi, nhanh chóng hơn so với trước đây. - HUMAN-FAC1]]</f>
        <v>1</v>
      </c>
      <c r="AD260">
        <f t="shared" si="115"/>
        <v>0</v>
      </c>
      <c r="AE260">
        <f>step3_validation[[#This Row],[AI_FAC2]]</f>
        <v>8</v>
      </c>
      <c r="AF260">
        <f t="shared" si="116"/>
        <v>0.77777777777777779</v>
      </c>
      <c r="AG260">
        <f>survey_responses[[#This Row],[So với trước đây, tôi thấy cách tính thuế và các bậc thuế trong phương án mới đơn giản, dễ hiểu và dễ thực hiện hơn. - HUMAN-FAC2]]</f>
        <v>6</v>
      </c>
      <c r="AH260">
        <f t="shared" si="117"/>
        <v>0.55555555555555558</v>
      </c>
      <c r="AI260" s="32">
        <f t="shared" si="118"/>
        <v>0.72222222222222221</v>
      </c>
      <c r="AJ260" s="32">
        <f t="shared" si="119"/>
        <v>0.27777777777777779</v>
      </c>
      <c r="AK260">
        <f>step3_validation[[#This Row],[AI_TRU1]]</f>
        <v>7</v>
      </c>
      <c r="AL260">
        <f t="shared" si="120"/>
        <v>0.66666666666666663</v>
      </c>
      <c r="AM260">
        <f>survey_responses[[#This Row],[Tôi tin rằng Nhà nước, cơ quan thuế sẽ thực thi chính sách mới một cách khách quan, công tâm và đối xử bình đẳng với mọi người nộp thuế.  - HUMAN-TRU1]]</f>
        <v>2</v>
      </c>
      <c r="AN260">
        <f t="shared" si="121"/>
        <v>0.1111111111111111</v>
      </c>
      <c r="AO260">
        <f>step3_validation[[#This Row],[AI_TRU2]]</f>
        <v>9</v>
      </c>
      <c r="AP260">
        <f t="shared" si="122"/>
        <v>0.88888888888888884</v>
      </c>
      <c r="AQ260">
        <f>survey_responses[[#This Row],[Tôi thấy mức thuế tôi phải đóng theo phương án mới là công bằng (người thu nhập như tôi đóng mức này là hợp lý). - HUMAN-TRU2]]</f>
        <v>3</v>
      </c>
      <c r="AR260">
        <f t="shared" si="123"/>
        <v>0.22222222222222221</v>
      </c>
      <c r="AS260">
        <f>step3_validation[[#This Row],[AI_TRU3]]</f>
        <v>8</v>
      </c>
      <c r="AT260">
        <f t="shared" si="124"/>
        <v>0.77777777777777779</v>
      </c>
      <c r="AU260">
        <f>survey_responses[[#This Row],[Tôi tin tưởng số tiền thuế tôi đóng sẽ được Nhà nước sử dụng hiệu quả để cải thiện dịch vụ công (y tế, đường xá...). - HUMAN-TRU3]]</f>
        <v>1</v>
      </c>
      <c r="AV260">
        <f t="shared" si="125"/>
        <v>0</v>
      </c>
      <c r="AW260">
        <f>step3_validation[[#This Row],[AI_TRU4]]</f>
        <v>7</v>
      </c>
      <c r="AX260">
        <f t="shared" si="126"/>
        <v>0.66666666666666663</v>
      </c>
      <c r="AY260">
        <f>survey_responses[[#This Row],[Tôi thấy Nhà nước đã giải thích rõ ràng, minh bạch về lý do và mục tiêu của việc sửa đổi thuế lần này. - HUMAN-TRU4]]</f>
        <v>5</v>
      </c>
      <c r="AZ260">
        <f t="shared" si="127"/>
        <v>0.44444444444444442</v>
      </c>
      <c r="BA260" s="32">
        <f t="shared" si="128"/>
        <v>0.74999999999999989</v>
      </c>
      <c r="BB260" s="32">
        <f t="shared" si="129"/>
        <v>0.19444444444444442</v>
      </c>
      <c r="BC260" s="7">
        <f t="shared" si="130"/>
        <v>0.76851851851851849</v>
      </c>
      <c r="BD260" s="7">
        <f t="shared" si="131"/>
        <v>0.17592592592592593</v>
      </c>
      <c r="BE260">
        <f>step3_validation[[#This Row],[AI_OUT1]]</f>
        <v>9</v>
      </c>
      <c r="BF260">
        <f t="shared" si="132"/>
        <v>0.88888888888888884</v>
      </c>
      <c r="BG260">
        <f>survey_responses[[#This Row],[Sau khi xem xét các quyền lợi và nghĩa vụ, bạn có ủng hộ và tuân thủ chính sách mới hiện nay? - HUMAN-OUT1]]</f>
        <v>4</v>
      </c>
      <c r="BH260">
        <f t="shared" si="133"/>
        <v>0.33333333333333331</v>
      </c>
      <c r="BI260" s="32">
        <f t="shared" si="134"/>
        <v>5</v>
      </c>
    </row>
    <row r="261" spans="1:61" x14ac:dyDescent="0.45">
      <c r="A261" s="30">
        <f>step3_validation[[#This Row],[Persona_ID]]</f>
        <v>260</v>
      </c>
      <c r="B261" s="31">
        <f>step3_validation[[#This Row],[Used_Seed]]</f>
        <v>2250</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37.838960492696707</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7</v>
      </c>
      <c r="R261">
        <f t="shared" si="108"/>
        <v>0.66666666666666663</v>
      </c>
      <c r="S261">
        <f>survey_responses[[#This Row],[Tôi tin rằng với các quy định quản lý thuế hiện nay, hành vi gian lận hoặc trốn thuế sẽ dễ dàng bị phát hiện và xử lý nghiêm. - HUMAN-ENF1]]</f>
        <v>6</v>
      </c>
      <c r="T261">
        <f t="shared" si="109"/>
        <v>0.55555555555555558</v>
      </c>
      <c r="U261">
        <f>step3_validation[[#This Row],[AI_ENF2]]</f>
        <v>6</v>
      </c>
      <c r="V261">
        <f t="shared" si="110"/>
        <v>0.55555555555555558</v>
      </c>
      <c r="W261">
        <f>survey_responses[[#This Row],[Tôi tin rằng Nhà nước, cơ quan thuế có đủ khả năng và công nghệ để phát hiện, xử lý nghiêm các hành vi trốn thuế. - HUMAN-ENF2]]</f>
        <v>6</v>
      </c>
      <c r="X261">
        <f t="shared" si="111"/>
        <v>0.55555555555555558</v>
      </c>
      <c r="Y261" s="32">
        <f t="shared" si="112"/>
        <v>0.61111111111111116</v>
      </c>
      <c r="Z261" s="32">
        <f t="shared" si="113"/>
        <v>0.55555555555555558</v>
      </c>
      <c r="AA261">
        <f>step3_validation[[#This Row],[AI_FAC1]]</f>
        <v>9</v>
      </c>
      <c r="AB261">
        <f t="shared" si="114"/>
        <v>0.88888888888888884</v>
      </c>
      <c r="AC261">
        <f>survey_responses[[#This Row],[Các thủ tục khai báo thuế VÀ/HOẶC quy trình làm việc với cơ quan thuế đơn giản, tiện lợi, nhanh chóng hơn so với trước đây. - HUMAN-FAC1]]</f>
        <v>7</v>
      </c>
      <c r="AD261">
        <f t="shared" si="115"/>
        <v>0.66666666666666663</v>
      </c>
      <c r="AE261">
        <f>step3_validation[[#This Row],[AI_FAC2]]</f>
        <v>9</v>
      </c>
      <c r="AF261">
        <f t="shared" si="116"/>
        <v>0.88888888888888884</v>
      </c>
      <c r="AG261">
        <f>survey_responses[[#This Row],[So với trước đây, tôi thấy cách tính thuế và các bậc thuế trong phương án mới đơn giản, dễ hiểu và dễ thực hiện hơn. - HUMAN-FAC2]]</f>
        <v>6</v>
      </c>
      <c r="AH261">
        <f t="shared" si="117"/>
        <v>0.55555555555555558</v>
      </c>
      <c r="AI261" s="32">
        <f t="shared" si="118"/>
        <v>0.88888888888888884</v>
      </c>
      <c r="AJ261" s="32">
        <f t="shared" si="119"/>
        <v>0.61111111111111116</v>
      </c>
      <c r="AK261">
        <f>step3_validation[[#This Row],[AI_TRU1]]</f>
        <v>8</v>
      </c>
      <c r="AL261">
        <f t="shared" si="120"/>
        <v>0.77777777777777779</v>
      </c>
      <c r="AM261">
        <f>survey_responses[[#This Row],[Tôi tin rằng Nhà nước, cơ quan thuế sẽ thực thi chính sách mới một cách khách quan, công tâm và đối xử bình đẳng với mọi người nộp thuế.  - HUMAN-TRU1]]</f>
        <v>5</v>
      </c>
      <c r="AN261">
        <f t="shared" si="121"/>
        <v>0.44444444444444442</v>
      </c>
      <c r="AO261">
        <f>step3_validation[[#This Row],[AI_TRU2]]</f>
        <v>8</v>
      </c>
      <c r="AP261">
        <f t="shared" si="122"/>
        <v>0.77777777777777779</v>
      </c>
      <c r="AQ261">
        <f>survey_responses[[#This Row],[Tôi thấy mức thuế tôi phải đóng theo phương án mới là công bằng (người thu nhập như tôi đóng mức này là hợp lý). - HUMAN-TRU2]]</f>
        <v>6</v>
      </c>
      <c r="AR261">
        <f t="shared" si="123"/>
        <v>0.55555555555555558</v>
      </c>
      <c r="AS261">
        <f>step3_validation[[#This Row],[AI_TRU3]]</f>
        <v>7</v>
      </c>
      <c r="AT261">
        <f t="shared" si="124"/>
        <v>0.66666666666666663</v>
      </c>
      <c r="AU261">
        <f>survey_responses[[#This Row],[Tôi tin tưởng số tiền thuế tôi đóng sẽ được Nhà nước sử dụng hiệu quả để cải thiện dịch vụ công (y tế, đường xá...). - HUMAN-TRU3]]</f>
        <v>5</v>
      </c>
      <c r="AV261">
        <f t="shared" si="125"/>
        <v>0.44444444444444442</v>
      </c>
      <c r="AW261">
        <f>step3_validation[[#This Row],[AI_TRU4]]</f>
        <v>8</v>
      </c>
      <c r="AX261">
        <f t="shared" si="126"/>
        <v>0.77777777777777779</v>
      </c>
      <c r="AY261">
        <f>survey_responses[[#This Row],[Tôi thấy Nhà nước đã giải thích rõ ràng, minh bạch về lý do và mục tiêu của việc sửa đổi thuế lần này. - HUMAN-TRU4]]</f>
        <v>6</v>
      </c>
      <c r="AZ261">
        <f t="shared" si="127"/>
        <v>0.55555555555555558</v>
      </c>
      <c r="BA261" s="32">
        <f t="shared" si="128"/>
        <v>0.75</v>
      </c>
      <c r="BB261" s="32">
        <f t="shared" si="129"/>
        <v>0.5</v>
      </c>
      <c r="BC261" s="7">
        <f t="shared" si="130"/>
        <v>0.75</v>
      </c>
      <c r="BD261" s="7">
        <f t="shared" si="131"/>
        <v>0.55555555555555558</v>
      </c>
      <c r="BE261">
        <f>step3_validation[[#This Row],[AI_OUT1]]</f>
        <v>9</v>
      </c>
      <c r="BF261">
        <f t="shared" si="132"/>
        <v>0.88888888888888884</v>
      </c>
      <c r="BG261">
        <f>survey_responses[[#This Row],[Sau khi xem xét các quyền lợi và nghĩa vụ, bạn có ủng hộ và tuân thủ chính sách mới hiện nay? - HUMAN-OUT1]]</f>
        <v>6</v>
      </c>
      <c r="BH261">
        <f t="shared" si="133"/>
        <v>0.55555555555555558</v>
      </c>
      <c r="BI261" s="32">
        <f t="shared" si="134"/>
        <v>3</v>
      </c>
    </row>
    <row r="262" spans="1:61" x14ac:dyDescent="0.45">
      <c r="A262" s="30">
        <f>step3_validation[[#This Row],[Persona_ID]]</f>
        <v>261</v>
      </c>
      <c r="B262" s="31">
        <f>step3_validation[[#This Row],[Used_Seed]]</f>
        <v>2251</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44.657972186580224</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6</v>
      </c>
      <c r="R262">
        <f t="shared" si="108"/>
        <v>0.55555555555555558</v>
      </c>
      <c r="S262">
        <f>survey_responses[[#This Row],[Tôi tin rằng với các quy định quản lý thuế hiện nay, hành vi gian lận hoặc trốn thuế sẽ dễ dàng bị phát hiện và xử lý nghiêm. - HUMAN-ENF1]]</f>
        <v>6</v>
      </c>
      <c r="T262">
        <f t="shared" si="109"/>
        <v>0.55555555555555558</v>
      </c>
      <c r="U262">
        <f>step3_validation[[#This Row],[AI_ENF2]]</f>
        <v>7</v>
      </c>
      <c r="V262">
        <f t="shared" si="110"/>
        <v>0.66666666666666663</v>
      </c>
      <c r="W262">
        <f>survey_responses[[#This Row],[Tôi tin rằng Nhà nước, cơ quan thuế có đủ khả năng và công nghệ để phát hiện, xử lý nghiêm các hành vi trốn thuế. - HUMAN-ENF2]]</f>
        <v>7</v>
      </c>
      <c r="X262">
        <f t="shared" si="111"/>
        <v>0.66666666666666663</v>
      </c>
      <c r="Y262" s="32">
        <f t="shared" si="112"/>
        <v>0.61111111111111116</v>
      </c>
      <c r="Z262" s="32">
        <f t="shared" si="113"/>
        <v>0.61111111111111116</v>
      </c>
      <c r="AA262">
        <f>step3_validation[[#This Row],[AI_FAC1]]</f>
        <v>9</v>
      </c>
      <c r="AB262">
        <f t="shared" si="114"/>
        <v>0.88888888888888884</v>
      </c>
      <c r="AC262">
        <f>survey_responses[[#This Row],[Các thủ tục khai báo thuế VÀ/HOẶC quy trình làm việc với cơ quan thuế đơn giản, tiện lợi, nhanh chóng hơn so với trước đây. - HUMAN-FAC1]]</f>
        <v>1</v>
      </c>
      <c r="AD262">
        <f t="shared" si="115"/>
        <v>0</v>
      </c>
      <c r="AE262">
        <f>step3_validation[[#This Row],[AI_FAC2]]</f>
        <v>8</v>
      </c>
      <c r="AF262">
        <f t="shared" si="116"/>
        <v>0.77777777777777779</v>
      </c>
      <c r="AG262">
        <f>survey_responses[[#This Row],[So với trước đây, tôi thấy cách tính thuế và các bậc thuế trong phương án mới đơn giản, dễ hiểu và dễ thực hiện hơn. - HUMAN-FAC2]]</f>
        <v>9</v>
      </c>
      <c r="AH262">
        <f t="shared" si="117"/>
        <v>0.88888888888888884</v>
      </c>
      <c r="AI262" s="32">
        <f t="shared" si="118"/>
        <v>0.83333333333333326</v>
      </c>
      <c r="AJ262" s="32">
        <f t="shared" si="119"/>
        <v>0.44444444444444442</v>
      </c>
      <c r="AK262">
        <f>step3_validation[[#This Row],[AI_TRU1]]</f>
        <v>7</v>
      </c>
      <c r="AL262">
        <f t="shared" si="120"/>
        <v>0.66666666666666663</v>
      </c>
      <c r="AM262">
        <f>survey_responses[[#This Row],[Tôi tin rằng Nhà nước, cơ quan thuế sẽ thực thi chính sách mới một cách khách quan, công tâm và đối xử bình đẳng với mọi người nộp thuế.  - HUMAN-TRU1]]</f>
        <v>5</v>
      </c>
      <c r="AN262">
        <f t="shared" si="121"/>
        <v>0.44444444444444442</v>
      </c>
      <c r="AO262">
        <f>step3_validation[[#This Row],[AI_TRU2]]</f>
        <v>9</v>
      </c>
      <c r="AP262">
        <f t="shared" si="122"/>
        <v>0.88888888888888884</v>
      </c>
      <c r="AQ262">
        <f>survey_responses[[#This Row],[Tôi thấy mức thuế tôi phải đóng theo phương án mới là công bằng (người thu nhập như tôi đóng mức này là hợp lý). - HUMAN-TRU2]]</f>
        <v>4</v>
      </c>
      <c r="AR262">
        <f t="shared" si="123"/>
        <v>0.33333333333333331</v>
      </c>
      <c r="AS262">
        <f>step3_validation[[#This Row],[AI_TRU3]]</f>
        <v>8</v>
      </c>
      <c r="AT262">
        <f t="shared" si="124"/>
        <v>0.77777777777777779</v>
      </c>
      <c r="AU262">
        <f>survey_responses[[#This Row],[Tôi tin tưởng số tiền thuế tôi đóng sẽ được Nhà nước sử dụng hiệu quả để cải thiện dịch vụ công (y tế, đường xá...). - HUMAN-TRU3]]</f>
        <v>4</v>
      </c>
      <c r="AV262">
        <f t="shared" si="125"/>
        <v>0.33333333333333331</v>
      </c>
      <c r="AW262">
        <f>step3_validation[[#This Row],[AI_TRU4]]</f>
        <v>6</v>
      </c>
      <c r="AX262">
        <f t="shared" si="126"/>
        <v>0.55555555555555558</v>
      </c>
      <c r="AY262">
        <f>survey_responses[[#This Row],[Tôi thấy Nhà nước đã giải thích rõ ràng, minh bạch về lý do và mục tiêu của việc sửa đổi thuế lần này. - HUMAN-TRU4]]</f>
        <v>5</v>
      </c>
      <c r="AZ262">
        <f t="shared" si="127"/>
        <v>0.44444444444444442</v>
      </c>
      <c r="BA262" s="32">
        <f t="shared" si="128"/>
        <v>0.7222222222222221</v>
      </c>
      <c r="BB262" s="32">
        <f t="shared" si="129"/>
        <v>0.38888888888888884</v>
      </c>
      <c r="BC262" s="7">
        <f t="shared" si="130"/>
        <v>0.72222222222222221</v>
      </c>
      <c r="BD262" s="7">
        <f t="shared" si="131"/>
        <v>0.48148148148148145</v>
      </c>
      <c r="BE262">
        <f>step3_validation[[#This Row],[AI_OUT1]]</f>
        <v>9</v>
      </c>
      <c r="BF262">
        <f t="shared" si="132"/>
        <v>0.88888888888888884</v>
      </c>
      <c r="BG262">
        <f>survey_responses[[#This Row],[Sau khi xem xét các quyền lợi và nghĩa vụ, bạn có ủng hộ và tuân thủ chính sách mới hiện nay? - HUMAN-OUT1]]</f>
        <v>5</v>
      </c>
      <c r="BH262">
        <f t="shared" si="133"/>
        <v>0.44444444444444442</v>
      </c>
      <c r="BI262" s="32">
        <f t="shared" si="134"/>
        <v>4</v>
      </c>
    </row>
    <row r="263" spans="1:61" x14ac:dyDescent="0.45">
      <c r="A263" s="30">
        <f>step3_validation[[#This Row],[Persona_ID]]</f>
        <v>262</v>
      </c>
      <c r="B263" s="31">
        <f>step3_validation[[#This Row],[Used_Seed]]</f>
        <v>2252</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52.492717578087984</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9</v>
      </c>
      <c r="R263">
        <f t="shared" si="108"/>
        <v>0.88888888888888884</v>
      </c>
      <c r="S263">
        <f>survey_responses[[#This Row],[Tôi tin rằng với các quy định quản lý thuế hiện nay, hành vi gian lận hoặc trốn thuế sẽ dễ dàng bị phát hiện và xử lý nghiêm. - HUMAN-ENF1]]</f>
        <v>9</v>
      </c>
      <c r="T263">
        <f t="shared" si="109"/>
        <v>0.88888888888888884</v>
      </c>
      <c r="U263">
        <f>step3_validation[[#This Row],[AI_ENF2]]</f>
        <v>8</v>
      </c>
      <c r="V263">
        <f t="shared" si="110"/>
        <v>0.77777777777777779</v>
      </c>
      <c r="W263">
        <f>survey_responses[[#This Row],[Tôi tin rằng Nhà nước, cơ quan thuế có đủ khả năng và công nghệ để phát hiện, xử lý nghiêm các hành vi trốn thuế. - HUMAN-ENF2]]</f>
        <v>9</v>
      </c>
      <c r="X263">
        <f t="shared" si="111"/>
        <v>0.88888888888888884</v>
      </c>
      <c r="Y263" s="32">
        <f t="shared" si="112"/>
        <v>0.83333333333333326</v>
      </c>
      <c r="Z263" s="32">
        <f t="shared" si="113"/>
        <v>0.88888888888888884</v>
      </c>
      <c r="AA263">
        <f>step3_validation[[#This Row],[AI_FAC1]]</f>
        <v>7</v>
      </c>
      <c r="AB263">
        <f t="shared" si="114"/>
        <v>0.66666666666666663</v>
      </c>
      <c r="AC263">
        <f>survey_responses[[#This Row],[Các thủ tục khai báo thuế VÀ/HOẶC quy trình làm việc với cơ quan thuế đơn giản, tiện lợi, nhanh chóng hơn so với trước đây. - HUMAN-FAC1]]</f>
        <v>8</v>
      </c>
      <c r="AD263">
        <f t="shared" si="115"/>
        <v>0.77777777777777779</v>
      </c>
      <c r="AE263">
        <f>step3_validation[[#This Row],[AI_FAC2]]</f>
        <v>8</v>
      </c>
      <c r="AF263">
        <f t="shared" si="116"/>
        <v>0.77777777777777779</v>
      </c>
      <c r="AG263">
        <f>survey_responses[[#This Row],[So với trước đây, tôi thấy cách tính thuế và các bậc thuế trong phương án mới đơn giản, dễ hiểu và dễ thực hiện hơn. - HUMAN-FAC2]]</f>
        <v>9</v>
      </c>
      <c r="AH263">
        <f t="shared" si="117"/>
        <v>0.88888888888888884</v>
      </c>
      <c r="AI263" s="32">
        <f t="shared" si="118"/>
        <v>0.72222222222222221</v>
      </c>
      <c r="AJ263" s="32">
        <f t="shared" si="119"/>
        <v>0.83333333333333326</v>
      </c>
      <c r="AK263">
        <f>step3_validation[[#This Row],[AI_TRU1]]</f>
        <v>9</v>
      </c>
      <c r="AL263">
        <f t="shared" si="120"/>
        <v>0.88888888888888884</v>
      </c>
      <c r="AM263">
        <f>survey_responses[[#This Row],[Tôi tin rằng Nhà nước, cơ quan thuế sẽ thực thi chính sách mới một cách khách quan, công tâm và đối xử bình đẳng với mọi người nộp thuế.  - HUMAN-TRU1]]</f>
        <v>8</v>
      </c>
      <c r="AN263">
        <f t="shared" si="121"/>
        <v>0.77777777777777779</v>
      </c>
      <c r="AO263">
        <f>step3_validation[[#This Row],[AI_TRU2]]</f>
        <v>9</v>
      </c>
      <c r="AP263">
        <f t="shared" si="122"/>
        <v>0.88888888888888884</v>
      </c>
      <c r="AQ263">
        <f>survey_responses[[#This Row],[Tôi thấy mức thuế tôi phải đóng theo phương án mới là công bằng (người thu nhập như tôi đóng mức này là hợp lý). - HUMAN-TRU2]]</f>
        <v>9</v>
      </c>
      <c r="AR263">
        <f t="shared" si="123"/>
        <v>0.88888888888888884</v>
      </c>
      <c r="AS263">
        <f>step3_validation[[#This Row],[AI_TRU3]]</f>
        <v>8</v>
      </c>
      <c r="AT263">
        <f t="shared" si="124"/>
        <v>0.77777777777777779</v>
      </c>
      <c r="AU263">
        <f>survey_responses[[#This Row],[Tôi tin tưởng số tiền thuế tôi đóng sẽ được Nhà nước sử dụng hiệu quả để cải thiện dịch vụ công (y tế, đường xá...). - HUMAN-TRU3]]</f>
        <v>9</v>
      </c>
      <c r="AV263">
        <f t="shared" si="125"/>
        <v>0.88888888888888884</v>
      </c>
      <c r="AW263">
        <f>step3_validation[[#This Row],[AI_TRU4]]</f>
        <v>9</v>
      </c>
      <c r="AX263">
        <f t="shared" si="126"/>
        <v>0.88888888888888884</v>
      </c>
      <c r="AY263">
        <f>survey_responses[[#This Row],[Tôi thấy Nhà nước đã giải thích rõ ràng, minh bạch về lý do và mục tiêu của việc sửa đổi thuế lần này. - HUMAN-TRU4]]</f>
        <v>8</v>
      </c>
      <c r="AZ263">
        <f t="shared" si="127"/>
        <v>0.77777777777777779</v>
      </c>
      <c r="BA263" s="32">
        <f t="shared" si="128"/>
        <v>0.86111111111111105</v>
      </c>
      <c r="BB263" s="32">
        <f t="shared" si="129"/>
        <v>0.83333333333333326</v>
      </c>
      <c r="BC263" s="7">
        <f t="shared" si="130"/>
        <v>0.80555555555555547</v>
      </c>
      <c r="BD263" s="7">
        <f t="shared" si="131"/>
        <v>0.85185185185185175</v>
      </c>
      <c r="BE263">
        <f>step3_validation[[#This Row],[AI_OUT1]]</f>
        <v>8</v>
      </c>
      <c r="BF263">
        <f t="shared" si="132"/>
        <v>0.77777777777777779</v>
      </c>
      <c r="BG263">
        <f>survey_responses[[#This Row],[Sau khi xem xét các quyền lợi và nghĩa vụ, bạn có ủng hộ và tuân thủ chính sách mới hiện nay? - HUMAN-OUT1]]</f>
        <v>8</v>
      </c>
      <c r="BH263">
        <f t="shared" si="133"/>
        <v>0.77777777777777779</v>
      </c>
      <c r="BI263" s="32">
        <f t="shared" si="134"/>
        <v>0</v>
      </c>
    </row>
    <row r="264" spans="1:61" x14ac:dyDescent="0.45">
      <c r="A264" s="30">
        <f>step3_validation[[#This Row],[Persona_ID]]</f>
        <v>263</v>
      </c>
      <c r="B264" s="31">
        <f>step3_validation[[#This Row],[Used_Seed]]</f>
        <v>2253</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74.082301305339371</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f t="shared" si="108"/>
        <v>0.66666666666666663</v>
      </c>
      <c r="S264">
        <f>survey_responses[[#This Row],[Tôi tin rằng với các quy định quản lý thuế hiện nay, hành vi gian lận hoặc trốn thuế sẽ dễ dàng bị phát hiện và xử lý nghiêm. - HUMAN-ENF1]]</f>
        <v>8</v>
      </c>
      <c r="T264">
        <f t="shared" si="109"/>
        <v>0.77777777777777779</v>
      </c>
      <c r="U264">
        <f>step3_validation[[#This Row],[AI_ENF2]]</f>
        <v>6</v>
      </c>
      <c r="V264">
        <f t="shared" si="110"/>
        <v>0.55555555555555558</v>
      </c>
      <c r="W264">
        <f>survey_responses[[#This Row],[Tôi tin rằng Nhà nước, cơ quan thuế có đủ khả năng và công nghệ để phát hiện, xử lý nghiêm các hành vi trốn thuế. - HUMAN-ENF2]]</f>
        <v>8</v>
      </c>
      <c r="X264">
        <f t="shared" si="111"/>
        <v>0.77777777777777779</v>
      </c>
      <c r="Y264" s="32">
        <f t="shared" si="112"/>
        <v>0.61111111111111116</v>
      </c>
      <c r="Z264" s="32">
        <f t="shared" si="113"/>
        <v>0.77777777777777779</v>
      </c>
      <c r="AA264">
        <f>step3_validation[[#This Row],[AI_FAC1]]</f>
        <v>8</v>
      </c>
      <c r="AB264">
        <f t="shared" si="114"/>
        <v>0.77777777777777779</v>
      </c>
      <c r="AC264">
        <f>survey_responses[[#This Row],[Các thủ tục khai báo thuế VÀ/HOẶC quy trình làm việc với cơ quan thuế đơn giản, tiện lợi, nhanh chóng hơn so với trước đây. - HUMAN-FAC1]]</f>
        <v>5</v>
      </c>
      <c r="AD264">
        <f t="shared" si="115"/>
        <v>0.44444444444444442</v>
      </c>
      <c r="AE264">
        <f>step3_validation[[#This Row],[AI_FAC2]]</f>
        <v>9</v>
      </c>
      <c r="AF264">
        <f t="shared" si="116"/>
        <v>0.88888888888888884</v>
      </c>
      <c r="AG264">
        <f>survey_responses[[#This Row],[So với trước đây, tôi thấy cách tính thuế và các bậc thuế trong phương án mới đơn giản, dễ hiểu và dễ thực hiện hơn. - HUMAN-FAC2]]</f>
        <v>7</v>
      </c>
      <c r="AH264">
        <f t="shared" si="117"/>
        <v>0.66666666666666663</v>
      </c>
      <c r="AI264" s="32">
        <f t="shared" si="118"/>
        <v>0.83333333333333326</v>
      </c>
      <c r="AJ264" s="32">
        <f t="shared" si="119"/>
        <v>0.55555555555555558</v>
      </c>
      <c r="AK264">
        <f>step3_validation[[#This Row],[AI_TRU1]]</f>
        <v>8</v>
      </c>
      <c r="AL264">
        <f t="shared" si="120"/>
        <v>0.77777777777777779</v>
      </c>
      <c r="AM264">
        <f>survey_responses[[#This Row],[Tôi tin rằng Nhà nước, cơ quan thuế sẽ thực thi chính sách mới một cách khách quan, công tâm và đối xử bình đẳng với mọi người nộp thuế.  - HUMAN-TRU1]]</f>
        <v>7</v>
      </c>
      <c r="AN264">
        <f t="shared" si="121"/>
        <v>0.66666666666666663</v>
      </c>
      <c r="AO264">
        <f>step3_validation[[#This Row],[AI_TRU2]]</f>
        <v>9</v>
      </c>
      <c r="AP264">
        <f t="shared" si="122"/>
        <v>0.88888888888888884</v>
      </c>
      <c r="AQ264">
        <f>survey_responses[[#This Row],[Tôi thấy mức thuế tôi phải đóng theo phương án mới là công bằng (người thu nhập như tôi đóng mức này là hợp lý). - HUMAN-TRU2]]</f>
        <v>5</v>
      </c>
      <c r="AR264">
        <f t="shared" si="123"/>
        <v>0.44444444444444442</v>
      </c>
      <c r="AS264">
        <f>step3_validation[[#This Row],[AI_TRU3]]</f>
        <v>8</v>
      </c>
      <c r="AT264">
        <f t="shared" si="124"/>
        <v>0.77777777777777779</v>
      </c>
      <c r="AU264">
        <f>survey_responses[[#This Row],[Tôi tin tưởng số tiền thuế tôi đóng sẽ được Nhà nước sử dụng hiệu quả để cải thiện dịch vụ công (y tế, đường xá...). - HUMAN-TRU3]]</f>
        <v>5</v>
      </c>
      <c r="AV264">
        <f t="shared" si="125"/>
        <v>0.44444444444444442</v>
      </c>
      <c r="AW264">
        <f>step3_validation[[#This Row],[AI_TRU4]]</f>
        <v>7</v>
      </c>
      <c r="AX264">
        <f t="shared" si="126"/>
        <v>0.66666666666666663</v>
      </c>
      <c r="AY264">
        <f>survey_responses[[#This Row],[Tôi thấy Nhà nước đã giải thích rõ ràng, minh bạch về lý do và mục tiêu của việc sửa đổi thuế lần này. - HUMAN-TRU4]]</f>
        <v>6</v>
      </c>
      <c r="AZ264">
        <f t="shared" si="127"/>
        <v>0.55555555555555558</v>
      </c>
      <c r="BA264" s="32">
        <f t="shared" si="128"/>
        <v>0.77777777777777768</v>
      </c>
      <c r="BB264" s="32">
        <f t="shared" si="129"/>
        <v>0.52777777777777779</v>
      </c>
      <c r="BC264" s="7">
        <f t="shared" si="130"/>
        <v>0.74074074074074081</v>
      </c>
      <c r="BD264" s="7">
        <f t="shared" si="131"/>
        <v>0.62037037037037035</v>
      </c>
      <c r="BE264">
        <f>step3_validation[[#This Row],[AI_OUT1]]</f>
        <v>9</v>
      </c>
      <c r="BF264">
        <f t="shared" si="132"/>
        <v>0.88888888888888884</v>
      </c>
      <c r="BG264">
        <f>survey_responses[[#This Row],[Sau khi xem xét các quyền lợi và nghĩa vụ, bạn có ủng hộ và tuân thủ chính sách mới hiện nay? - HUMAN-OUT1]]</f>
        <v>6</v>
      </c>
      <c r="BH264">
        <f t="shared" si="133"/>
        <v>0.55555555555555558</v>
      </c>
      <c r="BI264" s="32">
        <f t="shared" si="134"/>
        <v>3</v>
      </c>
    </row>
    <row r="265" spans="1:61" x14ac:dyDescent="0.45">
      <c r="A265" s="30">
        <f>step3_validation[[#This Row],[Persona_ID]]</f>
        <v>264</v>
      </c>
      <c r="B265" s="31">
        <f>step3_validation[[#This Row],[Used_Seed]]</f>
        <v>2254</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139.51218293264679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f t="shared" si="108"/>
        <v>0.66666666666666663</v>
      </c>
      <c r="S265">
        <f>survey_responses[[#This Row],[Tôi tin rằng với các quy định quản lý thuế hiện nay, hành vi gian lận hoặc trốn thuế sẽ dễ dàng bị phát hiện và xử lý nghiêm. - HUMAN-ENF1]]</f>
        <v>7</v>
      </c>
      <c r="T265">
        <f t="shared" si="109"/>
        <v>0.66666666666666663</v>
      </c>
      <c r="U265">
        <f>step3_validation[[#This Row],[AI_ENF2]]</f>
        <v>7</v>
      </c>
      <c r="V265">
        <f t="shared" si="110"/>
        <v>0.66666666666666663</v>
      </c>
      <c r="W265">
        <f>survey_responses[[#This Row],[Tôi tin rằng Nhà nước, cơ quan thuế có đủ khả năng và công nghệ để phát hiện, xử lý nghiêm các hành vi trốn thuế. - HUMAN-ENF2]]</f>
        <v>7</v>
      </c>
      <c r="X265">
        <f t="shared" si="111"/>
        <v>0.66666666666666663</v>
      </c>
      <c r="Y265" s="32">
        <f t="shared" si="112"/>
        <v>0.66666666666666663</v>
      </c>
      <c r="Z265" s="32">
        <f t="shared" si="113"/>
        <v>0.66666666666666663</v>
      </c>
      <c r="AA265">
        <f>step3_validation[[#This Row],[AI_FAC1]]</f>
        <v>8</v>
      </c>
      <c r="AB265">
        <f t="shared" si="114"/>
        <v>0.77777777777777779</v>
      </c>
      <c r="AC265">
        <f>survey_responses[[#This Row],[Các thủ tục khai báo thuế VÀ/HOẶC quy trình làm việc với cơ quan thuế đơn giản, tiện lợi, nhanh chóng hơn so với trước đây. - HUMAN-FAC1]]</f>
        <v>7</v>
      </c>
      <c r="AD265">
        <f t="shared" si="115"/>
        <v>0.66666666666666663</v>
      </c>
      <c r="AE265">
        <f>step3_validation[[#This Row],[AI_FAC2]]</f>
        <v>9</v>
      </c>
      <c r="AF265">
        <f t="shared" si="116"/>
        <v>0.88888888888888884</v>
      </c>
      <c r="AG265">
        <f>survey_responses[[#This Row],[So với trước đây, tôi thấy cách tính thuế và các bậc thuế trong phương án mới đơn giản, dễ hiểu và dễ thực hiện hơn. - HUMAN-FAC2]]</f>
        <v>8</v>
      </c>
      <c r="AH265">
        <f t="shared" si="117"/>
        <v>0.77777777777777779</v>
      </c>
      <c r="AI265" s="32">
        <f t="shared" si="118"/>
        <v>0.83333333333333326</v>
      </c>
      <c r="AJ265" s="32">
        <f t="shared" si="119"/>
        <v>0.72222222222222221</v>
      </c>
      <c r="AK265">
        <f>step3_validation[[#This Row],[AI_TRU1]]</f>
        <v>8</v>
      </c>
      <c r="AL265">
        <f t="shared" si="120"/>
        <v>0.77777777777777779</v>
      </c>
      <c r="AM265">
        <f>survey_responses[[#This Row],[Tôi tin rằng Nhà nước, cơ quan thuế sẽ thực thi chính sách mới một cách khách quan, công tâm và đối xử bình đẳng với mọi người nộp thuế.  - HUMAN-TRU1]]</f>
        <v>7</v>
      </c>
      <c r="AN265">
        <f t="shared" si="121"/>
        <v>0.66666666666666663</v>
      </c>
      <c r="AO265">
        <f>step3_validation[[#This Row],[AI_TRU2]]</f>
        <v>7</v>
      </c>
      <c r="AP265">
        <f t="shared" si="122"/>
        <v>0.66666666666666663</v>
      </c>
      <c r="AQ265">
        <f>survey_responses[[#This Row],[Tôi thấy mức thuế tôi phải đóng theo phương án mới là công bằng (người thu nhập như tôi đóng mức này là hợp lý). - HUMAN-TRU2]]</f>
        <v>7</v>
      </c>
      <c r="AR265">
        <f t="shared" si="123"/>
        <v>0.66666666666666663</v>
      </c>
      <c r="AS265">
        <f>step3_validation[[#This Row],[AI_TRU3]]</f>
        <v>8</v>
      </c>
      <c r="AT265">
        <f t="shared" si="124"/>
        <v>0.77777777777777779</v>
      </c>
      <c r="AU265">
        <f>survey_responses[[#This Row],[Tôi tin tưởng số tiền thuế tôi đóng sẽ được Nhà nước sử dụng hiệu quả để cải thiện dịch vụ công (y tế, đường xá...). - HUMAN-TRU3]]</f>
        <v>7</v>
      </c>
      <c r="AV265">
        <f t="shared" si="125"/>
        <v>0.66666666666666663</v>
      </c>
      <c r="AW265">
        <f>step3_validation[[#This Row],[AI_TRU4]]</f>
        <v>7</v>
      </c>
      <c r="AX265">
        <f t="shared" si="126"/>
        <v>0.66666666666666663</v>
      </c>
      <c r="AY265">
        <f>survey_responses[[#This Row],[Tôi thấy Nhà nước đã giải thích rõ ràng, minh bạch về lý do và mục tiêu của việc sửa đổi thuế lần này. - HUMAN-TRU4]]</f>
        <v>7</v>
      </c>
      <c r="AZ265">
        <f t="shared" si="127"/>
        <v>0.66666666666666663</v>
      </c>
      <c r="BA265" s="32">
        <f t="shared" si="128"/>
        <v>0.72222222222222221</v>
      </c>
      <c r="BB265" s="32">
        <f t="shared" si="129"/>
        <v>0.66666666666666663</v>
      </c>
      <c r="BC265" s="7">
        <f t="shared" si="130"/>
        <v>0.74074074074074081</v>
      </c>
      <c r="BD265" s="7">
        <f t="shared" si="131"/>
        <v>0.68518518518518512</v>
      </c>
      <c r="BE265">
        <f>step3_validation[[#This Row],[AI_OUT1]]</f>
        <v>8</v>
      </c>
      <c r="BF265">
        <f t="shared" si="132"/>
        <v>0.77777777777777779</v>
      </c>
      <c r="BG265">
        <f>survey_responses[[#This Row],[Sau khi xem xét các quyền lợi và nghĩa vụ, bạn có ủng hộ và tuân thủ chính sách mới hiện nay? - HUMAN-OUT1]]</f>
        <v>7</v>
      </c>
      <c r="BH265">
        <f t="shared" si="133"/>
        <v>0.66666666666666663</v>
      </c>
      <c r="BI265" s="32">
        <f t="shared" si="134"/>
        <v>1</v>
      </c>
    </row>
    <row r="266" spans="1:61" x14ac:dyDescent="0.45">
      <c r="A266" s="30">
        <f>step3_validation[[#This Row],[Persona_ID]]</f>
        <v>265</v>
      </c>
      <c r="B266" s="31">
        <f>step3_validation[[#This Row],[Used_Seed]]</f>
        <v>2255</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23.4628029662031</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6</v>
      </c>
      <c r="R266">
        <f t="shared" si="108"/>
        <v>0.55555555555555558</v>
      </c>
      <c r="S266">
        <f>survey_responses[[#This Row],[Tôi tin rằng với các quy định quản lý thuế hiện nay, hành vi gian lận hoặc trốn thuế sẽ dễ dàng bị phát hiện và xử lý nghiêm. - HUMAN-ENF1]]</f>
        <v>6</v>
      </c>
      <c r="T266">
        <f t="shared" si="109"/>
        <v>0.55555555555555558</v>
      </c>
      <c r="U266">
        <f>step3_validation[[#This Row],[AI_ENF2]]</f>
        <v>6</v>
      </c>
      <c r="V266">
        <f t="shared" si="110"/>
        <v>0.55555555555555558</v>
      </c>
      <c r="W266">
        <f>survey_responses[[#This Row],[Tôi tin rằng Nhà nước, cơ quan thuế có đủ khả năng và công nghệ để phát hiện, xử lý nghiêm các hành vi trốn thuế. - HUMAN-ENF2]]</f>
        <v>5</v>
      </c>
      <c r="X266">
        <f t="shared" si="111"/>
        <v>0.44444444444444442</v>
      </c>
      <c r="Y266" s="32">
        <f t="shared" si="112"/>
        <v>0.55555555555555558</v>
      </c>
      <c r="Z266" s="32">
        <f t="shared" si="113"/>
        <v>0.5</v>
      </c>
      <c r="AA266">
        <f>step3_validation[[#This Row],[AI_FAC1]]</f>
        <v>7</v>
      </c>
      <c r="AB266">
        <f t="shared" si="114"/>
        <v>0.66666666666666663</v>
      </c>
      <c r="AC266">
        <f>survey_responses[[#This Row],[Các thủ tục khai báo thuế VÀ/HOẶC quy trình làm việc với cơ quan thuế đơn giản, tiện lợi, nhanh chóng hơn so với trước đây. - HUMAN-FAC1]]</f>
        <v>5</v>
      </c>
      <c r="AD266">
        <f t="shared" si="115"/>
        <v>0.44444444444444442</v>
      </c>
      <c r="AE266">
        <f>step3_validation[[#This Row],[AI_FAC2]]</f>
        <v>9</v>
      </c>
      <c r="AF266">
        <f t="shared" si="116"/>
        <v>0.88888888888888884</v>
      </c>
      <c r="AG266">
        <f>survey_responses[[#This Row],[So với trước đây, tôi thấy cách tính thuế và các bậc thuế trong phương án mới đơn giản, dễ hiểu và dễ thực hiện hơn. - HUMAN-FAC2]]</f>
        <v>7</v>
      </c>
      <c r="AH266">
        <f t="shared" si="117"/>
        <v>0.66666666666666663</v>
      </c>
      <c r="AI266" s="32">
        <f t="shared" si="118"/>
        <v>0.77777777777777768</v>
      </c>
      <c r="AJ266" s="32">
        <f t="shared" si="119"/>
        <v>0.55555555555555558</v>
      </c>
      <c r="AK266">
        <f>step3_validation[[#This Row],[AI_TRU1]]</f>
        <v>7</v>
      </c>
      <c r="AL266">
        <f t="shared" si="120"/>
        <v>0.66666666666666663</v>
      </c>
      <c r="AM266">
        <f>survey_responses[[#This Row],[Tôi tin rằng Nhà nước, cơ quan thuế sẽ thực thi chính sách mới một cách khách quan, công tâm và đối xử bình đẳng với mọi người nộp thuế.  - HUMAN-TRU1]]</f>
        <v>6</v>
      </c>
      <c r="AN266">
        <f t="shared" si="121"/>
        <v>0.55555555555555558</v>
      </c>
      <c r="AO266">
        <f>step3_validation[[#This Row],[AI_TRU2]]</f>
        <v>9</v>
      </c>
      <c r="AP266">
        <f t="shared" si="122"/>
        <v>0.88888888888888884</v>
      </c>
      <c r="AQ266">
        <f>survey_responses[[#This Row],[Tôi thấy mức thuế tôi phải đóng theo phương án mới là công bằng (người thu nhập như tôi đóng mức này là hợp lý). - HUMAN-TRU2]]</f>
        <v>7</v>
      </c>
      <c r="AR266">
        <f t="shared" si="123"/>
        <v>0.66666666666666663</v>
      </c>
      <c r="AS266">
        <f>step3_validation[[#This Row],[AI_TRU3]]</f>
        <v>7</v>
      </c>
      <c r="AT266">
        <f t="shared" si="124"/>
        <v>0.66666666666666663</v>
      </c>
      <c r="AU266">
        <f>survey_responses[[#This Row],[Tôi tin tưởng số tiền thuế tôi đóng sẽ được Nhà nước sử dụng hiệu quả để cải thiện dịch vụ công (y tế, đường xá...). - HUMAN-TRU3]]</f>
        <v>5</v>
      </c>
      <c r="AV266">
        <f t="shared" si="125"/>
        <v>0.44444444444444442</v>
      </c>
      <c r="AW266">
        <f>step3_validation[[#This Row],[AI_TRU4]]</f>
        <v>8</v>
      </c>
      <c r="AX266">
        <f t="shared" si="126"/>
        <v>0.77777777777777779</v>
      </c>
      <c r="AY266">
        <f>survey_responses[[#This Row],[Tôi thấy Nhà nước đã giải thích rõ ràng, minh bạch về lý do và mục tiêu của việc sửa đổi thuế lần này. - HUMAN-TRU4]]</f>
        <v>6</v>
      </c>
      <c r="AZ266">
        <f t="shared" si="127"/>
        <v>0.55555555555555558</v>
      </c>
      <c r="BA266" s="32">
        <f t="shared" si="128"/>
        <v>0.74999999999999989</v>
      </c>
      <c r="BB266" s="32">
        <f t="shared" si="129"/>
        <v>0.55555555555555558</v>
      </c>
      <c r="BC266" s="7">
        <f t="shared" si="130"/>
        <v>0.69444444444444431</v>
      </c>
      <c r="BD266" s="7">
        <f t="shared" si="131"/>
        <v>0.53703703703703709</v>
      </c>
      <c r="BE266">
        <f>step3_validation[[#This Row],[AI_OUT1]]</f>
        <v>9</v>
      </c>
      <c r="BF266">
        <f t="shared" si="132"/>
        <v>0.88888888888888884</v>
      </c>
      <c r="BG266">
        <f>survey_responses[[#This Row],[Sau khi xem xét các quyền lợi và nghĩa vụ, bạn có ủng hộ và tuân thủ chính sách mới hiện nay? - HUMAN-OUT1]]</f>
        <v>6</v>
      </c>
      <c r="BH266">
        <f t="shared" si="133"/>
        <v>0.55555555555555558</v>
      </c>
      <c r="BI266" s="32">
        <f t="shared" si="134"/>
        <v>3</v>
      </c>
    </row>
    <row r="267" spans="1:61" x14ac:dyDescent="0.45">
      <c r="A267" s="30">
        <f>step3_validation[[#This Row],[Persona_ID]]</f>
        <v>266</v>
      </c>
      <c r="B267" s="31">
        <f>step3_validation[[#This Row],[Used_Seed]]</f>
        <v>2256</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62.259642572768584</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f t="shared" si="108"/>
        <v>0.66666666666666663</v>
      </c>
      <c r="S267">
        <f>survey_responses[[#This Row],[Tôi tin rằng với các quy định quản lý thuế hiện nay, hành vi gian lận hoặc trốn thuế sẽ dễ dàng bị phát hiện và xử lý nghiêm. - HUMAN-ENF1]]</f>
        <v>7</v>
      </c>
      <c r="T267">
        <f t="shared" si="109"/>
        <v>0.66666666666666663</v>
      </c>
      <c r="U267">
        <f>step3_validation[[#This Row],[AI_ENF2]]</f>
        <v>6</v>
      </c>
      <c r="V267">
        <f t="shared" si="110"/>
        <v>0.55555555555555558</v>
      </c>
      <c r="W267">
        <f>survey_responses[[#This Row],[Tôi tin rằng Nhà nước, cơ quan thuế có đủ khả năng và công nghệ để phát hiện, xử lý nghiêm các hành vi trốn thuế. - HUMAN-ENF2]]</f>
        <v>6</v>
      </c>
      <c r="X267">
        <f t="shared" si="111"/>
        <v>0.55555555555555558</v>
      </c>
      <c r="Y267" s="32">
        <f t="shared" si="112"/>
        <v>0.61111111111111116</v>
      </c>
      <c r="Z267" s="32">
        <f t="shared" si="113"/>
        <v>0.61111111111111116</v>
      </c>
      <c r="AA267">
        <f>step3_validation[[#This Row],[AI_FAC1]]</f>
        <v>8</v>
      </c>
      <c r="AB267">
        <f t="shared" si="114"/>
        <v>0.77777777777777779</v>
      </c>
      <c r="AC267">
        <f>survey_responses[[#This Row],[Các thủ tục khai báo thuế VÀ/HOẶC quy trình làm việc với cơ quan thuế đơn giản, tiện lợi, nhanh chóng hơn so với trước đây. - HUMAN-FAC1]]</f>
        <v>6</v>
      </c>
      <c r="AD267">
        <f t="shared" si="115"/>
        <v>0.55555555555555558</v>
      </c>
      <c r="AE267">
        <f>step3_validation[[#This Row],[AI_FAC2]]</f>
        <v>9</v>
      </c>
      <c r="AF267">
        <f t="shared" si="116"/>
        <v>0.88888888888888884</v>
      </c>
      <c r="AG267">
        <f>survey_responses[[#This Row],[So với trước đây, tôi thấy cách tính thuế và các bậc thuế trong phương án mới đơn giản, dễ hiểu và dễ thực hiện hơn. - HUMAN-FAC2]]</f>
        <v>6</v>
      </c>
      <c r="AH267">
        <f t="shared" si="117"/>
        <v>0.55555555555555558</v>
      </c>
      <c r="AI267" s="32">
        <f t="shared" si="118"/>
        <v>0.83333333333333326</v>
      </c>
      <c r="AJ267" s="32">
        <f t="shared" si="119"/>
        <v>0.55555555555555558</v>
      </c>
      <c r="AK267">
        <f>step3_validation[[#This Row],[AI_TRU1]]</f>
        <v>6</v>
      </c>
      <c r="AL267">
        <f t="shared" si="120"/>
        <v>0.55555555555555558</v>
      </c>
      <c r="AM267">
        <f>survey_responses[[#This Row],[Tôi tin rằng Nhà nước, cơ quan thuế sẽ thực thi chính sách mới một cách khách quan, công tâm và đối xử bình đẳng với mọi người nộp thuế.  - HUMAN-TRU1]]</f>
        <v>7</v>
      </c>
      <c r="AN267">
        <f t="shared" si="121"/>
        <v>0.66666666666666663</v>
      </c>
      <c r="AO267">
        <f>step3_validation[[#This Row],[AI_TRU2]]</f>
        <v>9</v>
      </c>
      <c r="AP267">
        <f t="shared" si="122"/>
        <v>0.88888888888888884</v>
      </c>
      <c r="AQ267">
        <f>survey_responses[[#This Row],[Tôi thấy mức thuế tôi phải đóng theo phương án mới là công bằng (người thu nhập như tôi đóng mức này là hợp lý). - HUMAN-TRU2]]</f>
        <v>7</v>
      </c>
      <c r="AR267">
        <f t="shared" si="123"/>
        <v>0.66666666666666663</v>
      </c>
      <c r="AS267">
        <f>step3_validation[[#This Row],[AI_TRU3]]</f>
        <v>7</v>
      </c>
      <c r="AT267">
        <f t="shared" si="124"/>
        <v>0.66666666666666663</v>
      </c>
      <c r="AU267">
        <f>survey_responses[[#This Row],[Tôi tin tưởng số tiền thuế tôi đóng sẽ được Nhà nước sử dụng hiệu quả để cải thiện dịch vụ công (y tế, đường xá...). - HUMAN-TRU3]]</f>
        <v>7</v>
      </c>
      <c r="AV267">
        <f t="shared" si="125"/>
        <v>0.66666666666666663</v>
      </c>
      <c r="AW267">
        <f>step3_validation[[#This Row],[AI_TRU4]]</f>
        <v>8</v>
      </c>
      <c r="AX267">
        <f t="shared" si="126"/>
        <v>0.77777777777777779</v>
      </c>
      <c r="AY267">
        <f>survey_responses[[#This Row],[Tôi thấy Nhà nước đã giải thích rõ ràng, minh bạch về lý do và mục tiêu của việc sửa đổi thuế lần này. - HUMAN-TRU4]]</f>
        <v>7</v>
      </c>
      <c r="AZ267">
        <f t="shared" si="127"/>
        <v>0.66666666666666663</v>
      </c>
      <c r="BA267" s="32">
        <f t="shared" si="128"/>
        <v>0.72222222222222221</v>
      </c>
      <c r="BB267" s="32">
        <f t="shared" si="129"/>
        <v>0.66666666666666663</v>
      </c>
      <c r="BC267" s="7">
        <f t="shared" si="130"/>
        <v>0.72222222222222221</v>
      </c>
      <c r="BD267" s="7">
        <f t="shared" si="131"/>
        <v>0.61111111111111116</v>
      </c>
      <c r="BE267">
        <f>step3_validation[[#This Row],[AI_OUT1]]</f>
        <v>7</v>
      </c>
      <c r="BF267">
        <f t="shared" si="132"/>
        <v>0.66666666666666663</v>
      </c>
      <c r="BG267">
        <f>survey_responses[[#This Row],[Sau khi xem xét các quyền lợi và nghĩa vụ, bạn có ủng hộ và tuân thủ chính sách mới hiện nay? - HUMAN-OUT1]]</f>
        <v>7</v>
      </c>
      <c r="BH267">
        <f t="shared" si="133"/>
        <v>0.66666666666666663</v>
      </c>
      <c r="BI267" s="32">
        <f t="shared" si="134"/>
        <v>0</v>
      </c>
    </row>
    <row r="268" spans="1:61" x14ac:dyDescent="0.45">
      <c r="A268" s="30">
        <f>step3_validation[[#This Row],[Persona_ID]]</f>
        <v>267</v>
      </c>
      <c r="B268" s="31">
        <f>step3_validation[[#This Row],[Used_Seed]]</f>
        <v>2257</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60.808420867312741</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f t="shared" si="108"/>
        <v>0.66666666666666663</v>
      </c>
      <c r="S268">
        <f>survey_responses[[#This Row],[Tôi tin rằng với các quy định quản lý thuế hiện nay, hành vi gian lận hoặc trốn thuế sẽ dễ dàng bị phát hiện và xử lý nghiêm. - HUMAN-ENF1]]</f>
        <v>6</v>
      </c>
      <c r="T268">
        <f t="shared" si="109"/>
        <v>0.55555555555555558</v>
      </c>
      <c r="U268">
        <f>step3_validation[[#This Row],[AI_ENF2]]</f>
        <v>7</v>
      </c>
      <c r="V268">
        <f t="shared" si="110"/>
        <v>0.66666666666666663</v>
      </c>
      <c r="W268">
        <f>survey_responses[[#This Row],[Tôi tin rằng Nhà nước, cơ quan thuế có đủ khả năng và công nghệ để phát hiện, xử lý nghiêm các hành vi trốn thuế. - HUMAN-ENF2]]</f>
        <v>7</v>
      </c>
      <c r="X268">
        <f t="shared" si="111"/>
        <v>0.66666666666666663</v>
      </c>
      <c r="Y268" s="32">
        <f t="shared" si="112"/>
        <v>0.66666666666666663</v>
      </c>
      <c r="Z268" s="32">
        <f t="shared" si="113"/>
        <v>0.61111111111111116</v>
      </c>
      <c r="AA268">
        <f>step3_validation[[#This Row],[AI_FAC1]]</f>
        <v>9</v>
      </c>
      <c r="AB268">
        <f t="shared" si="114"/>
        <v>0.88888888888888884</v>
      </c>
      <c r="AC268">
        <f>survey_responses[[#This Row],[Các thủ tục khai báo thuế VÀ/HOẶC quy trình làm việc với cơ quan thuế đơn giản, tiện lợi, nhanh chóng hơn so với trước đây. - HUMAN-FAC1]]</f>
        <v>7</v>
      </c>
      <c r="AD268">
        <f t="shared" si="115"/>
        <v>0.66666666666666663</v>
      </c>
      <c r="AE268">
        <f>step3_validation[[#This Row],[AI_FAC2]]</f>
        <v>8</v>
      </c>
      <c r="AF268">
        <f t="shared" si="116"/>
        <v>0.77777777777777779</v>
      </c>
      <c r="AG268">
        <f>survey_responses[[#This Row],[So với trước đây, tôi thấy cách tính thuế và các bậc thuế trong phương án mới đơn giản, dễ hiểu và dễ thực hiện hơn. - HUMAN-FAC2]]</f>
        <v>6</v>
      </c>
      <c r="AH268">
        <f t="shared" si="117"/>
        <v>0.55555555555555558</v>
      </c>
      <c r="AI268" s="32">
        <f t="shared" si="118"/>
        <v>0.83333333333333326</v>
      </c>
      <c r="AJ268" s="32">
        <f t="shared" si="119"/>
        <v>0.61111111111111116</v>
      </c>
      <c r="AK268">
        <f>step3_validation[[#This Row],[AI_TRU1]]</f>
        <v>6</v>
      </c>
      <c r="AL268">
        <f t="shared" si="120"/>
        <v>0.55555555555555558</v>
      </c>
      <c r="AM268">
        <f>survey_responses[[#This Row],[Tôi tin rằng Nhà nước, cơ quan thuế sẽ thực thi chính sách mới một cách khách quan, công tâm và đối xử bình đẳng với mọi người nộp thuế.  - HUMAN-TRU1]]</f>
        <v>6</v>
      </c>
      <c r="AN268">
        <f t="shared" si="121"/>
        <v>0.55555555555555558</v>
      </c>
      <c r="AO268">
        <f>step3_validation[[#This Row],[AI_TRU2]]</f>
        <v>8</v>
      </c>
      <c r="AP268">
        <f t="shared" si="122"/>
        <v>0.77777777777777779</v>
      </c>
      <c r="AQ268">
        <f>survey_responses[[#This Row],[Tôi thấy mức thuế tôi phải đóng theo phương án mới là công bằng (người thu nhập như tôi đóng mức này là hợp lý). - HUMAN-TRU2]]</f>
        <v>6</v>
      </c>
      <c r="AR268">
        <f t="shared" si="123"/>
        <v>0.55555555555555558</v>
      </c>
      <c r="AS268">
        <f>step3_validation[[#This Row],[AI_TRU3]]</f>
        <v>6</v>
      </c>
      <c r="AT268">
        <f t="shared" si="124"/>
        <v>0.55555555555555558</v>
      </c>
      <c r="AU268">
        <f>survey_responses[[#This Row],[Tôi tin tưởng số tiền thuế tôi đóng sẽ được Nhà nước sử dụng hiệu quả để cải thiện dịch vụ công (y tế, đường xá...). - HUMAN-TRU3]]</f>
        <v>6</v>
      </c>
      <c r="AV268">
        <f t="shared" si="125"/>
        <v>0.55555555555555558</v>
      </c>
      <c r="AW268">
        <f>step3_validation[[#This Row],[AI_TRU4]]</f>
        <v>7</v>
      </c>
      <c r="AX268">
        <f t="shared" si="126"/>
        <v>0.66666666666666663</v>
      </c>
      <c r="AY268">
        <f>survey_responses[[#This Row],[Tôi thấy Nhà nước đã giải thích rõ ràng, minh bạch về lý do và mục tiêu của việc sửa đổi thuế lần này. - HUMAN-TRU4]]</f>
        <v>7</v>
      </c>
      <c r="AZ268">
        <f t="shared" si="127"/>
        <v>0.66666666666666663</v>
      </c>
      <c r="BA268" s="32">
        <f t="shared" si="128"/>
        <v>0.63888888888888895</v>
      </c>
      <c r="BB268" s="32">
        <f t="shared" si="129"/>
        <v>0.58333333333333337</v>
      </c>
      <c r="BC268" s="7">
        <f t="shared" si="130"/>
        <v>0.71296296296296291</v>
      </c>
      <c r="BD268" s="7">
        <f t="shared" si="131"/>
        <v>0.60185185185185197</v>
      </c>
      <c r="BE268">
        <f>step3_validation[[#This Row],[AI_OUT1]]</f>
        <v>8</v>
      </c>
      <c r="BF268">
        <f t="shared" si="132"/>
        <v>0.77777777777777779</v>
      </c>
      <c r="BG268">
        <f>survey_responses[[#This Row],[Sau khi xem xét các quyền lợi và nghĩa vụ, bạn có ủng hộ và tuân thủ chính sách mới hiện nay? - HUMAN-OUT1]]</f>
        <v>7</v>
      </c>
      <c r="BH268">
        <f t="shared" si="133"/>
        <v>0.66666666666666663</v>
      </c>
      <c r="BI268" s="32">
        <f t="shared" si="134"/>
        <v>1</v>
      </c>
    </row>
    <row r="269" spans="1:61" x14ac:dyDescent="0.45">
      <c r="A269" s="30">
        <f>step3_validation[[#This Row],[Persona_ID]]</f>
        <v>268</v>
      </c>
      <c r="B269" s="31">
        <f>step3_validation[[#This Row],[Used_Seed]]</f>
        <v>2258</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24.038339925455372</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9</v>
      </c>
      <c r="R269">
        <f t="shared" si="108"/>
        <v>0.88888888888888884</v>
      </c>
      <c r="S269">
        <f>survey_responses[[#This Row],[Tôi tin rằng với các quy định quản lý thuế hiện nay, hành vi gian lận hoặc trốn thuế sẽ dễ dàng bị phát hiện và xử lý nghiêm. - HUMAN-ENF1]]</f>
        <v>7</v>
      </c>
      <c r="T269">
        <f t="shared" si="109"/>
        <v>0.66666666666666663</v>
      </c>
      <c r="U269">
        <f>step3_validation[[#This Row],[AI_ENF2]]</f>
        <v>8</v>
      </c>
      <c r="V269">
        <f t="shared" si="110"/>
        <v>0.77777777777777779</v>
      </c>
      <c r="W269">
        <f>survey_responses[[#This Row],[Tôi tin rằng Nhà nước, cơ quan thuế có đủ khả năng và công nghệ để phát hiện, xử lý nghiêm các hành vi trốn thuế. - HUMAN-ENF2]]</f>
        <v>7</v>
      </c>
      <c r="X269">
        <f t="shared" si="111"/>
        <v>0.66666666666666663</v>
      </c>
      <c r="Y269" s="32">
        <f t="shared" si="112"/>
        <v>0.83333333333333326</v>
      </c>
      <c r="Z269" s="32">
        <f t="shared" si="113"/>
        <v>0.66666666666666663</v>
      </c>
      <c r="AA269">
        <f>step3_validation[[#This Row],[AI_FAC1]]</f>
        <v>9</v>
      </c>
      <c r="AB269">
        <f t="shared" si="114"/>
        <v>0.88888888888888884</v>
      </c>
      <c r="AC269">
        <f>survey_responses[[#This Row],[Các thủ tục khai báo thuế VÀ/HOẶC quy trình làm việc với cơ quan thuế đơn giản, tiện lợi, nhanh chóng hơn so với trước đây. - HUMAN-FAC1]]</f>
        <v>2</v>
      </c>
      <c r="AD269">
        <f t="shared" si="115"/>
        <v>0.1111111111111111</v>
      </c>
      <c r="AE269">
        <f>step3_validation[[#This Row],[AI_FAC2]]</f>
        <v>8</v>
      </c>
      <c r="AF269">
        <f t="shared" si="116"/>
        <v>0.77777777777777779</v>
      </c>
      <c r="AG269">
        <f>survey_responses[[#This Row],[So với trước đây, tôi thấy cách tính thuế và các bậc thuế trong phương án mới đơn giản, dễ hiểu và dễ thực hiện hơn. - HUMAN-FAC2]]</f>
        <v>7</v>
      </c>
      <c r="AH269">
        <f t="shared" si="117"/>
        <v>0.66666666666666663</v>
      </c>
      <c r="AI269" s="32">
        <f t="shared" si="118"/>
        <v>0.83333333333333326</v>
      </c>
      <c r="AJ269" s="32">
        <f t="shared" si="119"/>
        <v>0.38888888888888884</v>
      </c>
      <c r="AK269">
        <f>step3_validation[[#This Row],[AI_TRU1]]</f>
        <v>7</v>
      </c>
      <c r="AL269">
        <f t="shared" si="120"/>
        <v>0.66666666666666663</v>
      </c>
      <c r="AM269">
        <f>survey_responses[[#This Row],[Tôi tin rằng Nhà nước, cơ quan thuế sẽ thực thi chính sách mới một cách khách quan, công tâm và đối xử bình đẳng với mọi người nộp thuế.  - HUMAN-TRU1]]</f>
        <v>7</v>
      </c>
      <c r="AN269">
        <f t="shared" si="121"/>
        <v>0.66666666666666663</v>
      </c>
      <c r="AO269">
        <f>step3_validation[[#This Row],[AI_TRU2]]</f>
        <v>9</v>
      </c>
      <c r="AP269">
        <f t="shared" si="122"/>
        <v>0.88888888888888884</v>
      </c>
      <c r="AQ269">
        <f>survey_responses[[#This Row],[Tôi thấy mức thuế tôi phải đóng theo phương án mới là công bằng (người thu nhập như tôi đóng mức này là hợp lý). - HUMAN-TRU2]]</f>
        <v>7</v>
      </c>
      <c r="AR269">
        <f t="shared" si="123"/>
        <v>0.66666666666666663</v>
      </c>
      <c r="AS269">
        <f>step3_validation[[#This Row],[AI_TRU3]]</f>
        <v>8</v>
      </c>
      <c r="AT269">
        <f t="shared" si="124"/>
        <v>0.77777777777777779</v>
      </c>
      <c r="AU269">
        <f>survey_responses[[#This Row],[Tôi tin tưởng số tiền thuế tôi đóng sẽ được Nhà nước sử dụng hiệu quả để cải thiện dịch vụ công (y tế, đường xá...). - HUMAN-TRU3]]</f>
        <v>7</v>
      </c>
      <c r="AV269">
        <f t="shared" si="125"/>
        <v>0.66666666666666663</v>
      </c>
      <c r="AW269">
        <f>step3_validation[[#This Row],[AI_TRU4]]</f>
        <v>7</v>
      </c>
      <c r="AX269">
        <f t="shared" si="126"/>
        <v>0.66666666666666663</v>
      </c>
      <c r="AY269">
        <f>survey_responses[[#This Row],[Tôi thấy Nhà nước đã giải thích rõ ràng, minh bạch về lý do và mục tiêu của việc sửa đổi thuế lần này. - HUMAN-TRU4]]</f>
        <v>7</v>
      </c>
      <c r="AZ269">
        <f t="shared" si="127"/>
        <v>0.66666666666666663</v>
      </c>
      <c r="BA269" s="32">
        <f t="shared" si="128"/>
        <v>0.74999999999999989</v>
      </c>
      <c r="BB269" s="32">
        <f t="shared" si="129"/>
        <v>0.66666666666666663</v>
      </c>
      <c r="BC269" s="7">
        <f t="shared" si="130"/>
        <v>0.80555555555555547</v>
      </c>
      <c r="BD269" s="7">
        <f t="shared" si="131"/>
        <v>0.57407407407407396</v>
      </c>
      <c r="BE269">
        <f>step3_validation[[#This Row],[AI_OUT1]]</f>
        <v>9</v>
      </c>
      <c r="BF269">
        <f t="shared" si="132"/>
        <v>0.88888888888888884</v>
      </c>
      <c r="BG269">
        <f>survey_responses[[#This Row],[Sau khi xem xét các quyền lợi và nghĩa vụ, bạn có ủng hộ và tuân thủ chính sách mới hiện nay? - HUMAN-OUT1]]</f>
        <v>7</v>
      </c>
      <c r="BH269">
        <f t="shared" si="133"/>
        <v>0.66666666666666663</v>
      </c>
      <c r="BI269" s="32">
        <f t="shared" si="134"/>
        <v>2</v>
      </c>
    </row>
    <row r="270" spans="1:61" x14ac:dyDescent="0.45">
      <c r="A270" s="30">
        <f>step3_validation[[#This Row],[Persona_ID]]</f>
        <v>269</v>
      </c>
      <c r="B270" s="31">
        <f>step3_validation[[#This Row],[Used_Seed]]</f>
        <v>2259</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88.673723159444748</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f t="shared" si="108"/>
        <v>0.77777777777777779</v>
      </c>
      <c r="S270">
        <f>survey_responses[[#This Row],[Tôi tin rằng với các quy định quản lý thuế hiện nay, hành vi gian lận hoặc trốn thuế sẽ dễ dàng bị phát hiện và xử lý nghiêm. - HUMAN-ENF1]]</f>
        <v>4</v>
      </c>
      <c r="T270">
        <f t="shared" si="109"/>
        <v>0.33333333333333331</v>
      </c>
      <c r="U270">
        <f>step3_validation[[#This Row],[AI_ENF2]]</f>
        <v>9</v>
      </c>
      <c r="V270">
        <f t="shared" si="110"/>
        <v>0.88888888888888884</v>
      </c>
      <c r="W270">
        <f>survey_responses[[#This Row],[Tôi tin rằng Nhà nước, cơ quan thuế có đủ khả năng và công nghệ để phát hiện, xử lý nghiêm các hành vi trốn thuế. - HUMAN-ENF2]]</f>
        <v>5</v>
      </c>
      <c r="X270">
        <f t="shared" si="111"/>
        <v>0.44444444444444442</v>
      </c>
      <c r="Y270" s="32">
        <f t="shared" si="112"/>
        <v>0.83333333333333326</v>
      </c>
      <c r="Z270" s="32">
        <f t="shared" si="113"/>
        <v>0.38888888888888884</v>
      </c>
      <c r="AA270">
        <f>step3_validation[[#This Row],[AI_FAC1]]</f>
        <v>7</v>
      </c>
      <c r="AB270">
        <f t="shared" si="114"/>
        <v>0.66666666666666663</v>
      </c>
      <c r="AC270">
        <f>survey_responses[[#This Row],[Các thủ tục khai báo thuế VÀ/HOẶC quy trình làm việc với cơ quan thuế đơn giản, tiện lợi, nhanh chóng hơn so với trước đây. - HUMAN-FAC1]]</f>
        <v>2</v>
      </c>
      <c r="AD270">
        <f t="shared" si="115"/>
        <v>0.1111111111111111</v>
      </c>
      <c r="AE270">
        <f>step3_validation[[#This Row],[AI_FAC2]]</f>
        <v>9</v>
      </c>
      <c r="AF270">
        <f t="shared" si="116"/>
        <v>0.88888888888888884</v>
      </c>
      <c r="AG270">
        <f>survey_responses[[#This Row],[So với trước đây, tôi thấy cách tính thuế và các bậc thuế trong phương án mới đơn giản, dễ hiểu và dễ thực hiện hơn. - HUMAN-FAC2]]</f>
        <v>6</v>
      </c>
      <c r="AH270">
        <f t="shared" si="117"/>
        <v>0.55555555555555558</v>
      </c>
      <c r="AI270" s="32">
        <f t="shared" si="118"/>
        <v>0.77777777777777768</v>
      </c>
      <c r="AJ270" s="32">
        <f t="shared" si="119"/>
        <v>0.33333333333333337</v>
      </c>
      <c r="AK270">
        <f>step3_validation[[#This Row],[AI_TRU1]]</f>
        <v>8</v>
      </c>
      <c r="AL270">
        <f t="shared" si="120"/>
        <v>0.77777777777777779</v>
      </c>
      <c r="AM270">
        <f>survey_responses[[#This Row],[Tôi tin rằng Nhà nước, cơ quan thuế sẽ thực thi chính sách mới một cách khách quan, công tâm và đối xử bình đẳng với mọi người nộp thuế.  - HUMAN-TRU1]]</f>
        <v>3</v>
      </c>
      <c r="AN270">
        <f t="shared" si="121"/>
        <v>0.22222222222222221</v>
      </c>
      <c r="AO270">
        <f>step3_validation[[#This Row],[AI_TRU2]]</f>
        <v>9</v>
      </c>
      <c r="AP270">
        <f t="shared" si="122"/>
        <v>0.88888888888888884</v>
      </c>
      <c r="AQ270">
        <f>survey_responses[[#This Row],[Tôi thấy mức thuế tôi phải đóng theo phương án mới là công bằng (người thu nhập như tôi đóng mức này là hợp lý). - HUMAN-TRU2]]</f>
        <v>3</v>
      </c>
      <c r="AR270">
        <f t="shared" si="123"/>
        <v>0.22222222222222221</v>
      </c>
      <c r="AS270">
        <f>step3_validation[[#This Row],[AI_TRU3]]</f>
        <v>7</v>
      </c>
      <c r="AT270">
        <f t="shared" si="124"/>
        <v>0.66666666666666663</v>
      </c>
      <c r="AU270">
        <f>survey_responses[[#This Row],[Tôi tin tưởng số tiền thuế tôi đóng sẽ được Nhà nước sử dụng hiệu quả để cải thiện dịch vụ công (y tế, đường xá...). - HUMAN-TRU3]]</f>
        <v>1</v>
      </c>
      <c r="AV270">
        <f t="shared" si="125"/>
        <v>0</v>
      </c>
      <c r="AW270">
        <f>step3_validation[[#This Row],[AI_TRU4]]</f>
        <v>6</v>
      </c>
      <c r="AX270">
        <f t="shared" si="126"/>
        <v>0.55555555555555558</v>
      </c>
      <c r="AY270">
        <f>survey_responses[[#This Row],[Tôi thấy Nhà nước đã giải thích rõ ràng, minh bạch về lý do và mục tiêu của việc sửa đổi thuế lần này. - HUMAN-TRU4]]</f>
        <v>3</v>
      </c>
      <c r="AZ270">
        <f t="shared" si="127"/>
        <v>0.22222222222222221</v>
      </c>
      <c r="BA270" s="32">
        <f t="shared" si="128"/>
        <v>0.7222222222222221</v>
      </c>
      <c r="BB270" s="32">
        <f t="shared" si="129"/>
        <v>0.16666666666666666</v>
      </c>
      <c r="BC270" s="7">
        <f t="shared" si="130"/>
        <v>0.77777777777777768</v>
      </c>
      <c r="BD270" s="7">
        <f t="shared" si="131"/>
        <v>0.29629629629629628</v>
      </c>
      <c r="BE270">
        <f>step3_validation[[#This Row],[AI_OUT1]]</f>
        <v>9</v>
      </c>
      <c r="BF270">
        <f t="shared" si="132"/>
        <v>0.88888888888888884</v>
      </c>
      <c r="BG270">
        <f>survey_responses[[#This Row],[Sau khi xem xét các quyền lợi và nghĩa vụ, bạn có ủng hộ và tuân thủ chính sách mới hiện nay? - HUMAN-OUT1]]</f>
        <v>1</v>
      </c>
      <c r="BH270">
        <f t="shared" si="133"/>
        <v>0</v>
      </c>
      <c r="BI270" s="32">
        <f t="shared" si="134"/>
        <v>8</v>
      </c>
    </row>
    <row r="271" spans="1:61" x14ac:dyDescent="0.45">
      <c r="A271" s="30">
        <f>step3_validation[[#This Row],[Persona_ID]]</f>
        <v>270</v>
      </c>
      <c r="B271" s="31">
        <f>step3_validation[[#This Row],[Used_Seed]]</f>
        <v>2260</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49.263811221633972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f t="shared" si="108"/>
        <v>0.66666666666666663</v>
      </c>
      <c r="S271">
        <f>survey_responses[[#This Row],[Tôi tin rằng với các quy định quản lý thuế hiện nay, hành vi gian lận hoặc trốn thuế sẽ dễ dàng bị phát hiện và xử lý nghiêm. - HUMAN-ENF1]]</f>
        <v>8</v>
      </c>
      <c r="T271">
        <f t="shared" si="109"/>
        <v>0.77777777777777779</v>
      </c>
      <c r="U271">
        <f>step3_validation[[#This Row],[AI_ENF2]]</f>
        <v>6</v>
      </c>
      <c r="V271">
        <f t="shared" si="110"/>
        <v>0.55555555555555558</v>
      </c>
      <c r="W271">
        <f>survey_responses[[#This Row],[Tôi tin rằng Nhà nước, cơ quan thuế có đủ khả năng và công nghệ để phát hiện, xử lý nghiêm các hành vi trốn thuế. - HUMAN-ENF2]]</f>
        <v>8</v>
      </c>
      <c r="X271">
        <f t="shared" si="111"/>
        <v>0.77777777777777779</v>
      </c>
      <c r="Y271" s="32">
        <f t="shared" si="112"/>
        <v>0.61111111111111116</v>
      </c>
      <c r="Z271" s="32">
        <f t="shared" si="113"/>
        <v>0.77777777777777779</v>
      </c>
      <c r="AA271">
        <f>step3_validation[[#This Row],[AI_FAC1]]</f>
        <v>8</v>
      </c>
      <c r="AB271">
        <f t="shared" si="114"/>
        <v>0.77777777777777779</v>
      </c>
      <c r="AC271">
        <f>survey_responses[[#This Row],[Các thủ tục khai báo thuế VÀ/HOẶC quy trình làm việc với cơ quan thuế đơn giản, tiện lợi, nhanh chóng hơn so với trước đây. - HUMAN-FAC1]]</f>
        <v>3</v>
      </c>
      <c r="AD271">
        <f t="shared" si="115"/>
        <v>0.22222222222222221</v>
      </c>
      <c r="AE271">
        <f>step3_validation[[#This Row],[AI_FAC2]]</f>
        <v>9</v>
      </c>
      <c r="AF271">
        <f t="shared" si="116"/>
        <v>0.88888888888888884</v>
      </c>
      <c r="AG271">
        <f>survey_responses[[#This Row],[So với trước đây, tôi thấy cách tính thuế và các bậc thuế trong phương án mới đơn giản, dễ hiểu và dễ thực hiện hơn. - HUMAN-FAC2]]</f>
        <v>8</v>
      </c>
      <c r="AH271">
        <f t="shared" si="117"/>
        <v>0.77777777777777779</v>
      </c>
      <c r="AI271" s="32">
        <f t="shared" si="118"/>
        <v>0.83333333333333326</v>
      </c>
      <c r="AJ271" s="32">
        <f t="shared" si="119"/>
        <v>0.5</v>
      </c>
      <c r="AK271">
        <f>step3_validation[[#This Row],[AI_TRU1]]</f>
        <v>8</v>
      </c>
      <c r="AL271">
        <f t="shared" si="120"/>
        <v>0.77777777777777779</v>
      </c>
      <c r="AM271">
        <f>survey_responses[[#This Row],[Tôi tin rằng Nhà nước, cơ quan thuế sẽ thực thi chính sách mới một cách khách quan, công tâm và đối xử bình đẳng với mọi người nộp thuế.  - HUMAN-TRU1]]</f>
        <v>3</v>
      </c>
      <c r="AN271">
        <f t="shared" si="121"/>
        <v>0.22222222222222221</v>
      </c>
      <c r="AO271">
        <f>step3_validation[[#This Row],[AI_TRU2]]</f>
        <v>9</v>
      </c>
      <c r="AP271">
        <f t="shared" si="122"/>
        <v>0.88888888888888884</v>
      </c>
      <c r="AQ271">
        <f>survey_responses[[#This Row],[Tôi thấy mức thuế tôi phải đóng theo phương án mới là công bằng (người thu nhập như tôi đóng mức này là hợp lý). - HUMAN-TRU2]]</f>
        <v>1</v>
      </c>
      <c r="AR271">
        <f t="shared" si="123"/>
        <v>0</v>
      </c>
      <c r="AS271">
        <f>step3_validation[[#This Row],[AI_TRU3]]</f>
        <v>8</v>
      </c>
      <c r="AT271">
        <f t="shared" si="124"/>
        <v>0.77777777777777779</v>
      </c>
      <c r="AU271">
        <f>survey_responses[[#This Row],[Tôi tin tưởng số tiền thuế tôi đóng sẽ được Nhà nước sử dụng hiệu quả để cải thiện dịch vụ công (y tế, đường xá...). - HUMAN-TRU3]]</f>
        <v>8</v>
      </c>
      <c r="AV271">
        <f t="shared" si="125"/>
        <v>0.77777777777777779</v>
      </c>
      <c r="AW271">
        <f>step3_validation[[#This Row],[AI_TRU4]]</f>
        <v>9</v>
      </c>
      <c r="AX271">
        <f t="shared" si="126"/>
        <v>0.88888888888888884</v>
      </c>
      <c r="AY271">
        <f>survey_responses[[#This Row],[Tôi thấy Nhà nước đã giải thích rõ ràng, minh bạch về lý do và mục tiêu của việc sửa đổi thuế lần này. - HUMAN-TRU4]]</f>
        <v>6</v>
      </c>
      <c r="AZ271">
        <f t="shared" si="127"/>
        <v>0.55555555555555558</v>
      </c>
      <c r="BA271" s="32">
        <f t="shared" si="128"/>
        <v>0.83333333333333326</v>
      </c>
      <c r="BB271" s="32">
        <f t="shared" si="129"/>
        <v>0.3888888888888889</v>
      </c>
      <c r="BC271" s="7">
        <f t="shared" si="130"/>
        <v>0.75925925925925919</v>
      </c>
      <c r="BD271" s="7">
        <f t="shared" si="131"/>
        <v>0.55555555555555547</v>
      </c>
      <c r="BE271">
        <f>step3_validation[[#This Row],[AI_OUT1]]</f>
        <v>9</v>
      </c>
      <c r="BF271">
        <f t="shared" si="132"/>
        <v>0.88888888888888884</v>
      </c>
      <c r="BG271">
        <f>survey_responses[[#This Row],[Sau khi xem xét các quyền lợi và nghĩa vụ, bạn có ủng hộ và tuân thủ chính sách mới hiện nay? - HUMAN-OUT1]]</f>
        <v>7</v>
      </c>
      <c r="BH271">
        <f t="shared" si="133"/>
        <v>0.66666666666666663</v>
      </c>
      <c r="BI271" s="32">
        <f t="shared" si="134"/>
        <v>2</v>
      </c>
    </row>
    <row r="272" spans="1:61" x14ac:dyDescent="0.45">
      <c r="A272" s="30">
        <f>step3_validation[[#This Row],[Persona_ID]]</f>
        <v>271</v>
      </c>
      <c r="B272" s="31">
        <f>step3_validation[[#This Row],[Used_Seed]]</f>
        <v>2261</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61.79431873802563</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6</v>
      </c>
      <c r="R272">
        <f t="shared" si="108"/>
        <v>0.55555555555555558</v>
      </c>
      <c r="S272">
        <f>survey_responses[[#This Row],[Tôi tin rằng với các quy định quản lý thuế hiện nay, hành vi gian lận hoặc trốn thuế sẽ dễ dàng bị phát hiện và xử lý nghiêm. - HUMAN-ENF1]]</f>
        <v>7</v>
      </c>
      <c r="T272">
        <f t="shared" si="109"/>
        <v>0.66666666666666663</v>
      </c>
      <c r="U272">
        <f>step3_validation[[#This Row],[AI_ENF2]]</f>
        <v>7</v>
      </c>
      <c r="V272">
        <f t="shared" si="110"/>
        <v>0.66666666666666663</v>
      </c>
      <c r="W272">
        <f>survey_responses[[#This Row],[Tôi tin rằng Nhà nước, cơ quan thuế có đủ khả năng và công nghệ để phát hiện, xử lý nghiêm các hành vi trốn thuế. - HUMAN-ENF2]]</f>
        <v>7</v>
      </c>
      <c r="X272">
        <f t="shared" si="111"/>
        <v>0.66666666666666663</v>
      </c>
      <c r="Y272" s="32">
        <f t="shared" si="112"/>
        <v>0.61111111111111116</v>
      </c>
      <c r="Z272" s="32">
        <f t="shared" si="113"/>
        <v>0.66666666666666663</v>
      </c>
      <c r="AA272">
        <f>step3_validation[[#This Row],[AI_FAC1]]</f>
        <v>9</v>
      </c>
      <c r="AB272">
        <f t="shared" si="114"/>
        <v>0.88888888888888884</v>
      </c>
      <c r="AC272">
        <f>survey_responses[[#This Row],[Các thủ tục khai báo thuế VÀ/HOẶC quy trình làm việc với cơ quan thuế đơn giản, tiện lợi, nhanh chóng hơn so với trước đây. - HUMAN-FAC1]]</f>
        <v>4</v>
      </c>
      <c r="AD272">
        <f t="shared" si="115"/>
        <v>0.33333333333333331</v>
      </c>
      <c r="AE272">
        <f>step3_validation[[#This Row],[AI_FAC2]]</f>
        <v>8</v>
      </c>
      <c r="AF272">
        <f t="shared" si="116"/>
        <v>0.77777777777777779</v>
      </c>
      <c r="AG272">
        <f>survey_responses[[#This Row],[So với trước đây, tôi thấy cách tính thuế và các bậc thuế trong phương án mới đơn giản, dễ hiểu và dễ thực hiện hơn. - HUMAN-FAC2]]</f>
        <v>7</v>
      </c>
      <c r="AH272">
        <f t="shared" si="117"/>
        <v>0.66666666666666663</v>
      </c>
      <c r="AI272" s="32">
        <f t="shared" si="118"/>
        <v>0.83333333333333326</v>
      </c>
      <c r="AJ272" s="32">
        <f t="shared" si="119"/>
        <v>0.5</v>
      </c>
      <c r="AK272">
        <f>step3_validation[[#This Row],[AI_TRU1]]</f>
        <v>9</v>
      </c>
      <c r="AL272">
        <f t="shared" si="120"/>
        <v>0.88888888888888884</v>
      </c>
      <c r="AM272">
        <f>survey_responses[[#This Row],[Tôi tin rằng Nhà nước, cơ quan thuế sẽ thực thi chính sách mới một cách khách quan, công tâm và đối xử bình đẳng với mọi người nộp thuế.  - HUMAN-TRU1]]</f>
        <v>7</v>
      </c>
      <c r="AN272">
        <f t="shared" si="121"/>
        <v>0.66666666666666663</v>
      </c>
      <c r="AO272">
        <f>step3_validation[[#This Row],[AI_TRU2]]</f>
        <v>8</v>
      </c>
      <c r="AP272">
        <f t="shared" si="122"/>
        <v>0.77777777777777779</v>
      </c>
      <c r="AQ272">
        <f>survey_responses[[#This Row],[Tôi thấy mức thuế tôi phải đóng theo phương án mới là công bằng (người thu nhập như tôi đóng mức này là hợp lý). - HUMAN-TRU2]]</f>
        <v>6</v>
      </c>
      <c r="AR272">
        <f t="shared" si="123"/>
        <v>0.55555555555555558</v>
      </c>
      <c r="AS272">
        <f>step3_validation[[#This Row],[AI_TRU3]]</f>
        <v>9</v>
      </c>
      <c r="AT272">
        <f t="shared" si="124"/>
        <v>0.88888888888888884</v>
      </c>
      <c r="AU272">
        <f>survey_responses[[#This Row],[Tôi tin tưởng số tiền thuế tôi đóng sẽ được Nhà nước sử dụng hiệu quả để cải thiện dịch vụ công (y tế, đường xá...). - HUMAN-TRU3]]</f>
        <v>5</v>
      </c>
      <c r="AV272">
        <f t="shared" si="125"/>
        <v>0.44444444444444442</v>
      </c>
      <c r="AW272">
        <f>step3_validation[[#This Row],[AI_TRU4]]</f>
        <v>8</v>
      </c>
      <c r="AX272">
        <f t="shared" si="126"/>
        <v>0.77777777777777779</v>
      </c>
      <c r="AY272">
        <f>survey_responses[[#This Row],[Tôi thấy Nhà nước đã giải thích rõ ràng, minh bạch về lý do và mục tiêu của việc sửa đổi thuế lần này. - HUMAN-TRU4]]</f>
        <v>7</v>
      </c>
      <c r="AZ272">
        <f t="shared" si="127"/>
        <v>0.66666666666666663</v>
      </c>
      <c r="BA272" s="32">
        <f t="shared" si="128"/>
        <v>0.83333333333333326</v>
      </c>
      <c r="BB272" s="32">
        <f t="shared" si="129"/>
        <v>0.58333333333333337</v>
      </c>
      <c r="BC272" s="7">
        <f t="shared" si="130"/>
        <v>0.75925925925925919</v>
      </c>
      <c r="BD272" s="7">
        <f t="shared" si="131"/>
        <v>0.58333333333333337</v>
      </c>
      <c r="BE272">
        <f>step3_validation[[#This Row],[AI_OUT1]]</f>
        <v>9</v>
      </c>
      <c r="BF272">
        <f t="shared" si="132"/>
        <v>0.88888888888888884</v>
      </c>
      <c r="BG272">
        <f>survey_responses[[#This Row],[Sau khi xem xét các quyền lợi và nghĩa vụ, bạn có ủng hộ và tuân thủ chính sách mới hiện nay? - HUMAN-OUT1]]</f>
        <v>6</v>
      </c>
      <c r="BH272">
        <f t="shared" si="133"/>
        <v>0.55555555555555558</v>
      </c>
      <c r="BI272" s="32">
        <f t="shared" si="134"/>
        <v>3</v>
      </c>
    </row>
    <row r="273" spans="1:61" x14ac:dyDescent="0.45">
      <c r="A273" s="30">
        <f>step3_validation[[#This Row],[Persona_ID]]</f>
        <v>272</v>
      </c>
      <c r="B273" s="31">
        <f>step3_validation[[#This Row],[Used_Seed]]</f>
        <v>2262</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43.208028220020061</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6</v>
      </c>
      <c r="R273">
        <f t="shared" si="108"/>
        <v>0.55555555555555558</v>
      </c>
      <c r="S273">
        <f>survey_responses[[#This Row],[Tôi tin rằng với các quy định quản lý thuế hiện nay, hành vi gian lận hoặc trốn thuế sẽ dễ dàng bị phát hiện và xử lý nghiêm. - HUMAN-ENF1]]</f>
        <v>7</v>
      </c>
      <c r="T273">
        <f t="shared" si="109"/>
        <v>0.66666666666666663</v>
      </c>
      <c r="U273">
        <f>step3_validation[[#This Row],[AI_ENF2]]</f>
        <v>7</v>
      </c>
      <c r="V273">
        <f t="shared" si="110"/>
        <v>0.66666666666666663</v>
      </c>
      <c r="W273">
        <f>survey_responses[[#This Row],[Tôi tin rằng Nhà nước, cơ quan thuế có đủ khả năng và công nghệ để phát hiện, xử lý nghiêm các hành vi trốn thuế. - HUMAN-ENF2]]</f>
        <v>8</v>
      </c>
      <c r="X273">
        <f t="shared" si="111"/>
        <v>0.77777777777777779</v>
      </c>
      <c r="Y273" s="32">
        <f t="shared" si="112"/>
        <v>0.61111111111111116</v>
      </c>
      <c r="Z273" s="32">
        <f t="shared" si="113"/>
        <v>0.72222222222222221</v>
      </c>
      <c r="AA273">
        <f>step3_validation[[#This Row],[AI_FAC1]]</f>
        <v>9</v>
      </c>
      <c r="AB273">
        <f t="shared" si="114"/>
        <v>0.88888888888888884</v>
      </c>
      <c r="AC273">
        <f>survey_responses[[#This Row],[Các thủ tục khai báo thuế VÀ/HOẶC quy trình làm việc với cơ quan thuế đơn giản, tiện lợi, nhanh chóng hơn so với trước đây. - HUMAN-FAC1]]</f>
        <v>2</v>
      </c>
      <c r="AD273">
        <f t="shared" si="115"/>
        <v>0.1111111111111111</v>
      </c>
      <c r="AE273">
        <f>step3_validation[[#This Row],[AI_FAC2]]</f>
        <v>10</v>
      </c>
      <c r="AF273">
        <f t="shared" si="116"/>
        <v>1</v>
      </c>
      <c r="AG273">
        <f>survey_responses[[#This Row],[So với trước đây, tôi thấy cách tính thuế và các bậc thuế trong phương án mới đơn giản, dễ hiểu và dễ thực hiện hơn. - HUMAN-FAC2]]</f>
        <v>6</v>
      </c>
      <c r="AH273">
        <f t="shared" si="117"/>
        <v>0.55555555555555558</v>
      </c>
      <c r="AI273" s="32">
        <f t="shared" si="118"/>
        <v>0.94444444444444442</v>
      </c>
      <c r="AJ273" s="32">
        <f t="shared" si="119"/>
        <v>0.33333333333333337</v>
      </c>
      <c r="AK273">
        <f>step3_validation[[#This Row],[AI_TRU1]]</f>
        <v>8</v>
      </c>
      <c r="AL273">
        <f t="shared" si="120"/>
        <v>0.77777777777777779</v>
      </c>
      <c r="AM273">
        <f>survey_responses[[#This Row],[Tôi tin rằng Nhà nước, cơ quan thuế sẽ thực thi chính sách mới một cách khách quan, công tâm và đối xử bình đẳng với mọi người nộp thuế.  - HUMAN-TRU1]]</f>
        <v>6</v>
      </c>
      <c r="AN273">
        <f t="shared" si="121"/>
        <v>0.55555555555555558</v>
      </c>
      <c r="AO273">
        <f>step3_validation[[#This Row],[AI_TRU2]]</f>
        <v>9</v>
      </c>
      <c r="AP273">
        <f t="shared" si="122"/>
        <v>0.88888888888888884</v>
      </c>
      <c r="AQ273">
        <f>survey_responses[[#This Row],[Tôi thấy mức thuế tôi phải đóng theo phương án mới là công bằng (người thu nhập như tôi đóng mức này là hợp lý). - HUMAN-TRU2]]</f>
        <v>6</v>
      </c>
      <c r="AR273">
        <f t="shared" si="123"/>
        <v>0.55555555555555558</v>
      </c>
      <c r="AS273">
        <f>step3_validation[[#This Row],[AI_TRU3]]</f>
        <v>8</v>
      </c>
      <c r="AT273">
        <f t="shared" si="124"/>
        <v>0.77777777777777779</v>
      </c>
      <c r="AU273">
        <f>survey_responses[[#This Row],[Tôi tin tưởng số tiền thuế tôi đóng sẽ được Nhà nước sử dụng hiệu quả để cải thiện dịch vụ công (y tế, đường xá...). - HUMAN-TRU3]]</f>
        <v>5</v>
      </c>
      <c r="AV273">
        <f t="shared" si="125"/>
        <v>0.44444444444444442</v>
      </c>
      <c r="AW273">
        <f>step3_validation[[#This Row],[AI_TRU4]]</f>
        <v>7</v>
      </c>
      <c r="AX273">
        <f t="shared" si="126"/>
        <v>0.66666666666666663</v>
      </c>
      <c r="AY273">
        <f>survey_responses[[#This Row],[Tôi thấy Nhà nước đã giải thích rõ ràng, minh bạch về lý do và mục tiêu của việc sửa đổi thuế lần này. - HUMAN-TRU4]]</f>
        <v>5</v>
      </c>
      <c r="AZ273">
        <f t="shared" si="127"/>
        <v>0.44444444444444442</v>
      </c>
      <c r="BA273" s="32">
        <f t="shared" si="128"/>
        <v>0.77777777777777768</v>
      </c>
      <c r="BB273" s="32">
        <f t="shared" si="129"/>
        <v>0.5</v>
      </c>
      <c r="BC273" s="7">
        <f t="shared" si="130"/>
        <v>0.77777777777777768</v>
      </c>
      <c r="BD273" s="7">
        <f t="shared" si="131"/>
        <v>0.51851851851851849</v>
      </c>
      <c r="BE273">
        <f>step3_validation[[#This Row],[AI_OUT1]]</f>
        <v>9</v>
      </c>
      <c r="BF273">
        <f t="shared" si="132"/>
        <v>0.88888888888888884</v>
      </c>
      <c r="BG273">
        <f>survey_responses[[#This Row],[Sau khi xem xét các quyền lợi và nghĩa vụ, bạn có ủng hộ và tuân thủ chính sách mới hiện nay? - HUMAN-OUT1]]</f>
        <v>6</v>
      </c>
      <c r="BH273">
        <f t="shared" si="133"/>
        <v>0.55555555555555558</v>
      </c>
      <c r="BI273" s="32">
        <f t="shared" si="134"/>
        <v>3</v>
      </c>
    </row>
    <row r="274" spans="1:61" x14ac:dyDescent="0.45">
      <c r="A274" s="30">
        <f>step3_validation[[#This Row],[Persona_ID]]</f>
        <v>273</v>
      </c>
      <c r="B274" s="31">
        <f>step3_validation[[#This Row],[Used_Seed]]</f>
        <v>2263</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83.192467403288546</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6</v>
      </c>
      <c r="R274">
        <f t="shared" si="108"/>
        <v>0.55555555555555558</v>
      </c>
      <c r="S274">
        <f>survey_responses[[#This Row],[Tôi tin rằng với các quy định quản lý thuế hiện nay, hành vi gian lận hoặc trốn thuế sẽ dễ dàng bị phát hiện và xử lý nghiêm. - HUMAN-ENF1]]</f>
        <v>3</v>
      </c>
      <c r="T274">
        <f t="shared" si="109"/>
        <v>0.22222222222222221</v>
      </c>
      <c r="U274">
        <f>step3_validation[[#This Row],[AI_ENF2]]</f>
        <v>8</v>
      </c>
      <c r="V274">
        <f t="shared" si="110"/>
        <v>0.77777777777777779</v>
      </c>
      <c r="W274">
        <f>survey_responses[[#This Row],[Tôi tin rằng Nhà nước, cơ quan thuế có đủ khả năng và công nghệ để phát hiện, xử lý nghiêm các hành vi trốn thuế. - HUMAN-ENF2]]</f>
        <v>3</v>
      </c>
      <c r="X274">
        <f t="shared" si="111"/>
        <v>0.22222222222222221</v>
      </c>
      <c r="Y274" s="32">
        <f t="shared" si="112"/>
        <v>0.66666666666666674</v>
      </c>
      <c r="Z274" s="32">
        <f t="shared" si="113"/>
        <v>0.22222222222222221</v>
      </c>
      <c r="AA274">
        <f>step3_validation[[#This Row],[AI_FAC1]]</f>
        <v>9</v>
      </c>
      <c r="AB274">
        <f t="shared" si="114"/>
        <v>0.88888888888888884</v>
      </c>
      <c r="AC274">
        <f>survey_responses[[#This Row],[Các thủ tục khai báo thuế VÀ/HOẶC quy trình làm việc với cơ quan thuế đơn giản, tiện lợi, nhanh chóng hơn so với trước đây. - HUMAN-FAC1]]</f>
        <v>1</v>
      </c>
      <c r="AD274">
        <f t="shared" si="115"/>
        <v>0</v>
      </c>
      <c r="AE274">
        <f>step3_validation[[#This Row],[AI_FAC2]]</f>
        <v>9</v>
      </c>
      <c r="AF274">
        <f t="shared" si="116"/>
        <v>0.88888888888888884</v>
      </c>
      <c r="AG274">
        <f>survey_responses[[#This Row],[So với trước đây, tôi thấy cách tính thuế và các bậc thuế trong phương án mới đơn giản, dễ hiểu và dễ thực hiện hơn. - HUMAN-FAC2]]</f>
        <v>6</v>
      </c>
      <c r="AH274">
        <f t="shared" si="117"/>
        <v>0.55555555555555558</v>
      </c>
      <c r="AI274" s="32">
        <f t="shared" si="118"/>
        <v>0.88888888888888884</v>
      </c>
      <c r="AJ274" s="32">
        <f t="shared" si="119"/>
        <v>0.27777777777777779</v>
      </c>
      <c r="AK274">
        <f>step3_validation[[#This Row],[AI_TRU1]]</f>
        <v>8</v>
      </c>
      <c r="AL274">
        <f t="shared" si="120"/>
        <v>0.77777777777777779</v>
      </c>
      <c r="AM274">
        <f>survey_responses[[#This Row],[Tôi tin rằng Nhà nước, cơ quan thuế sẽ thực thi chính sách mới một cách khách quan, công tâm và đối xử bình đẳng với mọi người nộp thuế.  - HUMAN-TRU1]]</f>
        <v>1</v>
      </c>
      <c r="AN274">
        <f t="shared" si="121"/>
        <v>0</v>
      </c>
      <c r="AO274">
        <f>step3_validation[[#This Row],[AI_TRU2]]</f>
        <v>7</v>
      </c>
      <c r="AP274">
        <f t="shared" si="122"/>
        <v>0.66666666666666663</v>
      </c>
      <c r="AQ274">
        <f>survey_responses[[#This Row],[Tôi thấy mức thuế tôi phải đóng theo phương án mới là công bằng (người thu nhập như tôi đóng mức này là hợp lý). - HUMAN-TRU2]]</f>
        <v>1</v>
      </c>
      <c r="AR274">
        <f t="shared" si="123"/>
        <v>0</v>
      </c>
      <c r="AS274">
        <f>step3_validation[[#This Row],[AI_TRU3]]</f>
        <v>8</v>
      </c>
      <c r="AT274">
        <f t="shared" si="124"/>
        <v>0.77777777777777779</v>
      </c>
      <c r="AU274">
        <f>survey_responses[[#This Row],[Tôi tin tưởng số tiền thuế tôi đóng sẽ được Nhà nước sử dụng hiệu quả để cải thiện dịch vụ công (y tế, đường xá...). - HUMAN-TRU3]]</f>
        <v>1</v>
      </c>
      <c r="AV274">
        <f t="shared" si="125"/>
        <v>0</v>
      </c>
      <c r="AW274">
        <f>step3_validation[[#This Row],[AI_TRU4]]</f>
        <v>9</v>
      </c>
      <c r="AX274">
        <f t="shared" si="126"/>
        <v>0.88888888888888884</v>
      </c>
      <c r="AY274">
        <f>survey_responses[[#This Row],[Tôi thấy Nhà nước đã giải thích rõ ràng, minh bạch về lý do và mục tiêu của việc sửa đổi thuế lần này. - HUMAN-TRU4]]</f>
        <v>1</v>
      </c>
      <c r="AZ274">
        <f t="shared" si="127"/>
        <v>0</v>
      </c>
      <c r="BA274" s="32">
        <f t="shared" si="128"/>
        <v>0.77777777777777779</v>
      </c>
      <c r="BB274" s="32">
        <f t="shared" si="129"/>
        <v>0</v>
      </c>
      <c r="BC274" s="7">
        <f t="shared" si="130"/>
        <v>0.77777777777777779</v>
      </c>
      <c r="BD274" s="7">
        <f t="shared" si="131"/>
        <v>0.16666666666666666</v>
      </c>
      <c r="BE274">
        <f>step3_validation[[#This Row],[AI_OUT1]]</f>
        <v>10</v>
      </c>
      <c r="BF274">
        <f t="shared" si="132"/>
        <v>1</v>
      </c>
      <c r="BG274">
        <f>survey_responses[[#This Row],[Sau khi xem xét các quyền lợi và nghĩa vụ, bạn có ủng hộ và tuân thủ chính sách mới hiện nay? - HUMAN-OUT1]]</f>
        <v>1</v>
      </c>
      <c r="BH274">
        <f t="shared" si="133"/>
        <v>0</v>
      </c>
      <c r="BI274" s="32">
        <f t="shared" si="134"/>
        <v>9</v>
      </c>
    </row>
    <row r="275" spans="1:61" x14ac:dyDescent="0.45">
      <c r="A275" s="30">
        <f>step3_validation[[#This Row],[Persona_ID]]</f>
        <v>274</v>
      </c>
      <c r="B275" s="31">
        <f>step3_validation[[#This Row],[Used_Seed]]</f>
        <v>2264</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64.31641483786585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f t="shared" si="108"/>
        <v>0.66666666666666663</v>
      </c>
      <c r="S275">
        <f>survey_responses[[#This Row],[Tôi tin rằng với các quy định quản lý thuế hiện nay, hành vi gian lận hoặc trốn thuế sẽ dễ dàng bị phát hiện và xử lý nghiêm. - HUMAN-ENF1]]</f>
        <v>6</v>
      </c>
      <c r="T275">
        <f t="shared" si="109"/>
        <v>0.55555555555555558</v>
      </c>
      <c r="U275">
        <f>step3_validation[[#This Row],[AI_ENF2]]</f>
        <v>6</v>
      </c>
      <c r="V275">
        <f t="shared" si="110"/>
        <v>0.55555555555555558</v>
      </c>
      <c r="W275">
        <f>survey_responses[[#This Row],[Tôi tin rằng Nhà nước, cơ quan thuế có đủ khả năng và công nghệ để phát hiện, xử lý nghiêm các hành vi trốn thuế. - HUMAN-ENF2]]</f>
        <v>6</v>
      </c>
      <c r="X275">
        <f t="shared" si="111"/>
        <v>0.55555555555555558</v>
      </c>
      <c r="Y275" s="32">
        <f t="shared" si="112"/>
        <v>0.61111111111111116</v>
      </c>
      <c r="Z275" s="32">
        <f t="shared" si="113"/>
        <v>0.55555555555555558</v>
      </c>
      <c r="AA275">
        <f>step3_validation[[#This Row],[AI_FAC1]]</f>
        <v>8</v>
      </c>
      <c r="AB275">
        <f t="shared" si="114"/>
        <v>0.77777777777777779</v>
      </c>
      <c r="AC275">
        <f>survey_responses[[#This Row],[Các thủ tục khai báo thuế VÀ/HOẶC quy trình làm việc với cơ quan thuế đơn giản, tiện lợi, nhanh chóng hơn so với trước đây. - HUMAN-FAC1]]</f>
        <v>5</v>
      </c>
      <c r="AD275">
        <f t="shared" si="115"/>
        <v>0.44444444444444442</v>
      </c>
      <c r="AE275">
        <f>step3_validation[[#This Row],[AI_FAC2]]</f>
        <v>9</v>
      </c>
      <c r="AF275">
        <f t="shared" si="116"/>
        <v>0.88888888888888884</v>
      </c>
      <c r="AG275">
        <f>survey_responses[[#This Row],[So với trước đây, tôi thấy cách tính thuế và các bậc thuế trong phương án mới đơn giản, dễ hiểu và dễ thực hiện hơn. - HUMAN-FAC2]]</f>
        <v>6</v>
      </c>
      <c r="AH275">
        <f t="shared" si="117"/>
        <v>0.55555555555555558</v>
      </c>
      <c r="AI275" s="32">
        <f t="shared" si="118"/>
        <v>0.83333333333333326</v>
      </c>
      <c r="AJ275" s="32">
        <f t="shared" si="119"/>
        <v>0.5</v>
      </c>
      <c r="AK275">
        <f>step3_validation[[#This Row],[AI_TRU1]]</f>
        <v>7</v>
      </c>
      <c r="AL275">
        <f t="shared" si="120"/>
        <v>0.66666666666666663</v>
      </c>
      <c r="AM275">
        <f>survey_responses[[#This Row],[Tôi tin rằng Nhà nước, cơ quan thuế sẽ thực thi chính sách mới một cách khách quan, công tâm và đối xử bình đẳng với mọi người nộp thuế.  - HUMAN-TRU1]]</f>
        <v>6</v>
      </c>
      <c r="AN275">
        <f t="shared" si="121"/>
        <v>0.55555555555555558</v>
      </c>
      <c r="AO275">
        <f>step3_validation[[#This Row],[AI_TRU2]]</f>
        <v>8</v>
      </c>
      <c r="AP275">
        <f t="shared" si="122"/>
        <v>0.77777777777777779</v>
      </c>
      <c r="AQ275">
        <f>survey_responses[[#This Row],[Tôi thấy mức thuế tôi phải đóng theo phương án mới là công bằng (người thu nhập như tôi đóng mức này là hợp lý). - HUMAN-TRU2]]</f>
        <v>6</v>
      </c>
      <c r="AR275">
        <f t="shared" si="123"/>
        <v>0.55555555555555558</v>
      </c>
      <c r="AS275">
        <f>step3_validation[[#This Row],[AI_TRU3]]</f>
        <v>7</v>
      </c>
      <c r="AT275">
        <f t="shared" si="124"/>
        <v>0.66666666666666663</v>
      </c>
      <c r="AU275">
        <f>survey_responses[[#This Row],[Tôi tin tưởng số tiền thuế tôi đóng sẽ được Nhà nước sử dụng hiệu quả để cải thiện dịch vụ công (y tế, đường xá...). - HUMAN-TRU3]]</f>
        <v>6</v>
      </c>
      <c r="AV275">
        <f t="shared" si="125"/>
        <v>0.55555555555555558</v>
      </c>
      <c r="AW275">
        <f>step3_validation[[#This Row],[AI_TRU4]]</f>
        <v>6</v>
      </c>
      <c r="AX275">
        <f t="shared" si="126"/>
        <v>0.55555555555555558</v>
      </c>
      <c r="AY275">
        <f>survey_responses[[#This Row],[Tôi thấy Nhà nước đã giải thích rõ ràng, minh bạch về lý do và mục tiêu của việc sửa đổi thuế lần này. - HUMAN-TRU4]]</f>
        <v>6</v>
      </c>
      <c r="AZ275">
        <f t="shared" si="127"/>
        <v>0.55555555555555558</v>
      </c>
      <c r="BA275" s="32">
        <f t="shared" si="128"/>
        <v>0.66666666666666674</v>
      </c>
      <c r="BB275" s="32">
        <f t="shared" si="129"/>
        <v>0.55555555555555558</v>
      </c>
      <c r="BC275" s="7">
        <f t="shared" si="130"/>
        <v>0.70370370370370372</v>
      </c>
      <c r="BD275" s="7">
        <f t="shared" si="131"/>
        <v>0.53703703703703709</v>
      </c>
      <c r="BE275">
        <f>step3_validation[[#This Row],[AI_OUT1]]</f>
        <v>8</v>
      </c>
      <c r="BF275">
        <f t="shared" si="132"/>
        <v>0.77777777777777779</v>
      </c>
      <c r="BG275">
        <f>survey_responses[[#This Row],[Sau khi xem xét các quyền lợi và nghĩa vụ, bạn có ủng hộ và tuân thủ chính sách mới hiện nay? - HUMAN-OUT1]]</f>
        <v>6</v>
      </c>
      <c r="BH275">
        <f t="shared" si="133"/>
        <v>0.55555555555555558</v>
      </c>
      <c r="BI275" s="32">
        <f t="shared" si="134"/>
        <v>2</v>
      </c>
    </row>
    <row r="276" spans="1:61" x14ac:dyDescent="0.45">
      <c r="A276" s="30">
        <f>step3_validation[[#This Row],[Persona_ID]]</f>
        <v>275</v>
      </c>
      <c r="B276" s="31">
        <f>step3_validation[[#This Row],[Used_Seed]]</f>
        <v>2265</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56.468503536521119</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f t="shared" si="108"/>
        <v>0.66666666666666663</v>
      </c>
      <c r="S276">
        <f>survey_responses[[#This Row],[Tôi tin rằng với các quy định quản lý thuế hiện nay, hành vi gian lận hoặc trốn thuế sẽ dễ dàng bị phát hiện và xử lý nghiêm. - HUMAN-ENF1]]</f>
        <v>8</v>
      </c>
      <c r="T276">
        <f t="shared" si="109"/>
        <v>0.77777777777777779</v>
      </c>
      <c r="U276">
        <f>step3_validation[[#This Row],[AI_ENF2]]</f>
        <v>8</v>
      </c>
      <c r="V276">
        <f t="shared" si="110"/>
        <v>0.77777777777777779</v>
      </c>
      <c r="W276">
        <f>survey_responses[[#This Row],[Tôi tin rằng Nhà nước, cơ quan thuế có đủ khả năng và công nghệ để phát hiện, xử lý nghiêm các hành vi trốn thuế. - HUMAN-ENF2]]</f>
        <v>9</v>
      </c>
      <c r="X276">
        <f t="shared" si="111"/>
        <v>0.88888888888888884</v>
      </c>
      <c r="Y276" s="32">
        <f t="shared" si="112"/>
        <v>0.72222222222222221</v>
      </c>
      <c r="Z276" s="32">
        <f t="shared" si="113"/>
        <v>0.83333333333333326</v>
      </c>
      <c r="AA276">
        <f>step3_validation[[#This Row],[AI_FAC1]]</f>
        <v>9</v>
      </c>
      <c r="AB276">
        <f t="shared" si="114"/>
        <v>0.88888888888888884</v>
      </c>
      <c r="AC276">
        <f>survey_responses[[#This Row],[Các thủ tục khai báo thuế VÀ/HOẶC quy trình làm việc với cơ quan thuế đơn giản, tiện lợi, nhanh chóng hơn so với trước đây. - HUMAN-FAC1]]</f>
        <v>5</v>
      </c>
      <c r="AD276">
        <f t="shared" si="115"/>
        <v>0.44444444444444442</v>
      </c>
      <c r="AE276">
        <f>step3_validation[[#This Row],[AI_FAC2]]</f>
        <v>9</v>
      </c>
      <c r="AF276">
        <f t="shared" si="116"/>
        <v>0.88888888888888884</v>
      </c>
      <c r="AG276">
        <f>survey_responses[[#This Row],[So với trước đây, tôi thấy cách tính thuế và các bậc thuế trong phương án mới đơn giản, dễ hiểu và dễ thực hiện hơn. - HUMAN-FAC2]]</f>
        <v>7</v>
      </c>
      <c r="AH276">
        <f t="shared" si="117"/>
        <v>0.66666666666666663</v>
      </c>
      <c r="AI276" s="32">
        <f t="shared" si="118"/>
        <v>0.88888888888888884</v>
      </c>
      <c r="AJ276" s="32">
        <f t="shared" si="119"/>
        <v>0.55555555555555558</v>
      </c>
      <c r="AK276">
        <f>step3_validation[[#This Row],[AI_TRU1]]</f>
        <v>8</v>
      </c>
      <c r="AL276">
        <f t="shared" si="120"/>
        <v>0.77777777777777779</v>
      </c>
      <c r="AM276">
        <f>survey_responses[[#This Row],[Tôi tin rằng Nhà nước, cơ quan thuế sẽ thực thi chính sách mới một cách khách quan, công tâm và đối xử bình đẳng với mọi người nộp thuế.  - HUMAN-TRU1]]</f>
        <v>6</v>
      </c>
      <c r="AN276">
        <f t="shared" si="121"/>
        <v>0.55555555555555558</v>
      </c>
      <c r="AO276">
        <f>step3_validation[[#This Row],[AI_TRU2]]</f>
        <v>8</v>
      </c>
      <c r="AP276">
        <f t="shared" si="122"/>
        <v>0.77777777777777779</v>
      </c>
      <c r="AQ276">
        <f>survey_responses[[#This Row],[Tôi thấy mức thuế tôi phải đóng theo phương án mới là công bằng (người thu nhập như tôi đóng mức này là hợp lý). - HUMAN-TRU2]]</f>
        <v>7</v>
      </c>
      <c r="AR276">
        <f t="shared" si="123"/>
        <v>0.66666666666666663</v>
      </c>
      <c r="AS276">
        <f>step3_validation[[#This Row],[AI_TRU3]]</f>
        <v>7</v>
      </c>
      <c r="AT276">
        <f t="shared" si="124"/>
        <v>0.66666666666666663</v>
      </c>
      <c r="AU276">
        <f>survey_responses[[#This Row],[Tôi tin tưởng số tiền thuế tôi đóng sẽ được Nhà nước sử dụng hiệu quả để cải thiện dịch vụ công (y tế, đường xá...). - HUMAN-TRU3]]</f>
        <v>7</v>
      </c>
      <c r="AV276">
        <f t="shared" si="125"/>
        <v>0.66666666666666663</v>
      </c>
      <c r="AW276">
        <f>step3_validation[[#This Row],[AI_TRU4]]</f>
        <v>8</v>
      </c>
      <c r="AX276">
        <f t="shared" si="126"/>
        <v>0.77777777777777779</v>
      </c>
      <c r="AY276">
        <f>survey_responses[[#This Row],[Tôi thấy Nhà nước đã giải thích rõ ràng, minh bạch về lý do và mục tiêu của việc sửa đổi thuế lần này. - HUMAN-TRU4]]</f>
        <v>7</v>
      </c>
      <c r="AZ276">
        <f t="shared" si="127"/>
        <v>0.66666666666666663</v>
      </c>
      <c r="BA276" s="32">
        <f t="shared" si="128"/>
        <v>0.75</v>
      </c>
      <c r="BB276" s="32">
        <f t="shared" si="129"/>
        <v>0.63888888888888884</v>
      </c>
      <c r="BC276" s="7">
        <f t="shared" si="130"/>
        <v>0.78703703703703709</v>
      </c>
      <c r="BD276" s="7">
        <f t="shared" si="131"/>
        <v>0.67592592592592593</v>
      </c>
      <c r="BE276">
        <f>step3_validation[[#This Row],[AI_OUT1]]</f>
        <v>9</v>
      </c>
      <c r="BF276">
        <f t="shared" si="132"/>
        <v>0.88888888888888884</v>
      </c>
      <c r="BG276">
        <f>survey_responses[[#This Row],[Sau khi xem xét các quyền lợi và nghĩa vụ, bạn có ủng hộ và tuân thủ chính sách mới hiện nay? - HUMAN-OUT1]]</f>
        <v>7</v>
      </c>
      <c r="BH276">
        <f t="shared" si="133"/>
        <v>0.66666666666666663</v>
      </c>
      <c r="BI276" s="32">
        <f t="shared" si="134"/>
        <v>2</v>
      </c>
    </row>
    <row r="277" spans="1:61" x14ac:dyDescent="0.45">
      <c r="A277" s="30">
        <f>step3_validation[[#This Row],[Persona_ID]]</f>
        <v>276</v>
      </c>
      <c r="B277" s="31">
        <f>step3_validation[[#This Row],[Used_Seed]]</f>
        <v>2266</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44.310110739472506</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6</v>
      </c>
      <c r="R277">
        <f t="shared" si="108"/>
        <v>0.55555555555555558</v>
      </c>
      <c r="S277">
        <f>survey_responses[[#This Row],[Tôi tin rằng với các quy định quản lý thuế hiện nay, hành vi gian lận hoặc trốn thuế sẽ dễ dàng bị phát hiện và xử lý nghiêm. - HUMAN-ENF1]]</f>
        <v>6</v>
      </c>
      <c r="T277">
        <f t="shared" si="109"/>
        <v>0.55555555555555558</v>
      </c>
      <c r="U277">
        <f>step3_validation[[#This Row],[AI_ENF2]]</f>
        <v>7</v>
      </c>
      <c r="V277">
        <f t="shared" si="110"/>
        <v>0.66666666666666663</v>
      </c>
      <c r="W277">
        <f>survey_responses[[#This Row],[Tôi tin rằng Nhà nước, cơ quan thuế có đủ khả năng và công nghệ để phát hiện, xử lý nghiêm các hành vi trốn thuế. - HUMAN-ENF2]]</f>
        <v>6</v>
      </c>
      <c r="X277">
        <f t="shared" si="111"/>
        <v>0.55555555555555558</v>
      </c>
      <c r="Y277" s="32">
        <f t="shared" si="112"/>
        <v>0.61111111111111116</v>
      </c>
      <c r="Z277" s="32">
        <f t="shared" si="113"/>
        <v>0.55555555555555558</v>
      </c>
      <c r="AA277">
        <f>step3_validation[[#This Row],[AI_FAC1]]</f>
        <v>9</v>
      </c>
      <c r="AB277">
        <f t="shared" si="114"/>
        <v>0.88888888888888884</v>
      </c>
      <c r="AC277">
        <f>survey_responses[[#This Row],[Các thủ tục khai báo thuế VÀ/HOẶC quy trình làm việc với cơ quan thuế đơn giản, tiện lợi, nhanh chóng hơn so với trước đây. - HUMAN-FAC1]]</f>
        <v>3</v>
      </c>
      <c r="AD277">
        <f t="shared" si="115"/>
        <v>0.22222222222222221</v>
      </c>
      <c r="AE277">
        <f>step3_validation[[#This Row],[AI_FAC2]]</f>
        <v>8</v>
      </c>
      <c r="AF277">
        <f t="shared" si="116"/>
        <v>0.77777777777777779</v>
      </c>
      <c r="AG277">
        <f>survey_responses[[#This Row],[So với trước đây, tôi thấy cách tính thuế và các bậc thuế trong phương án mới đơn giản, dễ hiểu và dễ thực hiện hơn. - HUMAN-FAC2]]</f>
        <v>7</v>
      </c>
      <c r="AH277">
        <f t="shared" si="117"/>
        <v>0.66666666666666663</v>
      </c>
      <c r="AI277" s="32">
        <f t="shared" si="118"/>
        <v>0.83333333333333326</v>
      </c>
      <c r="AJ277" s="32">
        <f t="shared" si="119"/>
        <v>0.44444444444444442</v>
      </c>
      <c r="AK277">
        <f>step3_validation[[#This Row],[AI_TRU1]]</f>
        <v>7</v>
      </c>
      <c r="AL277">
        <f t="shared" si="120"/>
        <v>0.66666666666666663</v>
      </c>
      <c r="AM277">
        <f>survey_responses[[#This Row],[Tôi tin rằng Nhà nước, cơ quan thuế sẽ thực thi chính sách mới một cách khách quan, công tâm và đối xử bình đẳng với mọi người nộp thuế.  - HUMAN-TRU1]]</f>
        <v>7</v>
      </c>
      <c r="AN277">
        <f t="shared" si="121"/>
        <v>0.66666666666666663</v>
      </c>
      <c r="AO277">
        <f>step3_validation[[#This Row],[AI_TRU2]]</f>
        <v>8</v>
      </c>
      <c r="AP277">
        <f t="shared" si="122"/>
        <v>0.77777777777777779</v>
      </c>
      <c r="AQ277">
        <f>survey_responses[[#This Row],[Tôi thấy mức thuế tôi phải đóng theo phương án mới là công bằng (người thu nhập như tôi đóng mức này là hợp lý). - HUMAN-TRU2]]</f>
        <v>7</v>
      </c>
      <c r="AR277">
        <f t="shared" si="123"/>
        <v>0.66666666666666663</v>
      </c>
      <c r="AS277">
        <f>step3_validation[[#This Row],[AI_TRU3]]</f>
        <v>9</v>
      </c>
      <c r="AT277">
        <f t="shared" si="124"/>
        <v>0.88888888888888884</v>
      </c>
      <c r="AU277">
        <f>survey_responses[[#This Row],[Tôi tin tưởng số tiền thuế tôi đóng sẽ được Nhà nước sử dụng hiệu quả để cải thiện dịch vụ công (y tế, đường xá...). - HUMAN-TRU3]]</f>
        <v>5</v>
      </c>
      <c r="AV277">
        <f t="shared" si="125"/>
        <v>0.44444444444444442</v>
      </c>
      <c r="AW277">
        <f>step3_validation[[#This Row],[AI_TRU4]]</f>
        <v>7</v>
      </c>
      <c r="AX277">
        <f t="shared" si="126"/>
        <v>0.66666666666666663</v>
      </c>
      <c r="AY277">
        <f>survey_responses[[#This Row],[Tôi thấy Nhà nước đã giải thích rõ ràng, minh bạch về lý do và mục tiêu của việc sửa đổi thuế lần này. - HUMAN-TRU4]]</f>
        <v>7</v>
      </c>
      <c r="AZ277">
        <f t="shared" si="127"/>
        <v>0.66666666666666663</v>
      </c>
      <c r="BA277" s="32">
        <f t="shared" si="128"/>
        <v>0.74999999999999989</v>
      </c>
      <c r="BB277" s="32">
        <f t="shared" si="129"/>
        <v>0.61111111111111105</v>
      </c>
      <c r="BC277" s="7">
        <f t="shared" si="130"/>
        <v>0.7314814814814814</v>
      </c>
      <c r="BD277" s="7">
        <f t="shared" si="131"/>
        <v>0.53703703703703709</v>
      </c>
      <c r="BE277">
        <f>step3_validation[[#This Row],[AI_OUT1]]</f>
        <v>8</v>
      </c>
      <c r="BF277">
        <f t="shared" si="132"/>
        <v>0.77777777777777779</v>
      </c>
      <c r="BG277">
        <f>survey_responses[[#This Row],[Sau khi xem xét các quyền lợi và nghĩa vụ, bạn có ủng hộ và tuân thủ chính sách mới hiện nay? - HUMAN-OUT1]]</f>
        <v>7</v>
      </c>
      <c r="BH277">
        <f t="shared" si="133"/>
        <v>0.66666666666666663</v>
      </c>
      <c r="BI277" s="32">
        <f t="shared" si="134"/>
        <v>1</v>
      </c>
    </row>
    <row r="278" spans="1:61" x14ac:dyDescent="0.45">
      <c r="A278" s="30">
        <f>step3_validation[[#This Row],[Persona_ID]]</f>
        <v>277</v>
      </c>
      <c r="B278" s="31">
        <f>step3_validation[[#This Row],[Used_Seed]]</f>
        <v>2267</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89.620343369473275</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f t="shared" si="108"/>
        <v>0.66666666666666663</v>
      </c>
      <c r="S278">
        <f>survey_responses[[#This Row],[Tôi tin rằng với các quy định quản lý thuế hiện nay, hành vi gian lận hoặc trốn thuế sẽ dễ dàng bị phát hiện và xử lý nghiêm. - HUMAN-ENF1]]</f>
        <v>8</v>
      </c>
      <c r="T278">
        <f t="shared" si="109"/>
        <v>0.77777777777777779</v>
      </c>
      <c r="U278">
        <f>step3_validation[[#This Row],[AI_ENF2]]</f>
        <v>8</v>
      </c>
      <c r="V278">
        <f t="shared" si="110"/>
        <v>0.77777777777777779</v>
      </c>
      <c r="W278">
        <f>survey_responses[[#This Row],[Tôi tin rằng Nhà nước, cơ quan thuế có đủ khả năng và công nghệ để phát hiện, xử lý nghiêm các hành vi trốn thuế. - HUMAN-ENF2]]</f>
        <v>8</v>
      </c>
      <c r="X278">
        <f t="shared" si="111"/>
        <v>0.77777777777777779</v>
      </c>
      <c r="Y278" s="32">
        <f t="shared" si="112"/>
        <v>0.72222222222222221</v>
      </c>
      <c r="Z278" s="32">
        <f t="shared" si="113"/>
        <v>0.77777777777777779</v>
      </c>
      <c r="AA278">
        <f>step3_validation[[#This Row],[AI_FAC1]]</f>
        <v>9</v>
      </c>
      <c r="AB278">
        <f t="shared" si="114"/>
        <v>0.88888888888888884</v>
      </c>
      <c r="AC278">
        <f>survey_responses[[#This Row],[Các thủ tục khai báo thuế VÀ/HOẶC quy trình làm việc với cơ quan thuế đơn giản, tiện lợi, nhanh chóng hơn so với trước đây. - HUMAN-FAC1]]</f>
        <v>6</v>
      </c>
      <c r="AD278">
        <f t="shared" si="115"/>
        <v>0.55555555555555558</v>
      </c>
      <c r="AE278">
        <f>step3_validation[[#This Row],[AI_FAC2]]</f>
        <v>9</v>
      </c>
      <c r="AF278">
        <f t="shared" si="116"/>
        <v>0.88888888888888884</v>
      </c>
      <c r="AG278">
        <f>survey_responses[[#This Row],[So với trước đây, tôi thấy cách tính thuế và các bậc thuế trong phương án mới đơn giản, dễ hiểu và dễ thực hiện hơn. - HUMAN-FAC2]]</f>
        <v>7</v>
      </c>
      <c r="AH278">
        <f t="shared" si="117"/>
        <v>0.66666666666666663</v>
      </c>
      <c r="AI278" s="32">
        <f t="shared" si="118"/>
        <v>0.88888888888888884</v>
      </c>
      <c r="AJ278" s="32">
        <f t="shared" si="119"/>
        <v>0.61111111111111116</v>
      </c>
      <c r="AK278">
        <f>step3_validation[[#This Row],[AI_TRU1]]</f>
        <v>7</v>
      </c>
      <c r="AL278">
        <f t="shared" si="120"/>
        <v>0.66666666666666663</v>
      </c>
      <c r="AM278">
        <f>survey_responses[[#This Row],[Tôi tin rằng Nhà nước, cơ quan thuế sẽ thực thi chính sách mới một cách khách quan, công tâm và đối xử bình đẳng với mọi người nộp thuế.  - HUMAN-TRU1]]</f>
        <v>7</v>
      </c>
      <c r="AN278">
        <f t="shared" si="121"/>
        <v>0.66666666666666663</v>
      </c>
      <c r="AO278">
        <f>step3_validation[[#This Row],[AI_TRU2]]</f>
        <v>9</v>
      </c>
      <c r="AP278">
        <f t="shared" si="122"/>
        <v>0.88888888888888884</v>
      </c>
      <c r="AQ278">
        <f>survey_responses[[#This Row],[Tôi thấy mức thuế tôi phải đóng theo phương án mới là công bằng (người thu nhập như tôi đóng mức này là hợp lý). - HUMAN-TRU2]]</f>
        <v>4</v>
      </c>
      <c r="AR278">
        <f t="shared" si="123"/>
        <v>0.33333333333333331</v>
      </c>
      <c r="AS278">
        <f>step3_validation[[#This Row],[AI_TRU3]]</f>
        <v>8</v>
      </c>
      <c r="AT278">
        <f t="shared" si="124"/>
        <v>0.77777777777777779</v>
      </c>
      <c r="AU278">
        <f>survey_responses[[#This Row],[Tôi tin tưởng số tiền thuế tôi đóng sẽ được Nhà nước sử dụng hiệu quả để cải thiện dịch vụ công (y tế, đường xá...). - HUMAN-TRU3]]</f>
        <v>5</v>
      </c>
      <c r="AV278">
        <f t="shared" si="125"/>
        <v>0.44444444444444442</v>
      </c>
      <c r="AW278">
        <f>step3_validation[[#This Row],[AI_TRU4]]</f>
        <v>7</v>
      </c>
      <c r="AX278">
        <f t="shared" si="126"/>
        <v>0.66666666666666663</v>
      </c>
      <c r="AY278">
        <f>survey_responses[[#This Row],[Tôi thấy Nhà nước đã giải thích rõ ràng, minh bạch về lý do và mục tiêu của việc sửa đổi thuế lần này. - HUMAN-TRU4]]</f>
        <v>5</v>
      </c>
      <c r="AZ278">
        <f t="shared" si="127"/>
        <v>0.44444444444444442</v>
      </c>
      <c r="BA278" s="32">
        <f t="shared" si="128"/>
        <v>0.74999999999999989</v>
      </c>
      <c r="BB278" s="32">
        <f t="shared" si="129"/>
        <v>0.47222222222222221</v>
      </c>
      <c r="BC278" s="7">
        <f t="shared" si="130"/>
        <v>0.78703703703703709</v>
      </c>
      <c r="BD278" s="7">
        <f t="shared" si="131"/>
        <v>0.62037037037037035</v>
      </c>
      <c r="BE278">
        <f>step3_validation[[#This Row],[AI_OUT1]]</f>
        <v>9</v>
      </c>
      <c r="BF278">
        <f t="shared" si="132"/>
        <v>0.88888888888888884</v>
      </c>
      <c r="BG278">
        <f>survey_responses[[#This Row],[Sau khi xem xét các quyền lợi và nghĩa vụ, bạn có ủng hộ và tuân thủ chính sách mới hiện nay? - HUMAN-OUT1]]</f>
        <v>5</v>
      </c>
      <c r="BH278">
        <f t="shared" si="133"/>
        <v>0.44444444444444442</v>
      </c>
      <c r="BI278" s="32">
        <f t="shared" si="134"/>
        <v>4</v>
      </c>
    </row>
    <row r="279" spans="1:61" x14ac:dyDescent="0.45">
      <c r="A279" s="30">
        <f>step3_validation[[#This Row],[Persona_ID]]</f>
        <v>278</v>
      </c>
      <c r="B279" s="31">
        <f>step3_validation[[#This Row],[Used_Seed]]</f>
        <v>2268</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63.192631952157875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f t="shared" si="108"/>
        <v>0.66666666666666663</v>
      </c>
      <c r="S279">
        <f>survey_responses[[#This Row],[Tôi tin rằng với các quy định quản lý thuế hiện nay, hành vi gian lận hoặc trốn thuế sẽ dễ dàng bị phát hiện và xử lý nghiêm. - HUMAN-ENF1]]</f>
        <v>6</v>
      </c>
      <c r="T279">
        <f t="shared" si="109"/>
        <v>0.55555555555555558</v>
      </c>
      <c r="U279">
        <f>step3_validation[[#This Row],[AI_ENF2]]</f>
        <v>8</v>
      </c>
      <c r="V279">
        <f t="shared" si="110"/>
        <v>0.77777777777777779</v>
      </c>
      <c r="W279">
        <f>survey_responses[[#This Row],[Tôi tin rằng Nhà nước, cơ quan thuế có đủ khả năng và công nghệ để phát hiện, xử lý nghiêm các hành vi trốn thuế. - HUMAN-ENF2]]</f>
        <v>7</v>
      </c>
      <c r="X279">
        <f t="shared" si="111"/>
        <v>0.66666666666666663</v>
      </c>
      <c r="Y279" s="32">
        <f t="shared" si="112"/>
        <v>0.72222222222222221</v>
      </c>
      <c r="Z279" s="32">
        <f t="shared" si="113"/>
        <v>0.61111111111111116</v>
      </c>
      <c r="AA279">
        <f>step3_validation[[#This Row],[AI_FAC1]]</f>
        <v>9</v>
      </c>
      <c r="AB279">
        <f t="shared" si="114"/>
        <v>0.88888888888888884</v>
      </c>
      <c r="AC279">
        <f>survey_responses[[#This Row],[Các thủ tục khai báo thuế VÀ/HOẶC quy trình làm việc với cơ quan thuế đơn giản, tiện lợi, nhanh chóng hơn so với trước đây. - HUMAN-FAC1]]</f>
        <v>5</v>
      </c>
      <c r="AD279">
        <f t="shared" si="115"/>
        <v>0.44444444444444442</v>
      </c>
      <c r="AE279">
        <f>step3_validation[[#This Row],[AI_FAC2]]</f>
        <v>9</v>
      </c>
      <c r="AF279">
        <f t="shared" si="116"/>
        <v>0.88888888888888884</v>
      </c>
      <c r="AG279">
        <f>survey_responses[[#This Row],[So với trước đây, tôi thấy cách tính thuế và các bậc thuế trong phương án mới đơn giản, dễ hiểu và dễ thực hiện hơn. - HUMAN-FAC2]]</f>
        <v>7</v>
      </c>
      <c r="AH279">
        <f t="shared" si="117"/>
        <v>0.66666666666666663</v>
      </c>
      <c r="AI279" s="32">
        <f t="shared" si="118"/>
        <v>0.88888888888888884</v>
      </c>
      <c r="AJ279" s="32">
        <f t="shared" si="119"/>
        <v>0.55555555555555558</v>
      </c>
      <c r="AK279">
        <f>step3_validation[[#This Row],[AI_TRU1]]</f>
        <v>8</v>
      </c>
      <c r="AL279">
        <f t="shared" si="120"/>
        <v>0.77777777777777779</v>
      </c>
      <c r="AM279">
        <f>survey_responses[[#This Row],[Tôi tin rằng Nhà nước, cơ quan thuế sẽ thực thi chính sách mới một cách khách quan, công tâm và đối xử bình đẳng với mọi người nộp thuế.  - HUMAN-TRU1]]</f>
        <v>6</v>
      </c>
      <c r="AN279">
        <f t="shared" si="121"/>
        <v>0.55555555555555558</v>
      </c>
      <c r="AO279">
        <f>step3_validation[[#This Row],[AI_TRU2]]</f>
        <v>9</v>
      </c>
      <c r="AP279">
        <f t="shared" si="122"/>
        <v>0.88888888888888884</v>
      </c>
      <c r="AQ279">
        <f>survey_responses[[#This Row],[Tôi thấy mức thuế tôi phải đóng theo phương án mới là công bằng (người thu nhập như tôi đóng mức này là hợp lý). - HUMAN-TRU2]]</f>
        <v>6</v>
      </c>
      <c r="AR279">
        <f t="shared" si="123"/>
        <v>0.55555555555555558</v>
      </c>
      <c r="AS279">
        <f>step3_validation[[#This Row],[AI_TRU3]]</f>
        <v>8</v>
      </c>
      <c r="AT279">
        <f t="shared" si="124"/>
        <v>0.77777777777777779</v>
      </c>
      <c r="AU279">
        <f>survey_responses[[#This Row],[Tôi tin tưởng số tiền thuế tôi đóng sẽ được Nhà nước sử dụng hiệu quả để cải thiện dịch vụ công (y tế, đường xá...). - HUMAN-TRU3]]</f>
        <v>6</v>
      </c>
      <c r="AV279">
        <f t="shared" si="125"/>
        <v>0.55555555555555558</v>
      </c>
      <c r="AW279">
        <f>step3_validation[[#This Row],[AI_TRU4]]</f>
        <v>9</v>
      </c>
      <c r="AX279">
        <f t="shared" si="126"/>
        <v>0.88888888888888884</v>
      </c>
      <c r="AY279">
        <f>survey_responses[[#This Row],[Tôi thấy Nhà nước đã giải thích rõ ràng, minh bạch về lý do và mục tiêu của việc sửa đổi thuế lần này. - HUMAN-TRU4]]</f>
        <v>6</v>
      </c>
      <c r="AZ279">
        <f t="shared" si="127"/>
        <v>0.55555555555555558</v>
      </c>
      <c r="BA279" s="32">
        <f t="shared" si="128"/>
        <v>0.83333333333333326</v>
      </c>
      <c r="BB279" s="32">
        <f t="shared" si="129"/>
        <v>0.55555555555555558</v>
      </c>
      <c r="BC279" s="7">
        <f t="shared" si="130"/>
        <v>0.81481481481481488</v>
      </c>
      <c r="BD279" s="7">
        <f t="shared" si="131"/>
        <v>0.57407407407407407</v>
      </c>
      <c r="BE279">
        <f>step3_validation[[#This Row],[AI_OUT1]]</f>
        <v>8</v>
      </c>
      <c r="BF279">
        <f t="shared" si="132"/>
        <v>0.77777777777777779</v>
      </c>
      <c r="BG279">
        <f>survey_responses[[#This Row],[Sau khi xem xét các quyền lợi và nghĩa vụ, bạn có ủng hộ và tuân thủ chính sách mới hiện nay? - HUMAN-OUT1]]</f>
        <v>6</v>
      </c>
      <c r="BH279">
        <f t="shared" si="133"/>
        <v>0.55555555555555558</v>
      </c>
      <c r="BI279" s="32">
        <f t="shared" si="134"/>
        <v>2</v>
      </c>
    </row>
    <row r="280" spans="1:61" x14ac:dyDescent="0.45">
      <c r="A280" s="30">
        <f>step3_validation[[#This Row],[Persona_ID]]</f>
        <v>279</v>
      </c>
      <c r="B280" s="31">
        <f>step3_validation[[#This Row],[Used_Seed]]</f>
        <v>2269</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76.618853313804934</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9</v>
      </c>
      <c r="R280">
        <f t="shared" si="108"/>
        <v>0.88888888888888884</v>
      </c>
      <c r="S280">
        <f>survey_responses[[#This Row],[Tôi tin rằng với các quy định quản lý thuế hiện nay, hành vi gian lận hoặc trốn thuế sẽ dễ dàng bị phát hiện và xử lý nghiêm. - HUMAN-ENF1]]</f>
        <v>6</v>
      </c>
      <c r="T280">
        <f t="shared" si="109"/>
        <v>0.55555555555555558</v>
      </c>
      <c r="U280">
        <f>step3_validation[[#This Row],[AI_ENF2]]</f>
        <v>8</v>
      </c>
      <c r="V280">
        <f t="shared" si="110"/>
        <v>0.77777777777777779</v>
      </c>
      <c r="W280">
        <f>survey_responses[[#This Row],[Tôi tin rằng Nhà nước, cơ quan thuế có đủ khả năng và công nghệ để phát hiện, xử lý nghiêm các hành vi trốn thuế. - HUMAN-ENF2]]</f>
        <v>7</v>
      </c>
      <c r="X280">
        <f t="shared" si="111"/>
        <v>0.66666666666666663</v>
      </c>
      <c r="Y280" s="32">
        <f t="shared" si="112"/>
        <v>0.83333333333333326</v>
      </c>
      <c r="Z280" s="32">
        <f t="shared" si="113"/>
        <v>0.61111111111111116</v>
      </c>
      <c r="AA280">
        <f>step3_validation[[#This Row],[AI_FAC1]]</f>
        <v>9</v>
      </c>
      <c r="AB280">
        <f t="shared" si="114"/>
        <v>0.88888888888888884</v>
      </c>
      <c r="AC280">
        <f>survey_responses[[#This Row],[Các thủ tục khai báo thuế VÀ/HOẶC quy trình làm việc với cơ quan thuế đơn giản, tiện lợi, nhanh chóng hơn so với trước đây. - HUMAN-FAC1]]</f>
        <v>5</v>
      </c>
      <c r="AD280">
        <f t="shared" si="115"/>
        <v>0.44444444444444442</v>
      </c>
      <c r="AE280">
        <f>step3_validation[[#This Row],[AI_FAC2]]</f>
        <v>8</v>
      </c>
      <c r="AF280">
        <f t="shared" si="116"/>
        <v>0.77777777777777779</v>
      </c>
      <c r="AG280">
        <f>survey_responses[[#This Row],[So với trước đây, tôi thấy cách tính thuế và các bậc thuế trong phương án mới đơn giản, dễ hiểu và dễ thực hiện hơn. - HUMAN-FAC2]]</f>
        <v>8</v>
      </c>
      <c r="AH280">
        <f t="shared" si="117"/>
        <v>0.77777777777777779</v>
      </c>
      <c r="AI280" s="32">
        <f t="shared" si="118"/>
        <v>0.83333333333333326</v>
      </c>
      <c r="AJ280" s="32">
        <f t="shared" si="119"/>
        <v>0.61111111111111116</v>
      </c>
      <c r="AK280">
        <f>step3_validation[[#This Row],[AI_TRU1]]</f>
        <v>9</v>
      </c>
      <c r="AL280">
        <f t="shared" si="120"/>
        <v>0.88888888888888884</v>
      </c>
      <c r="AM280">
        <f>survey_responses[[#This Row],[Tôi tin rằng Nhà nước, cơ quan thuế sẽ thực thi chính sách mới một cách khách quan, công tâm và đối xử bình đẳng với mọi người nộp thuế.  - HUMAN-TRU1]]</f>
        <v>6</v>
      </c>
      <c r="AN280">
        <f t="shared" si="121"/>
        <v>0.55555555555555558</v>
      </c>
      <c r="AO280">
        <f>step3_validation[[#This Row],[AI_TRU2]]</f>
        <v>8</v>
      </c>
      <c r="AP280">
        <f t="shared" si="122"/>
        <v>0.77777777777777779</v>
      </c>
      <c r="AQ280">
        <f>survey_responses[[#This Row],[Tôi thấy mức thuế tôi phải đóng theo phương án mới là công bằng (người thu nhập như tôi đóng mức này là hợp lý). - HUMAN-TRU2]]</f>
        <v>3</v>
      </c>
      <c r="AR280">
        <f t="shared" si="123"/>
        <v>0.22222222222222221</v>
      </c>
      <c r="AS280">
        <f>step3_validation[[#This Row],[AI_TRU3]]</f>
        <v>9</v>
      </c>
      <c r="AT280">
        <f t="shared" si="124"/>
        <v>0.88888888888888884</v>
      </c>
      <c r="AU280">
        <f>survey_responses[[#This Row],[Tôi tin tưởng số tiền thuế tôi đóng sẽ được Nhà nước sử dụng hiệu quả để cải thiện dịch vụ công (y tế, đường xá...). - HUMAN-TRU3]]</f>
        <v>6</v>
      </c>
      <c r="AV280">
        <f t="shared" si="125"/>
        <v>0.55555555555555558</v>
      </c>
      <c r="AW280">
        <f>step3_validation[[#This Row],[AI_TRU4]]</f>
        <v>8</v>
      </c>
      <c r="AX280">
        <f t="shared" si="126"/>
        <v>0.77777777777777779</v>
      </c>
      <c r="AY280">
        <f>survey_responses[[#This Row],[Tôi thấy Nhà nước đã giải thích rõ ràng, minh bạch về lý do và mục tiêu của việc sửa đổi thuế lần này. - HUMAN-TRU4]]</f>
        <v>8</v>
      </c>
      <c r="AZ280">
        <f t="shared" si="127"/>
        <v>0.77777777777777779</v>
      </c>
      <c r="BA280" s="32">
        <f t="shared" si="128"/>
        <v>0.83333333333333326</v>
      </c>
      <c r="BB280" s="32">
        <f t="shared" si="129"/>
        <v>0.52777777777777779</v>
      </c>
      <c r="BC280" s="7">
        <f t="shared" si="130"/>
        <v>0.83333333333333337</v>
      </c>
      <c r="BD280" s="7">
        <f t="shared" si="131"/>
        <v>0.58333333333333337</v>
      </c>
      <c r="BE280">
        <f>step3_validation[[#This Row],[AI_OUT1]]</f>
        <v>9</v>
      </c>
      <c r="BF280">
        <f t="shared" si="132"/>
        <v>0.88888888888888884</v>
      </c>
      <c r="BG280">
        <f>survey_responses[[#This Row],[Sau khi xem xét các quyền lợi và nghĩa vụ, bạn có ủng hộ và tuân thủ chính sách mới hiện nay? - HUMAN-OUT1]]</f>
        <v>6</v>
      </c>
      <c r="BH280">
        <f t="shared" si="133"/>
        <v>0.55555555555555558</v>
      </c>
      <c r="BI280" s="32">
        <f t="shared" si="134"/>
        <v>3</v>
      </c>
    </row>
    <row r="281" spans="1:61" x14ac:dyDescent="0.45">
      <c r="A281" s="30">
        <f>step3_validation[[#This Row],[Persona_ID]]</f>
        <v>280</v>
      </c>
      <c r="B281" s="31">
        <f>step3_validation[[#This Row],[Used_Seed]]</f>
        <v>2270</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71.148209333214581</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f t="shared" si="108"/>
        <v>0.66666666666666663</v>
      </c>
      <c r="S281">
        <f>survey_responses[[#This Row],[Tôi tin rằng với các quy định quản lý thuế hiện nay, hành vi gian lận hoặc trốn thuế sẽ dễ dàng bị phát hiện và xử lý nghiêm. - HUMAN-ENF1]]</f>
        <v>4</v>
      </c>
      <c r="T281">
        <f t="shared" si="109"/>
        <v>0.33333333333333331</v>
      </c>
      <c r="U281">
        <f>step3_validation[[#This Row],[AI_ENF2]]</f>
        <v>8</v>
      </c>
      <c r="V281">
        <f t="shared" si="110"/>
        <v>0.77777777777777779</v>
      </c>
      <c r="W281">
        <f>survey_responses[[#This Row],[Tôi tin rằng Nhà nước, cơ quan thuế có đủ khả năng và công nghệ để phát hiện, xử lý nghiêm các hành vi trốn thuế. - HUMAN-ENF2]]</f>
        <v>4</v>
      </c>
      <c r="X281">
        <f t="shared" si="111"/>
        <v>0.33333333333333331</v>
      </c>
      <c r="Y281" s="32">
        <f t="shared" si="112"/>
        <v>0.72222222222222221</v>
      </c>
      <c r="Z281" s="32">
        <f t="shared" si="113"/>
        <v>0.33333333333333331</v>
      </c>
      <c r="AA281">
        <f>step3_validation[[#This Row],[AI_FAC1]]</f>
        <v>9</v>
      </c>
      <c r="AB281">
        <f t="shared" si="114"/>
        <v>0.88888888888888884</v>
      </c>
      <c r="AC281">
        <f>survey_responses[[#This Row],[Các thủ tục khai báo thuế VÀ/HOẶC quy trình làm việc với cơ quan thuế đơn giản, tiện lợi, nhanh chóng hơn so với trước đây. - HUMAN-FAC1]]</f>
        <v>1</v>
      </c>
      <c r="AD281">
        <f t="shared" si="115"/>
        <v>0</v>
      </c>
      <c r="AE281">
        <f>step3_validation[[#This Row],[AI_FAC2]]</f>
        <v>9</v>
      </c>
      <c r="AF281">
        <f t="shared" si="116"/>
        <v>0.88888888888888884</v>
      </c>
      <c r="AG281">
        <f>survey_responses[[#This Row],[So với trước đây, tôi thấy cách tính thuế và các bậc thuế trong phương án mới đơn giản, dễ hiểu và dễ thực hiện hơn. - HUMAN-FAC2]]</f>
        <v>6</v>
      </c>
      <c r="AH281">
        <f t="shared" si="117"/>
        <v>0.55555555555555558</v>
      </c>
      <c r="AI281" s="32">
        <f t="shared" si="118"/>
        <v>0.88888888888888884</v>
      </c>
      <c r="AJ281" s="32">
        <f t="shared" si="119"/>
        <v>0.27777777777777779</v>
      </c>
      <c r="AK281">
        <f>step3_validation[[#This Row],[AI_TRU1]]</f>
        <v>7</v>
      </c>
      <c r="AL281">
        <f t="shared" si="120"/>
        <v>0.66666666666666663</v>
      </c>
      <c r="AM281">
        <f>survey_responses[[#This Row],[Tôi tin rằng Nhà nước, cơ quan thuế sẽ thực thi chính sách mới một cách khách quan, công tâm và đối xử bình đẳng với mọi người nộp thuế.  - HUMAN-TRU1]]</f>
        <v>3</v>
      </c>
      <c r="AN281">
        <f t="shared" si="121"/>
        <v>0.22222222222222221</v>
      </c>
      <c r="AO281">
        <f>step3_validation[[#This Row],[AI_TRU2]]</f>
        <v>9</v>
      </c>
      <c r="AP281">
        <f t="shared" si="122"/>
        <v>0.88888888888888884</v>
      </c>
      <c r="AQ281">
        <f>survey_responses[[#This Row],[Tôi thấy mức thuế tôi phải đóng theo phương án mới là công bằng (người thu nhập như tôi đóng mức này là hợp lý). - HUMAN-TRU2]]</f>
        <v>2</v>
      </c>
      <c r="AR281">
        <f t="shared" si="123"/>
        <v>0.1111111111111111</v>
      </c>
      <c r="AS281">
        <f>step3_validation[[#This Row],[AI_TRU3]]</f>
        <v>7</v>
      </c>
      <c r="AT281">
        <f t="shared" si="124"/>
        <v>0.66666666666666663</v>
      </c>
      <c r="AU281">
        <f>survey_responses[[#This Row],[Tôi tin tưởng số tiền thuế tôi đóng sẽ được Nhà nước sử dụng hiệu quả để cải thiện dịch vụ công (y tế, đường xá...). - HUMAN-TRU3]]</f>
        <v>1</v>
      </c>
      <c r="AV281">
        <f t="shared" si="125"/>
        <v>0</v>
      </c>
      <c r="AW281">
        <f>step3_validation[[#This Row],[AI_TRU4]]</f>
        <v>8</v>
      </c>
      <c r="AX281">
        <f t="shared" si="126"/>
        <v>0.77777777777777779</v>
      </c>
      <c r="AY281">
        <f>survey_responses[[#This Row],[Tôi thấy Nhà nước đã giải thích rõ ràng, minh bạch về lý do và mục tiêu của việc sửa đổi thuế lần này. - HUMAN-TRU4]]</f>
        <v>5</v>
      </c>
      <c r="AZ281">
        <f t="shared" si="127"/>
        <v>0.44444444444444442</v>
      </c>
      <c r="BA281" s="32">
        <f t="shared" si="128"/>
        <v>0.74999999999999989</v>
      </c>
      <c r="BB281" s="32">
        <f t="shared" si="129"/>
        <v>0.19444444444444442</v>
      </c>
      <c r="BC281" s="7">
        <f t="shared" si="130"/>
        <v>0.78703703703703709</v>
      </c>
      <c r="BD281" s="7">
        <f t="shared" si="131"/>
        <v>0.26851851851851855</v>
      </c>
      <c r="BE281">
        <f>step3_validation[[#This Row],[AI_OUT1]]</f>
        <v>9</v>
      </c>
      <c r="BF281">
        <f t="shared" si="132"/>
        <v>0.88888888888888884</v>
      </c>
      <c r="BG281">
        <f>survey_responses[[#This Row],[Sau khi xem xét các quyền lợi và nghĩa vụ, bạn có ủng hộ và tuân thủ chính sách mới hiện nay? - HUMAN-OUT1]]</f>
        <v>4</v>
      </c>
      <c r="BH281">
        <f t="shared" si="133"/>
        <v>0.33333333333333331</v>
      </c>
      <c r="BI281" s="32">
        <f t="shared" si="134"/>
        <v>5</v>
      </c>
    </row>
    <row r="282" spans="1:61" x14ac:dyDescent="0.45">
      <c r="A282" s="30">
        <f>step3_validation[[#This Row],[Persona_ID]]</f>
        <v>281</v>
      </c>
      <c r="B282" s="31">
        <f>step3_validation[[#This Row],[Used_Seed]]</f>
        <v>2271</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90.3755892969847</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9</v>
      </c>
      <c r="R282">
        <f t="shared" si="108"/>
        <v>0.88888888888888884</v>
      </c>
      <c r="S282">
        <f>survey_responses[[#This Row],[Tôi tin rằng với các quy định quản lý thuế hiện nay, hành vi gian lận hoặc trốn thuế sẽ dễ dàng bị phát hiện và xử lý nghiêm. - HUMAN-ENF1]]</f>
        <v>6</v>
      </c>
      <c r="T282">
        <f t="shared" si="109"/>
        <v>0.55555555555555558</v>
      </c>
      <c r="U282">
        <f>step3_validation[[#This Row],[AI_ENF2]]</f>
        <v>8</v>
      </c>
      <c r="V282">
        <f t="shared" si="110"/>
        <v>0.77777777777777779</v>
      </c>
      <c r="W282">
        <f>survey_responses[[#This Row],[Tôi tin rằng Nhà nước, cơ quan thuế có đủ khả năng và công nghệ để phát hiện, xử lý nghiêm các hành vi trốn thuế. - HUMAN-ENF2]]</f>
        <v>7</v>
      </c>
      <c r="X282">
        <f t="shared" si="111"/>
        <v>0.66666666666666663</v>
      </c>
      <c r="Y282" s="32">
        <f t="shared" si="112"/>
        <v>0.83333333333333326</v>
      </c>
      <c r="Z282" s="32">
        <f t="shared" si="113"/>
        <v>0.61111111111111116</v>
      </c>
      <c r="AA282">
        <f>step3_validation[[#This Row],[AI_FAC1]]</f>
        <v>9</v>
      </c>
      <c r="AB282">
        <f t="shared" si="114"/>
        <v>0.88888888888888884</v>
      </c>
      <c r="AC282">
        <f>survey_responses[[#This Row],[Các thủ tục khai báo thuế VÀ/HOẶC quy trình làm việc với cơ quan thuế đơn giản, tiện lợi, nhanh chóng hơn so với trước đây. - HUMAN-FAC1]]</f>
        <v>4</v>
      </c>
      <c r="AD282">
        <f t="shared" si="115"/>
        <v>0.33333333333333331</v>
      </c>
      <c r="AE282">
        <f>step3_validation[[#This Row],[AI_FAC2]]</f>
        <v>8</v>
      </c>
      <c r="AF282">
        <f t="shared" si="116"/>
        <v>0.77777777777777779</v>
      </c>
      <c r="AG282">
        <f>survey_responses[[#This Row],[So với trước đây, tôi thấy cách tính thuế và các bậc thuế trong phương án mới đơn giản, dễ hiểu và dễ thực hiện hơn. - HUMAN-FAC2]]</f>
        <v>8</v>
      </c>
      <c r="AH282">
        <f t="shared" si="117"/>
        <v>0.77777777777777779</v>
      </c>
      <c r="AI282" s="32">
        <f t="shared" si="118"/>
        <v>0.83333333333333326</v>
      </c>
      <c r="AJ282" s="32">
        <f t="shared" si="119"/>
        <v>0.55555555555555558</v>
      </c>
      <c r="AK282">
        <f>step3_validation[[#This Row],[AI_TRU1]]</f>
        <v>9</v>
      </c>
      <c r="AL282">
        <f t="shared" si="120"/>
        <v>0.88888888888888884</v>
      </c>
      <c r="AM282">
        <f>survey_responses[[#This Row],[Tôi tin rằng Nhà nước, cơ quan thuế sẽ thực thi chính sách mới một cách khách quan, công tâm và đối xử bình đẳng với mọi người nộp thuế.  - HUMAN-TRU1]]</f>
        <v>6</v>
      </c>
      <c r="AN282">
        <f t="shared" si="121"/>
        <v>0.55555555555555558</v>
      </c>
      <c r="AO282">
        <f>step3_validation[[#This Row],[AI_TRU2]]</f>
        <v>8</v>
      </c>
      <c r="AP282">
        <f t="shared" si="122"/>
        <v>0.77777777777777779</v>
      </c>
      <c r="AQ282">
        <f>survey_responses[[#This Row],[Tôi thấy mức thuế tôi phải đóng theo phương án mới là công bằng (người thu nhập như tôi đóng mức này là hợp lý). - HUMAN-TRU2]]</f>
        <v>6</v>
      </c>
      <c r="AR282">
        <f t="shared" si="123"/>
        <v>0.55555555555555558</v>
      </c>
      <c r="AS282">
        <f>step3_validation[[#This Row],[AI_TRU3]]</f>
        <v>9</v>
      </c>
      <c r="AT282">
        <f t="shared" si="124"/>
        <v>0.88888888888888884</v>
      </c>
      <c r="AU282">
        <f>survey_responses[[#This Row],[Tôi tin tưởng số tiền thuế tôi đóng sẽ được Nhà nước sử dụng hiệu quả để cải thiện dịch vụ công (y tế, đường xá...). - HUMAN-TRU3]]</f>
        <v>5</v>
      </c>
      <c r="AV282">
        <f t="shared" si="125"/>
        <v>0.44444444444444442</v>
      </c>
      <c r="AW282">
        <f>step3_validation[[#This Row],[AI_TRU4]]</f>
        <v>8</v>
      </c>
      <c r="AX282">
        <f t="shared" si="126"/>
        <v>0.77777777777777779</v>
      </c>
      <c r="AY282">
        <f>survey_responses[[#This Row],[Tôi thấy Nhà nước đã giải thích rõ ràng, minh bạch về lý do và mục tiêu của việc sửa đổi thuế lần này. - HUMAN-TRU4]]</f>
        <v>7</v>
      </c>
      <c r="AZ282">
        <f t="shared" si="127"/>
        <v>0.66666666666666663</v>
      </c>
      <c r="BA282" s="32">
        <f t="shared" si="128"/>
        <v>0.83333333333333326</v>
      </c>
      <c r="BB282" s="32">
        <f t="shared" si="129"/>
        <v>0.55555555555555558</v>
      </c>
      <c r="BC282" s="7">
        <f t="shared" si="130"/>
        <v>0.83333333333333337</v>
      </c>
      <c r="BD282" s="7">
        <f t="shared" si="131"/>
        <v>0.57407407407407407</v>
      </c>
      <c r="BE282">
        <f>step3_validation[[#This Row],[AI_OUT1]]</f>
        <v>9</v>
      </c>
      <c r="BF282">
        <f t="shared" si="132"/>
        <v>0.88888888888888884</v>
      </c>
      <c r="BG282">
        <f>survey_responses[[#This Row],[Sau khi xem xét các quyền lợi và nghĩa vụ, bạn có ủng hộ và tuân thủ chính sách mới hiện nay? - HUMAN-OUT1]]</f>
        <v>6</v>
      </c>
      <c r="BH282">
        <f t="shared" si="133"/>
        <v>0.55555555555555558</v>
      </c>
      <c r="BI282" s="32">
        <f t="shared" si="134"/>
        <v>3</v>
      </c>
    </row>
    <row r="283" spans="1:61" x14ac:dyDescent="0.45">
      <c r="A283" s="30">
        <f>step3_validation[[#This Row],[Persona_ID]]</f>
        <v>282</v>
      </c>
      <c r="B283" s="31">
        <f>step3_validation[[#This Row],[Used_Seed]]</f>
        <v>2272</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209.08226298441062</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6</v>
      </c>
      <c r="R283">
        <f t="shared" si="108"/>
        <v>0.55555555555555558</v>
      </c>
      <c r="S283">
        <f>survey_responses[[#This Row],[Tôi tin rằng với các quy định quản lý thuế hiện nay, hành vi gian lận hoặc trốn thuế sẽ dễ dàng bị phát hiện và xử lý nghiêm. - HUMAN-ENF1]]</f>
        <v>8</v>
      </c>
      <c r="T283">
        <f t="shared" si="109"/>
        <v>0.77777777777777779</v>
      </c>
      <c r="U283">
        <f>step3_validation[[#This Row],[AI_ENF2]]</f>
        <v>7</v>
      </c>
      <c r="V283">
        <f t="shared" si="110"/>
        <v>0.66666666666666663</v>
      </c>
      <c r="W283">
        <f>survey_responses[[#This Row],[Tôi tin rằng Nhà nước, cơ quan thuế có đủ khả năng và công nghệ để phát hiện, xử lý nghiêm các hành vi trốn thuế. - HUMAN-ENF2]]</f>
        <v>8</v>
      </c>
      <c r="X283">
        <f t="shared" si="111"/>
        <v>0.77777777777777779</v>
      </c>
      <c r="Y283" s="32">
        <f t="shared" si="112"/>
        <v>0.61111111111111116</v>
      </c>
      <c r="Z283" s="32">
        <f t="shared" si="113"/>
        <v>0.77777777777777779</v>
      </c>
      <c r="AA283">
        <f>step3_validation[[#This Row],[AI_FAC1]]</f>
        <v>8</v>
      </c>
      <c r="AB283">
        <f t="shared" si="114"/>
        <v>0.77777777777777779</v>
      </c>
      <c r="AC283">
        <f>survey_responses[[#This Row],[Các thủ tục khai báo thuế VÀ/HOẶC quy trình làm việc với cơ quan thuế đơn giản, tiện lợi, nhanh chóng hơn so với trước đây. - HUMAN-FAC1]]</f>
        <v>9</v>
      </c>
      <c r="AD283">
        <f t="shared" si="115"/>
        <v>0.88888888888888884</v>
      </c>
      <c r="AE283">
        <f>step3_validation[[#This Row],[AI_FAC2]]</f>
        <v>9</v>
      </c>
      <c r="AF283">
        <f t="shared" si="116"/>
        <v>0.88888888888888884</v>
      </c>
      <c r="AG283">
        <f>survey_responses[[#This Row],[So với trước đây, tôi thấy cách tính thuế và các bậc thuế trong phương án mới đơn giản, dễ hiểu và dễ thực hiện hơn. - HUMAN-FAC2]]</f>
        <v>9</v>
      </c>
      <c r="AH283">
        <f t="shared" si="117"/>
        <v>0.88888888888888884</v>
      </c>
      <c r="AI283" s="32">
        <f t="shared" si="118"/>
        <v>0.83333333333333326</v>
      </c>
      <c r="AJ283" s="32">
        <f t="shared" si="119"/>
        <v>0.88888888888888884</v>
      </c>
      <c r="AK283">
        <f>step3_validation[[#This Row],[AI_TRU1]]</f>
        <v>8</v>
      </c>
      <c r="AL283">
        <f t="shared" si="120"/>
        <v>0.77777777777777779</v>
      </c>
      <c r="AM283">
        <f>survey_responses[[#This Row],[Tôi tin rằng Nhà nước, cơ quan thuế sẽ thực thi chính sách mới một cách khách quan, công tâm và đối xử bình đẳng với mọi người nộp thuế.  - HUMAN-TRU1]]</f>
        <v>7</v>
      </c>
      <c r="AN283">
        <f t="shared" si="121"/>
        <v>0.66666666666666663</v>
      </c>
      <c r="AO283">
        <f>step3_validation[[#This Row],[AI_TRU2]]</f>
        <v>9</v>
      </c>
      <c r="AP283">
        <f t="shared" si="122"/>
        <v>0.88888888888888884</v>
      </c>
      <c r="AQ283">
        <f>survey_responses[[#This Row],[Tôi thấy mức thuế tôi phải đóng theo phương án mới là công bằng (người thu nhập như tôi đóng mức này là hợp lý). - HUMAN-TRU2]]</f>
        <v>8</v>
      </c>
      <c r="AR283">
        <f t="shared" si="123"/>
        <v>0.77777777777777779</v>
      </c>
      <c r="AS283">
        <f>step3_validation[[#This Row],[AI_TRU3]]</f>
        <v>8</v>
      </c>
      <c r="AT283">
        <f t="shared" si="124"/>
        <v>0.77777777777777779</v>
      </c>
      <c r="AU283">
        <f>survey_responses[[#This Row],[Tôi tin tưởng số tiền thuế tôi đóng sẽ được Nhà nước sử dụng hiệu quả để cải thiện dịch vụ công (y tế, đường xá...). - HUMAN-TRU3]]</f>
        <v>8</v>
      </c>
      <c r="AV283">
        <f t="shared" si="125"/>
        <v>0.77777777777777779</v>
      </c>
      <c r="AW283">
        <f>step3_validation[[#This Row],[AI_TRU4]]</f>
        <v>7</v>
      </c>
      <c r="AX283">
        <f t="shared" si="126"/>
        <v>0.66666666666666663</v>
      </c>
      <c r="AY283">
        <f>survey_responses[[#This Row],[Tôi thấy Nhà nước đã giải thích rõ ràng, minh bạch về lý do và mục tiêu của việc sửa đổi thuế lần này. - HUMAN-TRU4]]</f>
        <v>8</v>
      </c>
      <c r="AZ283">
        <f t="shared" si="127"/>
        <v>0.77777777777777779</v>
      </c>
      <c r="BA283" s="32">
        <f t="shared" si="128"/>
        <v>0.77777777777777768</v>
      </c>
      <c r="BB283" s="32">
        <f t="shared" si="129"/>
        <v>0.75</v>
      </c>
      <c r="BC283" s="7">
        <f t="shared" si="130"/>
        <v>0.74074074074074081</v>
      </c>
      <c r="BD283" s="7">
        <f t="shared" si="131"/>
        <v>0.80555555555555547</v>
      </c>
      <c r="BE283">
        <f>step3_validation[[#This Row],[AI_OUT1]]</f>
        <v>9</v>
      </c>
      <c r="BF283">
        <f t="shared" si="132"/>
        <v>0.88888888888888884</v>
      </c>
      <c r="BG283">
        <f>survey_responses[[#This Row],[Sau khi xem xét các quyền lợi và nghĩa vụ, bạn có ủng hộ và tuân thủ chính sách mới hiện nay? - HUMAN-OUT1]]</f>
        <v>7</v>
      </c>
      <c r="BH283">
        <f t="shared" si="133"/>
        <v>0.66666666666666663</v>
      </c>
      <c r="BI283" s="32">
        <f t="shared" si="134"/>
        <v>2</v>
      </c>
    </row>
    <row r="284" spans="1:61" x14ac:dyDescent="0.45">
      <c r="A284" s="30">
        <f>step3_validation[[#This Row],[Persona_ID]]</f>
        <v>283</v>
      </c>
      <c r="B284" s="31">
        <f>step3_validation[[#This Row],[Used_Seed]]</f>
        <v>2273</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57.282489933770037</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7</v>
      </c>
      <c r="R284">
        <f t="shared" si="108"/>
        <v>0.66666666666666663</v>
      </c>
      <c r="S284">
        <f>survey_responses[[#This Row],[Tôi tin rằng với các quy định quản lý thuế hiện nay, hành vi gian lận hoặc trốn thuế sẽ dễ dàng bị phát hiện và xử lý nghiêm. - HUMAN-ENF1]]</f>
        <v>5</v>
      </c>
      <c r="T284">
        <f t="shared" si="109"/>
        <v>0.44444444444444442</v>
      </c>
      <c r="U284">
        <f>step3_validation[[#This Row],[AI_ENF2]]</f>
        <v>8</v>
      </c>
      <c r="V284">
        <f t="shared" si="110"/>
        <v>0.77777777777777779</v>
      </c>
      <c r="W284">
        <f>survey_responses[[#This Row],[Tôi tin rằng Nhà nước, cơ quan thuế có đủ khả năng và công nghệ để phát hiện, xử lý nghiêm các hành vi trốn thuế. - HUMAN-ENF2]]</f>
        <v>5</v>
      </c>
      <c r="X284">
        <f t="shared" si="111"/>
        <v>0.44444444444444442</v>
      </c>
      <c r="Y284" s="32">
        <f t="shared" si="112"/>
        <v>0.72222222222222221</v>
      </c>
      <c r="Z284" s="32">
        <f t="shared" si="113"/>
        <v>0.44444444444444442</v>
      </c>
      <c r="AA284">
        <f>step3_validation[[#This Row],[AI_FAC1]]</f>
        <v>9</v>
      </c>
      <c r="AB284">
        <f t="shared" si="114"/>
        <v>0.88888888888888884</v>
      </c>
      <c r="AC284">
        <f>survey_responses[[#This Row],[Các thủ tục khai báo thuế VÀ/HOẶC quy trình làm việc với cơ quan thuế đơn giản, tiện lợi, nhanh chóng hơn so với trước đây. - HUMAN-FAC1]]</f>
        <v>2</v>
      </c>
      <c r="AD284">
        <f t="shared" si="115"/>
        <v>0.1111111111111111</v>
      </c>
      <c r="AE284">
        <f>step3_validation[[#This Row],[AI_FAC2]]</f>
        <v>9</v>
      </c>
      <c r="AF284">
        <f t="shared" si="116"/>
        <v>0.88888888888888884</v>
      </c>
      <c r="AG284">
        <f>survey_responses[[#This Row],[So với trước đây, tôi thấy cách tính thuế và các bậc thuế trong phương án mới đơn giản, dễ hiểu và dễ thực hiện hơn. - HUMAN-FAC2]]</f>
        <v>6</v>
      </c>
      <c r="AH284">
        <f t="shared" si="117"/>
        <v>0.55555555555555558</v>
      </c>
      <c r="AI284" s="32">
        <f t="shared" si="118"/>
        <v>0.88888888888888884</v>
      </c>
      <c r="AJ284" s="32">
        <f t="shared" si="119"/>
        <v>0.33333333333333337</v>
      </c>
      <c r="AK284">
        <f>step3_validation[[#This Row],[AI_TRU1]]</f>
        <v>7</v>
      </c>
      <c r="AL284">
        <f t="shared" si="120"/>
        <v>0.66666666666666663</v>
      </c>
      <c r="AM284">
        <f>survey_responses[[#This Row],[Tôi tin rằng Nhà nước, cơ quan thuế sẽ thực thi chính sách mới một cách khách quan, công tâm và đối xử bình đẳng với mọi người nộp thuế.  - HUMAN-TRU1]]</f>
        <v>5</v>
      </c>
      <c r="AN284">
        <f t="shared" si="121"/>
        <v>0.44444444444444442</v>
      </c>
      <c r="AO284">
        <f>step3_validation[[#This Row],[AI_TRU2]]</f>
        <v>8</v>
      </c>
      <c r="AP284">
        <f t="shared" si="122"/>
        <v>0.77777777777777779</v>
      </c>
      <c r="AQ284">
        <f>survey_responses[[#This Row],[Tôi thấy mức thuế tôi phải đóng theo phương án mới là công bằng (người thu nhập như tôi đóng mức này là hợp lý). - HUMAN-TRU2]]</f>
        <v>4</v>
      </c>
      <c r="AR284">
        <f t="shared" si="123"/>
        <v>0.33333333333333331</v>
      </c>
      <c r="AS284">
        <f>step3_validation[[#This Row],[AI_TRU3]]</f>
        <v>7</v>
      </c>
      <c r="AT284">
        <f t="shared" si="124"/>
        <v>0.66666666666666663</v>
      </c>
      <c r="AU284">
        <f>survey_responses[[#This Row],[Tôi tin tưởng số tiền thuế tôi đóng sẽ được Nhà nước sử dụng hiệu quả để cải thiện dịch vụ công (y tế, đường xá...). - HUMAN-TRU3]]</f>
        <v>5</v>
      </c>
      <c r="AV284">
        <f t="shared" si="125"/>
        <v>0.44444444444444442</v>
      </c>
      <c r="AW284">
        <f>step3_validation[[#This Row],[AI_TRU4]]</f>
        <v>8</v>
      </c>
      <c r="AX284">
        <f t="shared" si="126"/>
        <v>0.77777777777777779</v>
      </c>
      <c r="AY284">
        <f>survey_responses[[#This Row],[Tôi thấy Nhà nước đã giải thích rõ ràng, minh bạch về lý do và mục tiêu của việc sửa đổi thuế lần này. - HUMAN-TRU4]]</f>
        <v>5</v>
      </c>
      <c r="AZ284">
        <f t="shared" si="127"/>
        <v>0.44444444444444442</v>
      </c>
      <c r="BA284" s="32">
        <f t="shared" si="128"/>
        <v>0.72222222222222221</v>
      </c>
      <c r="BB284" s="32">
        <f t="shared" si="129"/>
        <v>0.41666666666666663</v>
      </c>
      <c r="BC284" s="7">
        <f t="shared" si="130"/>
        <v>0.77777777777777779</v>
      </c>
      <c r="BD284" s="7">
        <f t="shared" si="131"/>
        <v>0.39814814814814814</v>
      </c>
      <c r="BE284">
        <f>step3_validation[[#This Row],[AI_OUT1]]</f>
        <v>9</v>
      </c>
      <c r="BF284">
        <f t="shared" si="132"/>
        <v>0.88888888888888884</v>
      </c>
      <c r="BG284">
        <f>survey_responses[[#This Row],[Sau khi xem xét các quyền lợi và nghĩa vụ, bạn có ủng hộ và tuân thủ chính sách mới hiện nay? - HUMAN-OUT1]]</f>
        <v>4</v>
      </c>
      <c r="BH284">
        <f t="shared" si="133"/>
        <v>0.33333333333333331</v>
      </c>
      <c r="BI284" s="32">
        <f t="shared" si="134"/>
        <v>5</v>
      </c>
    </row>
    <row r="285" spans="1:61" x14ac:dyDescent="0.45">
      <c r="A285" s="30">
        <f>step3_validation[[#This Row],[Persona_ID]]</f>
        <v>284</v>
      </c>
      <c r="B285" s="31">
        <f>step3_validation[[#This Row],[Used_Seed]]</f>
        <v>2274</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63.393929452753142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9</v>
      </c>
      <c r="R285">
        <f t="shared" si="108"/>
        <v>0.88888888888888884</v>
      </c>
      <c r="S285">
        <f>survey_responses[[#This Row],[Tôi tin rằng với các quy định quản lý thuế hiện nay, hành vi gian lận hoặc trốn thuế sẽ dễ dàng bị phát hiện và xử lý nghiêm. - HUMAN-ENF1]]</f>
        <v>7</v>
      </c>
      <c r="T285">
        <f t="shared" si="109"/>
        <v>0.66666666666666663</v>
      </c>
      <c r="U285">
        <f>step3_validation[[#This Row],[AI_ENF2]]</f>
        <v>8</v>
      </c>
      <c r="V285">
        <f t="shared" si="110"/>
        <v>0.77777777777777779</v>
      </c>
      <c r="W285">
        <f>survey_responses[[#This Row],[Tôi tin rằng Nhà nước, cơ quan thuế có đủ khả năng và công nghệ để phát hiện, xử lý nghiêm các hành vi trốn thuế. - HUMAN-ENF2]]</f>
        <v>7</v>
      </c>
      <c r="X285">
        <f t="shared" si="111"/>
        <v>0.66666666666666663</v>
      </c>
      <c r="Y285" s="32">
        <f t="shared" si="112"/>
        <v>0.83333333333333326</v>
      </c>
      <c r="Z285" s="32">
        <f t="shared" si="113"/>
        <v>0.66666666666666663</v>
      </c>
      <c r="AA285">
        <f>step3_validation[[#This Row],[AI_FAC1]]</f>
        <v>9</v>
      </c>
      <c r="AB285">
        <f t="shared" si="114"/>
        <v>0.88888888888888884</v>
      </c>
      <c r="AC285">
        <f>survey_responses[[#This Row],[Các thủ tục khai báo thuế VÀ/HOẶC quy trình làm việc với cơ quan thuế đơn giản, tiện lợi, nhanh chóng hơn so với trước đây. - HUMAN-FAC1]]</f>
        <v>5</v>
      </c>
      <c r="AD285">
        <f t="shared" si="115"/>
        <v>0.44444444444444442</v>
      </c>
      <c r="AE285">
        <f>step3_validation[[#This Row],[AI_FAC2]]</f>
        <v>8</v>
      </c>
      <c r="AF285">
        <f t="shared" si="116"/>
        <v>0.77777777777777779</v>
      </c>
      <c r="AG285">
        <f>survey_responses[[#This Row],[So với trước đây, tôi thấy cách tính thuế và các bậc thuế trong phương án mới đơn giản, dễ hiểu và dễ thực hiện hơn. - HUMAN-FAC2]]</f>
        <v>7</v>
      </c>
      <c r="AH285">
        <f t="shared" si="117"/>
        <v>0.66666666666666663</v>
      </c>
      <c r="AI285" s="32">
        <f t="shared" si="118"/>
        <v>0.83333333333333326</v>
      </c>
      <c r="AJ285" s="32">
        <f t="shared" si="119"/>
        <v>0.55555555555555558</v>
      </c>
      <c r="AK285">
        <f>step3_validation[[#This Row],[AI_TRU1]]</f>
        <v>9</v>
      </c>
      <c r="AL285">
        <f t="shared" si="120"/>
        <v>0.88888888888888884</v>
      </c>
      <c r="AM285">
        <f>survey_responses[[#This Row],[Tôi tin rằng Nhà nước, cơ quan thuế sẽ thực thi chính sách mới một cách khách quan, công tâm và đối xử bình đẳng với mọi người nộp thuế.  - HUMAN-TRU1]]</f>
        <v>5</v>
      </c>
      <c r="AN285">
        <f t="shared" si="121"/>
        <v>0.44444444444444442</v>
      </c>
      <c r="AO285">
        <f>step3_validation[[#This Row],[AI_TRU2]]</f>
        <v>8</v>
      </c>
      <c r="AP285">
        <f t="shared" si="122"/>
        <v>0.77777777777777779</v>
      </c>
      <c r="AQ285">
        <f>survey_responses[[#This Row],[Tôi thấy mức thuế tôi phải đóng theo phương án mới là công bằng (người thu nhập như tôi đóng mức này là hợp lý). - HUMAN-TRU2]]</f>
        <v>6</v>
      </c>
      <c r="AR285">
        <f t="shared" si="123"/>
        <v>0.55555555555555558</v>
      </c>
      <c r="AS285">
        <f>step3_validation[[#This Row],[AI_TRU3]]</f>
        <v>9</v>
      </c>
      <c r="AT285">
        <f t="shared" si="124"/>
        <v>0.88888888888888884</v>
      </c>
      <c r="AU285">
        <f>survey_responses[[#This Row],[Tôi tin tưởng số tiền thuế tôi đóng sẽ được Nhà nước sử dụng hiệu quả để cải thiện dịch vụ công (y tế, đường xá...). - HUMAN-TRU3]]</f>
        <v>5</v>
      </c>
      <c r="AV285">
        <f t="shared" si="125"/>
        <v>0.44444444444444442</v>
      </c>
      <c r="AW285">
        <f>step3_validation[[#This Row],[AI_TRU4]]</f>
        <v>8</v>
      </c>
      <c r="AX285">
        <f t="shared" si="126"/>
        <v>0.77777777777777779</v>
      </c>
      <c r="AY285">
        <f>survey_responses[[#This Row],[Tôi thấy Nhà nước đã giải thích rõ ràng, minh bạch về lý do và mục tiêu của việc sửa đổi thuế lần này. - HUMAN-TRU4]]</f>
        <v>7</v>
      </c>
      <c r="AZ285">
        <f t="shared" si="127"/>
        <v>0.66666666666666663</v>
      </c>
      <c r="BA285" s="32">
        <f t="shared" si="128"/>
        <v>0.83333333333333326</v>
      </c>
      <c r="BB285" s="32">
        <f t="shared" si="129"/>
        <v>0.52777777777777779</v>
      </c>
      <c r="BC285" s="7">
        <f t="shared" si="130"/>
        <v>0.83333333333333337</v>
      </c>
      <c r="BD285" s="7">
        <f t="shared" si="131"/>
        <v>0.58333333333333337</v>
      </c>
      <c r="BE285">
        <f>step3_validation[[#This Row],[AI_OUT1]]</f>
        <v>9</v>
      </c>
      <c r="BF285">
        <f t="shared" si="132"/>
        <v>0.88888888888888884</v>
      </c>
      <c r="BG285">
        <f>survey_responses[[#This Row],[Sau khi xem xét các quyền lợi và nghĩa vụ, bạn có ủng hộ và tuân thủ chính sách mới hiện nay? - HUMAN-OUT1]]</f>
        <v>6</v>
      </c>
      <c r="BH285">
        <f t="shared" si="133"/>
        <v>0.55555555555555558</v>
      </c>
      <c r="BI285" s="32">
        <f t="shared" si="134"/>
        <v>3</v>
      </c>
    </row>
    <row r="286" spans="1:61" x14ac:dyDescent="0.45">
      <c r="A286" s="30">
        <f>step3_validation[[#This Row],[Persona_ID]]</f>
        <v>285</v>
      </c>
      <c r="B286" s="31">
        <f>step3_validation[[#This Row],[Used_Seed]]</f>
        <v>2275</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98.175095707980162</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9</v>
      </c>
      <c r="R286">
        <f t="shared" si="108"/>
        <v>0.88888888888888884</v>
      </c>
      <c r="S286">
        <f>survey_responses[[#This Row],[Tôi tin rằng với các quy định quản lý thuế hiện nay, hành vi gian lận hoặc trốn thuế sẽ dễ dàng bị phát hiện và xử lý nghiêm. - HUMAN-ENF1]]</f>
        <v>7</v>
      </c>
      <c r="T286">
        <f t="shared" si="109"/>
        <v>0.66666666666666663</v>
      </c>
      <c r="U286">
        <f>step3_validation[[#This Row],[AI_ENF2]]</f>
        <v>8</v>
      </c>
      <c r="V286">
        <f t="shared" si="110"/>
        <v>0.77777777777777779</v>
      </c>
      <c r="W286">
        <f>survey_responses[[#This Row],[Tôi tin rằng Nhà nước, cơ quan thuế có đủ khả năng và công nghệ để phát hiện, xử lý nghiêm các hành vi trốn thuế. - HUMAN-ENF2]]</f>
        <v>7</v>
      </c>
      <c r="X286">
        <f t="shared" si="111"/>
        <v>0.66666666666666663</v>
      </c>
      <c r="Y286" s="32">
        <f t="shared" si="112"/>
        <v>0.83333333333333326</v>
      </c>
      <c r="Z286" s="32">
        <f t="shared" si="113"/>
        <v>0.66666666666666663</v>
      </c>
      <c r="AA286">
        <f>step3_validation[[#This Row],[AI_FAC1]]</f>
        <v>9</v>
      </c>
      <c r="AB286">
        <f t="shared" si="114"/>
        <v>0.88888888888888884</v>
      </c>
      <c r="AC286">
        <f>survey_responses[[#This Row],[Các thủ tục khai báo thuế VÀ/HOẶC quy trình làm việc với cơ quan thuế đơn giản, tiện lợi, nhanh chóng hơn so với trước đây. - HUMAN-FAC1]]</f>
        <v>5</v>
      </c>
      <c r="AD286">
        <f t="shared" si="115"/>
        <v>0.44444444444444442</v>
      </c>
      <c r="AE286">
        <f>step3_validation[[#This Row],[AI_FAC2]]</f>
        <v>10</v>
      </c>
      <c r="AF286">
        <f t="shared" si="116"/>
        <v>1</v>
      </c>
      <c r="AG286">
        <f>survey_responses[[#This Row],[So với trước đây, tôi thấy cách tính thuế và các bậc thuế trong phương án mới đơn giản, dễ hiểu và dễ thực hiện hơn. - HUMAN-FAC2]]</f>
        <v>8</v>
      </c>
      <c r="AH286">
        <f t="shared" si="117"/>
        <v>0.77777777777777779</v>
      </c>
      <c r="AI286" s="32">
        <f t="shared" si="118"/>
        <v>0.94444444444444442</v>
      </c>
      <c r="AJ286" s="32">
        <f t="shared" si="119"/>
        <v>0.61111111111111116</v>
      </c>
      <c r="AK286">
        <f>step3_validation[[#This Row],[AI_TRU1]]</f>
        <v>9</v>
      </c>
      <c r="AL286">
        <f t="shared" si="120"/>
        <v>0.88888888888888884</v>
      </c>
      <c r="AM286">
        <f>survey_responses[[#This Row],[Tôi tin rằng Nhà nước, cơ quan thuế sẽ thực thi chính sách mới một cách khách quan, công tâm và đối xử bình đẳng với mọi người nộp thuế.  - HUMAN-TRU1]]</f>
        <v>6</v>
      </c>
      <c r="AN286">
        <f t="shared" si="121"/>
        <v>0.55555555555555558</v>
      </c>
      <c r="AO286">
        <f>step3_validation[[#This Row],[AI_TRU2]]</f>
        <v>8</v>
      </c>
      <c r="AP286">
        <f t="shared" si="122"/>
        <v>0.77777777777777779</v>
      </c>
      <c r="AQ286">
        <f>survey_responses[[#This Row],[Tôi thấy mức thuế tôi phải đóng theo phương án mới là công bằng (người thu nhập như tôi đóng mức này là hợp lý). - HUMAN-TRU2]]</f>
        <v>6</v>
      </c>
      <c r="AR286">
        <f t="shared" si="123"/>
        <v>0.55555555555555558</v>
      </c>
      <c r="AS286">
        <f>step3_validation[[#This Row],[AI_TRU3]]</f>
        <v>9</v>
      </c>
      <c r="AT286">
        <f t="shared" si="124"/>
        <v>0.88888888888888884</v>
      </c>
      <c r="AU286">
        <f>survey_responses[[#This Row],[Tôi tin tưởng số tiền thuế tôi đóng sẽ được Nhà nước sử dụng hiệu quả để cải thiện dịch vụ công (y tế, đường xá...). - HUMAN-TRU3]]</f>
        <v>6</v>
      </c>
      <c r="AV286">
        <f t="shared" si="125"/>
        <v>0.55555555555555558</v>
      </c>
      <c r="AW286">
        <f>step3_validation[[#This Row],[AI_TRU4]]</f>
        <v>8</v>
      </c>
      <c r="AX286">
        <f t="shared" si="126"/>
        <v>0.77777777777777779</v>
      </c>
      <c r="AY286">
        <f>survey_responses[[#This Row],[Tôi thấy Nhà nước đã giải thích rõ ràng, minh bạch về lý do và mục tiêu của việc sửa đổi thuế lần này. - HUMAN-TRU4]]</f>
        <v>7</v>
      </c>
      <c r="AZ286">
        <f t="shared" si="127"/>
        <v>0.66666666666666663</v>
      </c>
      <c r="BA286" s="32">
        <f t="shared" si="128"/>
        <v>0.83333333333333326</v>
      </c>
      <c r="BB286" s="32">
        <f t="shared" si="129"/>
        <v>0.58333333333333337</v>
      </c>
      <c r="BC286" s="7">
        <f t="shared" si="130"/>
        <v>0.87037037037037024</v>
      </c>
      <c r="BD286" s="7">
        <f t="shared" si="131"/>
        <v>0.62037037037037035</v>
      </c>
      <c r="BE286">
        <f>step3_validation[[#This Row],[AI_OUT1]]</f>
        <v>10</v>
      </c>
      <c r="BF286">
        <f t="shared" si="132"/>
        <v>1</v>
      </c>
      <c r="BG286">
        <f>survey_responses[[#This Row],[Sau khi xem xét các quyền lợi và nghĩa vụ, bạn có ủng hộ và tuân thủ chính sách mới hiện nay? - HUMAN-OUT1]]</f>
        <v>7</v>
      </c>
      <c r="BH286">
        <f t="shared" si="133"/>
        <v>0.66666666666666663</v>
      </c>
      <c r="BI286" s="32">
        <f t="shared" si="134"/>
        <v>3</v>
      </c>
    </row>
    <row r="287" spans="1:61" x14ac:dyDescent="0.45">
      <c r="A287" s="30">
        <f>step3_validation[[#This Row],[Persona_ID]]</f>
        <v>286</v>
      </c>
      <c r="B287" s="31">
        <f>step3_validation[[#This Row],[Used_Seed]]</f>
        <v>2276</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37.978933802969514</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6</v>
      </c>
      <c r="R287">
        <f t="shared" si="108"/>
        <v>0.55555555555555558</v>
      </c>
      <c r="S287">
        <f>survey_responses[[#This Row],[Tôi tin rằng với các quy định quản lý thuế hiện nay, hành vi gian lận hoặc trốn thuế sẽ dễ dàng bị phát hiện và xử lý nghiêm. - HUMAN-ENF1]]</f>
        <v>4</v>
      </c>
      <c r="T287">
        <f t="shared" si="109"/>
        <v>0.33333333333333331</v>
      </c>
      <c r="U287">
        <f>step3_validation[[#This Row],[AI_ENF2]]</f>
        <v>7</v>
      </c>
      <c r="V287">
        <f t="shared" si="110"/>
        <v>0.66666666666666663</v>
      </c>
      <c r="W287">
        <f>survey_responses[[#This Row],[Tôi tin rằng Nhà nước, cơ quan thuế có đủ khả năng và công nghệ để phát hiện, xử lý nghiêm các hành vi trốn thuế. - HUMAN-ENF2]]</f>
        <v>4</v>
      </c>
      <c r="X287">
        <f t="shared" si="111"/>
        <v>0.33333333333333331</v>
      </c>
      <c r="Y287" s="32">
        <f t="shared" si="112"/>
        <v>0.61111111111111116</v>
      </c>
      <c r="Z287" s="32">
        <f t="shared" si="113"/>
        <v>0.33333333333333331</v>
      </c>
      <c r="AA287">
        <f>step3_validation[[#This Row],[AI_FAC1]]</f>
        <v>8</v>
      </c>
      <c r="AB287">
        <f t="shared" si="114"/>
        <v>0.77777777777777779</v>
      </c>
      <c r="AC287">
        <f>survey_responses[[#This Row],[Các thủ tục khai báo thuế VÀ/HOẶC quy trình làm việc với cơ quan thuế đơn giản, tiện lợi, nhanh chóng hơn so với trước đây. - HUMAN-FAC1]]</f>
        <v>2</v>
      </c>
      <c r="AD287">
        <f t="shared" si="115"/>
        <v>0.1111111111111111</v>
      </c>
      <c r="AE287">
        <f>step3_validation[[#This Row],[AI_FAC2]]</f>
        <v>9</v>
      </c>
      <c r="AF287">
        <f t="shared" si="116"/>
        <v>0.88888888888888884</v>
      </c>
      <c r="AG287">
        <f>survey_responses[[#This Row],[So với trước đây, tôi thấy cách tính thuế và các bậc thuế trong phương án mới đơn giản, dễ hiểu và dễ thực hiện hơn. - HUMAN-FAC2]]</f>
        <v>8</v>
      </c>
      <c r="AH287">
        <f t="shared" si="117"/>
        <v>0.77777777777777779</v>
      </c>
      <c r="AI287" s="32">
        <f t="shared" si="118"/>
        <v>0.83333333333333326</v>
      </c>
      <c r="AJ287" s="32">
        <f t="shared" si="119"/>
        <v>0.44444444444444442</v>
      </c>
      <c r="AK287">
        <f>step3_validation[[#This Row],[AI_TRU1]]</f>
        <v>8</v>
      </c>
      <c r="AL287">
        <f t="shared" si="120"/>
        <v>0.77777777777777779</v>
      </c>
      <c r="AM287">
        <f>survey_responses[[#This Row],[Tôi tin rằng Nhà nước, cơ quan thuế sẽ thực thi chính sách mới một cách khách quan, công tâm và đối xử bình đẳng với mọi người nộp thuế.  - HUMAN-TRU1]]</f>
        <v>5</v>
      </c>
      <c r="AN287">
        <f t="shared" si="121"/>
        <v>0.44444444444444442</v>
      </c>
      <c r="AO287">
        <f>step3_validation[[#This Row],[AI_TRU2]]</f>
        <v>7</v>
      </c>
      <c r="AP287">
        <f t="shared" si="122"/>
        <v>0.66666666666666663</v>
      </c>
      <c r="AQ287">
        <f>survey_responses[[#This Row],[Tôi thấy mức thuế tôi phải đóng theo phương án mới là công bằng (người thu nhập như tôi đóng mức này là hợp lý). - HUMAN-TRU2]]</f>
        <v>5</v>
      </c>
      <c r="AR287">
        <f t="shared" si="123"/>
        <v>0.44444444444444442</v>
      </c>
      <c r="AS287">
        <f>step3_validation[[#This Row],[AI_TRU3]]</f>
        <v>8</v>
      </c>
      <c r="AT287">
        <f t="shared" si="124"/>
        <v>0.77777777777777779</v>
      </c>
      <c r="AU287">
        <f>survey_responses[[#This Row],[Tôi tin tưởng số tiền thuế tôi đóng sẽ được Nhà nước sử dụng hiệu quả để cải thiện dịch vụ công (y tế, đường xá...). - HUMAN-TRU3]]</f>
        <v>4</v>
      </c>
      <c r="AV287">
        <f t="shared" si="125"/>
        <v>0.33333333333333331</v>
      </c>
      <c r="AW287">
        <f>step3_validation[[#This Row],[AI_TRU4]]</f>
        <v>6</v>
      </c>
      <c r="AX287">
        <f t="shared" si="126"/>
        <v>0.55555555555555558</v>
      </c>
      <c r="AY287">
        <f>survey_responses[[#This Row],[Tôi thấy Nhà nước đã giải thích rõ ràng, minh bạch về lý do và mục tiêu của việc sửa đổi thuế lần này. - HUMAN-TRU4]]</f>
        <v>6</v>
      </c>
      <c r="AZ287">
        <f t="shared" si="127"/>
        <v>0.55555555555555558</v>
      </c>
      <c r="BA287" s="32">
        <f t="shared" si="128"/>
        <v>0.69444444444444442</v>
      </c>
      <c r="BB287" s="32">
        <f t="shared" si="129"/>
        <v>0.44444444444444442</v>
      </c>
      <c r="BC287" s="7">
        <f t="shared" si="130"/>
        <v>0.71296296296296291</v>
      </c>
      <c r="BD287" s="7">
        <f t="shared" si="131"/>
        <v>0.40740740740740738</v>
      </c>
      <c r="BE287">
        <f>step3_validation[[#This Row],[AI_OUT1]]</f>
        <v>9</v>
      </c>
      <c r="BF287">
        <f t="shared" si="132"/>
        <v>0.88888888888888884</v>
      </c>
      <c r="BG287">
        <f>survey_responses[[#This Row],[Sau khi xem xét các quyền lợi và nghĩa vụ, bạn có ủng hộ và tuân thủ chính sách mới hiện nay? - HUMAN-OUT1]]</f>
        <v>5</v>
      </c>
      <c r="BH287">
        <f t="shared" si="133"/>
        <v>0.44444444444444442</v>
      </c>
      <c r="BI287" s="32">
        <f t="shared" si="134"/>
        <v>4</v>
      </c>
    </row>
    <row r="288" spans="1:61" x14ac:dyDescent="0.45">
      <c r="A288" s="30">
        <f>step3_validation[[#This Row],[Persona_ID]]</f>
        <v>287</v>
      </c>
      <c r="B288" s="31">
        <f>step3_validation[[#This Row],[Used_Seed]]</f>
        <v>2277</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68.388741481585825</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8</v>
      </c>
      <c r="R288">
        <f t="shared" si="108"/>
        <v>0.77777777777777779</v>
      </c>
      <c r="S288">
        <f>survey_responses[[#This Row],[Tôi tin rằng với các quy định quản lý thuế hiện nay, hành vi gian lận hoặc trốn thuế sẽ dễ dàng bị phát hiện và xử lý nghiêm. - HUMAN-ENF1]]</f>
        <v>10</v>
      </c>
      <c r="T288">
        <f t="shared" si="109"/>
        <v>1</v>
      </c>
      <c r="U288">
        <f>step3_validation[[#This Row],[AI_ENF2]]</f>
        <v>7</v>
      </c>
      <c r="V288">
        <f t="shared" si="110"/>
        <v>0.66666666666666663</v>
      </c>
      <c r="W288">
        <f>survey_responses[[#This Row],[Tôi tin rằng Nhà nước, cơ quan thuế có đủ khả năng và công nghệ để phát hiện, xử lý nghiêm các hành vi trốn thuế. - HUMAN-ENF2]]</f>
        <v>10</v>
      </c>
      <c r="X288">
        <f t="shared" si="111"/>
        <v>1</v>
      </c>
      <c r="Y288" s="32">
        <f t="shared" si="112"/>
        <v>0.72222222222222221</v>
      </c>
      <c r="Z288" s="32">
        <f t="shared" si="113"/>
        <v>1</v>
      </c>
      <c r="AA288">
        <f>step3_validation[[#This Row],[AI_FAC1]]</f>
        <v>9</v>
      </c>
      <c r="AB288">
        <f t="shared" si="114"/>
        <v>0.88888888888888884</v>
      </c>
      <c r="AC288">
        <f>survey_responses[[#This Row],[Các thủ tục khai báo thuế VÀ/HOẶC quy trình làm việc với cơ quan thuế đơn giản, tiện lợi, nhanh chóng hơn so với trước đây. - HUMAN-FAC1]]</f>
        <v>7</v>
      </c>
      <c r="AD288">
        <f t="shared" si="115"/>
        <v>0.66666666666666663</v>
      </c>
      <c r="AE288">
        <f>step3_validation[[#This Row],[AI_FAC2]]</f>
        <v>8</v>
      </c>
      <c r="AF288">
        <f t="shared" si="116"/>
        <v>0.77777777777777779</v>
      </c>
      <c r="AG288">
        <f>survey_responses[[#This Row],[So với trước đây, tôi thấy cách tính thuế và các bậc thuế trong phương án mới đơn giản, dễ hiểu và dễ thực hiện hơn. - HUMAN-FAC2]]</f>
        <v>7</v>
      </c>
      <c r="AH288">
        <f t="shared" si="117"/>
        <v>0.66666666666666663</v>
      </c>
      <c r="AI288" s="32">
        <f t="shared" si="118"/>
        <v>0.83333333333333326</v>
      </c>
      <c r="AJ288" s="32">
        <f t="shared" si="119"/>
        <v>0.66666666666666663</v>
      </c>
      <c r="AK288">
        <f>step3_validation[[#This Row],[AI_TRU1]]</f>
        <v>7</v>
      </c>
      <c r="AL288">
        <f t="shared" si="120"/>
        <v>0.66666666666666663</v>
      </c>
      <c r="AM288">
        <f>survey_responses[[#This Row],[Tôi tin rằng Nhà nước, cơ quan thuế sẽ thực thi chính sách mới một cách khách quan, công tâm và đối xử bình đẳng với mọi người nộp thuế.  - HUMAN-TRU1]]</f>
        <v>8</v>
      </c>
      <c r="AN288">
        <f t="shared" si="121"/>
        <v>0.77777777777777779</v>
      </c>
      <c r="AO288">
        <f>step3_validation[[#This Row],[AI_TRU2]]</f>
        <v>8</v>
      </c>
      <c r="AP288">
        <f t="shared" si="122"/>
        <v>0.77777777777777779</v>
      </c>
      <c r="AQ288">
        <f>survey_responses[[#This Row],[Tôi thấy mức thuế tôi phải đóng theo phương án mới là công bằng (người thu nhập như tôi đóng mức này là hợp lý). - HUMAN-TRU2]]</f>
        <v>7</v>
      </c>
      <c r="AR288">
        <f t="shared" si="123"/>
        <v>0.66666666666666663</v>
      </c>
      <c r="AS288">
        <f>step3_validation[[#This Row],[AI_TRU3]]</f>
        <v>7</v>
      </c>
      <c r="AT288">
        <f t="shared" si="124"/>
        <v>0.66666666666666663</v>
      </c>
      <c r="AU288">
        <f>survey_responses[[#This Row],[Tôi tin tưởng số tiền thuế tôi đóng sẽ được Nhà nước sử dụng hiệu quả để cải thiện dịch vụ công (y tế, đường xá...). - HUMAN-TRU3]]</f>
        <v>8</v>
      </c>
      <c r="AV288">
        <f t="shared" si="125"/>
        <v>0.77777777777777779</v>
      </c>
      <c r="AW288">
        <f>step3_validation[[#This Row],[AI_TRU4]]</f>
        <v>6</v>
      </c>
      <c r="AX288">
        <f t="shared" si="126"/>
        <v>0.55555555555555558</v>
      </c>
      <c r="AY288">
        <f>survey_responses[[#This Row],[Tôi thấy Nhà nước đã giải thích rõ ràng, minh bạch về lý do và mục tiêu của việc sửa đổi thuế lần này. - HUMAN-TRU4]]</f>
        <v>8</v>
      </c>
      <c r="AZ288">
        <f t="shared" si="127"/>
        <v>0.77777777777777779</v>
      </c>
      <c r="BA288" s="32">
        <f t="shared" si="128"/>
        <v>0.66666666666666674</v>
      </c>
      <c r="BB288" s="32">
        <f t="shared" si="129"/>
        <v>0.75</v>
      </c>
      <c r="BC288" s="7">
        <f t="shared" si="130"/>
        <v>0.74074074074074081</v>
      </c>
      <c r="BD288" s="7">
        <f t="shared" si="131"/>
        <v>0.80555555555555547</v>
      </c>
      <c r="BE288">
        <f>step3_validation[[#This Row],[AI_OUT1]]</f>
        <v>9</v>
      </c>
      <c r="BF288">
        <f t="shared" si="132"/>
        <v>0.88888888888888884</v>
      </c>
      <c r="BG288">
        <f>survey_responses[[#This Row],[Sau khi xem xét các quyền lợi và nghĩa vụ, bạn có ủng hộ và tuân thủ chính sách mới hiện nay? - HUMAN-OUT1]]</f>
        <v>8</v>
      </c>
      <c r="BH288">
        <f t="shared" si="133"/>
        <v>0.77777777777777779</v>
      </c>
      <c r="BI288" s="32">
        <f t="shared" si="134"/>
        <v>1</v>
      </c>
    </row>
    <row r="289" spans="1:61" x14ac:dyDescent="0.45">
      <c r="A289" s="30">
        <f>step3_validation[[#This Row],[Persona_ID]]</f>
        <v>288</v>
      </c>
      <c r="B289" s="31">
        <f>step3_validation[[#This Row],[Used_Seed]]</f>
        <v>2278</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28.964490430024476</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6</v>
      </c>
      <c r="R289">
        <f t="shared" si="108"/>
        <v>0.55555555555555558</v>
      </c>
      <c r="S289">
        <f>survey_responses[[#This Row],[Tôi tin rằng với các quy định quản lý thuế hiện nay, hành vi gian lận hoặc trốn thuế sẽ dễ dàng bị phát hiện và xử lý nghiêm. - HUMAN-ENF1]]</f>
        <v>8</v>
      </c>
      <c r="T289">
        <f t="shared" si="109"/>
        <v>0.77777777777777779</v>
      </c>
      <c r="U289">
        <f>step3_validation[[#This Row],[AI_ENF2]]</f>
        <v>6</v>
      </c>
      <c r="V289">
        <f t="shared" si="110"/>
        <v>0.55555555555555558</v>
      </c>
      <c r="W289">
        <f>survey_responses[[#This Row],[Tôi tin rằng Nhà nước, cơ quan thuế có đủ khả năng và công nghệ để phát hiện, xử lý nghiêm các hành vi trốn thuế. - HUMAN-ENF2]]</f>
        <v>8</v>
      </c>
      <c r="X289">
        <f t="shared" si="111"/>
        <v>0.77777777777777779</v>
      </c>
      <c r="Y289" s="32">
        <f t="shared" si="112"/>
        <v>0.55555555555555558</v>
      </c>
      <c r="Z289" s="32">
        <f t="shared" si="113"/>
        <v>0.77777777777777779</v>
      </c>
      <c r="AA289">
        <f>step3_validation[[#This Row],[AI_FAC1]]</f>
        <v>9</v>
      </c>
      <c r="AB289">
        <f t="shared" si="114"/>
        <v>0.88888888888888884</v>
      </c>
      <c r="AC289">
        <f>survey_responses[[#This Row],[Các thủ tục khai báo thuế VÀ/HOẶC quy trình làm việc với cơ quan thuế đơn giản, tiện lợi, nhanh chóng hơn so với trước đây. - HUMAN-FAC1]]</f>
        <v>5</v>
      </c>
      <c r="AD289">
        <f t="shared" si="115"/>
        <v>0.44444444444444442</v>
      </c>
      <c r="AE289">
        <f>step3_validation[[#This Row],[AI_FAC2]]</f>
        <v>8</v>
      </c>
      <c r="AF289">
        <f t="shared" si="116"/>
        <v>0.77777777777777779</v>
      </c>
      <c r="AG289">
        <f>survey_responses[[#This Row],[So với trước đây, tôi thấy cách tính thuế và các bậc thuế trong phương án mới đơn giản, dễ hiểu và dễ thực hiện hơn. - HUMAN-FAC2]]</f>
        <v>9</v>
      </c>
      <c r="AH289">
        <f t="shared" si="117"/>
        <v>0.88888888888888884</v>
      </c>
      <c r="AI289" s="32">
        <f t="shared" si="118"/>
        <v>0.83333333333333326</v>
      </c>
      <c r="AJ289" s="32">
        <f t="shared" si="119"/>
        <v>0.66666666666666663</v>
      </c>
      <c r="AK289">
        <f>step3_validation[[#This Row],[AI_TRU1]]</f>
        <v>7</v>
      </c>
      <c r="AL289">
        <f t="shared" si="120"/>
        <v>0.66666666666666663</v>
      </c>
      <c r="AM289">
        <f>survey_responses[[#This Row],[Tôi tin rằng Nhà nước, cơ quan thuế sẽ thực thi chính sách mới một cách khách quan, công tâm và đối xử bình đẳng với mọi người nộp thuế.  - HUMAN-TRU1]]</f>
        <v>10</v>
      </c>
      <c r="AN289">
        <f t="shared" si="121"/>
        <v>1</v>
      </c>
      <c r="AO289">
        <f>step3_validation[[#This Row],[AI_TRU2]]</f>
        <v>8</v>
      </c>
      <c r="AP289">
        <f t="shared" si="122"/>
        <v>0.77777777777777779</v>
      </c>
      <c r="AQ289">
        <f>survey_responses[[#This Row],[Tôi thấy mức thuế tôi phải đóng theo phương án mới là công bằng (người thu nhập như tôi đóng mức này là hợp lý). - HUMAN-TRU2]]</f>
        <v>10</v>
      </c>
      <c r="AR289">
        <f t="shared" si="123"/>
        <v>1</v>
      </c>
      <c r="AS289">
        <f>step3_validation[[#This Row],[AI_TRU3]]</f>
        <v>6</v>
      </c>
      <c r="AT289">
        <f t="shared" si="124"/>
        <v>0.55555555555555558</v>
      </c>
      <c r="AU289">
        <f>survey_responses[[#This Row],[Tôi tin tưởng số tiền thuế tôi đóng sẽ được Nhà nước sử dụng hiệu quả để cải thiện dịch vụ công (y tế, đường xá...). - HUMAN-TRU3]]</f>
        <v>9</v>
      </c>
      <c r="AV289">
        <f t="shared" si="125"/>
        <v>0.88888888888888884</v>
      </c>
      <c r="AW289">
        <f>step3_validation[[#This Row],[AI_TRU4]]</f>
        <v>7</v>
      </c>
      <c r="AX289">
        <f t="shared" si="126"/>
        <v>0.66666666666666663</v>
      </c>
      <c r="AY289">
        <f>survey_responses[[#This Row],[Tôi thấy Nhà nước đã giải thích rõ ràng, minh bạch về lý do và mục tiêu của việc sửa đổi thuế lần này. - HUMAN-TRU4]]</f>
        <v>9</v>
      </c>
      <c r="AZ289">
        <f t="shared" si="127"/>
        <v>0.88888888888888884</v>
      </c>
      <c r="BA289" s="32">
        <f t="shared" si="128"/>
        <v>0.66666666666666663</v>
      </c>
      <c r="BB289" s="32">
        <f t="shared" si="129"/>
        <v>0.94444444444444442</v>
      </c>
      <c r="BC289" s="7">
        <f t="shared" si="130"/>
        <v>0.68518518518518512</v>
      </c>
      <c r="BD289" s="7">
        <f t="shared" si="131"/>
        <v>0.79629629629629628</v>
      </c>
      <c r="BE289">
        <f>step3_validation[[#This Row],[AI_OUT1]]</f>
        <v>9</v>
      </c>
      <c r="BF289">
        <f t="shared" si="132"/>
        <v>0.88888888888888884</v>
      </c>
      <c r="BG289">
        <f>survey_responses[[#This Row],[Sau khi xem xét các quyền lợi và nghĩa vụ, bạn có ủng hộ và tuân thủ chính sách mới hiện nay? - HUMAN-OUT1]]</f>
        <v>10</v>
      </c>
      <c r="BH289">
        <f t="shared" si="133"/>
        <v>1</v>
      </c>
      <c r="BI289" s="32">
        <f t="shared" si="134"/>
        <v>1</v>
      </c>
    </row>
    <row r="290" spans="1:61" x14ac:dyDescent="0.45">
      <c r="A290" s="30">
        <f>step3_validation[[#This Row],[Persona_ID]]</f>
        <v>289</v>
      </c>
      <c r="B290" s="31">
        <f>step3_validation[[#This Row],[Used_Seed]]</f>
        <v>2279</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27.839769059456074</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9</v>
      </c>
      <c r="R290">
        <f t="shared" si="108"/>
        <v>0.88888888888888884</v>
      </c>
      <c r="S290">
        <f>survey_responses[[#This Row],[Tôi tin rằng với các quy định quản lý thuế hiện nay, hành vi gian lận hoặc trốn thuế sẽ dễ dàng bị phát hiện và xử lý nghiêm. - HUMAN-ENF1]]</f>
        <v>7</v>
      </c>
      <c r="T290">
        <f t="shared" si="109"/>
        <v>0.66666666666666663</v>
      </c>
      <c r="U290">
        <f>step3_validation[[#This Row],[AI_ENF2]]</f>
        <v>8</v>
      </c>
      <c r="V290">
        <f t="shared" si="110"/>
        <v>0.77777777777777779</v>
      </c>
      <c r="W290">
        <f>survey_responses[[#This Row],[Tôi tin rằng Nhà nước, cơ quan thuế có đủ khả năng và công nghệ để phát hiện, xử lý nghiêm các hành vi trốn thuế. - HUMAN-ENF2]]</f>
        <v>7</v>
      </c>
      <c r="X290">
        <f t="shared" si="111"/>
        <v>0.66666666666666663</v>
      </c>
      <c r="Y290" s="32">
        <f t="shared" si="112"/>
        <v>0.83333333333333326</v>
      </c>
      <c r="Z290" s="32">
        <f t="shared" si="113"/>
        <v>0.66666666666666663</v>
      </c>
      <c r="AA290">
        <f>step3_validation[[#This Row],[AI_FAC1]]</f>
        <v>9</v>
      </c>
      <c r="AB290">
        <f t="shared" si="114"/>
        <v>0.88888888888888884</v>
      </c>
      <c r="AC290">
        <f>survey_responses[[#This Row],[Các thủ tục khai báo thuế VÀ/HOẶC quy trình làm việc với cơ quan thuế đơn giản, tiện lợi, nhanh chóng hơn so với trước đây. - HUMAN-FAC1]]</f>
        <v>5</v>
      </c>
      <c r="AD290">
        <f t="shared" si="115"/>
        <v>0.44444444444444442</v>
      </c>
      <c r="AE290">
        <f>step3_validation[[#This Row],[AI_FAC2]]</f>
        <v>8</v>
      </c>
      <c r="AF290">
        <f t="shared" si="116"/>
        <v>0.77777777777777779</v>
      </c>
      <c r="AG290">
        <f>survey_responses[[#This Row],[So với trước đây, tôi thấy cách tính thuế và các bậc thuế trong phương án mới đơn giản, dễ hiểu và dễ thực hiện hơn. - HUMAN-FAC2]]</f>
        <v>6</v>
      </c>
      <c r="AH290">
        <f t="shared" si="117"/>
        <v>0.55555555555555558</v>
      </c>
      <c r="AI290" s="32">
        <f t="shared" si="118"/>
        <v>0.83333333333333326</v>
      </c>
      <c r="AJ290" s="32">
        <f t="shared" si="119"/>
        <v>0.5</v>
      </c>
      <c r="AK290">
        <f>step3_validation[[#This Row],[AI_TRU1]]</f>
        <v>7</v>
      </c>
      <c r="AL290">
        <f t="shared" si="120"/>
        <v>0.66666666666666663</v>
      </c>
      <c r="AM290">
        <f>survey_responses[[#This Row],[Tôi tin rằng Nhà nước, cơ quan thuế sẽ thực thi chính sách mới một cách khách quan, công tâm và đối xử bình đẳng với mọi người nộp thuế.  - HUMAN-TRU1]]</f>
        <v>5</v>
      </c>
      <c r="AN290">
        <f t="shared" si="121"/>
        <v>0.44444444444444442</v>
      </c>
      <c r="AO290">
        <f>step3_validation[[#This Row],[AI_TRU2]]</f>
        <v>8</v>
      </c>
      <c r="AP290">
        <f t="shared" si="122"/>
        <v>0.77777777777777779</v>
      </c>
      <c r="AQ290">
        <f>survey_responses[[#This Row],[Tôi thấy mức thuế tôi phải đóng theo phương án mới là công bằng (người thu nhập như tôi đóng mức này là hợp lý). - HUMAN-TRU2]]</f>
        <v>5</v>
      </c>
      <c r="AR290">
        <f t="shared" si="123"/>
        <v>0.44444444444444442</v>
      </c>
      <c r="AS290">
        <f>step3_validation[[#This Row],[AI_TRU3]]</f>
        <v>7</v>
      </c>
      <c r="AT290">
        <f t="shared" si="124"/>
        <v>0.66666666666666663</v>
      </c>
      <c r="AU290">
        <f>survey_responses[[#This Row],[Tôi tin tưởng số tiền thuế tôi đóng sẽ được Nhà nước sử dụng hiệu quả để cải thiện dịch vụ công (y tế, đường xá...). - HUMAN-TRU3]]</f>
        <v>5</v>
      </c>
      <c r="AV290">
        <f t="shared" si="125"/>
        <v>0.44444444444444442</v>
      </c>
      <c r="AW290">
        <f>step3_validation[[#This Row],[AI_TRU4]]</f>
        <v>8</v>
      </c>
      <c r="AX290">
        <f t="shared" si="126"/>
        <v>0.77777777777777779</v>
      </c>
      <c r="AY290">
        <f>survey_responses[[#This Row],[Tôi thấy Nhà nước đã giải thích rõ ràng, minh bạch về lý do và mục tiêu của việc sửa đổi thuế lần này. - HUMAN-TRU4]]</f>
        <v>5</v>
      </c>
      <c r="AZ290">
        <f t="shared" si="127"/>
        <v>0.44444444444444442</v>
      </c>
      <c r="BA290" s="32">
        <f t="shared" si="128"/>
        <v>0.72222222222222221</v>
      </c>
      <c r="BB290" s="32">
        <f t="shared" si="129"/>
        <v>0.44444444444444442</v>
      </c>
      <c r="BC290" s="7">
        <f t="shared" si="130"/>
        <v>0.79629629629629628</v>
      </c>
      <c r="BD290" s="7">
        <f t="shared" si="131"/>
        <v>0.53703703703703698</v>
      </c>
      <c r="BE290">
        <f>step3_validation[[#This Row],[AI_OUT1]]</f>
        <v>9</v>
      </c>
      <c r="BF290">
        <f t="shared" si="132"/>
        <v>0.88888888888888884</v>
      </c>
      <c r="BG290">
        <f>survey_responses[[#This Row],[Sau khi xem xét các quyền lợi và nghĩa vụ, bạn có ủng hộ và tuân thủ chính sách mới hiện nay? - HUMAN-OUT1]]</f>
        <v>6</v>
      </c>
      <c r="BH290">
        <f t="shared" si="133"/>
        <v>0.55555555555555558</v>
      </c>
      <c r="BI290" s="32">
        <f t="shared" si="134"/>
        <v>3</v>
      </c>
    </row>
    <row r="291" spans="1:61" x14ac:dyDescent="0.45">
      <c r="A291" s="30">
        <f>step3_validation[[#This Row],[Persona_ID]]</f>
        <v>290</v>
      </c>
      <c r="B291" s="31">
        <f>step3_validation[[#This Row],[Used_Seed]]</f>
        <v>2280</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37.322422703116146</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8</v>
      </c>
      <c r="R291">
        <f t="shared" si="108"/>
        <v>0.77777777777777779</v>
      </c>
      <c r="S291">
        <f>survey_responses[[#This Row],[Tôi tin rằng với các quy định quản lý thuế hiện nay, hành vi gian lận hoặc trốn thuế sẽ dễ dàng bị phát hiện và xử lý nghiêm. - HUMAN-ENF1]]</f>
        <v>8</v>
      </c>
      <c r="T291">
        <f t="shared" si="109"/>
        <v>0.77777777777777779</v>
      </c>
      <c r="U291">
        <f>step3_validation[[#This Row],[AI_ENF2]]</f>
        <v>7</v>
      </c>
      <c r="V291">
        <f t="shared" si="110"/>
        <v>0.66666666666666663</v>
      </c>
      <c r="W291">
        <f>survey_responses[[#This Row],[Tôi tin rằng Nhà nước, cơ quan thuế có đủ khả năng và công nghệ để phát hiện, xử lý nghiêm các hành vi trốn thuế. - HUMAN-ENF2]]</f>
        <v>8</v>
      </c>
      <c r="X291">
        <f t="shared" si="111"/>
        <v>0.77777777777777779</v>
      </c>
      <c r="Y291" s="32">
        <f t="shared" si="112"/>
        <v>0.72222222222222221</v>
      </c>
      <c r="Z291" s="32">
        <f t="shared" si="113"/>
        <v>0.77777777777777779</v>
      </c>
      <c r="AA291">
        <f>step3_validation[[#This Row],[AI_FAC1]]</f>
        <v>8</v>
      </c>
      <c r="AB291">
        <f t="shared" si="114"/>
        <v>0.77777777777777779</v>
      </c>
      <c r="AC291">
        <f>survey_responses[[#This Row],[Các thủ tục khai báo thuế VÀ/HOẶC quy trình làm việc với cơ quan thuế đơn giản, tiện lợi, nhanh chóng hơn so với trước đây. - HUMAN-FAC1]]</f>
        <v>8</v>
      </c>
      <c r="AD291">
        <f t="shared" si="115"/>
        <v>0.77777777777777779</v>
      </c>
      <c r="AE291">
        <f>step3_validation[[#This Row],[AI_FAC2]]</f>
        <v>9</v>
      </c>
      <c r="AF291">
        <f t="shared" si="116"/>
        <v>0.88888888888888884</v>
      </c>
      <c r="AG291">
        <f>survey_responses[[#This Row],[So với trước đây, tôi thấy cách tính thuế và các bậc thuế trong phương án mới đơn giản, dễ hiểu và dễ thực hiện hơn. - HUMAN-FAC2]]</f>
        <v>8</v>
      </c>
      <c r="AH291">
        <f t="shared" si="117"/>
        <v>0.77777777777777779</v>
      </c>
      <c r="AI291" s="32">
        <f t="shared" si="118"/>
        <v>0.83333333333333326</v>
      </c>
      <c r="AJ291" s="32">
        <f t="shared" si="119"/>
        <v>0.77777777777777779</v>
      </c>
      <c r="AK291">
        <f>step3_validation[[#This Row],[AI_TRU1]]</f>
        <v>7</v>
      </c>
      <c r="AL291">
        <f t="shared" si="120"/>
        <v>0.66666666666666663</v>
      </c>
      <c r="AM291">
        <f>survey_responses[[#This Row],[Tôi tin rằng Nhà nước, cơ quan thuế sẽ thực thi chính sách mới một cách khách quan, công tâm và đối xử bình đẳng với mọi người nộp thuế.  - HUMAN-TRU1]]</f>
        <v>8</v>
      </c>
      <c r="AN291">
        <f t="shared" si="121"/>
        <v>0.77777777777777779</v>
      </c>
      <c r="AO291">
        <f>step3_validation[[#This Row],[AI_TRU2]]</f>
        <v>9</v>
      </c>
      <c r="AP291">
        <f t="shared" si="122"/>
        <v>0.88888888888888884</v>
      </c>
      <c r="AQ291">
        <f>survey_responses[[#This Row],[Tôi thấy mức thuế tôi phải đóng theo phương án mới là công bằng (người thu nhập như tôi đóng mức này là hợp lý). - HUMAN-TRU2]]</f>
        <v>8</v>
      </c>
      <c r="AR291">
        <f t="shared" si="123"/>
        <v>0.77777777777777779</v>
      </c>
      <c r="AS291">
        <f>step3_validation[[#This Row],[AI_TRU3]]</f>
        <v>8</v>
      </c>
      <c r="AT291">
        <f t="shared" si="124"/>
        <v>0.77777777777777779</v>
      </c>
      <c r="AU291">
        <f>survey_responses[[#This Row],[Tôi tin tưởng số tiền thuế tôi đóng sẽ được Nhà nước sử dụng hiệu quả để cải thiện dịch vụ công (y tế, đường xá...). - HUMAN-TRU3]]</f>
        <v>8</v>
      </c>
      <c r="AV291">
        <f t="shared" si="125"/>
        <v>0.77777777777777779</v>
      </c>
      <c r="AW291">
        <f>step3_validation[[#This Row],[AI_TRU4]]</f>
        <v>7</v>
      </c>
      <c r="AX291">
        <f t="shared" si="126"/>
        <v>0.66666666666666663</v>
      </c>
      <c r="AY291">
        <f>survey_responses[[#This Row],[Tôi thấy Nhà nước đã giải thích rõ ràng, minh bạch về lý do và mục tiêu của việc sửa đổi thuế lần này. - HUMAN-TRU4]]</f>
        <v>8</v>
      </c>
      <c r="AZ291">
        <f t="shared" si="127"/>
        <v>0.77777777777777779</v>
      </c>
      <c r="BA291" s="32">
        <f t="shared" si="128"/>
        <v>0.74999999999999989</v>
      </c>
      <c r="BB291" s="32">
        <f t="shared" si="129"/>
        <v>0.77777777777777779</v>
      </c>
      <c r="BC291" s="7">
        <f t="shared" si="130"/>
        <v>0.76851851851851849</v>
      </c>
      <c r="BD291" s="7">
        <f t="shared" si="131"/>
        <v>0.77777777777777779</v>
      </c>
      <c r="BE291">
        <f>step3_validation[[#This Row],[AI_OUT1]]</f>
        <v>9</v>
      </c>
      <c r="BF291">
        <f t="shared" si="132"/>
        <v>0.88888888888888884</v>
      </c>
      <c r="BG291">
        <f>survey_responses[[#This Row],[Sau khi xem xét các quyền lợi và nghĩa vụ, bạn có ủng hộ và tuân thủ chính sách mới hiện nay? - HUMAN-OUT1]]</f>
        <v>8</v>
      </c>
      <c r="BH291">
        <f t="shared" si="133"/>
        <v>0.77777777777777779</v>
      </c>
      <c r="BI291" s="32">
        <f t="shared" si="134"/>
        <v>1</v>
      </c>
    </row>
    <row r="292" spans="1:61" x14ac:dyDescent="0.45">
      <c r="A292" s="30">
        <f>step3_validation[[#This Row],[Persona_ID]]</f>
        <v>291</v>
      </c>
      <c r="B292" s="31">
        <f>step3_validation[[#This Row],[Used_Seed]]</f>
        <v>2281</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53.096133340729381</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f t="shared" si="108"/>
        <v>0.66666666666666663</v>
      </c>
      <c r="S292">
        <f>survey_responses[[#This Row],[Tôi tin rằng với các quy định quản lý thuế hiện nay, hành vi gian lận hoặc trốn thuế sẽ dễ dàng bị phát hiện và xử lý nghiêm. - HUMAN-ENF1]]</f>
        <v>9</v>
      </c>
      <c r="T292">
        <f t="shared" si="109"/>
        <v>0.88888888888888884</v>
      </c>
      <c r="U292">
        <f>step3_validation[[#This Row],[AI_ENF2]]</f>
        <v>7</v>
      </c>
      <c r="V292">
        <f t="shared" si="110"/>
        <v>0.66666666666666663</v>
      </c>
      <c r="W292">
        <f>survey_responses[[#This Row],[Tôi tin rằng Nhà nước, cơ quan thuế có đủ khả năng và công nghệ để phát hiện, xử lý nghiêm các hành vi trốn thuế. - HUMAN-ENF2]]</f>
        <v>9</v>
      </c>
      <c r="X292">
        <f t="shared" si="111"/>
        <v>0.88888888888888884</v>
      </c>
      <c r="Y292" s="32">
        <f t="shared" si="112"/>
        <v>0.66666666666666663</v>
      </c>
      <c r="Z292" s="32">
        <f t="shared" si="113"/>
        <v>0.88888888888888884</v>
      </c>
      <c r="AA292">
        <f>step3_validation[[#This Row],[AI_FAC1]]</f>
        <v>9</v>
      </c>
      <c r="AB292">
        <f t="shared" si="114"/>
        <v>0.88888888888888884</v>
      </c>
      <c r="AC292">
        <f>survey_responses[[#This Row],[Các thủ tục khai báo thuế VÀ/HOẶC quy trình làm việc với cơ quan thuế đơn giản, tiện lợi, nhanh chóng hơn so với trước đây. - HUMAN-FAC1]]</f>
        <v>3</v>
      </c>
      <c r="AD292">
        <f t="shared" si="115"/>
        <v>0.22222222222222221</v>
      </c>
      <c r="AE292">
        <f>step3_validation[[#This Row],[AI_FAC2]]</f>
        <v>8</v>
      </c>
      <c r="AF292">
        <f t="shared" si="116"/>
        <v>0.77777777777777779</v>
      </c>
      <c r="AG292">
        <f>survey_responses[[#This Row],[So với trước đây, tôi thấy cách tính thuế và các bậc thuế trong phương án mới đơn giản, dễ hiểu và dễ thực hiện hơn. - HUMAN-FAC2]]</f>
        <v>10</v>
      </c>
      <c r="AH292">
        <f t="shared" si="117"/>
        <v>1</v>
      </c>
      <c r="AI292" s="32">
        <f t="shared" si="118"/>
        <v>0.83333333333333326</v>
      </c>
      <c r="AJ292" s="32">
        <f t="shared" si="119"/>
        <v>0.61111111111111116</v>
      </c>
      <c r="AK292">
        <f>step3_validation[[#This Row],[AI_TRU1]]</f>
        <v>6</v>
      </c>
      <c r="AL292">
        <f t="shared" si="120"/>
        <v>0.55555555555555558</v>
      </c>
      <c r="AM292">
        <f>survey_responses[[#This Row],[Tôi tin rằng Nhà nước, cơ quan thuế sẽ thực thi chính sách mới một cách khách quan, công tâm và đối xử bình đẳng với mọi người nộp thuế.  - HUMAN-TRU1]]</f>
        <v>8</v>
      </c>
      <c r="AN292">
        <f t="shared" si="121"/>
        <v>0.77777777777777779</v>
      </c>
      <c r="AO292">
        <f>step3_validation[[#This Row],[AI_TRU2]]</f>
        <v>9</v>
      </c>
      <c r="AP292">
        <f t="shared" si="122"/>
        <v>0.88888888888888884</v>
      </c>
      <c r="AQ292">
        <f>survey_responses[[#This Row],[Tôi thấy mức thuế tôi phải đóng theo phương án mới là công bằng (người thu nhập như tôi đóng mức này là hợp lý). - HUMAN-TRU2]]</f>
        <v>8</v>
      </c>
      <c r="AR292">
        <f t="shared" si="123"/>
        <v>0.77777777777777779</v>
      </c>
      <c r="AS292">
        <f>step3_validation[[#This Row],[AI_TRU3]]</f>
        <v>7</v>
      </c>
      <c r="AT292">
        <f t="shared" si="124"/>
        <v>0.66666666666666663</v>
      </c>
      <c r="AU292">
        <f>survey_responses[[#This Row],[Tôi tin tưởng số tiền thuế tôi đóng sẽ được Nhà nước sử dụng hiệu quả để cải thiện dịch vụ công (y tế, đường xá...). - HUMAN-TRU3]]</f>
        <v>6</v>
      </c>
      <c r="AV292">
        <f t="shared" si="125"/>
        <v>0.55555555555555558</v>
      </c>
      <c r="AW292">
        <f>step3_validation[[#This Row],[AI_TRU4]]</f>
        <v>6</v>
      </c>
      <c r="AX292">
        <f t="shared" si="126"/>
        <v>0.55555555555555558</v>
      </c>
      <c r="AY292">
        <f>survey_responses[[#This Row],[Tôi thấy Nhà nước đã giải thích rõ ràng, minh bạch về lý do và mục tiêu của việc sửa đổi thuế lần này. - HUMAN-TRU4]]</f>
        <v>8</v>
      </c>
      <c r="AZ292">
        <f t="shared" si="127"/>
        <v>0.77777777777777779</v>
      </c>
      <c r="BA292" s="32">
        <f t="shared" si="128"/>
        <v>0.66666666666666674</v>
      </c>
      <c r="BB292" s="32">
        <f t="shared" si="129"/>
        <v>0.72222222222222221</v>
      </c>
      <c r="BC292" s="7">
        <f t="shared" si="130"/>
        <v>0.72222222222222232</v>
      </c>
      <c r="BD292" s="7">
        <f t="shared" si="131"/>
        <v>0.74074074074074081</v>
      </c>
      <c r="BE292">
        <f>step3_validation[[#This Row],[AI_OUT1]]</f>
        <v>9</v>
      </c>
      <c r="BF292">
        <f t="shared" si="132"/>
        <v>0.88888888888888884</v>
      </c>
      <c r="BG292">
        <f>survey_responses[[#This Row],[Sau khi xem xét các quyền lợi và nghĩa vụ, bạn có ủng hộ và tuân thủ chính sách mới hiện nay? - HUMAN-OUT1]]</f>
        <v>8</v>
      </c>
      <c r="BH292">
        <f t="shared" si="133"/>
        <v>0.77777777777777779</v>
      </c>
      <c r="BI292" s="32">
        <f t="shared" si="134"/>
        <v>1</v>
      </c>
    </row>
    <row r="293" spans="1:61" x14ac:dyDescent="0.45">
      <c r="A293" s="30">
        <f>step3_validation[[#This Row],[Persona_ID]]</f>
        <v>292</v>
      </c>
      <c r="B293" s="31">
        <f>step3_validation[[#This Row],[Used_Seed]]</f>
        <v>2282</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56.405672353240703</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6</v>
      </c>
      <c r="R293">
        <f t="shared" si="108"/>
        <v>0.55555555555555558</v>
      </c>
      <c r="S293">
        <f>survey_responses[[#This Row],[Tôi tin rằng với các quy định quản lý thuế hiện nay, hành vi gian lận hoặc trốn thuế sẽ dễ dàng bị phát hiện và xử lý nghiêm. - HUMAN-ENF1]]</f>
        <v>6</v>
      </c>
      <c r="T293">
        <f t="shared" si="109"/>
        <v>0.55555555555555558</v>
      </c>
      <c r="U293">
        <f>step3_validation[[#This Row],[AI_ENF2]]</f>
        <v>7</v>
      </c>
      <c r="V293">
        <f t="shared" si="110"/>
        <v>0.66666666666666663</v>
      </c>
      <c r="W293">
        <f>survey_responses[[#This Row],[Tôi tin rằng Nhà nước, cơ quan thuế có đủ khả năng và công nghệ để phát hiện, xử lý nghiêm các hành vi trốn thuế. - HUMAN-ENF2]]</f>
        <v>6</v>
      </c>
      <c r="X293">
        <f t="shared" si="111"/>
        <v>0.55555555555555558</v>
      </c>
      <c r="Y293" s="32">
        <f t="shared" si="112"/>
        <v>0.61111111111111116</v>
      </c>
      <c r="Z293" s="32">
        <f t="shared" si="113"/>
        <v>0.55555555555555558</v>
      </c>
      <c r="AA293">
        <f>step3_validation[[#This Row],[AI_FAC1]]</f>
        <v>8</v>
      </c>
      <c r="AB293">
        <f t="shared" si="114"/>
        <v>0.77777777777777779</v>
      </c>
      <c r="AC293">
        <f>survey_responses[[#This Row],[Các thủ tục khai báo thuế VÀ/HOẶC quy trình làm việc với cơ quan thuế đơn giản, tiện lợi, nhanh chóng hơn so với trước đây. - HUMAN-FAC1]]</f>
        <v>1</v>
      </c>
      <c r="AD293">
        <f t="shared" si="115"/>
        <v>0</v>
      </c>
      <c r="AE293">
        <f>step3_validation[[#This Row],[AI_FAC2]]</f>
        <v>9</v>
      </c>
      <c r="AF293">
        <f t="shared" si="116"/>
        <v>0.88888888888888884</v>
      </c>
      <c r="AG293">
        <f>survey_responses[[#This Row],[So với trước đây, tôi thấy cách tính thuế và các bậc thuế trong phương án mới đơn giản, dễ hiểu và dễ thực hiện hơn. - HUMAN-FAC2]]</f>
        <v>6</v>
      </c>
      <c r="AH293">
        <f t="shared" si="117"/>
        <v>0.55555555555555558</v>
      </c>
      <c r="AI293" s="32">
        <f t="shared" si="118"/>
        <v>0.83333333333333326</v>
      </c>
      <c r="AJ293" s="32">
        <f t="shared" si="119"/>
        <v>0.27777777777777779</v>
      </c>
      <c r="AK293">
        <f>step3_validation[[#This Row],[AI_TRU1]]</f>
        <v>7</v>
      </c>
      <c r="AL293">
        <f t="shared" si="120"/>
        <v>0.66666666666666663</v>
      </c>
      <c r="AM293">
        <f>survey_responses[[#This Row],[Tôi tin rằng Nhà nước, cơ quan thuế sẽ thực thi chính sách mới một cách khách quan, công tâm và đối xử bình đẳng với mọi người nộp thuế.  - HUMAN-TRU1]]</f>
        <v>5</v>
      </c>
      <c r="AN293">
        <f t="shared" si="121"/>
        <v>0.44444444444444442</v>
      </c>
      <c r="AO293">
        <f>step3_validation[[#This Row],[AI_TRU2]]</f>
        <v>8</v>
      </c>
      <c r="AP293">
        <f t="shared" si="122"/>
        <v>0.77777777777777779</v>
      </c>
      <c r="AQ293">
        <f>survey_responses[[#This Row],[Tôi thấy mức thuế tôi phải đóng theo phương án mới là công bằng (người thu nhập như tôi đóng mức này là hợp lý). - HUMAN-TRU2]]</f>
        <v>6</v>
      </c>
      <c r="AR293">
        <f t="shared" si="123"/>
        <v>0.55555555555555558</v>
      </c>
      <c r="AS293">
        <f>step3_validation[[#This Row],[AI_TRU3]]</f>
        <v>6</v>
      </c>
      <c r="AT293">
        <f t="shared" si="124"/>
        <v>0.55555555555555558</v>
      </c>
      <c r="AU293">
        <f>survey_responses[[#This Row],[Tôi tin tưởng số tiền thuế tôi đóng sẽ được Nhà nước sử dụng hiệu quả để cải thiện dịch vụ công (y tế, đường xá...). - HUMAN-TRU3]]</f>
        <v>5</v>
      </c>
      <c r="AV293">
        <f t="shared" si="125"/>
        <v>0.44444444444444442</v>
      </c>
      <c r="AW293">
        <f>step3_validation[[#This Row],[AI_TRU4]]</f>
        <v>7</v>
      </c>
      <c r="AX293">
        <f t="shared" si="126"/>
        <v>0.66666666666666663</v>
      </c>
      <c r="AY293">
        <f>survey_responses[[#This Row],[Tôi thấy Nhà nước đã giải thích rõ ràng, minh bạch về lý do và mục tiêu của việc sửa đổi thuế lần này. - HUMAN-TRU4]]</f>
        <v>6</v>
      </c>
      <c r="AZ293">
        <f t="shared" si="127"/>
        <v>0.55555555555555558</v>
      </c>
      <c r="BA293" s="32">
        <f t="shared" si="128"/>
        <v>0.66666666666666663</v>
      </c>
      <c r="BB293" s="32">
        <f t="shared" si="129"/>
        <v>0.5</v>
      </c>
      <c r="BC293" s="7">
        <f t="shared" si="130"/>
        <v>0.70370370370370372</v>
      </c>
      <c r="BD293" s="7">
        <f t="shared" si="131"/>
        <v>0.44444444444444448</v>
      </c>
      <c r="BE293">
        <f>step3_validation[[#This Row],[AI_OUT1]]</f>
        <v>9</v>
      </c>
      <c r="BF293">
        <f t="shared" si="132"/>
        <v>0.88888888888888884</v>
      </c>
      <c r="BG293">
        <f>survey_responses[[#This Row],[Sau khi xem xét các quyền lợi và nghĩa vụ, bạn có ủng hộ và tuân thủ chính sách mới hiện nay? - HUMAN-OUT1]]</f>
        <v>6</v>
      </c>
      <c r="BH293">
        <f t="shared" si="133"/>
        <v>0.55555555555555558</v>
      </c>
      <c r="BI293" s="32">
        <f t="shared" si="134"/>
        <v>3</v>
      </c>
    </row>
    <row r="294" spans="1:61" x14ac:dyDescent="0.45">
      <c r="A294" s="30">
        <f>step3_validation[[#This Row],[Persona_ID]]</f>
        <v>293</v>
      </c>
      <c r="B294" s="31">
        <f>step3_validation[[#This Row],[Used_Seed]]</f>
        <v>2283</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43.135282492584544</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f t="shared" si="108"/>
        <v>0.66666666666666663</v>
      </c>
      <c r="S294">
        <f>survey_responses[[#This Row],[Tôi tin rằng với các quy định quản lý thuế hiện nay, hành vi gian lận hoặc trốn thuế sẽ dễ dàng bị phát hiện và xử lý nghiêm. - HUMAN-ENF1]]</f>
        <v>8</v>
      </c>
      <c r="T294">
        <f t="shared" si="109"/>
        <v>0.77777777777777779</v>
      </c>
      <c r="U294">
        <f>step3_validation[[#This Row],[AI_ENF2]]</f>
        <v>8</v>
      </c>
      <c r="V294">
        <f t="shared" si="110"/>
        <v>0.77777777777777779</v>
      </c>
      <c r="W294">
        <f>survey_responses[[#This Row],[Tôi tin rằng Nhà nước, cơ quan thuế có đủ khả năng và công nghệ để phát hiện, xử lý nghiêm các hành vi trốn thuế. - HUMAN-ENF2]]</f>
        <v>8</v>
      </c>
      <c r="X294">
        <f t="shared" si="111"/>
        <v>0.77777777777777779</v>
      </c>
      <c r="Y294" s="32">
        <f t="shared" si="112"/>
        <v>0.72222222222222221</v>
      </c>
      <c r="Z294" s="32">
        <f t="shared" si="113"/>
        <v>0.77777777777777779</v>
      </c>
      <c r="AA294">
        <f>step3_validation[[#This Row],[AI_FAC1]]</f>
        <v>7</v>
      </c>
      <c r="AB294">
        <f t="shared" si="114"/>
        <v>0.66666666666666663</v>
      </c>
      <c r="AC294">
        <f>survey_responses[[#This Row],[Các thủ tục khai báo thuế VÀ/HOẶC quy trình làm việc với cơ quan thuế đơn giản, tiện lợi, nhanh chóng hơn so với trước đây. - HUMAN-FAC1]]</f>
        <v>5</v>
      </c>
      <c r="AD294">
        <f t="shared" si="115"/>
        <v>0.44444444444444442</v>
      </c>
      <c r="AE294">
        <f>step3_validation[[#This Row],[AI_FAC2]]</f>
        <v>9</v>
      </c>
      <c r="AF294">
        <f t="shared" si="116"/>
        <v>0.88888888888888884</v>
      </c>
      <c r="AG294">
        <f>survey_responses[[#This Row],[So với trước đây, tôi thấy cách tính thuế và các bậc thuế trong phương án mới đơn giản, dễ hiểu và dễ thực hiện hơn. - HUMAN-FAC2]]</f>
        <v>8</v>
      </c>
      <c r="AH294">
        <f t="shared" si="117"/>
        <v>0.77777777777777779</v>
      </c>
      <c r="AI294" s="32">
        <f t="shared" si="118"/>
        <v>0.77777777777777768</v>
      </c>
      <c r="AJ294" s="32">
        <f t="shared" si="119"/>
        <v>0.61111111111111116</v>
      </c>
      <c r="AK294">
        <f>step3_validation[[#This Row],[AI_TRU1]]</f>
        <v>8</v>
      </c>
      <c r="AL294">
        <f t="shared" si="120"/>
        <v>0.77777777777777779</v>
      </c>
      <c r="AM294">
        <f>survey_responses[[#This Row],[Tôi tin rằng Nhà nước, cơ quan thuế sẽ thực thi chính sách mới một cách khách quan, công tâm và đối xử bình đẳng với mọi người nộp thuế.  - HUMAN-TRU1]]</f>
        <v>5</v>
      </c>
      <c r="AN294">
        <f t="shared" si="121"/>
        <v>0.44444444444444442</v>
      </c>
      <c r="AO294">
        <f>step3_validation[[#This Row],[AI_TRU2]]</f>
        <v>9</v>
      </c>
      <c r="AP294">
        <f t="shared" si="122"/>
        <v>0.88888888888888884</v>
      </c>
      <c r="AQ294">
        <f>survey_responses[[#This Row],[Tôi thấy mức thuế tôi phải đóng theo phương án mới là công bằng (người thu nhập như tôi đóng mức này là hợp lý). - HUMAN-TRU2]]</f>
        <v>6</v>
      </c>
      <c r="AR294">
        <f t="shared" si="123"/>
        <v>0.55555555555555558</v>
      </c>
      <c r="AS294">
        <f>step3_validation[[#This Row],[AI_TRU3]]</f>
        <v>7</v>
      </c>
      <c r="AT294">
        <f t="shared" si="124"/>
        <v>0.66666666666666663</v>
      </c>
      <c r="AU294">
        <f>survey_responses[[#This Row],[Tôi tin tưởng số tiền thuế tôi đóng sẽ được Nhà nước sử dụng hiệu quả để cải thiện dịch vụ công (y tế, đường xá...). - HUMAN-TRU3]]</f>
        <v>5</v>
      </c>
      <c r="AV294">
        <f t="shared" si="125"/>
        <v>0.44444444444444442</v>
      </c>
      <c r="AW294">
        <f>step3_validation[[#This Row],[AI_TRU4]]</f>
        <v>6</v>
      </c>
      <c r="AX294">
        <f t="shared" si="126"/>
        <v>0.55555555555555558</v>
      </c>
      <c r="AY294">
        <f>survey_responses[[#This Row],[Tôi thấy Nhà nước đã giải thích rõ ràng, minh bạch về lý do và mục tiêu của việc sửa đổi thuế lần này. - HUMAN-TRU4]]</f>
        <v>6</v>
      </c>
      <c r="AZ294">
        <f t="shared" si="127"/>
        <v>0.55555555555555558</v>
      </c>
      <c r="BA294" s="32">
        <f t="shared" si="128"/>
        <v>0.7222222222222221</v>
      </c>
      <c r="BB294" s="32">
        <f t="shared" si="129"/>
        <v>0.5</v>
      </c>
      <c r="BC294" s="7">
        <f t="shared" si="130"/>
        <v>0.74074074074074081</v>
      </c>
      <c r="BD294" s="7">
        <f t="shared" si="131"/>
        <v>0.62962962962962965</v>
      </c>
      <c r="BE294">
        <f>step3_validation[[#This Row],[AI_OUT1]]</f>
        <v>9</v>
      </c>
      <c r="BF294">
        <f t="shared" si="132"/>
        <v>0.88888888888888884</v>
      </c>
      <c r="BG294">
        <f>survey_responses[[#This Row],[Sau khi xem xét các quyền lợi và nghĩa vụ, bạn có ủng hộ và tuân thủ chính sách mới hiện nay? - HUMAN-OUT1]]</f>
        <v>6</v>
      </c>
      <c r="BH294">
        <f t="shared" si="133"/>
        <v>0.55555555555555558</v>
      </c>
      <c r="BI294" s="32">
        <f t="shared" si="134"/>
        <v>3</v>
      </c>
    </row>
    <row r="295" spans="1:61" x14ac:dyDescent="0.45">
      <c r="A295" s="30">
        <f>step3_validation[[#This Row],[Persona_ID]]</f>
        <v>294</v>
      </c>
      <c r="B295" s="31">
        <f>step3_validation[[#This Row],[Used_Seed]]</f>
        <v>2284</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66.465718123118322</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f t="shared" si="108"/>
        <v>0.66666666666666663</v>
      </c>
      <c r="S295">
        <f>survey_responses[[#This Row],[Tôi tin rằng với các quy định quản lý thuế hiện nay, hành vi gian lận hoặc trốn thuế sẽ dễ dàng bị phát hiện và xử lý nghiêm. - HUMAN-ENF1]]</f>
        <v>6</v>
      </c>
      <c r="T295">
        <f t="shared" si="109"/>
        <v>0.55555555555555558</v>
      </c>
      <c r="U295">
        <f>step3_validation[[#This Row],[AI_ENF2]]</f>
        <v>8</v>
      </c>
      <c r="V295">
        <f t="shared" si="110"/>
        <v>0.77777777777777779</v>
      </c>
      <c r="W295">
        <f>survey_responses[[#This Row],[Tôi tin rằng Nhà nước, cơ quan thuế có đủ khả năng và công nghệ để phát hiện, xử lý nghiêm các hành vi trốn thuế. - HUMAN-ENF2]]</f>
        <v>6</v>
      </c>
      <c r="X295">
        <f t="shared" si="111"/>
        <v>0.55555555555555558</v>
      </c>
      <c r="Y295" s="32">
        <f t="shared" si="112"/>
        <v>0.72222222222222221</v>
      </c>
      <c r="Z295" s="32">
        <f t="shared" si="113"/>
        <v>0.55555555555555558</v>
      </c>
      <c r="AA295">
        <f>step3_validation[[#This Row],[AI_FAC1]]</f>
        <v>9</v>
      </c>
      <c r="AB295">
        <f t="shared" si="114"/>
        <v>0.88888888888888884</v>
      </c>
      <c r="AC295">
        <f>survey_responses[[#This Row],[Các thủ tục khai báo thuế VÀ/HOẶC quy trình làm việc với cơ quan thuế đơn giản, tiện lợi, nhanh chóng hơn so với trước đây. - HUMAN-FAC1]]</f>
        <v>3</v>
      </c>
      <c r="AD295">
        <f t="shared" si="115"/>
        <v>0.22222222222222221</v>
      </c>
      <c r="AE295">
        <f>step3_validation[[#This Row],[AI_FAC2]]</f>
        <v>7</v>
      </c>
      <c r="AF295">
        <f t="shared" si="116"/>
        <v>0.66666666666666663</v>
      </c>
      <c r="AG295">
        <f>survey_responses[[#This Row],[So với trước đây, tôi thấy cách tính thuế và các bậc thuế trong phương án mới đơn giản, dễ hiểu và dễ thực hiện hơn. - HUMAN-FAC2]]</f>
        <v>7</v>
      </c>
      <c r="AH295">
        <f t="shared" si="117"/>
        <v>0.66666666666666663</v>
      </c>
      <c r="AI295" s="32">
        <f t="shared" si="118"/>
        <v>0.77777777777777768</v>
      </c>
      <c r="AJ295" s="32">
        <f t="shared" si="119"/>
        <v>0.44444444444444442</v>
      </c>
      <c r="AK295">
        <f>step3_validation[[#This Row],[AI_TRU1]]</f>
        <v>8</v>
      </c>
      <c r="AL295">
        <f t="shared" si="120"/>
        <v>0.77777777777777779</v>
      </c>
      <c r="AM295">
        <f>survey_responses[[#This Row],[Tôi tin rằng Nhà nước, cơ quan thuế sẽ thực thi chính sách mới một cách khách quan, công tâm và đối xử bình đẳng với mọi người nộp thuế.  - HUMAN-TRU1]]</f>
        <v>5</v>
      </c>
      <c r="AN295">
        <f t="shared" si="121"/>
        <v>0.44444444444444442</v>
      </c>
      <c r="AO295">
        <f>step3_validation[[#This Row],[AI_TRU2]]</f>
        <v>9</v>
      </c>
      <c r="AP295">
        <f t="shared" si="122"/>
        <v>0.88888888888888884</v>
      </c>
      <c r="AQ295">
        <f>survey_responses[[#This Row],[Tôi thấy mức thuế tôi phải đóng theo phương án mới là công bằng (người thu nhập như tôi đóng mức này là hợp lý). - HUMAN-TRU2]]</f>
        <v>6</v>
      </c>
      <c r="AR295">
        <f t="shared" si="123"/>
        <v>0.55555555555555558</v>
      </c>
      <c r="AS295">
        <f>step3_validation[[#This Row],[AI_TRU3]]</f>
        <v>8</v>
      </c>
      <c r="AT295">
        <f t="shared" si="124"/>
        <v>0.77777777777777779</v>
      </c>
      <c r="AU295">
        <f>survey_responses[[#This Row],[Tôi tin tưởng số tiền thuế tôi đóng sẽ được Nhà nước sử dụng hiệu quả để cải thiện dịch vụ công (y tế, đường xá...). - HUMAN-TRU3]]</f>
        <v>5</v>
      </c>
      <c r="AV295">
        <f t="shared" si="125"/>
        <v>0.44444444444444442</v>
      </c>
      <c r="AW295">
        <f>step3_validation[[#This Row],[AI_TRU4]]</f>
        <v>7</v>
      </c>
      <c r="AX295">
        <f t="shared" si="126"/>
        <v>0.66666666666666663</v>
      </c>
      <c r="AY295">
        <f>survey_responses[[#This Row],[Tôi thấy Nhà nước đã giải thích rõ ràng, minh bạch về lý do và mục tiêu của việc sửa đổi thuế lần này. - HUMAN-TRU4]]</f>
        <v>5</v>
      </c>
      <c r="AZ295">
        <f t="shared" si="127"/>
        <v>0.44444444444444442</v>
      </c>
      <c r="BA295" s="32">
        <f t="shared" si="128"/>
        <v>0.77777777777777768</v>
      </c>
      <c r="BB295" s="32">
        <f t="shared" si="129"/>
        <v>0.47222222222222221</v>
      </c>
      <c r="BC295" s="7">
        <f t="shared" si="130"/>
        <v>0.75925925925925919</v>
      </c>
      <c r="BD295" s="7">
        <f t="shared" si="131"/>
        <v>0.49074074074074076</v>
      </c>
      <c r="BE295">
        <f>step3_validation[[#This Row],[AI_OUT1]]</f>
        <v>9</v>
      </c>
      <c r="BF295">
        <f t="shared" si="132"/>
        <v>0.88888888888888884</v>
      </c>
      <c r="BG295">
        <f>survey_responses[[#This Row],[Sau khi xem xét các quyền lợi và nghĩa vụ, bạn có ủng hộ và tuân thủ chính sách mới hiện nay? - HUMAN-OUT1]]</f>
        <v>6</v>
      </c>
      <c r="BH295">
        <f t="shared" si="133"/>
        <v>0.55555555555555558</v>
      </c>
      <c r="BI295" s="32">
        <f t="shared" si="134"/>
        <v>3</v>
      </c>
    </row>
    <row r="296" spans="1:61" x14ac:dyDescent="0.45">
      <c r="A296" s="30">
        <f>step3_validation[[#This Row],[Persona_ID]]</f>
        <v>295</v>
      </c>
      <c r="B296" s="31">
        <f>step3_validation[[#This Row],[Used_Seed]]</f>
        <v>2285</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24.929247288114333</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7</v>
      </c>
      <c r="R296">
        <f t="shared" si="108"/>
        <v>0.66666666666666663</v>
      </c>
      <c r="S296">
        <f>survey_responses[[#This Row],[Tôi tin rằng với các quy định quản lý thuế hiện nay, hành vi gian lận hoặc trốn thuế sẽ dễ dàng bị phát hiện và xử lý nghiêm. - HUMAN-ENF1]]</f>
        <v>8</v>
      </c>
      <c r="T296">
        <f t="shared" si="109"/>
        <v>0.77777777777777779</v>
      </c>
      <c r="U296">
        <f>step3_validation[[#This Row],[AI_ENF2]]</f>
        <v>8</v>
      </c>
      <c r="V296">
        <f t="shared" si="110"/>
        <v>0.77777777777777779</v>
      </c>
      <c r="W296">
        <f>survey_responses[[#This Row],[Tôi tin rằng Nhà nước, cơ quan thuế có đủ khả năng và công nghệ để phát hiện, xử lý nghiêm các hành vi trốn thuế. - HUMAN-ENF2]]</f>
        <v>9</v>
      </c>
      <c r="X296">
        <f t="shared" si="111"/>
        <v>0.88888888888888884</v>
      </c>
      <c r="Y296" s="32">
        <f t="shared" si="112"/>
        <v>0.72222222222222221</v>
      </c>
      <c r="Z296" s="32">
        <f t="shared" si="113"/>
        <v>0.83333333333333326</v>
      </c>
      <c r="AA296">
        <f>step3_validation[[#This Row],[AI_FAC1]]</f>
        <v>9</v>
      </c>
      <c r="AB296">
        <f t="shared" si="114"/>
        <v>0.88888888888888884</v>
      </c>
      <c r="AC296">
        <f>survey_responses[[#This Row],[Các thủ tục khai báo thuế VÀ/HOẶC quy trình làm việc với cơ quan thuế đơn giản, tiện lợi, nhanh chóng hơn so với trước đây. - HUMAN-FAC1]]</f>
        <v>9</v>
      </c>
      <c r="AD296">
        <f t="shared" si="115"/>
        <v>0.88888888888888884</v>
      </c>
      <c r="AE296">
        <f>step3_validation[[#This Row],[AI_FAC2]]</f>
        <v>9</v>
      </c>
      <c r="AF296">
        <f t="shared" si="116"/>
        <v>0.88888888888888884</v>
      </c>
      <c r="AG296">
        <f>survey_responses[[#This Row],[So với trước đây, tôi thấy cách tính thuế và các bậc thuế trong phương án mới đơn giản, dễ hiểu và dễ thực hiện hơn. - HUMAN-FAC2]]</f>
        <v>10</v>
      </c>
      <c r="AH296">
        <f t="shared" si="117"/>
        <v>1</v>
      </c>
      <c r="AI296" s="32">
        <f t="shared" si="118"/>
        <v>0.88888888888888884</v>
      </c>
      <c r="AJ296" s="32">
        <f t="shared" si="119"/>
        <v>0.94444444444444442</v>
      </c>
      <c r="AK296">
        <f>step3_validation[[#This Row],[AI_TRU1]]</f>
        <v>8</v>
      </c>
      <c r="AL296">
        <f t="shared" si="120"/>
        <v>0.77777777777777779</v>
      </c>
      <c r="AM296">
        <f>survey_responses[[#This Row],[Tôi tin rằng Nhà nước, cơ quan thuế sẽ thực thi chính sách mới một cách khách quan, công tâm và đối xử bình đẳng với mọi người nộp thuế.  - HUMAN-TRU1]]</f>
        <v>8</v>
      </c>
      <c r="AN296">
        <f t="shared" si="121"/>
        <v>0.77777777777777779</v>
      </c>
      <c r="AO296">
        <f>step3_validation[[#This Row],[AI_TRU2]]</f>
        <v>9</v>
      </c>
      <c r="AP296">
        <f t="shared" si="122"/>
        <v>0.88888888888888884</v>
      </c>
      <c r="AQ296">
        <f>survey_responses[[#This Row],[Tôi thấy mức thuế tôi phải đóng theo phương án mới là công bằng (người thu nhập như tôi đóng mức này là hợp lý). - HUMAN-TRU2]]</f>
        <v>8</v>
      </c>
      <c r="AR296">
        <f t="shared" si="123"/>
        <v>0.77777777777777779</v>
      </c>
      <c r="AS296">
        <f>step3_validation[[#This Row],[AI_TRU3]]</f>
        <v>8</v>
      </c>
      <c r="AT296">
        <f t="shared" si="124"/>
        <v>0.77777777777777779</v>
      </c>
      <c r="AU296">
        <f>survey_responses[[#This Row],[Tôi tin tưởng số tiền thuế tôi đóng sẽ được Nhà nước sử dụng hiệu quả để cải thiện dịch vụ công (y tế, đường xá...). - HUMAN-TRU3]]</f>
        <v>9</v>
      </c>
      <c r="AV296">
        <f t="shared" si="125"/>
        <v>0.88888888888888884</v>
      </c>
      <c r="AW296">
        <f>step3_validation[[#This Row],[AI_TRU4]]</f>
        <v>7</v>
      </c>
      <c r="AX296">
        <f t="shared" si="126"/>
        <v>0.66666666666666663</v>
      </c>
      <c r="AY296">
        <f>survey_responses[[#This Row],[Tôi thấy Nhà nước đã giải thích rõ ràng, minh bạch về lý do và mục tiêu của việc sửa đổi thuế lần này. - HUMAN-TRU4]]</f>
        <v>10</v>
      </c>
      <c r="AZ296">
        <f t="shared" si="127"/>
        <v>1</v>
      </c>
      <c r="BA296" s="32">
        <f t="shared" si="128"/>
        <v>0.77777777777777768</v>
      </c>
      <c r="BB296" s="32">
        <f t="shared" si="129"/>
        <v>0.86111111111111116</v>
      </c>
      <c r="BC296" s="7">
        <f t="shared" si="130"/>
        <v>0.79629629629629628</v>
      </c>
      <c r="BD296" s="7">
        <f t="shared" si="131"/>
        <v>0.87962962962962965</v>
      </c>
      <c r="BE296">
        <f>step3_validation[[#This Row],[AI_OUT1]]</f>
        <v>9</v>
      </c>
      <c r="BF296">
        <f t="shared" si="132"/>
        <v>0.88888888888888884</v>
      </c>
      <c r="BG296">
        <f>survey_responses[[#This Row],[Sau khi xem xét các quyền lợi và nghĩa vụ, bạn có ủng hộ và tuân thủ chính sách mới hiện nay? - HUMAN-OUT1]]</f>
        <v>10</v>
      </c>
      <c r="BH296">
        <f t="shared" si="133"/>
        <v>1</v>
      </c>
      <c r="BI296" s="32">
        <f t="shared" si="134"/>
        <v>1</v>
      </c>
    </row>
    <row r="297" spans="1:61" x14ac:dyDescent="0.45">
      <c r="A297" s="30">
        <f>step3_validation[[#This Row],[Persona_ID]]</f>
        <v>296</v>
      </c>
      <c r="B297" s="31">
        <f>step3_validation[[#This Row],[Used_Seed]]</f>
        <v>2286</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f t="shared" si="108"/>
        <v>0.55555555555555558</v>
      </c>
      <c r="S297">
        <f>survey_responses[[#This Row],[Tôi tin rằng với các quy định quản lý thuế hiện nay, hành vi gian lận hoặc trốn thuế sẽ dễ dàng bị phát hiện và xử lý nghiêm. - HUMAN-ENF1]]</f>
        <v>7</v>
      </c>
      <c r="T297">
        <f t="shared" si="109"/>
        <v>0.66666666666666663</v>
      </c>
      <c r="U297">
        <f>step3_validation[[#This Row],[AI_ENF2]]</f>
        <v>7</v>
      </c>
      <c r="V297">
        <f t="shared" si="110"/>
        <v>0.66666666666666663</v>
      </c>
      <c r="W297">
        <f>survey_responses[[#This Row],[Tôi tin rằng Nhà nước, cơ quan thuế có đủ khả năng và công nghệ để phát hiện, xử lý nghiêm các hành vi trốn thuế. - HUMAN-ENF2]]</f>
        <v>7</v>
      </c>
      <c r="X297">
        <f t="shared" si="111"/>
        <v>0.66666666666666663</v>
      </c>
      <c r="Y297" s="32">
        <f t="shared" si="112"/>
        <v>0.61111111111111116</v>
      </c>
      <c r="Z297" s="32">
        <f t="shared" si="113"/>
        <v>0.66666666666666663</v>
      </c>
      <c r="AA297">
        <f>step3_validation[[#This Row],[AI_FAC1]]</f>
        <v>8</v>
      </c>
      <c r="AB297">
        <f t="shared" si="114"/>
        <v>0.77777777777777779</v>
      </c>
      <c r="AC297">
        <f>survey_responses[[#This Row],[Các thủ tục khai báo thuế VÀ/HOẶC quy trình làm việc với cơ quan thuế đơn giản, tiện lợi, nhanh chóng hơn so với trước đây. - HUMAN-FAC1]]</f>
        <v>6</v>
      </c>
      <c r="AD297">
        <f t="shared" si="115"/>
        <v>0.55555555555555558</v>
      </c>
      <c r="AE297">
        <f>step3_validation[[#This Row],[AI_FAC2]]</f>
        <v>9</v>
      </c>
      <c r="AF297">
        <f t="shared" si="116"/>
        <v>0.88888888888888884</v>
      </c>
      <c r="AG297">
        <f>survey_responses[[#This Row],[So với trước đây, tôi thấy cách tính thuế và các bậc thuế trong phương án mới đơn giản, dễ hiểu và dễ thực hiện hơn. - HUMAN-FAC2]]</f>
        <v>7</v>
      </c>
      <c r="AH297">
        <f t="shared" si="117"/>
        <v>0.66666666666666663</v>
      </c>
      <c r="AI297" s="32">
        <f t="shared" si="118"/>
        <v>0.83333333333333326</v>
      </c>
      <c r="AJ297" s="32">
        <f t="shared" si="119"/>
        <v>0.61111111111111116</v>
      </c>
      <c r="AK297">
        <f>step3_validation[[#This Row],[AI_TRU1]]</f>
        <v>7</v>
      </c>
      <c r="AL297">
        <f t="shared" si="120"/>
        <v>0.66666666666666663</v>
      </c>
      <c r="AM297">
        <f>survey_responses[[#This Row],[Tôi tin rằng Nhà nước, cơ quan thuế sẽ thực thi chính sách mới một cách khách quan, công tâm và đối xử bình đẳng với mọi người nộp thuế.  - HUMAN-TRU1]]</f>
        <v>7</v>
      </c>
      <c r="AN297">
        <f t="shared" si="121"/>
        <v>0.66666666666666663</v>
      </c>
      <c r="AO297">
        <f>step3_validation[[#This Row],[AI_TRU2]]</f>
        <v>8</v>
      </c>
      <c r="AP297">
        <f t="shared" si="122"/>
        <v>0.77777777777777779</v>
      </c>
      <c r="AQ297">
        <f>survey_responses[[#This Row],[Tôi thấy mức thuế tôi phải đóng theo phương án mới là công bằng (người thu nhập như tôi đóng mức này là hợp lý). - HUMAN-TRU2]]</f>
        <v>1</v>
      </c>
      <c r="AR297">
        <f t="shared" si="123"/>
        <v>0</v>
      </c>
      <c r="AS297">
        <f>step3_validation[[#This Row],[AI_TRU3]]</f>
        <v>7</v>
      </c>
      <c r="AT297">
        <f t="shared" si="124"/>
        <v>0.66666666666666663</v>
      </c>
      <c r="AU297">
        <f>survey_responses[[#This Row],[Tôi tin tưởng số tiền thuế tôi đóng sẽ được Nhà nước sử dụng hiệu quả để cải thiện dịch vụ công (y tế, đường xá...). - HUMAN-TRU3]]</f>
        <v>5</v>
      </c>
      <c r="AV297">
        <f t="shared" si="125"/>
        <v>0.44444444444444442</v>
      </c>
      <c r="AW297">
        <f>step3_validation[[#This Row],[AI_TRU4]]</f>
        <v>6</v>
      </c>
      <c r="AX297">
        <f t="shared" si="126"/>
        <v>0.55555555555555558</v>
      </c>
      <c r="AY297">
        <f>survey_responses[[#This Row],[Tôi thấy Nhà nước đã giải thích rõ ràng, minh bạch về lý do và mục tiêu của việc sửa đổi thuế lần này. - HUMAN-TRU4]]</f>
        <v>7</v>
      </c>
      <c r="AZ297">
        <f t="shared" si="127"/>
        <v>0.66666666666666663</v>
      </c>
      <c r="BA297" s="32">
        <f t="shared" si="128"/>
        <v>0.66666666666666674</v>
      </c>
      <c r="BB297" s="32">
        <f t="shared" si="129"/>
        <v>0.44444444444444442</v>
      </c>
      <c r="BC297" s="7">
        <f t="shared" si="130"/>
        <v>0.70370370370370372</v>
      </c>
      <c r="BD297" s="7">
        <f t="shared" si="131"/>
        <v>0.57407407407407407</v>
      </c>
      <c r="BE297">
        <f>step3_validation[[#This Row],[AI_OUT1]]</f>
        <v>8</v>
      </c>
      <c r="BF297">
        <f t="shared" si="132"/>
        <v>0.77777777777777779</v>
      </c>
      <c r="BG297">
        <f>survey_responses[[#This Row],[Sau khi xem xét các quyền lợi và nghĩa vụ, bạn có ủng hộ và tuân thủ chính sách mới hiện nay? - HUMAN-OUT1]]</f>
        <v>7</v>
      </c>
      <c r="BH297">
        <f t="shared" si="133"/>
        <v>0.66666666666666663</v>
      </c>
      <c r="BI297" s="32">
        <f t="shared" si="134"/>
        <v>1</v>
      </c>
    </row>
    <row r="298" spans="1:61" x14ac:dyDescent="0.45">
      <c r="A298" s="30">
        <f>step3_validation[[#This Row],[Persona_ID]]</f>
        <v>297</v>
      </c>
      <c r="B298" s="31">
        <f>step3_validation[[#This Row],[Used_Seed]]</f>
        <v>2287</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48.27742925304392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9</v>
      </c>
      <c r="R298">
        <f t="shared" si="108"/>
        <v>0.88888888888888884</v>
      </c>
      <c r="S298">
        <f>survey_responses[[#This Row],[Tôi tin rằng với các quy định quản lý thuế hiện nay, hành vi gian lận hoặc trốn thuế sẽ dễ dàng bị phát hiện và xử lý nghiêm. - HUMAN-ENF1]]</f>
        <v>5</v>
      </c>
      <c r="T298">
        <f t="shared" si="109"/>
        <v>0.44444444444444442</v>
      </c>
      <c r="U298">
        <f>step3_validation[[#This Row],[AI_ENF2]]</f>
        <v>9</v>
      </c>
      <c r="V298">
        <f t="shared" si="110"/>
        <v>0.88888888888888884</v>
      </c>
      <c r="W298">
        <f>survey_responses[[#This Row],[Tôi tin rằng Nhà nước, cơ quan thuế có đủ khả năng và công nghệ để phát hiện, xử lý nghiêm các hành vi trốn thuế. - HUMAN-ENF2]]</f>
        <v>10</v>
      </c>
      <c r="X298">
        <f t="shared" si="111"/>
        <v>1</v>
      </c>
      <c r="Y298" s="32">
        <f t="shared" si="112"/>
        <v>0.88888888888888884</v>
      </c>
      <c r="Z298" s="32">
        <f t="shared" si="113"/>
        <v>0.72222222222222221</v>
      </c>
      <c r="AA298">
        <f>step3_validation[[#This Row],[AI_FAC1]]</f>
        <v>8</v>
      </c>
      <c r="AB298">
        <f t="shared" si="114"/>
        <v>0.77777777777777779</v>
      </c>
      <c r="AC298">
        <f>survey_responses[[#This Row],[Các thủ tục khai báo thuế VÀ/HOẶC quy trình làm việc với cơ quan thuế đơn giản, tiện lợi, nhanh chóng hơn so với trước đây. - HUMAN-FAC1]]</f>
        <v>5</v>
      </c>
      <c r="AD298">
        <f t="shared" si="115"/>
        <v>0.44444444444444442</v>
      </c>
      <c r="AE298">
        <f>step3_validation[[#This Row],[AI_FAC2]]</f>
        <v>9</v>
      </c>
      <c r="AF298">
        <f t="shared" si="116"/>
        <v>0.88888888888888884</v>
      </c>
      <c r="AG298">
        <f>survey_responses[[#This Row],[So với trước đây, tôi thấy cách tính thuế và các bậc thuế trong phương án mới đơn giản, dễ hiểu và dễ thực hiện hơn. - HUMAN-FAC2]]</f>
        <v>5</v>
      </c>
      <c r="AH298">
        <f t="shared" si="117"/>
        <v>0.44444444444444442</v>
      </c>
      <c r="AI298" s="32">
        <f t="shared" si="118"/>
        <v>0.83333333333333326</v>
      </c>
      <c r="AJ298" s="32">
        <f t="shared" si="119"/>
        <v>0.44444444444444442</v>
      </c>
      <c r="AK298">
        <f>step3_validation[[#This Row],[AI_TRU1]]</f>
        <v>8</v>
      </c>
      <c r="AL298">
        <f t="shared" si="120"/>
        <v>0.77777777777777779</v>
      </c>
      <c r="AM298">
        <f>survey_responses[[#This Row],[Tôi tin rằng Nhà nước, cơ quan thuế sẽ thực thi chính sách mới một cách khách quan, công tâm và đối xử bình đẳng với mọi người nộp thuế.  - HUMAN-TRU1]]</f>
        <v>2</v>
      </c>
      <c r="AN298">
        <f t="shared" si="121"/>
        <v>0.1111111111111111</v>
      </c>
      <c r="AO298">
        <f>step3_validation[[#This Row],[AI_TRU2]]</f>
        <v>8</v>
      </c>
      <c r="AP298">
        <f t="shared" si="122"/>
        <v>0.77777777777777779</v>
      </c>
      <c r="AQ298">
        <f>survey_responses[[#This Row],[Tôi thấy mức thuế tôi phải đóng theo phương án mới là công bằng (người thu nhập như tôi đóng mức này là hợp lý). - HUMAN-TRU2]]</f>
        <v>3</v>
      </c>
      <c r="AR298">
        <f t="shared" si="123"/>
        <v>0.22222222222222221</v>
      </c>
      <c r="AS298">
        <f>step3_validation[[#This Row],[AI_TRU3]]</f>
        <v>8</v>
      </c>
      <c r="AT298">
        <f t="shared" si="124"/>
        <v>0.77777777777777779</v>
      </c>
      <c r="AU298">
        <f>survey_responses[[#This Row],[Tôi tin tưởng số tiền thuế tôi đóng sẽ được Nhà nước sử dụng hiệu quả để cải thiện dịch vụ công (y tế, đường xá...). - HUMAN-TRU3]]</f>
        <v>2</v>
      </c>
      <c r="AV298">
        <f t="shared" si="125"/>
        <v>0.1111111111111111</v>
      </c>
      <c r="AW298">
        <f>step3_validation[[#This Row],[AI_TRU4]]</f>
        <v>7</v>
      </c>
      <c r="AX298">
        <f t="shared" si="126"/>
        <v>0.66666666666666663</v>
      </c>
      <c r="AY298">
        <f>survey_responses[[#This Row],[Tôi thấy Nhà nước đã giải thích rõ ràng, minh bạch về lý do và mục tiêu của việc sửa đổi thuế lần này. - HUMAN-TRU4]]</f>
        <v>5</v>
      </c>
      <c r="AZ298">
        <f t="shared" si="127"/>
        <v>0.44444444444444442</v>
      </c>
      <c r="BA298" s="32">
        <f t="shared" si="128"/>
        <v>0.75</v>
      </c>
      <c r="BB298" s="32">
        <f t="shared" si="129"/>
        <v>0.22222222222222221</v>
      </c>
      <c r="BC298" s="7">
        <f t="shared" si="130"/>
        <v>0.82407407407407407</v>
      </c>
      <c r="BD298" s="7">
        <f t="shared" si="131"/>
        <v>0.46296296296296297</v>
      </c>
      <c r="BE298">
        <f>step3_validation[[#This Row],[AI_OUT1]]</f>
        <v>8</v>
      </c>
      <c r="BF298">
        <f t="shared" si="132"/>
        <v>0.77777777777777779</v>
      </c>
      <c r="BG298">
        <f>survey_responses[[#This Row],[Sau khi xem xét các quyền lợi và nghĩa vụ, bạn có ủng hộ và tuân thủ chính sách mới hiện nay? - HUMAN-OUT1]]</f>
        <v>5</v>
      </c>
      <c r="BH298">
        <f t="shared" si="133"/>
        <v>0.44444444444444442</v>
      </c>
      <c r="BI298" s="32">
        <f t="shared" si="134"/>
        <v>3</v>
      </c>
    </row>
    <row r="299" spans="1:61" x14ac:dyDescent="0.45">
      <c r="A299" s="30">
        <f>step3_validation[[#This Row],[Persona_ID]]</f>
        <v>298</v>
      </c>
      <c r="B299" s="31">
        <f>step3_validation[[#This Row],[Used_Seed]]</f>
        <v>2288</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6</v>
      </c>
      <c r="R299">
        <f t="shared" si="108"/>
        <v>0.55555555555555558</v>
      </c>
      <c r="S299">
        <f>survey_responses[[#This Row],[Tôi tin rằng với các quy định quản lý thuế hiện nay, hành vi gian lận hoặc trốn thuế sẽ dễ dàng bị phát hiện và xử lý nghiêm. - HUMAN-ENF1]]</f>
        <v>5</v>
      </c>
      <c r="T299">
        <f t="shared" si="109"/>
        <v>0.44444444444444442</v>
      </c>
      <c r="U299">
        <f>step3_validation[[#This Row],[AI_ENF2]]</f>
        <v>5</v>
      </c>
      <c r="V299">
        <f t="shared" si="110"/>
        <v>0.44444444444444442</v>
      </c>
      <c r="W299">
        <f>survey_responses[[#This Row],[Tôi tin rằng Nhà nước, cơ quan thuế có đủ khả năng và công nghệ để phát hiện, xử lý nghiêm các hành vi trốn thuế. - HUMAN-ENF2]]</f>
        <v>5</v>
      </c>
      <c r="X299">
        <f t="shared" si="111"/>
        <v>0.44444444444444442</v>
      </c>
      <c r="Y299" s="32">
        <f t="shared" si="112"/>
        <v>0.5</v>
      </c>
      <c r="Z299" s="32">
        <f t="shared" si="113"/>
        <v>0.44444444444444442</v>
      </c>
      <c r="AA299">
        <f>step3_validation[[#This Row],[AI_FAC1]]</f>
        <v>9</v>
      </c>
      <c r="AB299">
        <f t="shared" si="114"/>
        <v>0.88888888888888884</v>
      </c>
      <c r="AC299">
        <f>survey_responses[[#This Row],[Các thủ tục khai báo thuế VÀ/HOẶC quy trình làm việc với cơ quan thuế đơn giản, tiện lợi, nhanh chóng hơn so với trước đây. - HUMAN-FAC1]]</f>
        <v>5</v>
      </c>
      <c r="AD299">
        <f t="shared" si="115"/>
        <v>0.44444444444444442</v>
      </c>
      <c r="AE299">
        <f>step3_validation[[#This Row],[AI_FAC2]]</f>
        <v>8</v>
      </c>
      <c r="AF299">
        <f t="shared" si="116"/>
        <v>0.77777777777777779</v>
      </c>
      <c r="AG299">
        <f>survey_responses[[#This Row],[So với trước đây, tôi thấy cách tính thuế và các bậc thuế trong phương án mới đơn giản, dễ hiểu và dễ thực hiện hơn. - HUMAN-FAC2]]</f>
        <v>10</v>
      </c>
      <c r="AH299">
        <f t="shared" si="117"/>
        <v>1</v>
      </c>
      <c r="AI299" s="32">
        <f t="shared" si="118"/>
        <v>0.83333333333333326</v>
      </c>
      <c r="AJ299" s="32">
        <f t="shared" si="119"/>
        <v>0.72222222222222221</v>
      </c>
      <c r="AK299">
        <f>step3_validation[[#This Row],[AI_TRU1]]</f>
        <v>7</v>
      </c>
      <c r="AL299">
        <f t="shared" si="120"/>
        <v>0.66666666666666663</v>
      </c>
      <c r="AM299">
        <f>survey_responses[[#This Row],[Tôi tin rằng Nhà nước, cơ quan thuế sẽ thực thi chính sách mới một cách khách quan, công tâm và đối xử bình đẳng với mọi người nộp thuế.  - HUMAN-TRU1]]</f>
        <v>10</v>
      </c>
      <c r="AN299">
        <f t="shared" si="121"/>
        <v>1</v>
      </c>
      <c r="AO299">
        <f>step3_validation[[#This Row],[AI_TRU2]]</f>
        <v>9</v>
      </c>
      <c r="AP299">
        <f t="shared" si="122"/>
        <v>0.88888888888888884</v>
      </c>
      <c r="AQ299">
        <f>survey_responses[[#This Row],[Tôi thấy mức thuế tôi phải đóng theo phương án mới là công bằng (người thu nhập như tôi đóng mức này là hợp lý). - HUMAN-TRU2]]</f>
        <v>5</v>
      </c>
      <c r="AR299">
        <f t="shared" si="123"/>
        <v>0.44444444444444442</v>
      </c>
      <c r="AS299">
        <f>step3_validation[[#This Row],[AI_TRU3]]</f>
        <v>7</v>
      </c>
      <c r="AT299">
        <f t="shared" si="124"/>
        <v>0.66666666666666663</v>
      </c>
      <c r="AU299">
        <f>survey_responses[[#This Row],[Tôi tin tưởng số tiền thuế tôi đóng sẽ được Nhà nước sử dụng hiệu quả để cải thiện dịch vụ công (y tế, đường xá...). - HUMAN-TRU3]]</f>
        <v>5</v>
      </c>
      <c r="AV299">
        <f t="shared" si="125"/>
        <v>0.44444444444444442</v>
      </c>
      <c r="AW299">
        <f>step3_validation[[#This Row],[AI_TRU4]]</f>
        <v>6</v>
      </c>
      <c r="AX299">
        <f t="shared" si="126"/>
        <v>0.55555555555555558</v>
      </c>
      <c r="AY299">
        <f>survey_responses[[#This Row],[Tôi thấy Nhà nước đã giải thích rõ ràng, minh bạch về lý do và mục tiêu của việc sửa đổi thuế lần này. - HUMAN-TRU4]]</f>
        <v>5</v>
      </c>
      <c r="AZ299">
        <f t="shared" si="127"/>
        <v>0.44444444444444442</v>
      </c>
      <c r="BA299" s="32">
        <f t="shared" si="128"/>
        <v>0.69444444444444442</v>
      </c>
      <c r="BB299" s="32">
        <f t="shared" si="129"/>
        <v>0.58333333333333326</v>
      </c>
      <c r="BC299" s="7">
        <f t="shared" si="130"/>
        <v>0.67592592592592593</v>
      </c>
      <c r="BD299" s="7">
        <f t="shared" si="131"/>
        <v>0.58333333333333326</v>
      </c>
      <c r="BE299">
        <f>step3_validation[[#This Row],[AI_OUT1]]</f>
        <v>8</v>
      </c>
      <c r="BF299">
        <f t="shared" si="132"/>
        <v>0.77777777777777779</v>
      </c>
      <c r="BG299">
        <f>survey_responses[[#This Row],[Sau khi xem xét các quyền lợi và nghĩa vụ, bạn có ủng hộ và tuân thủ chính sách mới hiện nay? - HUMAN-OUT1]]</f>
        <v>5</v>
      </c>
      <c r="BH299">
        <f t="shared" si="133"/>
        <v>0.44444444444444442</v>
      </c>
      <c r="BI299" s="32">
        <f t="shared" si="134"/>
        <v>3</v>
      </c>
    </row>
    <row r="300" spans="1:61" x14ac:dyDescent="0.45">
      <c r="A300" s="30">
        <f>step3_validation[[#This Row],[Persona_ID]]</f>
        <v>299</v>
      </c>
      <c r="B300" s="31">
        <f>step3_validation[[#This Row],[Used_Seed]]</f>
        <v>2289</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40.527526501639954</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8</v>
      </c>
      <c r="R300">
        <f t="shared" si="108"/>
        <v>0.77777777777777779</v>
      </c>
      <c r="S300">
        <f>survey_responses[[#This Row],[Tôi tin rằng với các quy định quản lý thuế hiện nay, hành vi gian lận hoặc trốn thuế sẽ dễ dàng bị phát hiện và xử lý nghiêm. - HUMAN-ENF1]]</f>
        <v>10</v>
      </c>
      <c r="T300">
        <f t="shared" si="109"/>
        <v>1</v>
      </c>
      <c r="U300">
        <f>step3_validation[[#This Row],[AI_ENF2]]</f>
        <v>9</v>
      </c>
      <c r="V300">
        <f t="shared" si="110"/>
        <v>0.88888888888888884</v>
      </c>
      <c r="W300">
        <f>survey_responses[[#This Row],[Tôi tin rằng Nhà nước, cơ quan thuế có đủ khả năng và công nghệ để phát hiện, xử lý nghiêm các hành vi trốn thuế. - HUMAN-ENF2]]</f>
        <v>10</v>
      </c>
      <c r="X300">
        <f t="shared" si="111"/>
        <v>1</v>
      </c>
      <c r="Y300" s="32">
        <f t="shared" si="112"/>
        <v>0.83333333333333326</v>
      </c>
      <c r="Z300" s="32">
        <f t="shared" si="113"/>
        <v>1</v>
      </c>
      <c r="AA300">
        <f>step3_validation[[#This Row],[AI_FAC1]]</f>
        <v>8</v>
      </c>
      <c r="AB300">
        <f t="shared" si="114"/>
        <v>0.77777777777777779</v>
      </c>
      <c r="AC300">
        <f>survey_responses[[#This Row],[Các thủ tục khai báo thuế VÀ/HOẶC quy trình làm việc với cơ quan thuế đơn giản, tiện lợi, nhanh chóng hơn so với trước đây. - HUMAN-FAC1]]</f>
        <v>10</v>
      </c>
      <c r="AD300">
        <f t="shared" si="115"/>
        <v>1</v>
      </c>
      <c r="AE300">
        <f>step3_validation[[#This Row],[AI_FAC2]]</f>
        <v>7</v>
      </c>
      <c r="AF300">
        <f t="shared" si="116"/>
        <v>0.66666666666666663</v>
      </c>
      <c r="AG300">
        <f>survey_responses[[#This Row],[So với trước đây, tôi thấy cách tính thuế và các bậc thuế trong phương án mới đơn giản, dễ hiểu và dễ thực hiện hơn. - HUMAN-FAC2]]</f>
        <v>10</v>
      </c>
      <c r="AH300">
        <f t="shared" si="117"/>
        <v>1</v>
      </c>
      <c r="AI300" s="32">
        <f t="shared" si="118"/>
        <v>0.72222222222222221</v>
      </c>
      <c r="AJ300" s="32">
        <f t="shared" si="119"/>
        <v>1</v>
      </c>
      <c r="AK300">
        <f>step3_validation[[#This Row],[AI_TRU1]]</f>
        <v>8</v>
      </c>
      <c r="AL300">
        <f t="shared" si="120"/>
        <v>0.77777777777777779</v>
      </c>
      <c r="AM300">
        <f>survey_responses[[#This Row],[Tôi tin rằng Nhà nước, cơ quan thuế sẽ thực thi chính sách mới một cách khách quan, công tâm và đối xử bình đẳng với mọi người nộp thuế.  - HUMAN-TRU1]]</f>
        <v>10</v>
      </c>
      <c r="AN300">
        <f t="shared" si="121"/>
        <v>1</v>
      </c>
      <c r="AO300">
        <f>step3_validation[[#This Row],[AI_TRU2]]</f>
        <v>9</v>
      </c>
      <c r="AP300">
        <f t="shared" si="122"/>
        <v>0.88888888888888884</v>
      </c>
      <c r="AQ300">
        <f>survey_responses[[#This Row],[Tôi thấy mức thuế tôi phải đóng theo phương án mới là công bằng (người thu nhập như tôi đóng mức này là hợp lý). - HUMAN-TRU2]]</f>
        <v>10</v>
      </c>
      <c r="AR300">
        <f t="shared" si="123"/>
        <v>1</v>
      </c>
      <c r="AS300">
        <f>step3_validation[[#This Row],[AI_TRU3]]</f>
        <v>8</v>
      </c>
      <c r="AT300">
        <f t="shared" si="124"/>
        <v>0.77777777777777779</v>
      </c>
      <c r="AU300">
        <f>survey_responses[[#This Row],[Tôi tin tưởng số tiền thuế tôi đóng sẽ được Nhà nước sử dụng hiệu quả để cải thiện dịch vụ công (y tế, đường xá...). - HUMAN-TRU3]]</f>
        <v>10</v>
      </c>
      <c r="AV300">
        <f t="shared" si="125"/>
        <v>1</v>
      </c>
      <c r="AW300">
        <f>step3_validation[[#This Row],[AI_TRU4]]</f>
        <v>7</v>
      </c>
      <c r="AX300">
        <f t="shared" si="126"/>
        <v>0.66666666666666663</v>
      </c>
      <c r="AY300">
        <f>survey_responses[[#This Row],[Tôi thấy Nhà nước đã giải thích rõ ràng, minh bạch về lý do và mục tiêu của việc sửa đổi thuế lần này. - HUMAN-TRU4]]</f>
        <v>10</v>
      </c>
      <c r="AZ300">
        <f t="shared" si="127"/>
        <v>1</v>
      </c>
      <c r="BA300" s="32">
        <f t="shared" si="128"/>
        <v>0.77777777777777768</v>
      </c>
      <c r="BB300" s="32">
        <f t="shared" si="129"/>
        <v>1</v>
      </c>
      <c r="BC300" s="7">
        <f t="shared" si="130"/>
        <v>0.77777777777777768</v>
      </c>
      <c r="BD300" s="7">
        <f t="shared" si="131"/>
        <v>1</v>
      </c>
      <c r="BE300">
        <f>step3_validation[[#This Row],[AI_OUT1]]</f>
        <v>9</v>
      </c>
      <c r="BF300">
        <f t="shared" si="132"/>
        <v>0.88888888888888884</v>
      </c>
      <c r="BG300">
        <f>survey_responses[[#This Row],[Sau khi xem xét các quyền lợi và nghĩa vụ, bạn có ủng hộ và tuân thủ chính sách mới hiện nay? - HUMAN-OUT1]]</f>
        <v>10</v>
      </c>
      <c r="BH300">
        <f t="shared" si="133"/>
        <v>1</v>
      </c>
      <c r="BI300" s="32">
        <f t="shared" si="134"/>
        <v>1</v>
      </c>
    </row>
    <row r="301" spans="1:61" x14ac:dyDescent="0.45">
      <c r="A301" s="30">
        <f>step3_validation[[#This Row],[Persona_ID]]</f>
        <v>300</v>
      </c>
      <c r="B301" s="31">
        <f>step3_validation[[#This Row],[Used_Seed]]</f>
        <v>2290</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23.619644223184714</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f t="shared" si="108"/>
        <v>0.66666666666666663</v>
      </c>
      <c r="S301">
        <f>survey_responses[[#This Row],[Tôi tin rằng với các quy định quản lý thuế hiện nay, hành vi gian lận hoặc trốn thuế sẽ dễ dàng bị phát hiện và xử lý nghiêm. - HUMAN-ENF1]]</f>
        <v>9</v>
      </c>
      <c r="T301">
        <f t="shared" si="109"/>
        <v>0.88888888888888884</v>
      </c>
      <c r="U301">
        <f>step3_validation[[#This Row],[AI_ENF2]]</f>
        <v>8</v>
      </c>
      <c r="V301">
        <f t="shared" si="110"/>
        <v>0.77777777777777779</v>
      </c>
      <c r="W301">
        <f>survey_responses[[#This Row],[Tôi tin rằng Nhà nước, cơ quan thuế có đủ khả năng và công nghệ để phát hiện, xử lý nghiêm các hành vi trốn thuế. - HUMAN-ENF2]]</f>
        <v>9</v>
      </c>
      <c r="X301">
        <f t="shared" si="111"/>
        <v>0.88888888888888884</v>
      </c>
      <c r="Y301" s="32">
        <f t="shared" si="112"/>
        <v>0.72222222222222221</v>
      </c>
      <c r="Z301" s="32">
        <f t="shared" si="113"/>
        <v>0.88888888888888884</v>
      </c>
      <c r="AA301">
        <f>step3_validation[[#This Row],[AI_FAC1]]</f>
        <v>9</v>
      </c>
      <c r="AB301">
        <f t="shared" si="114"/>
        <v>0.88888888888888884</v>
      </c>
      <c r="AC301">
        <f>survey_responses[[#This Row],[Các thủ tục khai báo thuế VÀ/HOẶC quy trình làm việc với cơ quan thuế đơn giản, tiện lợi, nhanh chóng hơn so với trước đây. - HUMAN-FAC1]]</f>
        <v>8</v>
      </c>
      <c r="AD301">
        <f t="shared" si="115"/>
        <v>0.77777777777777779</v>
      </c>
      <c r="AE301">
        <f>step3_validation[[#This Row],[AI_FAC2]]</f>
        <v>10</v>
      </c>
      <c r="AF301">
        <f t="shared" si="116"/>
        <v>1</v>
      </c>
      <c r="AG301">
        <f>survey_responses[[#This Row],[So với trước đây, tôi thấy cách tính thuế và các bậc thuế trong phương án mới đơn giản, dễ hiểu và dễ thực hiện hơn. - HUMAN-FAC2]]</f>
        <v>10</v>
      </c>
      <c r="AH301">
        <f t="shared" si="117"/>
        <v>1</v>
      </c>
      <c r="AI301" s="32">
        <f t="shared" si="118"/>
        <v>0.94444444444444442</v>
      </c>
      <c r="AJ301" s="32">
        <f t="shared" si="119"/>
        <v>0.88888888888888884</v>
      </c>
      <c r="AK301">
        <f>step3_validation[[#This Row],[AI_TRU1]]</f>
        <v>7</v>
      </c>
      <c r="AL301">
        <f t="shared" si="120"/>
        <v>0.66666666666666663</v>
      </c>
      <c r="AM301">
        <f>survey_responses[[#This Row],[Tôi tin rằng Nhà nước, cơ quan thuế sẽ thực thi chính sách mới một cách khách quan, công tâm và đối xử bình đẳng với mọi người nộp thuế.  - HUMAN-TRU1]]</f>
        <v>8</v>
      </c>
      <c r="AN301">
        <f t="shared" si="121"/>
        <v>0.77777777777777779</v>
      </c>
      <c r="AO301">
        <f>step3_validation[[#This Row],[AI_TRU2]]</f>
        <v>6</v>
      </c>
      <c r="AP301">
        <f t="shared" si="122"/>
        <v>0.55555555555555558</v>
      </c>
      <c r="AQ301">
        <f>survey_responses[[#This Row],[Tôi thấy mức thuế tôi phải đóng theo phương án mới là công bằng (người thu nhập như tôi đóng mức này là hợp lý). - HUMAN-TRU2]]</f>
        <v>8</v>
      </c>
      <c r="AR301">
        <f t="shared" si="123"/>
        <v>0.77777777777777779</v>
      </c>
      <c r="AS301">
        <f>step3_validation[[#This Row],[AI_TRU3]]</f>
        <v>7</v>
      </c>
      <c r="AT301">
        <f t="shared" si="124"/>
        <v>0.66666666666666663</v>
      </c>
      <c r="AU301">
        <f>survey_responses[[#This Row],[Tôi tin tưởng số tiền thuế tôi đóng sẽ được Nhà nước sử dụng hiệu quả để cải thiện dịch vụ công (y tế, đường xá...). - HUMAN-TRU3]]</f>
        <v>10</v>
      </c>
      <c r="AV301">
        <f t="shared" si="125"/>
        <v>1</v>
      </c>
      <c r="AW301">
        <f>step3_validation[[#This Row],[AI_TRU4]]</f>
        <v>8</v>
      </c>
      <c r="AX301">
        <f t="shared" si="126"/>
        <v>0.77777777777777779</v>
      </c>
      <c r="AY301">
        <f>survey_responses[[#This Row],[Tôi thấy Nhà nước đã giải thích rõ ràng, minh bạch về lý do và mục tiêu của việc sửa đổi thuế lần này. - HUMAN-TRU4]]</f>
        <v>9</v>
      </c>
      <c r="AZ301">
        <f t="shared" si="127"/>
        <v>0.88888888888888884</v>
      </c>
      <c r="BA301" s="32">
        <f t="shared" si="128"/>
        <v>0.66666666666666663</v>
      </c>
      <c r="BB301" s="32">
        <f t="shared" si="129"/>
        <v>0.86111111111111105</v>
      </c>
      <c r="BC301" s="7">
        <f t="shared" si="130"/>
        <v>0.77777777777777768</v>
      </c>
      <c r="BD301" s="7">
        <f t="shared" si="131"/>
        <v>0.87962962962962965</v>
      </c>
      <c r="BE301">
        <f>step3_validation[[#This Row],[AI_OUT1]]</f>
        <v>9</v>
      </c>
      <c r="BF301">
        <f t="shared" si="132"/>
        <v>0.88888888888888884</v>
      </c>
      <c r="BG301">
        <f>survey_responses[[#This Row],[Sau khi xem xét các quyền lợi và nghĩa vụ, bạn có ủng hộ và tuân thủ chính sách mới hiện nay? - HUMAN-OUT1]]</f>
        <v>9</v>
      </c>
      <c r="BH301">
        <f t="shared" si="133"/>
        <v>0.88888888888888884</v>
      </c>
      <c r="BI301" s="32">
        <f t="shared" si="134"/>
        <v>0</v>
      </c>
    </row>
    <row r="302" spans="1:61" x14ac:dyDescent="0.45">
      <c r="A302" s="30">
        <f>step3_validation[[#This Row],[Persona_ID]]</f>
        <v>301</v>
      </c>
      <c r="B302" s="31">
        <f>step3_validation[[#This Row],[Used_Seed]]</f>
        <v>2291</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9</v>
      </c>
      <c r="R302">
        <f t="shared" si="108"/>
        <v>0.88888888888888884</v>
      </c>
      <c r="S302">
        <f>survey_responses[[#This Row],[Tôi tin rằng với các quy định quản lý thuế hiện nay, hành vi gian lận hoặc trốn thuế sẽ dễ dàng bị phát hiện và xử lý nghiêm. - HUMAN-ENF1]]</f>
        <v>8</v>
      </c>
      <c r="T302">
        <f t="shared" si="109"/>
        <v>0.77777777777777779</v>
      </c>
      <c r="U302">
        <f>step3_validation[[#This Row],[AI_ENF2]]</f>
        <v>8</v>
      </c>
      <c r="V302">
        <f t="shared" si="110"/>
        <v>0.77777777777777779</v>
      </c>
      <c r="W302">
        <f>survey_responses[[#This Row],[Tôi tin rằng Nhà nước, cơ quan thuế có đủ khả năng và công nghệ để phát hiện, xử lý nghiêm các hành vi trốn thuế. - HUMAN-ENF2]]</f>
        <v>7</v>
      </c>
      <c r="X302">
        <f t="shared" si="111"/>
        <v>0.66666666666666663</v>
      </c>
      <c r="Y302" s="32">
        <f t="shared" si="112"/>
        <v>0.83333333333333326</v>
      </c>
      <c r="Z302" s="32">
        <f t="shared" si="113"/>
        <v>0.72222222222222221</v>
      </c>
      <c r="AA302">
        <f>step3_validation[[#This Row],[AI_FAC1]]</f>
        <v>9</v>
      </c>
      <c r="AB302">
        <f t="shared" si="114"/>
        <v>0.88888888888888884</v>
      </c>
      <c r="AC302">
        <f>survey_responses[[#This Row],[Các thủ tục khai báo thuế VÀ/HOẶC quy trình làm việc với cơ quan thuế đơn giản, tiện lợi, nhanh chóng hơn so với trước đây. - HUMAN-FAC1]]</f>
        <v>9</v>
      </c>
      <c r="AD302">
        <f t="shared" si="115"/>
        <v>0.88888888888888884</v>
      </c>
      <c r="AE302">
        <f>step3_validation[[#This Row],[AI_FAC2]]</f>
        <v>10</v>
      </c>
      <c r="AF302">
        <f t="shared" si="116"/>
        <v>1</v>
      </c>
      <c r="AG302">
        <f>survey_responses[[#This Row],[So với trước đây, tôi thấy cách tính thuế và các bậc thuế trong phương án mới đơn giản, dễ hiểu và dễ thực hiện hơn. - HUMAN-FAC2]]</f>
        <v>5</v>
      </c>
      <c r="AH302">
        <f t="shared" si="117"/>
        <v>0.44444444444444442</v>
      </c>
      <c r="AI302" s="32">
        <f t="shared" si="118"/>
        <v>0.94444444444444442</v>
      </c>
      <c r="AJ302" s="32">
        <f t="shared" si="119"/>
        <v>0.66666666666666663</v>
      </c>
      <c r="AK302">
        <f>step3_validation[[#This Row],[AI_TRU1]]</f>
        <v>8</v>
      </c>
      <c r="AL302">
        <f t="shared" si="120"/>
        <v>0.77777777777777779</v>
      </c>
      <c r="AM302">
        <f>survey_responses[[#This Row],[Tôi tin rằng Nhà nước, cơ quan thuế sẽ thực thi chính sách mới một cách khách quan, công tâm và đối xử bình đẳng với mọi người nộp thuế.  - HUMAN-TRU1]]</f>
        <v>7</v>
      </c>
      <c r="AN302">
        <f t="shared" si="121"/>
        <v>0.66666666666666663</v>
      </c>
      <c r="AO302">
        <f>step3_validation[[#This Row],[AI_TRU2]]</f>
        <v>9</v>
      </c>
      <c r="AP302">
        <f t="shared" si="122"/>
        <v>0.88888888888888884</v>
      </c>
      <c r="AQ302">
        <f>survey_responses[[#This Row],[Tôi thấy mức thuế tôi phải đóng theo phương án mới là công bằng (người thu nhập như tôi đóng mức này là hợp lý). - HUMAN-TRU2]]</f>
        <v>7</v>
      </c>
      <c r="AR302">
        <f t="shared" si="123"/>
        <v>0.66666666666666663</v>
      </c>
      <c r="AS302">
        <f>step3_validation[[#This Row],[AI_TRU3]]</f>
        <v>8</v>
      </c>
      <c r="AT302">
        <f t="shared" si="124"/>
        <v>0.77777777777777779</v>
      </c>
      <c r="AU302">
        <f>survey_responses[[#This Row],[Tôi tin tưởng số tiền thuế tôi đóng sẽ được Nhà nước sử dụng hiệu quả để cải thiện dịch vụ công (y tế, đường xá...). - HUMAN-TRU3]]</f>
        <v>7</v>
      </c>
      <c r="AV302">
        <f t="shared" si="125"/>
        <v>0.66666666666666663</v>
      </c>
      <c r="AW302">
        <f>step3_validation[[#This Row],[AI_TRU4]]</f>
        <v>9</v>
      </c>
      <c r="AX302">
        <f t="shared" si="126"/>
        <v>0.88888888888888884</v>
      </c>
      <c r="AY302">
        <f>survey_responses[[#This Row],[Tôi thấy Nhà nước đã giải thích rõ ràng, minh bạch về lý do và mục tiêu của việc sửa đổi thuế lần này. - HUMAN-TRU4]]</f>
        <v>6</v>
      </c>
      <c r="AZ302">
        <f t="shared" si="127"/>
        <v>0.55555555555555558</v>
      </c>
      <c r="BA302" s="32">
        <f t="shared" si="128"/>
        <v>0.83333333333333326</v>
      </c>
      <c r="BB302" s="32">
        <f t="shared" si="129"/>
        <v>0.63888888888888884</v>
      </c>
      <c r="BC302" s="7">
        <f t="shared" si="130"/>
        <v>0.87037037037037024</v>
      </c>
      <c r="BD302" s="7">
        <f t="shared" si="131"/>
        <v>0.67592592592592593</v>
      </c>
      <c r="BE302">
        <f>step3_validation[[#This Row],[AI_OUT1]]</f>
        <v>8</v>
      </c>
      <c r="BF302">
        <f t="shared" si="132"/>
        <v>0.77777777777777779</v>
      </c>
      <c r="BG302">
        <f>survey_responses[[#This Row],[Sau khi xem xét các quyền lợi và nghĩa vụ, bạn có ủng hộ và tuân thủ chính sách mới hiện nay? - HUMAN-OUT1]]</f>
        <v>7</v>
      </c>
      <c r="BH302">
        <f t="shared" si="133"/>
        <v>0.66666666666666663</v>
      </c>
      <c r="BI302" s="32">
        <f t="shared" si="134"/>
        <v>1</v>
      </c>
    </row>
    <row r="303" spans="1:61" x14ac:dyDescent="0.45">
      <c r="A303" s="30">
        <f>step3_validation[[#This Row],[Persona_ID]]</f>
        <v>302</v>
      </c>
      <c r="B303" s="31">
        <f>step3_validation[[#This Row],[Used_Seed]]</f>
        <v>2292</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25.452016522366868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7</v>
      </c>
      <c r="R303">
        <f t="shared" si="108"/>
        <v>0.66666666666666663</v>
      </c>
      <c r="S303">
        <f>survey_responses[[#This Row],[Tôi tin rằng với các quy định quản lý thuế hiện nay, hành vi gian lận hoặc trốn thuế sẽ dễ dàng bị phát hiện và xử lý nghiêm. - HUMAN-ENF1]]</f>
        <v>7</v>
      </c>
      <c r="T303">
        <f t="shared" si="109"/>
        <v>0.66666666666666663</v>
      </c>
      <c r="U303">
        <f>step3_validation[[#This Row],[AI_ENF2]]</f>
        <v>8</v>
      </c>
      <c r="V303">
        <f t="shared" si="110"/>
        <v>0.77777777777777779</v>
      </c>
      <c r="W303">
        <f>survey_responses[[#This Row],[Tôi tin rằng Nhà nước, cơ quan thuế có đủ khả năng và công nghệ để phát hiện, xử lý nghiêm các hành vi trốn thuế. - HUMAN-ENF2]]</f>
        <v>7</v>
      </c>
      <c r="X303">
        <f t="shared" si="111"/>
        <v>0.66666666666666663</v>
      </c>
      <c r="Y303" s="32">
        <f t="shared" si="112"/>
        <v>0.72222222222222221</v>
      </c>
      <c r="Z303" s="32">
        <f t="shared" si="113"/>
        <v>0.66666666666666663</v>
      </c>
      <c r="AA303">
        <f>step3_validation[[#This Row],[AI_FAC1]]</f>
        <v>9</v>
      </c>
      <c r="AB303">
        <f t="shared" si="114"/>
        <v>0.88888888888888884</v>
      </c>
      <c r="AC303">
        <f>survey_responses[[#This Row],[Các thủ tục khai báo thuế VÀ/HOẶC quy trình làm việc với cơ quan thuế đơn giản, tiện lợi, nhanh chóng hơn so với trước đây. - HUMAN-FAC1]]</f>
        <v>4</v>
      </c>
      <c r="AD303">
        <f t="shared" si="115"/>
        <v>0.33333333333333331</v>
      </c>
      <c r="AE303">
        <f>step3_validation[[#This Row],[AI_FAC2]]</f>
        <v>8</v>
      </c>
      <c r="AF303">
        <f t="shared" si="116"/>
        <v>0.77777777777777779</v>
      </c>
      <c r="AG303">
        <f>survey_responses[[#This Row],[So với trước đây, tôi thấy cách tính thuế và các bậc thuế trong phương án mới đơn giản, dễ hiểu và dễ thực hiện hơn. - HUMAN-FAC2]]</f>
        <v>8</v>
      </c>
      <c r="AH303">
        <f t="shared" si="117"/>
        <v>0.77777777777777779</v>
      </c>
      <c r="AI303" s="32">
        <f t="shared" si="118"/>
        <v>0.83333333333333326</v>
      </c>
      <c r="AJ303" s="32">
        <f t="shared" si="119"/>
        <v>0.55555555555555558</v>
      </c>
      <c r="AK303">
        <f>step3_validation[[#This Row],[AI_TRU1]]</f>
        <v>9</v>
      </c>
      <c r="AL303">
        <f t="shared" si="120"/>
        <v>0.88888888888888884</v>
      </c>
      <c r="AM303">
        <f>survey_responses[[#This Row],[Tôi tin rằng Nhà nước, cơ quan thuế sẽ thực thi chính sách mới một cách khách quan, công tâm và đối xử bình đẳng với mọi người nộp thuế.  - HUMAN-TRU1]]</f>
        <v>7</v>
      </c>
      <c r="AN303">
        <f t="shared" si="121"/>
        <v>0.66666666666666663</v>
      </c>
      <c r="AO303">
        <f>step3_validation[[#This Row],[AI_TRU2]]</f>
        <v>8</v>
      </c>
      <c r="AP303">
        <f t="shared" si="122"/>
        <v>0.77777777777777779</v>
      </c>
      <c r="AQ303">
        <f>survey_responses[[#This Row],[Tôi thấy mức thuế tôi phải đóng theo phương án mới là công bằng (người thu nhập như tôi đóng mức này là hợp lý). - HUMAN-TRU2]]</f>
        <v>7</v>
      </c>
      <c r="AR303">
        <f t="shared" si="123"/>
        <v>0.66666666666666663</v>
      </c>
      <c r="AS303">
        <f>step3_validation[[#This Row],[AI_TRU3]]</f>
        <v>7</v>
      </c>
      <c r="AT303">
        <f t="shared" si="124"/>
        <v>0.66666666666666663</v>
      </c>
      <c r="AU303">
        <f>survey_responses[[#This Row],[Tôi tin tưởng số tiền thuế tôi đóng sẽ được Nhà nước sử dụng hiệu quả để cải thiện dịch vụ công (y tế, đường xá...). - HUMAN-TRU3]]</f>
        <v>5</v>
      </c>
      <c r="AV303">
        <f t="shared" si="125"/>
        <v>0.44444444444444442</v>
      </c>
      <c r="AW303">
        <f>step3_validation[[#This Row],[AI_TRU4]]</f>
        <v>9</v>
      </c>
      <c r="AX303">
        <f t="shared" si="126"/>
        <v>0.88888888888888884</v>
      </c>
      <c r="AY303">
        <f>survey_responses[[#This Row],[Tôi thấy Nhà nước đã giải thích rõ ràng, minh bạch về lý do và mục tiêu của việc sửa đổi thuế lần này. - HUMAN-TRU4]]</f>
        <v>5</v>
      </c>
      <c r="AZ303">
        <f t="shared" si="127"/>
        <v>0.44444444444444442</v>
      </c>
      <c r="BA303" s="32">
        <f t="shared" si="128"/>
        <v>0.80555555555555547</v>
      </c>
      <c r="BB303" s="32">
        <f t="shared" si="129"/>
        <v>0.55555555555555558</v>
      </c>
      <c r="BC303" s="7">
        <f t="shared" si="130"/>
        <v>0.78703703703703687</v>
      </c>
      <c r="BD303" s="7">
        <f t="shared" si="131"/>
        <v>0.59259259259259267</v>
      </c>
      <c r="BE303">
        <f>step3_validation[[#This Row],[AI_OUT1]]</f>
        <v>8</v>
      </c>
      <c r="BF303">
        <f t="shared" si="132"/>
        <v>0.77777777777777779</v>
      </c>
      <c r="BG303">
        <f>survey_responses[[#This Row],[Sau khi xem xét các quyền lợi và nghĩa vụ, bạn có ủng hộ và tuân thủ chính sách mới hiện nay? - HUMAN-OUT1]]</f>
        <v>7</v>
      </c>
      <c r="BH303">
        <f t="shared" si="133"/>
        <v>0.66666666666666663</v>
      </c>
      <c r="BI303" s="32">
        <f t="shared" si="134"/>
        <v>1</v>
      </c>
    </row>
    <row r="304" spans="1:61" x14ac:dyDescent="0.45">
      <c r="A304" s="30">
        <f>step3_validation[[#This Row],[Persona_ID]]</f>
        <v>303</v>
      </c>
      <c r="B304" s="31">
        <f>step3_validation[[#This Row],[Used_Seed]]</f>
        <v>2293</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24.634858690807217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6</v>
      </c>
      <c r="R304">
        <f t="shared" si="108"/>
        <v>0.55555555555555558</v>
      </c>
      <c r="S304">
        <f>survey_responses[[#This Row],[Tôi tin rằng với các quy định quản lý thuế hiện nay, hành vi gian lận hoặc trốn thuế sẽ dễ dàng bị phát hiện và xử lý nghiêm. - HUMAN-ENF1]]</f>
        <v>6</v>
      </c>
      <c r="T304">
        <f t="shared" si="109"/>
        <v>0.55555555555555558</v>
      </c>
      <c r="U304">
        <f>step3_validation[[#This Row],[AI_ENF2]]</f>
        <v>5</v>
      </c>
      <c r="V304">
        <f t="shared" si="110"/>
        <v>0.44444444444444442</v>
      </c>
      <c r="W304">
        <f>survey_responses[[#This Row],[Tôi tin rằng Nhà nước, cơ quan thuế có đủ khả năng và công nghệ để phát hiện, xử lý nghiêm các hành vi trốn thuế. - HUMAN-ENF2]]</f>
        <v>10</v>
      </c>
      <c r="X304">
        <f t="shared" si="111"/>
        <v>1</v>
      </c>
      <c r="Y304" s="32">
        <f t="shared" si="112"/>
        <v>0.5</v>
      </c>
      <c r="Z304" s="32">
        <f t="shared" si="113"/>
        <v>0.77777777777777779</v>
      </c>
      <c r="AA304">
        <f>step3_validation[[#This Row],[AI_FAC1]]</f>
        <v>7</v>
      </c>
      <c r="AB304">
        <f t="shared" si="114"/>
        <v>0.66666666666666663</v>
      </c>
      <c r="AC304">
        <f>survey_responses[[#This Row],[Các thủ tục khai báo thuế VÀ/HOẶC quy trình làm việc với cơ quan thuế đơn giản, tiện lợi, nhanh chóng hơn so với trước đây. - HUMAN-FAC1]]</f>
        <v>5</v>
      </c>
      <c r="AD304">
        <f t="shared" si="115"/>
        <v>0.44444444444444442</v>
      </c>
      <c r="AE304">
        <f>step3_validation[[#This Row],[AI_FAC2]]</f>
        <v>8</v>
      </c>
      <c r="AF304">
        <f t="shared" si="116"/>
        <v>0.77777777777777779</v>
      </c>
      <c r="AG304">
        <f>survey_responses[[#This Row],[So với trước đây, tôi thấy cách tính thuế và các bậc thuế trong phương án mới đơn giản, dễ hiểu và dễ thực hiện hơn. - HUMAN-FAC2]]</f>
        <v>4</v>
      </c>
      <c r="AH304">
        <f t="shared" si="117"/>
        <v>0.33333333333333331</v>
      </c>
      <c r="AI304" s="32">
        <f t="shared" si="118"/>
        <v>0.72222222222222221</v>
      </c>
      <c r="AJ304" s="32">
        <f t="shared" si="119"/>
        <v>0.38888888888888884</v>
      </c>
      <c r="AK304">
        <f>step3_validation[[#This Row],[AI_TRU1]]</f>
        <v>6</v>
      </c>
      <c r="AL304">
        <f t="shared" si="120"/>
        <v>0.55555555555555558</v>
      </c>
      <c r="AM304">
        <f>survey_responses[[#This Row],[Tôi tin rằng Nhà nước, cơ quan thuế sẽ thực thi chính sách mới một cách khách quan, công tâm và đối xử bình đẳng với mọi người nộp thuế.  - HUMAN-TRU1]]</f>
        <v>3</v>
      </c>
      <c r="AN304">
        <f t="shared" si="121"/>
        <v>0.22222222222222221</v>
      </c>
      <c r="AO304">
        <f>step3_validation[[#This Row],[AI_TRU2]]</f>
        <v>8</v>
      </c>
      <c r="AP304">
        <f t="shared" si="122"/>
        <v>0.77777777777777779</v>
      </c>
      <c r="AQ304">
        <f>survey_responses[[#This Row],[Tôi thấy mức thuế tôi phải đóng theo phương án mới là công bằng (người thu nhập như tôi đóng mức này là hợp lý). - HUMAN-TRU2]]</f>
        <v>7</v>
      </c>
      <c r="AR304">
        <f t="shared" si="123"/>
        <v>0.66666666666666663</v>
      </c>
      <c r="AS304">
        <f>step3_validation[[#This Row],[AI_TRU3]]</f>
        <v>6</v>
      </c>
      <c r="AT304">
        <f t="shared" si="124"/>
        <v>0.55555555555555558</v>
      </c>
      <c r="AU304">
        <f>survey_responses[[#This Row],[Tôi tin tưởng số tiền thuế tôi đóng sẽ được Nhà nước sử dụng hiệu quả để cải thiện dịch vụ công (y tế, đường xá...). - HUMAN-TRU3]]</f>
        <v>4</v>
      </c>
      <c r="AV304">
        <f t="shared" si="125"/>
        <v>0.33333333333333331</v>
      </c>
      <c r="AW304">
        <f>step3_validation[[#This Row],[AI_TRU4]]</f>
        <v>7</v>
      </c>
      <c r="AX304">
        <f t="shared" si="126"/>
        <v>0.66666666666666663</v>
      </c>
      <c r="AY304">
        <f>survey_responses[[#This Row],[Tôi thấy Nhà nước đã giải thích rõ ràng, minh bạch về lý do và mục tiêu của việc sửa đổi thuế lần này. - HUMAN-TRU4]]</f>
        <v>4</v>
      </c>
      <c r="AZ304">
        <f t="shared" si="127"/>
        <v>0.33333333333333331</v>
      </c>
      <c r="BA304" s="32">
        <f t="shared" si="128"/>
        <v>0.63888888888888895</v>
      </c>
      <c r="BB304" s="32">
        <f t="shared" si="129"/>
        <v>0.38888888888888884</v>
      </c>
      <c r="BC304" s="7">
        <f t="shared" si="130"/>
        <v>0.62037037037037035</v>
      </c>
      <c r="BD304" s="7">
        <f t="shared" si="131"/>
        <v>0.51851851851851849</v>
      </c>
      <c r="BE304">
        <f>step3_validation[[#This Row],[AI_OUT1]]</f>
        <v>9</v>
      </c>
      <c r="BF304">
        <f t="shared" si="132"/>
        <v>0.88888888888888884</v>
      </c>
      <c r="BG304">
        <f>survey_responses[[#This Row],[Sau khi xem xét các quyền lợi và nghĩa vụ, bạn có ủng hộ và tuân thủ chính sách mới hiện nay? - HUMAN-OUT1]]</f>
        <v>5</v>
      </c>
      <c r="BH304">
        <f t="shared" si="133"/>
        <v>0.44444444444444442</v>
      </c>
      <c r="BI304" s="32">
        <f t="shared" si="134"/>
        <v>4</v>
      </c>
    </row>
    <row r="305" spans="1:61" x14ac:dyDescent="0.45">
      <c r="A305" s="30">
        <f>step3_validation[[#This Row],[Persona_ID]]</f>
        <v>304</v>
      </c>
      <c r="B305" s="31">
        <f>step3_validation[[#This Row],[Used_Seed]]</f>
        <v>2294</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9</v>
      </c>
      <c r="R305">
        <f t="shared" si="108"/>
        <v>0.88888888888888884</v>
      </c>
      <c r="S305">
        <f>survey_responses[[#This Row],[Tôi tin rằng với các quy định quản lý thuế hiện nay, hành vi gian lận hoặc trốn thuế sẽ dễ dàng bị phát hiện và xử lý nghiêm. - HUMAN-ENF1]]</f>
        <v>10</v>
      </c>
      <c r="T305">
        <f t="shared" si="109"/>
        <v>1</v>
      </c>
      <c r="U305">
        <f>step3_validation[[#This Row],[AI_ENF2]]</f>
        <v>8</v>
      </c>
      <c r="V305">
        <f t="shared" si="110"/>
        <v>0.77777777777777779</v>
      </c>
      <c r="W305">
        <f>survey_responses[[#This Row],[Tôi tin rằng Nhà nước, cơ quan thuế có đủ khả năng và công nghệ để phát hiện, xử lý nghiêm các hành vi trốn thuế. - HUMAN-ENF2]]</f>
        <v>10</v>
      </c>
      <c r="X305">
        <f t="shared" si="111"/>
        <v>1</v>
      </c>
      <c r="Y305" s="32">
        <f t="shared" si="112"/>
        <v>0.83333333333333326</v>
      </c>
      <c r="Z305" s="32">
        <f t="shared" si="113"/>
        <v>1</v>
      </c>
      <c r="AA305">
        <f>step3_validation[[#This Row],[AI_FAC1]]</f>
        <v>9</v>
      </c>
      <c r="AB305">
        <f t="shared" si="114"/>
        <v>0.88888888888888884</v>
      </c>
      <c r="AC305">
        <f>survey_responses[[#This Row],[Các thủ tục khai báo thuế VÀ/HOẶC quy trình làm việc với cơ quan thuế đơn giản, tiện lợi, nhanh chóng hơn so với trước đây. - HUMAN-FAC1]]</f>
        <v>10</v>
      </c>
      <c r="AD305">
        <f t="shared" si="115"/>
        <v>1</v>
      </c>
      <c r="AE305">
        <f>step3_validation[[#This Row],[AI_FAC2]]</f>
        <v>8</v>
      </c>
      <c r="AF305">
        <f t="shared" si="116"/>
        <v>0.77777777777777779</v>
      </c>
      <c r="AG305">
        <f>survey_responses[[#This Row],[So với trước đây, tôi thấy cách tính thuế và các bậc thuế trong phương án mới đơn giản, dễ hiểu và dễ thực hiện hơn. - HUMAN-FAC2]]</f>
        <v>10</v>
      </c>
      <c r="AH305">
        <f t="shared" si="117"/>
        <v>1</v>
      </c>
      <c r="AI305" s="32">
        <f t="shared" si="118"/>
        <v>0.83333333333333326</v>
      </c>
      <c r="AJ305" s="32">
        <f t="shared" si="119"/>
        <v>1</v>
      </c>
      <c r="AK305">
        <f>step3_validation[[#This Row],[AI_TRU1]]</f>
        <v>9</v>
      </c>
      <c r="AL305">
        <f t="shared" si="120"/>
        <v>0.88888888888888884</v>
      </c>
      <c r="AM305">
        <f>survey_responses[[#This Row],[Tôi tin rằng Nhà nước, cơ quan thuế sẽ thực thi chính sách mới một cách khách quan, công tâm và đối xử bình đẳng với mọi người nộp thuế.  - HUMAN-TRU1]]</f>
        <v>10</v>
      </c>
      <c r="AN305">
        <f t="shared" si="121"/>
        <v>1</v>
      </c>
      <c r="AO305">
        <f>step3_validation[[#This Row],[AI_TRU2]]</f>
        <v>9</v>
      </c>
      <c r="AP305">
        <f t="shared" si="122"/>
        <v>0.88888888888888884</v>
      </c>
      <c r="AQ305">
        <f>survey_responses[[#This Row],[Tôi thấy mức thuế tôi phải đóng theo phương án mới là công bằng (người thu nhập như tôi đóng mức này là hợp lý). - HUMAN-TRU2]]</f>
        <v>10</v>
      </c>
      <c r="AR305">
        <f t="shared" si="123"/>
        <v>1</v>
      </c>
      <c r="AS305">
        <f>step3_validation[[#This Row],[AI_TRU3]]</f>
        <v>8</v>
      </c>
      <c r="AT305">
        <f t="shared" si="124"/>
        <v>0.77777777777777779</v>
      </c>
      <c r="AU305">
        <f>survey_responses[[#This Row],[Tôi tin tưởng số tiền thuế tôi đóng sẽ được Nhà nước sử dụng hiệu quả để cải thiện dịch vụ công (y tế, đường xá...). - HUMAN-TRU3]]</f>
        <v>10</v>
      </c>
      <c r="AV305">
        <f t="shared" si="125"/>
        <v>1</v>
      </c>
      <c r="AW305">
        <f>step3_validation[[#This Row],[AI_TRU4]]</f>
        <v>9</v>
      </c>
      <c r="AX305">
        <f t="shared" si="126"/>
        <v>0.88888888888888884</v>
      </c>
      <c r="AY305">
        <f>survey_responses[[#This Row],[Tôi thấy Nhà nước đã giải thích rõ ràng, minh bạch về lý do và mục tiêu của việc sửa đổi thuế lần này. - HUMAN-TRU4]]</f>
        <v>10</v>
      </c>
      <c r="AZ305">
        <f t="shared" si="127"/>
        <v>1</v>
      </c>
      <c r="BA305" s="32">
        <f t="shared" si="128"/>
        <v>0.86111111111111105</v>
      </c>
      <c r="BB305" s="32">
        <f t="shared" si="129"/>
        <v>1</v>
      </c>
      <c r="BC305" s="7">
        <f t="shared" si="130"/>
        <v>0.84259259259259256</v>
      </c>
      <c r="BD305" s="7">
        <f t="shared" si="131"/>
        <v>1</v>
      </c>
      <c r="BE305">
        <f>step3_validation[[#This Row],[AI_OUT1]]</f>
        <v>9</v>
      </c>
      <c r="BF305">
        <f t="shared" si="132"/>
        <v>0.88888888888888884</v>
      </c>
      <c r="BG305">
        <f>survey_responses[[#This Row],[Sau khi xem xét các quyền lợi và nghĩa vụ, bạn có ủng hộ và tuân thủ chính sách mới hiện nay? - HUMAN-OUT1]]</f>
        <v>10</v>
      </c>
      <c r="BH305">
        <f t="shared" si="133"/>
        <v>1</v>
      </c>
      <c r="BI305" s="32">
        <f t="shared" si="134"/>
        <v>1</v>
      </c>
    </row>
    <row r="306" spans="1:61" x14ac:dyDescent="0.45">
      <c r="A306" s="30">
        <f>step3_validation[[#This Row],[Persona_ID]]</f>
        <v>305</v>
      </c>
      <c r="B306" s="31">
        <f>step3_validation[[#This Row],[Used_Seed]]</f>
        <v>2295</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39.284181945225868</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f t="shared" si="108"/>
        <v>0.66666666666666663</v>
      </c>
      <c r="S306">
        <f>survey_responses[[#This Row],[Tôi tin rằng với các quy định quản lý thuế hiện nay, hành vi gian lận hoặc trốn thuế sẽ dễ dàng bị phát hiện và xử lý nghiêm. - HUMAN-ENF1]]</f>
        <v>7</v>
      </c>
      <c r="T306">
        <f t="shared" si="109"/>
        <v>0.66666666666666663</v>
      </c>
      <c r="U306">
        <f>step3_validation[[#This Row],[AI_ENF2]]</f>
        <v>8</v>
      </c>
      <c r="V306">
        <f t="shared" si="110"/>
        <v>0.77777777777777779</v>
      </c>
      <c r="W306">
        <f>survey_responses[[#This Row],[Tôi tin rằng Nhà nước, cơ quan thuế có đủ khả năng và công nghệ để phát hiện, xử lý nghiêm các hành vi trốn thuế. - HUMAN-ENF2]]</f>
        <v>9</v>
      </c>
      <c r="X306">
        <f t="shared" si="111"/>
        <v>0.88888888888888884</v>
      </c>
      <c r="Y306" s="32">
        <f t="shared" si="112"/>
        <v>0.72222222222222221</v>
      </c>
      <c r="Z306" s="32">
        <f t="shared" si="113"/>
        <v>0.77777777777777768</v>
      </c>
      <c r="AA306">
        <f>step3_validation[[#This Row],[AI_FAC1]]</f>
        <v>7</v>
      </c>
      <c r="AB306">
        <f t="shared" si="114"/>
        <v>0.66666666666666663</v>
      </c>
      <c r="AC306">
        <f>survey_responses[[#This Row],[Các thủ tục khai báo thuế VÀ/HOẶC quy trình làm việc với cơ quan thuế đơn giản, tiện lợi, nhanh chóng hơn so với trước đây. - HUMAN-FAC1]]</f>
        <v>8</v>
      </c>
      <c r="AD306">
        <f t="shared" si="115"/>
        <v>0.77777777777777779</v>
      </c>
      <c r="AE306">
        <f>step3_validation[[#This Row],[AI_FAC2]]</f>
        <v>9</v>
      </c>
      <c r="AF306">
        <f t="shared" si="116"/>
        <v>0.88888888888888884</v>
      </c>
      <c r="AG306">
        <f>survey_responses[[#This Row],[So với trước đây, tôi thấy cách tính thuế và các bậc thuế trong phương án mới đơn giản, dễ hiểu và dễ thực hiện hơn. - HUMAN-FAC2]]</f>
        <v>6</v>
      </c>
      <c r="AH306">
        <f t="shared" si="117"/>
        <v>0.55555555555555558</v>
      </c>
      <c r="AI306" s="32">
        <f t="shared" si="118"/>
        <v>0.77777777777777768</v>
      </c>
      <c r="AJ306" s="32">
        <f t="shared" si="119"/>
        <v>0.66666666666666674</v>
      </c>
      <c r="AK306">
        <f>step3_validation[[#This Row],[AI_TRU1]]</f>
        <v>7</v>
      </c>
      <c r="AL306">
        <f t="shared" si="120"/>
        <v>0.66666666666666663</v>
      </c>
      <c r="AM306">
        <f>survey_responses[[#This Row],[Tôi tin rằng Nhà nước, cơ quan thuế sẽ thực thi chính sách mới một cách khách quan, công tâm và đối xử bình đẳng với mọi người nộp thuế.  - HUMAN-TRU1]]</f>
        <v>5</v>
      </c>
      <c r="AN306">
        <f t="shared" si="121"/>
        <v>0.44444444444444442</v>
      </c>
      <c r="AO306">
        <f>step3_validation[[#This Row],[AI_TRU2]]</f>
        <v>9</v>
      </c>
      <c r="AP306">
        <f t="shared" si="122"/>
        <v>0.88888888888888884</v>
      </c>
      <c r="AQ306">
        <f>survey_responses[[#This Row],[Tôi thấy mức thuế tôi phải đóng theo phương án mới là công bằng (người thu nhập như tôi đóng mức này là hợp lý). - HUMAN-TRU2]]</f>
        <v>3</v>
      </c>
      <c r="AR306">
        <f t="shared" si="123"/>
        <v>0.22222222222222221</v>
      </c>
      <c r="AS306">
        <f>step3_validation[[#This Row],[AI_TRU3]]</f>
        <v>8</v>
      </c>
      <c r="AT306">
        <f t="shared" si="124"/>
        <v>0.77777777777777779</v>
      </c>
      <c r="AU306">
        <f>survey_responses[[#This Row],[Tôi tin tưởng số tiền thuế tôi đóng sẽ được Nhà nước sử dụng hiệu quả để cải thiện dịch vụ công (y tế, đường xá...). - HUMAN-TRU3]]</f>
        <v>9</v>
      </c>
      <c r="AV306">
        <f t="shared" si="125"/>
        <v>0.88888888888888884</v>
      </c>
      <c r="AW306">
        <f>step3_validation[[#This Row],[AI_TRU4]]</f>
        <v>7</v>
      </c>
      <c r="AX306">
        <f t="shared" si="126"/>
        <v>0.66666666666666663</v>
      </c>
      <c r="AY306">
        <f>survey_responses[[#This Row],[Tôi thấy Nhà nước đã giải thích rõ ràng, minh bạch về lý do và mục tiêu của việc sửa đổi thuế lần này. - HUMAN-TRU4]]</f>
        <v>3</v>
      </c>
      <c r="AZ306">
        <f t="shared" si="127"/>
        <v>0.22222222222222221</v>
      </c>
      <c r="BA306" s="32">
        <f t="shared" si="128"/>
        <v>0.74999999999999989</v>
      </c>
      <c r="BB306" s="32">
        <f t="shared" si="129"/>
        <v>0.44444444444444442</v>
      </c>
      <c r="BC306" s="7">
        <f t="shared" si="130"/>
        <v>0.75</v>
      </c>
      <c r="BD306" s="7">
        <f t="shared" si="131"/>
        <v>0.62962962962962965</v>
      </c>
      <c r="BE306">
        <f>step3_validation[[#This Row],[AI_OUT1]]</f>
        <v>9</v>
      </c>
      <c r="BF306">
        <f t="shared" si="132"/>
        <v>0.88888888888888884</v>
      </c>
      <c r="BG306">
        <f>survey_responses[[#This Row],[Sau khi xem xét các quyền lợi và nghĩa vụ, bạn có ủng hộ và tuân thủ chính sách mới hiện nay? - HUMAN-OUT1]]</f>
        <v>4</v>
      </c>
      <c r="BH306">
        <f t="shared" si="133"/>
        <v>0.33333333333333331</v>
      </c>
      <c r="BI306" s="32">
        <f t="shared" si="134"/>
        <v>5</v>
      </c>
    </row>
    <row r="307" spans="1:61" x14ac:dyDescent="0.45">
      <c r="A307" s="30">
        <f>step3_validation[[#This Row],[Persona_ID]]</f>
        <v>306</v>
      </c>
      <c r="B307" s="31">
        <f>step3_validation[[#This Row],[Used_Seed]]</f>
        <v>2296</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56.810136217068468</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f t="shared" si="108"/>
        <v>0.77777777777777779</v>
      </c>
      <c r="S307">
        <f>survey_responses[[#This Row],[Tôi tin rằng với các quy định quản lý thuế hiện nay, hành vi gian lận hoặc trốn thuế sẽ dễ dàng bị phát hiện và xử lý nghiêm. - HUMAN-ENF1]]</f>
        <v>3</v>
      </c>
      <c r="T307">
        <f t="shared" si="109"/>
        <v>0.22222222222222221</v>
      </c>
      <c r="U307">
        <f>step3_validation[[#This Row],[AI_ENF2]]</f>
        <v>7</v>
      </c>
      <c r="V307">
        <f t="shared" si="110"/>
        <v>0.66666666666666663</v>
      </c>
      <c r="W307">
        <f>survey_responses[[#This Row],[Tôi tin rằng Nhà nước, cơ quan thuế có đủ khả năng và công nghệ để phát hiện, xử lý nghiêm các hành vi trốn thuế. - HUMAN-ENF2]]</f>
        <v>8</v>
      </c>
      <c r="X307">
        <f t="shared" si="111"/>
        <v>0.77777777777777779</v>
      </c>
      <c r="Y307" s="32">
        <f t="shared" si="112"/>
        <v>0.72222222222222221</v>
      </c>
      <c r="Z307" s="32">
        <f t="shared" si="113"/>
        <v>0.5</v>
      </c>
      <c r="AA307">
        <f>step3_validation[[#This Row],[AI_FAC1]]</f>
        <v>9</v>
      </c>
      <c r="AB307">
        <f t="shared" si="114"/>
        <v>0.88888888888888884</v>
      </c>
      <c r="AC307">
        <f>survey_responses[[#This Row],[Các thủ tục khai báo thuế VÀ/HOẶC quy trình làm việc với cơ quan thuế đơn giản, tiện lợi, nhanh chóng hơn so với trước đây. - HUMAN-FAC1]]</f>
        <v>8</v>
      </c>
      <c r="AD307">
        <f t="shared" si="115"/>
        <v>0.77777777777777779</v>
      </c>
      <c r="AE307">
        <f>step3_validation[[#This Row],[AI_FAC2]]</f>
        <v>9</v>
      </c>
      <c r="AF307">
        <f t="shared" si="116"/>
        <v>0.88888888888888884</v>
      </c>
      <c r="AG307">
        <f>survey_responses[[#This Row],[So với trước đây, tôi thấy cách tính thuế và các bậc thuế trong phương án mới đơn giản, dễ hiểu và dễ thực hiện hơn. - HUMAN-FAC2]]</f>
        <v>4</v>
      </c>
      <c r="AH307">
        <f t="shared" si="117"/>
        <v>0.33333333333333331</v>
      </c>
      <c r="AI307" s="32">
        <f t="shared" si="118"/>
        <v>0.88888888888888884</v>
      </c>
      <c r="AJ307" s="32">
        <f t="shared" si="119"/>
        <v>0.55555555555555558</v>
      </c>
      <c r="AK307">
        <f>step3_validation[[#This Row],[AI_TRU1]]</f>
        <v>8</v>
      </c>
      <c r="AL307">
        <f t="shared" si="120"/>
        <v>0.77777777777777779</v>
      </c>
      <c r="AM307">
        <f>survey_responses[[#This Row],[Tôi tin rằng Nhà nước, cơ quan thuế sẽ thực thi chính sách mới một cách khách quan, công tâm và đối xử bình đẳng với mọi người nộp thuế.  - HUMAN-TRU1]]</f>
        <v>4</v>
      </c>
      <c r="AN307">
        <f t="shared" si="121"/>
        <v>0.33333333333333331</v>
      </c>
      <c r="AO307">
        <f>step3_validation[[#This Row],[AI_TRU2]]</f>
        <v>7</v>
      </c>
      <c r="AP307">
        <f t="shared" si="122"/>
        <v>0.66666666666666663</v>
      </c>
      <c r="AQ307">
        <f>survey_responses[[#This Row],[Tôi thấy mức thuế tôi phải đóng theo phương án mới là công bằng (người thu nhập như tôi đóng mức này là hợp lý). - HUMAN-TRU2]]</f>
        <v>3</v>
      </c>
      <c r="AR307">
        <f t="shared" si="123"/>
        <v>0.22222222222222221</v>
      </c>
      <c r="AS307">
        <f>step3_validation[[#This Row],[AI_TRU3]]</f>
        <v>8</v>
      </c>
      <c r="AT307">
        <f t="shared" si="124"/>
        <v>0.77777777777777779</v>
      </c>
      <c r="AU307">
        <f>survey_responses[[#This Row],[Tôi tin tưởng số tiền thuế tôi đóng sẽ được Nhà nước sử dụng hiệu quả để cải thiện dịch vụ công (y tế, đường xá...). - HUMAN-TRU3]]</f>
        <v>7</v>
      </c>
      <c r="AV307">
        <f t="shared" si="125"/>
        <v>0.66666666666666663</v>
      </c>
      <c r="AW307">
        <f>step3_validation[[#This Row],[AI_TRU4]]</f>
        <v>6</v>
      </c>
      <c r="AX307">
        <f t="shared" si="126"/>
        <v>0.55555555555555558</v>
      </c>
      <c r="AY307">
        <f>survey_responses[[#This Row],[Tôi thấy Nhà nước đã giải thích rõ ràng, minh bạch về lý do và mục tiêu của việc sửa đổi thuế lần này. - HUMAN-TRU4]]</f>
        <v>5</v>
      </c>
      <c r="AZ307">
        <f t="shared" si="127"/>
        <v>0.44444444444444442</v>
      </c>
      <c r="BA307" s="32">
        <f t="shared" si="128"/>
        <v>0.69444444444444442</v>
      </c>
      <c r="BB307" s="32">
        <f t="shared" si="129"/>
        <v>0.41666666666666669</v>
      </c>
      <c r="BC307" s="7">
        <f t="shared" si="130"/>
        <v>0.76851851851851849</v>
      </c>
      <c r="BD307" s="7">
        <f t="shared" si="131"/>
        <v>0.49074074074074076</v>
      </c>
      <c r="BE307">
        <f>step3_validation[[#This Row],[AI_OUT1]]</f>
        <v>9</v>
      </c>
      <c r="BF307">
        <f t="shared" si="132"/>
        <v>0.88888888888888884</v>
      </c>
      <c r="BG307">
        <f>survey_responses[[#This Row],[Sau khi xem xét các quyền lợi và nghĩa vụ, bạn có ủng hộ và tuân thủ chính sách mới hiện nay? - HUMAN-OUT1]]</f>
        <v>5</v>
      </c>
      <c r="BH307">
        <f t="shared" si="133"/>
        <v>0.44444444444444442</v>
      </c>
      <c r="BI307" s="32">
        <f t="shared" si="134"/>
        <v>4</v>
      </c>
    </row>
    <row r="308" spans="1:61" x14ac:dyDescent="0.45">
      <c r="A308" s="30">
        <f>step3_validation[[#This Row],[Persona_ID]]</f>
        <v>307</v>
      </c>
      <c r="B308" s="31">
        <f>step3_validation[[#This Row],[Used_Seed]]</f>
        <v>2297</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14.954634857941985</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f t="shared" si="108"/>
        <v>0.55555555555555558</v>
      </c>
      <c r="S308">
        <f>survey_responses[[#This Row],[Tôi tin rằng với các quy định quản lý thuế hiện nay, hành vi gian lận hoặc trốn thuế sẽ dễ dàng bị phát hiện và xử lý nghiêm. - HUMAN-ENF1]]</f>
        <v>2</v>
      </c>
      <c r="T308">
        <f t="shared" si="109"/>
        <v>0.1111111111111111</v>
      </c>
      <c r="U308">
        <f>step3_validation[[#This Row],[AI_ENF2]]</f>
        <v>5</v>
      </c>
      <c r="V308">
        <f t="shared" si="110"/>
        <v>0.44444444444444442</v>
      </c>
      <c r="W308">
        <f>survey_responses[[#This Row],[Tôi tin rằng Nhà nước, cơ quan thuế có đủ khả năng và công nghệ để phát hiện, xử lý nghiêm các hành vi trốn thuế. - HUMAN-ENF2]]</f>
        <v>2</v>
      </c>
      <c r="X308">
        <f t="shared" si="111"/>
        <v>0.1111111111111111</v>
      </c>
      <c r="Y308" s="32">
        <f t="shared" si="112"/>
        <v>0.5</v>
      </c>
      <c r="Z308" s="32">
        <f t="shared" si="113"/>
        <v>0.1111111111111111</v>
      </c>
      <c r="AA308">
        <f>step3_validation[[#This Row],[AI_FAC1]]</f>
        <v>9</v>
      </c>
      <c r="AB308">
        <f t="shared" si="114"/>
        <v>0.88888888888888884</v>
      </c>
      <c r="AC308">
        <f>survey_responses[[#This Row],[Các thủ tục khai báo thuế VÀ/HOẶC quy trình làm việc với cơ quan thuế đơn giản, tiện lợi, nhanh chóng hơn so với trước đây. - HUMAN-FAC1]]</f>
        <v>2</v>
      </c>
      <c r="AD308">
        <f t="shared" si="115"/>
        <v>0.1111111111111111</v>
      </c>
      <c r="AE308">
        <f>step3_validation[[#This Row],[AI_FAC2]]</f>
        <v>8</v>
      </c>
      <c r="AF308">
        <f t="shared" si="116"/>
        <v>0.77777777777777779</v>
      </c>
      <c r="AG308">
        <f>survey_responses[[#This Row],[So với trước đây, tôi thấy cách tính thuế và các bậc thuế trong phương án mới đơn giản, dễ hiểu và dễ thực hiện hơn. - HUMAN-FAC2]]</f>
        <v>1</v>
      </c>
      <c r="AH308">
        <f t="shared" si="117"/>
        <v>0</v>
      </c>
      <c r="AI308" s="32">
        <f t="shared" si="118"/>
        <v>0.83333333333333326</v>
      </c>
      <c r="AJ308" s="32">
        <f t="shared" si="119"/>
        <v>5.5555555555555552E-2</v>
      </c>
      <c r="AK308">
        <f>step3_validation[[#This Row],[AI_TRU1]]</f>
        <v>7</v>
      </c>
      <c r="AL308">
        <f t="shared" si="120"/>
        <v>0.66666666666666663</v>
      </c>
      <c r="AM308">
        <f>survey_responses[[#This Row],[Tôi tin rằng Nhà nước, cơ quan thuế sẽ thực thi chính sách mới một cách khách quan, công tâm và đối xử bình đẳng với mọi người nộp thuế.  - HUMAN-TRU1]]</f>
        <v>2</v>
      </c>
      <c r="AN308">
        <f t="shared" si="121"/>
        <v>0.1111111111111111</v>
      </c>
      <c r="AO308">
        <f>step3_validation[[#This Row],[AI_TRU2]]</f>
        <v>8</v>
      </c>
      <c r="AP308">
        <f t="shared" si="122"/>
        <v>0.77777777777777779</v>
      </c>
      <c r="AQ308">
        <f>survey_responses[[#This Row],[Tôi thấy mức thuế tôi phải đóng theo phương án mới là công bằng (người thu nhập như tôi đóng mức này là hợp lý). - HUMAN-TRU2]]</f>
        <v>2</v>
      </c>
      <c r="AR308">
        <f t="shared" si="123"/>
        <v>0.1111111111111111</v>
      </c>
      <c r="AS308">
        <f>step3_validation[[#This Row],[AI_TRU3]]</f>
        <v>9</v>
      </c>
      <c r="AT308">
        <f t="shared" si="124"/>
        <v>0.88888888888888884</v>
      </c>
      <c r="AU308">
        <f>survey_responses[[#This Row],[Tôi tin tưởng số tiền thuế tôi đóng sẽ được Nhà nước sử dụng hiệu quả để cải thiện dịch vụ công (y tế, đường xá...). - HUMAN-TRU3]]</f>
        <v>2</v>
      </c>
      <c r="AV308">
        <f t="shared" si="125"/>
        <v>0.1111111111111111</v>
      </c>
      <c r="AW308">
        <f>step3_validation[[#This Row],[AI_TRU4]]</f>
        <v>7</v>
      </c>
      <c r="AX308">
        <f t="shared" si="126"/>
        <v>0.66666666666666663</v>
      </c>
      <c r="AY308">
        <f>survey_responses[[#This Row],[Tôi thấy Nhà nước đã giải thích rõ ràng, minh bạch về lý do và mục tiêu của việc sửa đổi thuế lần này. - HUMAN-TRU4]]</f>
        <v>2</v>
      </c>
      <c r="AZ308">
        <f t="shared" si="127"/>
        <v>0.1111111111111111</v>
      </c>
      <c r="BA308" s="32">
        <f t="shared" si="128"/>
        <v>0.74999999999999989</v>
      </c>
      <c r="BB308" s="32">
        <f t="shared" si="129"/>
        <v>0.1111111111111111</v>
      </c>
      <c r="BC308" s="7">
        <f t="shared" si="130"/>
        <v>0.69444444444444431</v>
      </c>
      <c r="BD308" s="7">
        <f t="shared" si="131"/>
        <v>9.2592592592592601E-2</v>
      </c>
      <c r="BE308">
        <f>step3_validation[[#This Row],[AI_OUT1]]</f>
        <v>9</v>
      </c>
      <c r="BF308">
        <f t="shared" si="132"/>
        <v>0.88888888888888884</v>
      </c>
      <c r="BG308">
        <f>survey_responses[[#This Row],[Sau khi xem xét các quyền lợi và nghĩa vụ, bạn có ủng hộ và tuân thủ chính sách mới hiện nay? - HUMAN-OUT1]]</f>
        <v>2</v>
      </c>
      <c r="BH308">
        <f t="shared" si="133"/>
        <v>0.1111111111111111</v>
      </c>
      <c r="BI308" s="32">
        <f t="shared" si="134"/>
        <v>7</v>
      </c>
    </row>
    <row r="309" spans="1:61" x14ac:dyDescent="0.45">
      <c r="A309" s="30">
        <f>step3_validation[[#This Row],[Persona_ID]]</f>
        <v>308</v>
      </c>
      <c r="B309" s="31">
        <f>step3_validation[[#This Row],[Used_Seed]]</f>
        <v>2298</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184.79089577465027</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7</v>
      </c>
      <c r="R309">
        <f t="shared" si="108"/>
        <v>0.66666666666666663</v>
      </c>
      <c r="S309">
        <f>survey_responses[[#This Row],[Tôi tin rằng với các quy định quản lý thuế hiện nay, hành vi gian lận hoặc trốn thuế sẽ dễ dàng bị phát hiện và xử lý nghiêm. - HUMAN-ENF1]]</f>
        <v>10</v>
      </c>
      <c r="T309">
        <f t="shared" si="109"/>
        <v>1</v>
      </c>
      <c r="U309">
        <f>step3_validation[[#This Row],[AI_ENF2]]</f>
        <v>8</v>
      </c>
      <c r="V309">
        <f t="shared" si="110"/>
        <v>0.77777777777777779</v>
      </c>
      <c r="W309">
        <f>survey_responses[[#This Row],[Tôi tin rằng Nhà nước, cơ quan thuế có đủ khả năng và công nghệ để phát hiện, xử lý nghiêm các hành vi trốn thuế. - HUMAN-ENF2]]</f>
        <v>8</v>
      </c>
      <c r="X309">
        <f t="shared" si="111"/>
        <v>0.77777777777777779</v>
      </c>
      <c r="Y309" s="32">
        <f t="shared" si="112"/>
        <v>0.72222222222222221</v>
      </c>
      <c r="Z309" s="32">
        <f t="shared" si="113"/>
        <v>0.88888888888888884</v>
      </c>
      <c r="AA309">
        <f>step3_validation[[#This Row],[AI_FAC1]]</f>
        <v>9</v>
      </c>
      <c r="AB309">
        <f t="shared" si="114"/>
        <v>0.88888888888888884</v>
      </c>
      <c r="AC309">
        <f>survey_responses[[#This Row],[Các thủ tục khai báo thuế VÀ/HOẶC quy trình làm việc với cơ quan thuế đơn giản, tiện lợi, nhanh chóng hơn so với trước đây. - HUMAN-FAC1]]</f>
        <v>8</v>
      </c>
      <c r="AD309">
        <f t="shared" si="115"/>
        <v>0.77777777777777779</v>
      </c>
      <c r="AE309">
        <f>step3_validation[[#This Row],[AI_FAC2]]</f>
        <v>9</v>
      </c>
      <c r="AF309">
        <f t="shared" si="116"/>
        <v>0.88888888888888884</v>
      </c>
      <c r="AG309">
        <f>survey_responses[[#This Row],[So với trước đây, tôi thấy cách tính thuế và các bậc thuế trong phương án mới đơn giản, dễ hiểu và dễ thực hiện hơn. - HUMAN-FAC2]]</f>
        <v>8</v>
      </c>
      <c r="AH309">
        <f t="shared" si="117"/>
        <v>0.77777777777777779</v>
      </c>
      <c r="AI309" s="32">
        <f t="shared" si="118"/>
        <v>0.88888888888888884</v>
      </c>
      <c r="AJ309" s="32">
        <f t="shared" si="119"/>
        <v>0.77777777777777779</v>
      </c>
      <c r="AK309">
        <f>step3_validation[[#This Row],[AI_TRU1]]</f>
        <v>8</v>
      </c>
      <c r="AL309">
        <f t="shared" si="120"/>
        <v>0.77777777777777779</v>
      </c>
      <c r="AM309">
        <f>survey_responses[[#This Row],[Tôi tin rằng Nhà nước, cơ quan thuế sẽ thực thi chính sách mới một cách khách quan, công tâm và đối xử bình đẳng với mọi người nộp thuế.  - HUMAN-TRU1]]</f>
        <v>10</v>
      </c>
      <c r="AN309">
        <f t="shared" si="121"/>
        <v>1</v>
      </c>
      <c r="AO309">
        <f>step3_validation[[#This Row],[AI_TRU2]]</f>
        <v>7</v>
      </c>
      <c r="AP309">
        <f t="shared" si="122"/>
        <v>0.66666666666666663</v>
      </c>
      <c r="AQ309">
        <f>survey_responses[[#This Row],[Tôi thấy mức thuế tôi phải đóng theo phương án mới là công bằng (người thu nhập như tôi đóng mức này là hợp lý). - HUMAN-TRU2]]</f>
        <v>10</v>
      </c>
      <c r="AR309">
        <f t="shared" si="123"/>
        <v>1</v>
      </c>
      <c r="AS309">
        <f>step3_validation[[#This Row],[AI_TRU3]]</f>
        <v>8</v>
      </c>
      <c r="AT309">
        <f t="shared" si="124"/>
        <v>0.77777777777777779</v>
      </c>
      <c r="AU309">
        <f>survey_responses[[#This Row],[Tôi tin tưởng số tiền thuế tôi đóng sẽ được Nhà nước sử dụng hiệu quả để cải thiện dịch vụ công (y tế, đường xá...). - HUMAN-TRU3]]</f>
        <v>6</v>
      </c>
      <c r="AV309">
        <f t="shared" si="125"/>
        <v>0.55555555555555558</v>
      </c>
      <c r="AW309">
        <f>step3_validation[[#This Row],[AI_TRU4]]</f>
        <v>7</v>
      </c>
      <c r="AX309">
        <f t="shared" si="126"/>
        <v>0.66666666666666663</v>
      </c>
      <c r="AY309">
        <f>survey_responses[[#This Row],[Tôi thấy Nhà nước đã giải thích rõ ràng, minh bạch về lý do và mục tiêu của việc sửa đổi thuế lần này. - HUMAN-TRU4]]</f>
        <v>8</v>
      </c>
      <c r="AZ309">
        <f t="shared" si="127"/>
        <v>0.77777777777777779</v>
      </c>
      <c r="BA309" s="32">
        <f t="shared" si="128"/>
        <v>0.72222222222222221</v>
      </c>
      <c r="BB309" s="32">
        <f t="shared" si="129"/>
        <v>0.83333333333333326</v>
      </c>
      <c r="BC309" s="7">
        <f t="shared" si="130"/>
        <v>0.77777777777777779</v>
      </c>
      <c r="BD309" s="7">
        <f t="shared" si="131"/>
        <v>0.83333333333333337</v>
      </c>
      <c r="BE309">
        <f>step3_validation[[#This Row],[AI_OUT1]]</f>
        <v>9</v>
      </c>
      <c r="BF309">
        <f t="shared" si="132"/>
        <v>0.88888888888888884</v>
      </c>
      <c r="BG309">
        <f>survey_responses[[#This Row],[Sau khi xem xét các quyền lợi và nghĩa vụ, bạn có ủng hộ và tuân thủ chính sách mới hiện nay? - HUMAN-OUT1]]</f>
        <v>8</v>
      </c>
      <c r="BH309">
        <f t="shared" si="133"/>
        <v>0.77777777777777779</v>
      </c>
      <c r="BI309" s="32">
        <f t="shared" si="134"/>
        <v>1</v>
      </c>
    </row>
    <row r="310" spans="1:61" x14ac:dyDescent="0.45">
      <c r="A310" s="30">
        <f>step3_validation[[#This Row],[Persona_ID]]</f>
        <v>309</v>
      </c>
      <c r="B310" s="31">
        <f>step3_validation[[#This Row],[Used_Seed]]</f>
        <v>2299</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50.676369719896847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6</v>
      </c>
      <c r="R310">
        <f t="shared" si="108"/>
        <v>0.55555555555555558</v>
      </c>
      <c r="S310">
        <f>survey_responses[[#This Row],[Tôi tin rằng với các quy định quản lý thuế hiện nay, hành vi gian lận hoặc trốn thuế sẽ dễ dàng bị phát hiện và xử lý nghiêm. - HUMAN-ENF1]]</f>
        <v>10</v>
      </c>
      <c r="T310">
        <f t="shared" si="109"/>
        <v>1</v>
      </c>
      <c r="U310">
        <f>step3_validation[[#This Row],[AI_ENF2]]</f>
        <v>7</v>
      </c>
      <c r="V310">
        <f t="shared" si="110"/>
        <v>0.66666666666666663</v>
      </c>
      <c r="W310">
        <f>survey_responses[[#This Row],[Tôi tin rằng Nhà nước, cơ quan thuế có đủ khả năng và công nghệ để phát hiện, xử lý nghiêm các hành vi trốn thuế. - HUMAN-ENF2]]</f>
        <v>10</v>
      </c>
      <c r="X310">
        <f t="shared" si="111"/>
        <v>1</v>
      </c>
      <c r="Y310" s="32">
        <f t="shared" si="112"/>
        <v>0.61111111111111116</v>
      </c>
      <c r="Z310" s="32">
        <f t="shared" si="113"/>
        <v>1</v>
      </c>
      <c r="AA310">
        <f>step3_validation[[#This Row],[AI_FAC1]]</f>
        <v>8</v>
      </c>
      <c r="AB310">
        <f t="shared" si="114"/>
        <v>0.77777777777777779</v>
      </c>
      <c r="AC310">
        <f>survey_responses[[#This Row],[Các thủ tục khai báo thuế VÀ/HOẶC quy trình làm việc với cơ quan thuế đơn giản, tiện lợi, nhanh chóng hơn so với trước đây. - HUMAN-FAC1]]</f>
        <v>10</v>
      </c>
      <c r="AD310">
        <f t="shared" si="115"/>
        <v>1</v>
      </c>
      <c r="AE310">
        <f>step3_validation[[#This Row],[AI_FAC2]]</f>
        <v>9</v>
      </c>
      <c r="AF310">
        <f t="shared" si="116"/>
        <v>0.88888888888888884</v>
      </c>
      <c r="AG310">
        <f>survey_responses[[#This Row],[So với trước đây, tôi thấy cách tính thuế và các bậc thuế trong phương án mới đơn giản, dễ hiểu và dễ thực hiện hơn. - HUMAN-FAC2]]</f>
        <v>10</v>
      </c>
      <c r="AH310">
        <f t="shared" si="117"/>
        <v>1</v>
      </c>
      <c r="AI310" s="32">
        <f t="shared" si="118"/>
        <v>0.83333333333333326</v>
      </c>
      <c r="AJ310" s="32">
        <f t="shared" si="119"/>
        <v>1</v>
      </c>
      <c r="AK310">
        <f>step3_validation[[#This Row],[AI_TRU1]]</f>
        <v>8</v>
      </c>
      <c r="AL310">
        <f t="shared" si="120"/>
        <v>0.77777777777777779</v>
      </c>
      <c r="AM310">
        <f>survey_responses[[#This Row],[Tôi tin rằng Nhà nước, cơ quan thuế sẽ thực thi chính sách mới một cách khách quan, công tâm và đối xử bình đẳng với mọi người nộp thuế.  - HUMAN-TRU1]]</f>
        <v>10</v>
      </c>
      <c r="AN310">
        <f t="shared" si="121"/>
        <v>1</v>
      </c>
      <c r="AO310">
        <f>step3_validation[[#This Row],[AI_TRU2]]</f>
        <v>9</v>
      </c>
      <c r="AP310">
        <f t="shared" si="122"/>
        <v>0.88888888888888884</v>
      </c>
      <c r="AQ310">
        <f>survey_responses[[#This Row],[Tôi thấy mức thuế tôi phải đóng theo phương án mới là công bằng (người thu nhập như tôi đóng mức này là hợp lý). - HUMAN-TRU2]]</f>
        <v>9</v>
      </c>
      <c r="AR310">
        <f t="shared" si="123"/>
        <v>0.88888888888888884</v>
      </c>
      <c r="AS310">
        <f>step3_validation[[#This Row],[AI_TRU3]]</f>
        <v>8</v>
      </c>
      <c r="AT310">
        <f t="shared" si="124"/>
        <v>0.77777777777777779</v>
      </c>
      <c r="AU310">
        <f>survey_responses[[#This Row],[Tôi tin tưởng số tiền thuế tôi đóng sẽ được Nhà nước sử dụng hiệu quả để cải thiện dịch vụ công (y tế, đường xá...). - HUMAN-TRU3]]</f>
        <v>9</v>
      </c>
      <c r="AV310">
        <f t="shared" si="125"/>
        <v>0.88888888888888884</v>
      </c>
      <c r="AW310">
        <f>step3_validation[[#This Row],[AI_TRU4]]</f>
        <v>7</v>
      </c>
      <c r="AX310">
        <f t="shared" si="126"/>
        <v>0.66666666666666663</v>
      </c>
      <c r="AY310">
        <f>survey_responses[[#This Row],[Tôi thấy Nhà nước đã giải thích rõ ràng, minh bạch về lý do và mục tiêu của việc sửa đổi thuế lần này. - HUMAN-TRU4]]</f>
        <v>10</v>
      </c>
      <c r="AZ310">
        <f t="shared" si="127"/>
        <v>1</v>
      </c>
      <c r="BA310" s="32">
        <f t="shared" si="128"/>
        <v>0.77777777777777768</v>
      </c>
      <c r="BB310" s="32">
        <f t="shared" si="129"/>
        <v>0.94444444444444442</v>
      </c>
      <c r="BC310" s="7">
        <f t="shared" si="130"/>
        <v>0.74074074074074081</v>
      </c>
      <c r="BD310" s="7">
        <f t="shared" si="131"/>
        <v>0.98148148148148151</v>
      </c>
      <c r="BE310">
        <f>step3_validation[[#This Row],[AI_OUT1]]</f>
        <v>9</v>
      </c>
      <c r="BF310">
        <f t="shared" si="132"/>
        <v>0.88888888888888884</v>
      </c>
      <c r="BG310">
        <f>survey_responses[[#This Row],[Sau khi xem xét các quyền lợi và nghĩa vụ, bạn có ủng hộ và tuân thủ chính sách mới hiện nay? - HUMAN-OUT1]]</f>
        <v>10</v>
      </c>
      <c r="BH310">
        <f t="shared" si="133"/>
        <v>1</v>
      </c>
      <c r="BI310" s="32">
        <f t="shared" si="134"/>
        <v>1</v>
      </c>
    </row>
    <row r="311" spans="1:61" x14ac:dyDescent="0.45">
      <c r="A311" s="30">
        <f>step3_validation[[#This Row],[Persona_ID]]</f>
        <v>310</v>
      </c>
      <c r="B311" s="31">
        <f>step3_validation[[#This Row],[Used_Seed]]</f>
        <v>2300</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21.771079265001994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f t="shared" si="108"/>
        <v>0.66666666666666663</v>
      </c>
      <c r="S311">
        <f>survey_responses[[#This Row],[Tôi tin rằng với các quy định quản lý thuế hiện nay, hành vi gian lận hoặc trốn thuế sẽ dễ dàng bị phát hiện và xử lý nghiêm. - HUMAN-ENF1]]</f>
        <v>7</v>
      </c>
      <c r="T311">
        <f t="shared" si="109"/>
        <v>0.66666666666666663</v>
      </c>
      <c r="U311">
        <f>step3_validation[[#This Row],[AI_ENF2]]</f>
        <v>6</v>
      </c>
      <c r="V311">
        <f t="shared" si="110"/>
        <v>0.55555555555555558</v>
      </c>
      <c r="W311">
        <f>survey_responses[[#This Row],[Tôi tin rằng Nhà nước, cơ quan thuế có đủ khả năng và công nghệ để phát hiện, xử lý nghiêm các hành vi trốn thuế. - HUMAN-ENF2]]</f>
        <v>7</v>
      </c>
      <c r="X311">
        <f t="shared" si="111"/>
        <v>0.66666666666666663</v>
      </c>
      <c r="Y311" s="32">
        <f t="shared" si="112"/>
        <v>0.61111111111111116</v>
      </c>
      <c r="Z311" s="32">
        <f t="shared" si="113"/>
        <v>0.66666666666666663</v>
      </c>
      <c r="AA311">
        <f>step3_validation[[#This Row],[AI_FAC1]]</f>
        <v>8</v>
      </c>
      <c r="AB311">
        <f t="shared" si="114"/>
        <v>0.77777777777777779</v>
      </c>
      <c r="AC311">
        <f>survey_responses[[#This Row],[Các thủ tục khai báo thuế VÀ/HOẶC quy trình làm việc với cơ quan thuế đơn giản, tiện lợi, nhanh chóng hơn so với trước đây. - HUMAN-FAC1]]</f>
        <v>5</v>
      </c>
      <c r="AD311">
        <f t="shared" si="115"/>
        <v>0.44444444444444442</v>
      </c>
      <c r="AE311">
        <f>step3_validation[[#This Row],[AI_FAC2]]</f>
        <v>9</v>
      </c>
      <c r="AF311">
        <f t="shared" si="116"/>
        <v>0.88888888888888884</v>
      </c>
      <c r="AG311">
        <f>survey_responses[[#This Row],[So với trước đây, tôi thấy cách tính thuế và các bậc thuế trong phương án mới đơn giản, dễ hiểu và dễ thực hiện hơn. - HUMAN-FAC2]]</f>
        <v>8</v>
      </c>
      <c r="AH311">
        <f t="shared" si="117"/>
        <v>0.77777777777777779</v>
      </c>
      <c r="AI311" s="32">
        <f t="shared" si="118"/>
        <v>0.83333333333333326</v>
      </c>
      <c r="AJ311" s="32">
        <f t="shared" si="119"/>
        <v>0.61111111111111116</v>
      </c>
      <c r="AK311">
        <f>step3_validation[[#This Row],[AI_TRU1]]</f>
        <v>7</v>
      </c>
      <c r="AL311">
        <f t="shared" si="120"/>
        <v>0.66666666666666663</v>
      </c>
      <c r="AM311">
        <f>survey_responses[[#This Row],[Tôi tin rằng Nhà nước, cơ quan thuế sẽ thực thi chính sách mới một cách khách quan, công tâm và đối xử bình đẳng với mọi người nộp thuế.  - HUMAN-TRU1]]</f>
        <v>8</v>
      </c>
      <c r="AN311">
        <f t="shared" si="121"/>
        <v>0.77777777777777779</v>
      </c>
      <c r="AO311">
        <f>step3_validation[[#This Row],[AI_TRU2]]</f>
        <v>8</v>
      </c>
      <c r="AP311">
        <f t="shared" si="122"/>
        <v>0.77777777777777779</v>
      </c>
      <c r="AQ311">
        <f>survey_responses[[#This Row],[Tôi thấy mức thuế tôi phải đóng theo phương án mới là công bằng (người thu nhập như tôi đóng mức này là hợp lý). - HUMAN-TRU2]]</f>
        <v>9</v>
      </c>
      <c r="AR311">
        <f t="shared" si="123"/>
        <v>0.88888888888888884</v>
      </c>
      <c r="AS311">
        <f>step3_validation[[#This Row],[AI_TRU3]]</f>
        <v>7</v>
      </c>
      <c r="AT311">
        <f t="shared" si="124"/>
        <v>0.66666666666666663</v>
      </c>
      <c r="AU311">
        <f>survey_responses[[#This Row],[Tôi tin tưởng số tiền thuế tôi đóng sẽ được Nhà nước sử dụng hiệu quả để cải thiện dịch vụ công (y tế, đường xá...). - HUMAN-TRU3]]</f>
        <v>9</v>
      </c>
      <c r="AV311">
        <f t="shared" si="125"/>
        <v>0.88888888888888884</v>
      </c>
      <c r="AW311">
        <f>step3_validation[[#This Row],[AI_TRU4]]</f>
        <v>6</v>
      </c>
      <c r="AX311">
        <f t="shared" si="126"/>
        <v>0.55555555555555558</v>
      </c>
      <c r="AY311">
        <f>survey_responses[[#This Row],[Tôi thấy Nhà nước đã giải thích rõ ràng, minh bạch về lý do và mục tiêu của việc sửa đổi thuế lần này. - HUMAN-TRU4]]</f>
        <v>9</v>
      </c>
      <c r="AZ311">
        <f t="shared" si="127"/>
        <v>0.88888888888888884</v>
      </c>
      <c r="BA311" s="32">
        <f t="shared" si="128"/>
        <v>0.66666666666666674</v>
      </c>
      <c r="BB311" s="32">
        <f t="shared" si="129"/>
        <v>0.86111111111111105</v>
      </c>
      <c r="BC311" s="7">
        <f t="shared" si="130"/>
        <v>0.70370370370370372</v>
      </c>
      <c r="BD311" s="7">
        <f t="shared" si="131"/>
        <v>0.71296296296296291</v>
      </c>
      <c r="BE311">
        <f>step3_validation[[#This Row],[AI_OUT1]]</f>
        <v>8</v>
      </c>
      <c r="BF311">
        <f t="shared" si="132"/>
        <v>0.77777777777777779</v>
      </c>
      <c r="BG311">
        <f>survey_responses[[#This Row],[Sau khi xem xét các quyền lợi và nghĩa vụ, bạn có ủng hộ và tuân thủ chính sách mới hiện nay? - HUMAN-OUT1]]</f>
        <v>10</v>
      </c>
      <c r="BH311">
        <f t="shared" si="133"/>
        <v>1</v>
      </c>
      <c r="BI311" s="32">
        <f t="shared" si="134"/>
        <v>2</v>
      </c>
    </row>
    <row r="312" spans="1:61" x14ac:dyDescent="0.45">
      <c r="A312" s="30">
        <f>step3_validation[[#This Row],[Persona_ID]]</f>
        <v>311</v>
      </c>
      <c r="B312" s="31">
        <f>step3_validation[[#This Row],[Used_Seed]]</f>
        <v>2301</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15.690216748925257</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9</v>
      </c>
      <c r="R312">
        <f t="shared" si="108"/>
        <v>0.88888888888888884</v>
      </c>
      <c r="S312">
        <f>survey_responses[[#This Row],[Tôi tin rằng với các quy định quản lý thuế hiện nay, hành vi gian lận hoặc trốn thuế sẽ dễ dàng bị phát hiện và xử lý nghiêm. - HUMAN-ENF1]]</f>
        <v>6</v>
      </c>
      <c r="T312">
        <f t="shared" si="109"/>
        <v>0.55555555555555558</v>
      </c>
      <c r="U312">
        <f>step3_validation[[#This Row],[AI_ENF2]]</f>
        <v>8</v>
      </c>
      <c r="V312">
        <f t="shared" si="110"/>
        <v>0.77777777777777779</v>
      </c>
      <c r="W312">
        <f>survey_responses[[#This Row],[Tôi tin rằng Nhà nước, cơ quan thuế có đủ khả năng và công nghệ để phát hiện, xử lý nghiêm các hành vi trốn thuế. - HUMAN-ENF2]]</f>
        <v>5</v>
      </c>
      <c r="X312">
        <f t="shared" si="111"/>
        <v>0.44444444444444442</v>
      </c>
      <c r="Y312" s="32">
        <f t="shared" si="112"/>
        <v>0.83333333333333326</v>
      </c>
      <c r="Z312" s="32">
        <f t="shared" si="113"/>
        <v>0.5</v>
      </c>
      <c r="AA312">
        <f>step3_validation[[#This Row],[AI_FAC1]]</f>
        <v>9</v>
      </c>
      <c r="AB312">
        <f t="shared" si="114"/>
        <v>0.88888888888888884</v>
      </c>
      <c r="AC312">
        <f>survey_responses[[#This Row],[Các thủ tục khai báo thuế VÀ/HOẶC quy trình làm việc với cơ quan thuế đơn giản, tiện lợi, nhanh chóng hơn so với trước đây. - HUMAN-FAC1]]</f>
        <v>4</v>
      </c>
      <c r="AD312">
        <f t="shared" si="115"/>
        <v>0.33333333333333331</v>
      </c>
      <c r="AE312">
        <f>step3_validation[[#This Row],[AI_FAC2]]</f>
        <v>10</v>
      </c>
      <c r="AF312">
        <f t="shared" si="116"/>
        <v>1</v>
      </c>
      <c r="AG312">
        <f>survey_responses[[#This Row],[So với trước đây, tôi thấy cách tính thuế và các bậc thuế trong phương án mới đơn giản, dễ hiểu và dễ thực hiện hơn. - HUMAN-FAC2]]</f>
        <v>7</v>
      </c>
      <c r="AH312">
        <f t="shared" si="117"/>
        <v>0.66666666666666663</v>
      </c>
      <c r="AI312" s="32">
        <f t="shared" si="118"/>
        <v>0.94444444444444442</v>
      </c>
      <c r="AJ312" s="32">
        <f t="shared" si="119"/>
        <v>0.5</v>
      </c>
      <c r="AK312">
        <f>step3_validation[[#This Row],[AI_TRU1]]</f>
        <v>7</v>
      </c>
      <c r="AL312">
        <f t="shared" si="120"/>
        <v>0.66666666666666663</v>
      </c>
      <c r="AM312">
        <f>survey_responses[[#This Row],[Tôi tin rằng Nhà nước, cơ quan thuế sẽ thực thi chính sách mới một cách khách quan, công tâm và đối xử bình đẳng với mọi người nộp thuế.  - HUMAN-TRU1]]</f>
        <v>5</v>
      </c>
      <c r="AN312">
        <f t="shared" si="121"/>
        <v>0.44444444444444442</v>
      </c>
      <c r="AO312">
        <f>step3_validation[[#This Row],[AI_TRU2]]</f>
        <v>9</v>
      </c>
      <c r="AP312">
        <f t="shared" si="122"/>
        <v>0.88888888888888884</v>
      </c>
      <c r="AQ312">
        <f>survey_responses[[#This Row],[Tôi thấy mức thuế tôi phải đóng theo phương án mới là công bằng (người thu nhập như tôi đóng mức này là hợp lý). - HUMAN-TRU2]]</f>
        <v>6</v>
      </c>
      <c r="AR312">
        <f t="shared" si="123"/>
        <v>0.55555555555555558</v>
      </c>
      <c r="AS312">
        <f>step3_validation[[#This Row],[AI_TRU3]]</f>
        <v>7</v>
      </c>
      <c r="AT312">
        <f t="shared" si="124"/>
        <v>0.66666666666666663</v>
      </c>
      <c r="AU312">
        <f>survey_responses[[#This Row],[Tôi tin tưởng số tiền thuế tôi đóng sẽ được Nhà nước sử dụng hiệu quả để cải thiện dịch vụ công (y tế, đường xá...). - HUMAN-TRU3]]</f>
        <v>6</v>
      </c>
      <c r="AV312">
        <f t="shared" si="125"/>
        <v>0.55555555555555558</v>
      </c>
      <c r="AW312">
        <f>step3_validation[[#This Row],[AI_TRU4]]</f>
        <v>8</v>
      </c>
      <c r="AX312">
        <f t="shared" si="126"/>
        <v>0.77777777777777779</v>
      </c>
      <c r="AY312">
        <f>survey_responses[[#This Row],[Tôi thấy Nhà nước đã giải thích rõ ràng, minh bạch về lý do và mục tiêu của việc sửa đổi thuế lần này. - HUMAN-TRU4]]</f>
        <v>7</v>
      </c>
      <c r="AZ312">
        <f t="shared" si="127"/>
        <v>0.66666666666666663</v>
      </c>
      <c r="BA312" s="32">
        <f t="shared" si="128"/>
        <v>0.74999999999999989</v>
      </c>
      <c r="BB312" s="32">
        <f t="shared" si="129"/>
        <v>0.55555555555555558</v>
      </c>
      <c r="BC312" s="7">
        <f t="shared" si="130"/>
        <v>0.84259259259259256</v>
      </c>
      <c r="BD312" s="7">
        <f t="shared" si="131"/>
        <v>0.51851851851851849</v>
      </c>
      <c r="BE312">
        <f>step3_validation[[#This Row],[AI_OUT1]]</f>
        <v>9</v>
      </c>
      <c r="BF312">
        <f t="shared" si="132"/>
        <v>0.88888888888888884</v>
      </c>
      <c r="BG312">
        <f>survey_responses[[#This Row],[Sau khi xem xét các quyền lợi và nghĩa vụ, bạn có ủng hộ và tuân thủ chính sách mới hiện nay? - HUMAN-OUT1]]</f>
        <v>7</v>
      </c>
      <c r="BH312">
        <f t="shared" si="133"/>
        <v>0.66666666666666663</v>
      </c>
      <c r="BI312" s="32">
        <f t="shared" si="134"/>
        <v>2</v>
      </c>
    </row>
    <row r="313" spans="1:61" x14ac:dyDescent="0.45">
      <c r="A313" s="30">
        <f>step3_validation[[#This Row],[Persona_ID]]</f>
        <v>312</v>
      </c>
      <c r="B313" s="31">
        <f>step3_validation[[#This Row],[Used_Seed]]</f>
        <v>2302</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21.220638313442763</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f t="shared" si="108"/>
        <v>0.55555555555555558</v>
      </c>
      <c r="S313">
        <f>survey_responses[[#This Row],[Tôi tin rằng với các quy định quản lý thuế hiện nay, hành vi gian lận hoặc trốn thuế sẽ dễ dàng bị phát hiện và xử lý nghiêm. - HUMAN-ENF1]]</f>
        <v>8</v>
      </c>
      <c r="T313">
        <f t="shared" si="109"/>
        <v>0.77777777777777779</v>
      </c>
      <c r="U313">
        <f>step3_validation[[#This Row],[AI_ENF2]]</f>
        <v>7</v>
      </c>
      <c r="V313">
        <f t="shared" si="110"/>
        <v>0.66666666666666663</v>
      </c>
      <c r="W313">
        <f>survey_responses[[#This Row],[Tôi tin rằng Nhà nước, cơ quan thuế có đủ khả năng và công nghệ để phát hiện, xử lý nghiêm các hành vi trốn thuế. - HUMAN-ENF2]]</f>
        <v>9</v>
      </c>
      <c r="X313">
        <f t="shared" si="111"/>
        <v>0.88888888888888884</v>
      </c>
      <c r="Y313" s="32">
        <f t="shared" si="112"/>
        <v>0.61111111111111116</v>
      </c>
      <c r="Z313" s="32">
        <f t="shared" si="113"/>
        <v>0.83333333333333326</v>
      </c>
      <c r="AA313">
        <f>step3_validation[[#This Row],[AI_FAC1]]</f>
        <v>9</v>
      </c>
      <c r="AB313">
        <f t="shared" si="114"/>
        <v>0.88888888888888884</v>
      </c>
      <c r="AC313">
        <f>survey_responses[[#This Row],[Các thủ tục khai báo thuế VÀ/HOẶC quy trình làm việc với cơ quan thuế đơn giản, tiện lợi, nhanh chóng hơn so với trước đây. - HUMAN-FAC1]]</f>
        <v>10</v>
      </c>
      <c r="AD313">
        <f t="shared" si="115"/>
        <v>1</v>
      </c>
      <c r="AE313">
        <f>step3_validation[[#This Row],[AI_FAC2]]</f>
        <v>8</v>
      </c>
      <c r="AF313">
        <f t="shared" si="116"/>
        <v>0.77777777777777779</v>
      </c>
      <c r="AG313">
        <f>survey_responses[[#This Row],[So với trước đây, tôi thấy cách tính thuế và các bậc thuế trong phương án mới đơn giản, dễ hiểu và dễ thực hiện hơn. - HUMAN-FAC2]]</f>
        <v>10</v>
      </c>
      <c r="AH313">
        <f t="shared" si="117"/>
        <v>1</v>
      </c>
      <c r="AI313" s="32">
        <f t="shared" si="118"/>
        <v>0.83333333333333326</v>
      </c>
      <c r="AJ313" s="32">
        <f t="shared" si="119"/>
        <v>1</v>
      </c>
      <c r="AK313">
        <f>step3_validation[[#This Row],[AI_TRU1]]</f>
        <v>7</v>
      </c>
      <c r="AL313">
        <f t="shared" si="120"/>
        <v>0.66666666666666663</v>
      </c>
      <c r="AM313">
        <f>survey_responses[[#This Row],[Tôi tin rằng Nhà nước, cơ quan thuế sẽ thực thi chính sách mới một cách khách quan, công tâm và đối xử bình đẳng với mọi người nộp thuế.  - HUMAN-TRU1]]</f>
        <v>8</v>
      </c>
      <c r="AN313">
        <f t="shared" si="121"/>
        <v>0.77777777777777779</v>
      </c>
      <c r="AO313">
        <f>step3_validation[[#This Row],[AI_TRU2]]</f>
        <v>9</v>
      </c>
      <c r="AP313">
        <f t="shared" si="122"/>
        <v>0.88888888888888884</v>
      </c>
      <c r="AQ313">
        <f>survey_responses[[#This Row],[Tôi thấy mức thuế tôi phải đóng theo phương án mới là công bằng (người thu nhập như tôi đóng mức này là hợp lý). - HUMAN-TRU2]]</f>
        <v>9</v>
      </c>
      <c r="AR313">
        <f t="shared" si="123"/>
        <v>0.88888888888888884</v>
      </c>
      <c r="AS313">
        <f>step3_validation[[#This Row],[AI_TRU3]]</f>
        <v>6</v>
      </c>
      <c r="AT313">
        <f t="shared" si="124"/>
        <v>0.55555555555555558</v>
      </c>
      <c r="AU313">
        <f>survey_responses[[#This Row],[Tôi tin tưởng số tiền thuế tôi đóng sẽ được Nhà nước sử dụng hiệu quả để cải thiện dịch vụ công (y tế, đường xá...). - HUMAN-TRU3]]</f>
        <v>8</v>
      </c>
      <c r="AV313">
        <f t="shared" si="125"/>
        <v>0.77777777777777779</v>
      </c>
      <c r="AW313">
        <f>step3_validation[[#This Row],[AI_TRU4]]</f>
        <v>8</v>
      </c>
      <c r="AX313">
        <f t="shared" si="126"/>
        <v>0.77777777777777779</v>
      </c>
      <c r="AY313">
        <f>survey_responses[[#This Row],[Tôi thấy Nhà nước đã giải thích rõ ràng, minh bạch về lý do và mục tiêu của việc sửa đổi thuế lần này. - HUMAN-TRU4]]</f>
        <v>8</v>
      </c>
      <c r="AZ313">
        <f t="shared" si="127"/>
        <v>0.77777777777777779</v>
      </c>
      <c r="BA313" s="32">
        <f t="shared" si="128"/>
        <v>0.7222222222222221</v>
      </c>
      <c r="BB313" s="32">
        <f t="shared" si="129"/>
        <v>0.80555555555555547</v>
      </c>
      <c r="BC313" s="7">
        <f t="shared" si="130"/>
        <v>0.72222222222222221</v>
      </c>
      <c r="BD313" s="7">
        <f t="shared" si="131"/>
        <v>0.87962962962962965</v>
      </c>
      <c r="BE313">
        <f>step3_validation[[#This Row],[AI_OUT1]]</f>
        <v>7</v>
      </c>
      <c r="BF313">
        <f t="shared" si="132"/>
        <v>0.66666666666666663</v>
      </c>
      <c r="BG313">
        <f>survey_responses[[#This Row],[Sau khi xem xét các quyền lợi và nghĩa vụ, bạn có ủng hộ và tuân thủ chính sách mới hiện nay? - HUMAN-OUT1]]</f>
        <v>10</v>
      </c>
      <c r="BH313">
        <f t="shared" si="133"/>
        <v>1</v>
      </c>
      <c r="BI313" s="32">
        <f t="shared" si="134"/>
        <v>3</v>
      </c>
    </row>
    <row r="314" spans="1:61" x14ac:dyDescent="0.45">
      <c r="A314" s="30">
        <f>step3_validation[[#This Row],[Persona_ID]]</f>
        <v>313</v>
      </c>
      <c r="B314" s="31">
        <f>step3_validation[[#This Row],[Used_Seed]]</f>
        <v>2303</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14.279434814435996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5</v>
      </c>
      <c r="R314">
        <f t="shared" si="108"/>
        <v>0.44444444444444442</v>
      </c>
      <c r="S314">
        <f>survey_responses[[#This Row],[Tôi tin rằng với các quy định quản lý thuế hiện nay, hành vi gian lận hoặc trốn thuế sẽ dễ dàng bị phát hiện và xử lý nghiêm. - HUMAN-ENF1]]</f>
        <v>6</v>
      </c>
      <c r="T314">
        <f t="shared" si="109"/>
        <v>0.55555555555555558</v>
      </c>
      <c r="U314">
        <f>step3_validation[[#This Row],[AI_ENF2]]</f>
        <v>6</v>
      </c>
      <c r="V314">
        <f t="shared" si="110"/>
        <v>0.55555555555555558</v>
      </c>
      <c r="W314">
        <f>survey_responses[[#This Row],[Tôi tin rằng Nhà nước, cơ quan thuế có đủ khả năng và công nghệ để phát hiện, xử lý nghiêm các hành vi trốn thuế. - HUMAN-ENF2]]</f>
        <v>6</v>
      </c>
      <c r="X314">
        <f t="shared" si="111"/>
        <v>0.55555555555555558</v>
      </c>
      <c r="Y314" s="32">
        <f t="shared" si="112"/>
        <v>0.5</v>
      </c>
      <c r="Z314" s="32">
        <f t="shared" si="113"/>
        <v>0.55555555555555558</v>
      </c>
      <c r="AA314">
        <f>step3_validation[[#This Row],[AI_FAC1]]</f>
        <v>7</v>
      </c>
      <c r="AB314">
        <f t="shared" si="114"/>
        <v>0.66666666666666663</v>
      </c>
      <c r="AC314">
        <f>survey_responses[[#This Row],[Các thủ tục khai báo thuế VÀ/HOẶC quy trình làm việc với cơ quan thuế đơn giản, tiện lợi, nhanh chóng hơn so với trước đây. - HUMAN-FAC1]]</f>
        <v>7</v>
      </c>
      <c r="AD314">
        <f t="shared" si="115"/>
        <v>0.66666666666666663</v>
      </c>
      <c r="AE314">
        <f>step3_validation[[#This Row],[AI_FAC2]]</f>
        <v>8</v>
      </c>
      <c r="AF314">
        <f t="shared" si="116"/>
        <v>0.77777777777777779</v>
      </c>
      <c r="AG314">
        <f>survey_responses[[#This Row],[So với trước đây, tôi thấy cách tính thuế và các bậc thuế trong phương án mới đơn giản, dễ hiểu và dễ thực hiện hơn. - HUMAN-FAC2]]</f>
        <v>7</v>
      </c>
      <c r="AH314">
        <f t="shared" si="117"/>
        <v>0.66666666666666663</v>
      </c>
      <c r="AI314" s="32">
        <f t="shared" si="118"/>
        <v>0.72222222222222221</v>
      </c>
      <c r="AJ314" s="32">
        <f t="shared" si="119"/>
        <v>0.66666666666666663</v>
      </c>
      <c r="AK314">
        <f>step3_validation[[#This Row],[AI_TRU1]]</f>
        <v>6</v>
      </c>
      <c r="AL314">
        <f t="shared" si="120"/>
        <v>0.55555555555555558</v>
      </c>
      <c r="AM314">
        <f>survey_responses[[#This Row],[Tôi tin rằng Nhà nước, cơ quan thuế sẽ thực thi chính sách mới một cách khách quan, công tâm và đối xử bình đẳng với mọi người nộp thuế.  - HUMAN-TRU1]]</f>
        <v>7</v>
      </c>
      <c r="AN314">
        <f t="shared" si="121"/>
        <v>0.66666666666666663</v>
      </c>
      <c r="AO314">
        <f>step3_validation[[#This Row],[AI_TRU2]]</f>
        <v>8</v>
      </c>
      <c r="AP314">
        <f t="shared" si="122"/>
        <v>0.77777777777777779</v>
      </c>
      <c r="AQ314">
        <f>survey_responses[[#This Row],[Tôi thấy mức thuế tôi phải đóng theo phương án mới là công bằng (người thu nhập như tôi đóng mức này là hợp lý). - HUMAN-TRU2]]</f>
        <v>8</v>
      </c>
      <c r="AR314">
        <f t="shared" si="123"/>
        <v>0.77777777777777779</v>
      </c>
      <c r="AS314">
        <f>step3_validation[[#This Row],[AI_TRU3]]</f>
        <v>7</v>
      </c>
      <c r="AT314">
        <f t="shared" si="124"/>
        <v>0.66666666666666663</v>
      </c>
      <c r="AU314">
        <f>survey_responses[[#This Row],[Tôi tin tưởng số tiền thuế tôi đóng sẽ được Nhà nước sử dụng hiệu quả để cải thiện dịch vụ công (y tế, đường xá...). - HUMAN-TRU3]]</f>
        <v>5</v>
      </c>
      <c r="AV314">
        <f t="shared" si="125"/>
        <v>0.44444444444444442</v>
      </c>
      <c r="AW314">
        <f>step3_validation[[#This Row],[AI_TRU4]]</f>
        <v>6</v>
      </c>
      <c r="AX314">
        <f t="shared" si="126"/>
        <v>0.55555555555555558</v>
      </c>
      <c r="AY314">
        <f>survey_responses[[#This Row],[Tôi thấy Nhà nước đã giải thích rõ ràng, minh bạch về lý do và mục tiêu của việc sửa đổi thuế lần này. - HUMAN-TRU4]]</f>
        <v>5</v>
      </c>
      <c r="AZ314">
        <f t="shared" si="127"/>
        <v>0.44444444444444442</v>
      </c>
      <c r="BA314" s="32">
        <f t="shared" si="128"/>
        <v>0.63888888888888884</v>
      </c>
      <c r="BB314" s="32">
        <f t="shared" si="129"/>
        <v>0.58333333333333326</v>
      </c>
      <c r="BC314" s="7">
        <f t="shared" si="130"/>
        <v>0.62037037037037035</v>
      </c>
      <c r="BD314" s="7">
        <f t="shared" si="131"/>
        <v>0.60185185185185186</v>
      </c>
      <c r="BE314">
        <f>step3_validation[[#This Row],[AI_OUT1]]</f>
        <v>8</v>
      </c>
      <c r="BF314">
        <f t="shared" si="132"/>
        <v>0.77777777777777779</v>
      </c>
      <c r="BG314">
        <f>survey_responses[[#This Row],[Sau khi xem xét các quyền lợi và nghĩa vụ, bạn có ủng hộ và tuân thủ chính sách mới hiện nay? - HUMAN-OUT1]]</f>
        <v>8</v>
      </c>
      <c r="BH314">
        <f t="shared" si="133"/>
        <v>0.77777777777777779</v>
      </c>
      <c r="BI314" s="32">
        <f t="shared" si="134"/>
        <v>0</v>
      </c>
    </row>
    <row r="315" spans="1:61" x14ac:dyDescent="0.45">
      <c r="A315" s="30">
        <f>step3_validation[[#This Row],[Persona_ID]]</f>
        <v>314</v>
      </c>
      <c r="B315" s="31">
        <f>step3_validation[[#This Row],[Used_Seed]]</f>
        <v>2304</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16.669427799534606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f t="shared" si="108"/>
        <v>0.66666666666666663</v>
      </c>
      <c r="S315">
        <f>survey_responses[[#This Row],[Tôi tin rằng với các quy định quản lý thuế hiện nay, hành vi gian lận hoặc trốn thuế sẽ dễ dàng bị phát hiện và xử lý nghiêm. - HUMAN-ENF1]]</f>
        <v>7</v>
      </c>
      <c r="T315">
        <f t="shared" si="109"/>
        <v>0.66666666666666663</v>
      </c>
      <c r="U315">
        <f>step3_validation[[#This Row],[AI_ENF2]]</f>
        <v>6</v>
      </c>
      <c r="V315">
        <f t="shared" si="110"/>
        <v>0.55555555555555558</v>
      </c>
      <c r="W315">
        <f>survey_responses[[#This Row],[Tôi tin rằng Nhà nước, cơ quan thuế có đủ khả năng và công nghệ để phát hiện, xử lý nghiêm các hành vi trốn thuế. - HUMAN-ENF2]]</f>
        <v>8</v>
      </c>
      <c r="X315">
        <f t="shared" si="111"/>
        <v>0.77777777777777779</v>
      </c>
      <c r="Y315" s="32">
        <f t="shared" si="112"/>
        <v>0.61111111111111116</v>
      </c>
      <c r="Z315" s="32">
        <f t="shared" si="113"/>
        <v>0.72222222222222221</v>
      </c>
      <c r="AA315">
        <f>step3_validation[[#This Row],[AI_FAC1]]</f>
        <v>8</v>
      </c>
      <c r="AB315">
        <f t="shared" si="114"/>
        <v>0.77777777777777779</v>
      </c>
      <c r="AC315">
        <f>survey_responses[[#This Row],[Các thủ tục khai báo thuế VÀ/HOẶC quy trình làm việc với cơ quan thuế đơn giản, tiện lợi, nhanh chóng hơn so với trước đây. - HUMAN-FAC1]]</f>
        <v>8</v>
      </c>
      <c r="AD315">
        <f t="shared" si="115"/>
        <v>0.77777777777777779</v>
      </c>
      <c r="AE315">
        <f>step3_validation[[#This Row],[AI_FAC2]]</f>
        <v>9</v>
      </c>
      <c r="AF315">
        <f t="shared" si="116"/>
        <v>0.88888888888888884</v>
      </c>
      <c r="AG315">
        <f>survey_responses[[#This Row],[So với trước đây, tôi thấy cách tính thuế và các bậc thuế trong phương án mới đơn giản, dễ hiểu và dễ thực hiện hơn. - HUMAN-FAC2]]</f>
        <v>8</v>
      </c>
      <c r="AH315">
        <f t="shared" si="117"/>
        <v>0.77777777777777779</v>
      </c>
      <c r="AI315" s="32">
        <f t="shared" si="118"/>
        <v>0.83333333333333326</v>
      </c>
      <c r="AJ315" s="32">
        <f t="shared" si="119"/>
        <v>0.77777777777777779</v>
      </c>
      <c r="AK315">
        <f>step3_validation[[#This Row],[AI_TRU1]]</f>
        <v>8</v>
      </c>
      <c r="AL315">
        <f t="shared" si="120"/>
        <v>0.77777777777777779</v>
      </c>
      <c r="AM315">
        <f>survey_responses[[#This Row],[Tôi tin rằng Nhà nước, cơ quan thuế sẽ thực thi chính sách mới một cách khách quan, công tâm và đối xử bình đẳng với mọi người nộp thuế.  - HUMAN-TRU1]]</f>
        <v>5</v>
      </c>
      <c r="AN315">
        <f t="shared" si="121"/>
        <v>0.44444444444444442</v>
      </c>
      <c r="AO315">
        <f>step3_validation[[#This Row],[AI_TRU2]]</f>
        <v>9</v>
      </c>
      <c r="AP315">
        <f t="shared" si="122"/>
        <v>0.88888888888888884</v>
      </c>
      <c r="AQ315">
        <f>survey_responses[[#This Row],[Tôi thấy mức thuế tôi phải đóng theo phương án mới là công bằng (người thu nhập như tôi đóng mức này là hợp lý). - HUMAN-TRU2]]</f>
        <v>8</v>
      </c>
      <c r="AR315">
        <f t="shared" si="123"/>
        <v>0.77777777777777779</v>
      </c>
      <c r="AS315">
        <f>step3_validation[[#This Row],[AI_TRU3]]</f>
        <v>8</v>
      </c>
      <c r="AT315">
        <f t="shared" si="124"/>
        <v>0.77777777777777779</v>
      </c>
      <c r="AU315">
        <f>survey_responses[[#This Row],[Tôi tin tưởng số tiền thuế tôi đóng sẽ được Nhà nước sử dụng hiệu quả để cải thiện dịch vụ công (y tế, đường xá...). - HUMAN-TRU3]]</f>
        <v>6</v>
      </c>
      <c r="AV315">
        <f t="shared" si="125"/>
        <v>0.55555555555555558</v>
      </c>
      <c r="AW315">
        <f>step3_validation[[#This Row],[AI_TRU4]]</f>
        <v>7</v>
      </c>
      <c r="AX315">
        <f t="shared" si="126"/>
        <v>0.66666666666666663</v>
      </c>
      <c r="AY315">
        <f>survey_responses[[#This Row],[Tôi thấy Nhà nước đã giải thích rõ ràng, minh bạch về lý do và mục tiêu của việc sửa đổi thuế lần này. - HUMAN-TRU4]]</f>
        <v>6</v>
      </c>
      <c r="AZ315">
        <f t="shared" si="127"/>
        <v>0.55555555555555558</v>
      </c>
      <c r="BA315" s="32">
        <f t="shared" si="128"/>
        <v>0.77777777777777768</v>
      </c>
      <c r="BB315" s="32">
        <f t="shared" si="129"/>
        <v>0.58333333333333337</v>
      </c>
      <c r="BC315" s="7">
        <f t="shared" si="130"/>
        <v>0.74074074074074081</v>
      </c>
      <c r="BD315" s="7">
        <f t="shared" si="131"/>
        <v>0.69444444444444453</v>
      </c>
      <c r="BE315">
        <f>step3_validation[[#This Row],[AI_OUT1]]</f>
        <v>9</v>
      </c>
      <c r="BF315">
        <f t="shared" si="132"/>
        <v>0.88888888888888884</v>
      </c>
      <c r="BG315">
        <f>survey_responses[[#This Row],[Sau khi xem xét các quyền lợi và nghĩa vụ, bạn có ủng hộ và tuân thủ chính sách mới hiện nay? - HUMAN-OUT1]]</f>
        <v>8</v>
      </c>
      <c r="BH315">
        <f t="shared" si="133"/>
        <v>0.77777777777777779</v>
      </c>
      <c r="BI315" s="32">
        <f t="shared" si="134"/>
        <v>1</v>
      </c>
    </row>
    <row r="316" spans="1:61" x14ac:dyDescent="0.45">
      <c r="A316" s="30">
        <f>step3_validation[[#This Row],[Persona_ID]]</f>
        <v>315</v>
      </c>
      <c r="B316" s="31">
        <f>step3_validation[[#This Row],[Used_Seed]]</f>
        <v>2305</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18.646241298108148</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f t="shared" si="108"/>
        <v>0.66666666666666663</v>
      </c>
      <c r="S316">
        <f>survey_responses[[#This Row],[Tôi tin rằng với các quy định quản lý thuế hiện nay, hành vi gian lận hoặc trốn thuế sẽ dễ dàng bị phát hiện và xử lý nghiêm. - HUMAN-ENF1]]</f>
        <v>4</v>
      </c>
      <c r="T316">
        <f t="shared" si="109"/>
        <v>0.33333333333333331</v>
      </c>
      <c r="U316">
        <f>step3_validation[[#This Row],[AI_ENF2]]</f>
        <v>8</v>
      </c>
      <c r="V316">
        <f t="shared" si="110"/>
        <v>0.77777777777777779</v>
      </c>
      <c r="W316">
        <f>survey_responses[[#This Row],[Tôi tin rằng Nhà nước, cơ quan thuế có đủ khả năng và công nghệ để phát hiện, xử lý nghiêm các hành vi trốn thuế. - HUMAN-ENF2]]</f>
        <v>5</v>
      </c>
      <c r="X316">
        <f t="shared" si="111"/>
        <v>0.44444444444444442</v>
      </c>
      <c r="Y316" s="32">
        <f t="shared" si="112"/>
        <v>0.72222222222222221</v>
      </c>
      <c r="Z316" s="32">
        <f t="shared" si="113"/>
        <v>0.38888888888888884</v>
      </c>
      <c r="AA316">
        <f>step3_validation[[#This Row],[AI_FAC1]]</f>
        <v>9</v>
      </c>
      <c r="AB316">
        <f t="shared" si="114"/>
        <v>0.88888888888888884</v>
      </c>
      <c r="AC316">
        <f>survey_responses[[#This Row],[Các thủ tục khai báo thuế VÀ/HOẶC quy trình làm việc với cơ quan thuế đơn giản, tiện lợi, nhanh chóng hơn so với trước đây. - HUMAN-FAC1]]</f>
        <v>5</v>
      </c>
      <c r="AD316">
        <f t="shared" si="115"/>
        <v>0.44444444444444442</v>
      </c>
      <c r="AE316">
        <f>step3_validation[[#This Row],[AI_FAC2]]</f>
        <v>8</v>
      </c>
      <c r="AF316">
        <f t="shared" si="116"/>
        <v>0.77777777777777779</v>
      </c>
      <c r="AG316">
        <f>survey_responses[[#This Row],[So với trước đây, tôi thấy cách tính thuế và các bậc thuế trong phương án mới đơn giản, dễ hiểu và dễ thực hiện hơn. - HUMAN-FAC2]]</f>
        <v>7</v>
      </c>
      <c r="AH316">
        <f t="shared" si="117"/>
        <v>0.66666666666666663</v>
      </c>
      <c r="AI316" s="32">
        <f t="shared" si="118"/>
        <v>0.83333333333333326</v>
      </c>
      <c r="AJ316" s="32">
        <f t="shared" si="119"/>
        <v>0.55555555555555558</v>
      </c>
      <c r="AK316">
        <f>step3_validation[[#This Row],[AI_TRU1]]</f>
        <v>9</v>
      </c>
      <c r="AL316">
        <f t="shared" si="120"/>
        <v>0.88888888888888884</v>
      </c>
      <c r="AM316">
        <f>survey_responses[[#This Row],[Tôi tin rằng Nhà nước, cơ quan thuế sẽ thực thi chính sách mới một cách khách quan, công tâm và đối xử bình đẳng với mọi người nộp thuế.  - HUMAN-TRU1]]</f>
        <v>5</v>
      </c>
      <c r="AN316">
        <f t="shared" si="121"/>
        <v>0.44444444444444442</v>
      </c>
      <c r="AO316">
        <f>step3_validation[[#This Row],[AI_TRU2]]</f>
        <v>9</v>
      </c>
      <c r="AP316">
        <f t="shared" si="122"/>
        <v>0.88888888888888884</v>
      </c>
      <c r="AQ316">
        <f>survey_responses[[#This Row],[Tôi thấy mức thuế tôi phải đóng theo phương án mới là công bằng (người thu nhập như tôi đóng mức này là hợp lý). - HUMAN-TRU2]]</f>
        <v>8</v>
      </c>
      <c r="AR316">
        <f t="shared" si="123"/>
        <v>0.77777777777777779</v>
      </c>
      <c r="AS316">
        <f>step3_validation[[#This Row],[AI_TRU3]]</f>
        <v>8</v>
      </c>
      <c r="AT316">
        <f t="shared" si="124"/>
        <v>0.77777777777777779</v>
      </c>
      <c r="AU316">
        <f>survey_responses[[#This Row],[Tôi tin tưởng số tiền thuế tôi đóng sẽ được Nhà nước sử dụng hiệu quả để cải thiện dịch vụ công (y tế, đường xá...). - HUMAN-TRU3]]</f>
        <v>5</v>
      </c>
      <c r="AV316">
        <f t="shared" si="125"/>
        <v>0.44444444444444442</v>
      </c>
      <c r="AW316">
        <f>step3_validation[[#This Row],[AI_TRU4]]</f>
        <v>7</v>
      </c>
      <c r="AX316">
        <f t="shared" si="126"/>
        <v>0.66666666666666663</v>
      </c>
      <c r="AY316">
        <f>survey_responses[[#This Row],[Tôi thấy Nhà nước đã giải thích rõ ràng, minh bạch về lý do và mục tiêu của việc sửa đổi thuế lần này. - HUMAN-TRU4]]</f>
        <v>6</v>
      </c>
      <c r="AZ316">
        <f t="shared" si="127"/>
        <v>0.55555555555555558</v>
      </c>
      <c r="BA316" s="32">
        <f t="shared" si="128"/>
        <v>0.80555555555555547</v>
      </c>
      <c r="BB316" s="32">
        <f t="shared" si="129"/>
        <v>0.55555555555555558</v>
      </c>
      <c r="BC316" s="7">
        <f t="shared" si="130"/>
        <v>0.78703703703703687</v>
      </c>
      <c r="BD316" s="7">
        <f t="shared" si="131"/>
        <v>0.5</v>
      </c>
      <c r="BE316">
        <f>step3_validation[[#This Row],[AI_OUT1]]</f>
        <v>9</v>
      </c>
      <c r="BF316">
        <f t="shared" si="132"/>
        <v>0.88888888888888884</v>
      </c>
      <c r="BG316">
        <f>survey_responses[[#This Row],[Sau khi xem xét các quyền lợi và nghĩa vụ, bạn có ủng hộ và tuân thủ chính sách mới hiện nay? - HUMAN-OUT1]]</f>
        <v>8</v>
      </c>
      <c r="BH316">
        <f t="shared" si="133"/>
        <v>0.77777777777777779</v>
      </c>
      <c r="BI316" s="32">
        <f t="shared" si="134"/>
        <v>1</v>
      </c>
    </row>
    <row r="317" spans="1:61" x14ac:dyDescent="0.45">
      <c r="A317" s="30">
        <f>step3_validation[[#This Row],[Persona_ID]]</f>
        <v>316</v>
      </c>
      <c r="B317" s="31">
        <f>step3_validation[[#This Row],[Used_Seed]]</f>
        <v>2306</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30.586055792254186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f t="shared" si="108"/>
        <v>0.66666666666666663</v>
      </c>
      <c r="S317">
        <f>survey_responses[[#This Row],[Tôi tin rằng với các quy định quản lý thuế hiện nay, hành vi gian lận hoặc trốn thuế sẽ dễ dàng bị phát hiện và xử lý nghiêm. - HUMAN-ENF1]]</f>
        <v>6</v>
      </c>
      <c r="T317">
        <f t="shared" si="109"/>
        <v>0.55555555555555558</v>
      </c>
      <c r="U317">
        <f>step3_validation[[#This Row],[AI_ENF2]]</f>
        <v>6</v>
      </c>
      <c r="V317">
        <f t="shared" si="110"/>
        <v>0.55555555555555558</v>
      </c>
      <c r="W317">
        <f>survey_responses[[#This Row],[Tôi tin rằng Nhà nước, cơ quan thuế có đủ khả năng và công nghệ để phát hiện, xử lý nghiêm các hành vi trốn thuế. - HUMAN-ENF2]]</f>
        <v>8</v>
      </c>
      <c r="X317">
        <f t="shared" si="111"/>
        <v>0.77777777777777779</v>
      </c>
      <c r="Y317" s="32">
        <f t="shared" si="112"/>
        <v>0.61111111111111116</v>
      </c>
      <c r="Z317" s="32">
        <f t="shared" si="113"/>
        <v>0.66666666666666674</v>
      </c>
      <c r="AA317">
        <f>step3_validation[[#This Row],[AI_FAC1]]</f>
        <v>8</v>
      </c>
      <c r="AB317">
        <f t="shared" si="114"/>
        <v>0.77777777777777779</v>
      </c>
      <c r="AC317">
        <f>survey_responses[[#This Row],[Các thủ tục khai báo thuế VÀ/HOẶC quy trình làm việc với cơ quan thuế đơn giản, tiện lợi, nhanh chóng hơn so với trước đây. - HUMAN-FAC1]]</f>
        <v>5</v>
      </c>
      <c r="AD317">
        <f t="shared" si="115"/>
        <v>0.44444444444444442</v>
      </c>
      <c r="AE317">
        <f>step3_validation[[#This Row],[AI_FAC2]]</f>
        <v>7</v>
      </c>
      <c r="AF317">
        <f t="shared" si="116"/>
        <v>0.66666666666666663</v>
      </c>
      <c r="AG317">
        <f>survey_responses[[#This Row],[So với trước đây, tôi thấy cách tính thuế và các bậc thuế trong phương án mới đơn giản, dễ hiểu và dễ thực hiện hơn. - HUMAN-FAC2]]</f>
        <v>6</v>
      </c>
      <c r="AH317">
        <f t="shared" si="117"/>
        <v>0.55555555555555558</v>
      </c>
      <c r="AI317" s="32">
        <f t="shared" si="118"/>
        <v>0.72222222222222221</v>
      </c>
      <c r="AJ317" s="32">
        <f t="shared" si="119"/>
        <v>0.5</v>
      </c>
      <c r="AK317">
        <f>step3_validation[[#This Row],[AI_TRU1]]</f>
        <v>8</v>
      </c>
      <c r="AL317">
        <f t="shared" si="120"/>
        <v>0.77777777777777779</v>
      </c>
      <c r="AM317">
        <f>survey_responses[[#This Row],[Tôi tin rằng Nhà nước, cơ quan thuế sẽ thực thi chính sách mới một cách khách quan, công tâm và đối xử bình đẳng với mọi người nộp thuế.  - HUMAN-TRU1]]</f>
        <v>6</v>
      </c>
      <c r="AN317">
        <f t="shared" si="121"/>
        <v>0.55555555555555558</v>
      </c>
      <c r="AO317">
        <f>step3_validation[[#This Row],[AI_TRU2]]</f>
        <v>9</v>
      </c>
      <c r="AP317">
        <f t="shared" si="122"/>
        <v>0.88888888888888884</v>
      </c>
      <c r="AQ317">
        <f>survey_responses[[#This Row],[Tôi thấy mức thuế tôi phải đóng theo phương án mới là công bằng (người thu nhập như tôi đóng mức này là hợp lý). - HUMAN-TRU2]]</f>
        <v>7</v>
      </c>
      <c r="AR317">
        <f t="shared" si="123"/>
        <v>0.66666666666666663</v>
      </c>
      <c r="AS317">
        <f>step3_validation[[#This Row],[AI_TRU3]]</f>
        <v>8</v>
      </c>
      <c r="AT317">
        <f t="shared" si="124"/>
        <v>0.77777777777777779</v>
      </c>
      <c r="AU317">
        <f>survey_responses[[#This Row],[Tôi tin tưởng số tiền thuế tôi đóng sẽ được Nhà nước sử dụng hiệu quả để cải thiện dịch vụ công (y tế, đường xá...). - HUMAN-TRU3]]</f>
        <v>6</v>
      </c>
      <c r="AV317">
        <f t="shared" si="125"/>
        <v>0.55555555555555558</v>
      </c>
      <c r="AW317">
        <f>step3_validation[[#This Row],[AI_TRU4]]</f>
        <v>7</v>
      </c>
      <c r="AX317">
        <f t="shared" si="126"/>
        <v>0.66666666666666663</v>
      </c>
      <c r="AY317">
        <f>survey_responses[[#This Row],[Tôi thấy Nhà nước đã giải thích rõ ràng, minh bạch về lý do và mục tiêu của việc sửa đổi thuế lần này. - HUMAN-TRU4]]</f>
        <v>7</v>
      </c>
      <c r="AZ317">
        <f t="shared" si="127"/>
        <v>0.66666666666666663</v>
      </c>
      <c r="BA317" s="32">
        <f t="shared" si="128"/>
        <v>0.77777777777777768</v>
      </c>
      <c r="BB317" s="32">
        <f t="shared" si="129"/>
        <v>0.61111111111111116</v>
      </c>
      <c r="BC317" s="7">
        <f t="shared" si="130"/>
        <v>0.70370370370370372</v>
      </c>
      <c r="BD317" s="7">
        <f t="shared" si="131"/>
        <v>0.59259259259259267</v>
      </c>
      <c r="BE317">
        <f>step3_validation[[#This Row],[AI_OUT1]]</f>
        <v>9</v>
      </c>
      <c r="BF317">
        <f t="shared" si="132"/>
        <v>0.88888888888888884</v>
      </c>
      <c r="BG317">
        <f>survey_responses[[#This Row],[Sau khi xem xét các quyền lợi và nghĩa vụ, bạn có ủng hộ và tuân thủ chính sách mới hiện nay? - HUMAN-OUT1]]</f>
        <v>7</v>
      </c>
      <c r="BH317">
        <f t="shared" si="133"/>
        <v>0.66666666666666663</v>
      </c>
      <c r="BI317" s="32">
        <f t="shared" si="134"/>
        <v>2</v>
      </c>
    </row>
    <row r="318" spans="1:61" x14ac:dyDescent="0.45">
      <c r="A318" s="30">
        <f>step3_validation[[#This Row],[Persona_ID]]</f>
        <v>317</v>
      </c>
      <c r="B318" s="31">
        <f>step3_validation[[#This Row],[Used_Seed]]</f>
        <v>2307</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13.614504885833528</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6</v>
      </c>
      <c r="R318">
        <f t="shared" si="108"/>
        <v>0.55555555555555558</v>
      </c>
      <c r="S318">
        <f>survey_responses[[#This Row],[Tôi tin rằng với các quy định quản lý thuế hiện nay, hành vi gian lận hoặc trốn thuế sẽ dễ dàng bị phát hiện và xử lý nghiêm. - HUMAN-ENF1]]</f>
        <v>7</v>
      </c>
      <c r="T318">
        <f t="shared" si="109"/>
        <v>0.66666666666666663</v>
      </c>
      <c r="U318">
        <f>step3_validation[[#This Row],[AI_ENF2]]</f>
        <v>5</v>
      </c>
      <c r="V318">
        <f t="shared" si="110"/>
        <v>0.44444444444444442</v>
      </c>
      <c r="W318">
        <f>survey_responses[[#This Row],[Tôi tin rằng Nhà nước, cơ quan thuế có đủ khả năng và công nghệ để phát hiện, xử lý nghiêm các hành vi trốn thuế. - HUMAN-ENF2]]</f>
        <v>7</v>
      </c>
      <c r="X318">
        <f t="shared" si="111"/>
        <v>0.66666666666666663</v>
      </c>
      <c r="Y318" s="32">
        <f t="shared" si="112"/>
        <v>0.5</v>
      </c>
      <c r="Z318" s="32">
        <f t="shared" si="113"/>
        <v>0.66666666666666663</v>
      </c>
      <c r="AA318">
        <f>step3_validation[[#This Row],[AI_FAC1]]</f>
        <v>8</v>
      </c>
      <c r="AB318">
        <f t="shared" si="114"/>
        <v>0.77777777777777779</v>
      </c>
      <c r="AC318">
        <f>survey_responses[[#This Row],[Các thủ tục khai báo thuế VÀ/HOẶC quy trình làm việc với cơ quan thuế đơn giản, tiện lợi, nhanh chóng hơn so với trước đây. - HUMAN-FAC1]]</f>
        <v>5</v>
      </c>
      <c r="AD318">
        <f t="shared" si="115"/>
        <v>0.44444444444444442</v>
      </c>
      <c r="AE318">
        <f>step3_validation[[#This Row],[AI_FAC2]]</f>
        <v>9</v>
      </c>
      <c r="AF318">
        <f t="shared" si="116"/>
        <v>0.88888888888888884</v>
      </c>
      <c r="AG318">
        <f>survey_responses[[#This Row],[So với trước đây, tôi thấy cách tính thuế và các bậc thuế trong phương án mới đơn giản, dễ hiểu và dễ thực hiện hơn. - HUMAN-FAC2]]</f>
        <v>8</v>
      </c>
      <c r="AH318">
        <f t="shared" si="117"/>
        <v>0.77777777777777779</v>
      </c>
      <c r="AI318" s="32">
        <f t="shared" si="118"/>
        <v>0.83333333333333326</v>
      </c>
      <c r="AJ318" s="32">
        <f t="shared" si="119"/>
        <v>0.61111111111111116</v>
      </c>
      <c r="AK318">
        <f>step3_validation[[#This Row],[AI_TRU1]]</f>
        <v>7</v>
      </c>
      <c r="AL318">
        <f t="shared" si="120"/>
        <v>0.66666666666666663</v>
      </c>
      <c r="AM318">
        <f>survey_responses[[#This Row],[Tôi tin rằng Nhà nước, cơ quan thuế sẽ thực thi chính sách mới một cách khách quan, công tâm và đối xử bình đẳng với mọi người nộp thuế.  - HUMAN-TRU1]]</f>
        <v>5</v>
      </c>
      <c r="AN318">
        <f t="shared" si="121"/>
        <v>0.44444444444444442</v>
      </c>
      <c r="AO318">
        <f>step3_validation[[#This Row],[AI_TRU2]]</f>
        <v>8</v>
      </c>
      <c r="AP318">
        <f t="shared" si="122"/>
        <v>0.77777777777777779</v>
      </c>
      <c r="AQ318">
        <f>survey_responses[[#This Row],[Tôi thấy mức thuế tôi phải đóng theo phương án mới là công bằng (người thu nhập như tôi đóng mức này là hợp lý). - HUMAN-TRU2]]</f>
        <v>8</v>
      </c>
      <c r="AR318">
        <f t="shared" si="123"/>
        <v>0.77777777777777779</v>
      </c>
      <c r="AS318">
        <f>step3_validation[[#This Row],[AI_TRU3]]</f>
        <v>7</v>
      </c>
      <c r="AT318">
        <f t="shared" si="124"/>
        <v>0.66666666666666663</v>
      </c>
      <c r="AU318">
        <f>survey_responses[[#This Row],[Tôi tin tưởng số tiền thuế tôi đóng sẽ được Nhà nước sử dụng hiệu quả để cải thiện dịch vụ công (y tế, đường xá...). - HUMAN-TRU3]]</f>
        <v>5</v>
      </c>
      <c r="AV318">
        <f t="shared" si="125"/>
        <v>0.44444444444444442</v>
      </c>
      <c r="AW318">
        <f>step3_validation[[#This Row],[AI_TRU4]]</f>
        <v>6</v>
      </c>
      <c r="AX318">
        <f t="shared" si="126"/>
        <v>0.55555555555555558</v>
      </c>
      <c r="AY318">
        <f>survey_responses[[#This Row],[Tôi thấy Nhà nước đã giải thích rõ ràng, minh bạch về lý do và mục tiêu của việc sửa đổi thuế lần này. - HUMAN-TRU4]]</f>
        <v>7</v>
      </c>
      <c r="AZ318">
        <f t="shared" si="127"/>
        <v>0.66666666666666663</v>
      </c>
      <c r="BA318" s="32">
        <f t="shared" si="128"/>
        <v>0.66666666666666674</v>
      </c>
      <c r="BB318" s="32">
        <f t="shared" si="129"/>
        <v>0.58333333333333337</v>
      </c>
      <c r="BC318" s="7">
        <f t="shared" si="130"/>
        <v>0.66666666666666663</v>
      </c>
      <c r="BD318" s="7">
        <f t="shared" si="131"/>
        <v>0.62037037037037035</v>
      </c>
      <c r="BE318">
        <f>step3_validation[[#This Row],[AI_OUT1]]</f>
        <v>8</v>
      </c>
      <c r="BF318">
        <f t="shared" si="132"/>
        <v>0.77777777777777779</v>
      </c>
      <c r="BG318">
        <f>survey_responses[[#This Row],[Sau khi xem xét các quyền lợi và nghĩa vụ, bạn có ủng hộ và tuân thủ chính sách mới hiện nay? - HUMAN-OUT1]]</f>
        <v>8</v>
      </c>
      <c r="BH318">
        <f t="shared" si="133"/>
        <v>0.77777777777777779</v>
      </c>
      <c r="BI318" s="32">
        <f t="shared" si="134"/>
        <v>0</v>
      </c>
    </row>
    <row r="319" spans="1:61" x14ac:dyDescent="0.45">
      <c r="A319" s="30">
        <f>step3_validation[[#This Row],[Persona_ID]]</f>
        <v>318</v>
      </c>
      <c r="B319" s="31">
        <f>step3_validation[[#This Row],[Used_Seed]]</f>
        <v>2308</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21.386217368159549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f t="shared" si="108"/>
        <v>0.66666666666666663</v>
      </c>
      <c r="S319">
        <f>survey_responses[[#This Row],[Tôi tin rằng với các quy định quản lý thuế hiện nay, hành vi gian lận hoặc trốn thuế sẽ dễ dàng bị phát hiện và xử lý nghiêm. - HUMAN-ENF1]]</f>
        <v>4</v>
      </c>
      <c r="T319">
        <f t="shared" si="109"/>
        <v>0.33333333333333331</v>
      </c>
      <c r="U319">
        <f>step3_validation[[#This Row],[AI_ENF2]]</f>
        <v>8</v>
      </c>
      <c r="V319">
        <f t="shared" si="110"/>
        <v>0.77777777777777779</v>
      </c>
      <c r="W319">
        <f>survey_responses[[#This Row],[Tôi tin rằng Nhà nước, cơ quan thuế có đủ khả năng và công nghệ để phát hiện, xử lý nghiêm các hành vi trốn thuế. - HUMAN-ENF2]]</f>
        <v>4</v>
      </c>
      <c r="X319">
        <f t="shared" si="111"/>
        <v>0.33333333333333331</v>
      </c>
      <c r="Y319" s="32">
        <f t="shared" si="112"/>
        <v>0.72222222222222221</v>
      </c>
      <c r="Z319" s="32">
        <f t="shared" si="113"/>
        <v>0.33333333333333331</v>
      </c>
      <c r="AA319">
        <f>step3_validation[[#This Row],[AI_FAC1]]</f>
        <v>9</v>
      </c>
      <c r="AB319">
        <f t="shared" si="114"/>
        <v>0.88888888888888884</v>
      </c>
      <c r="AC319">
        <f>survey_responses[[#This Row],[Các thủ tục khai báo thuế VÀ/HOẶC quy trình làm việc với cơ quan thuế đơn giản, tiện lợi, nhanh chóng hơn so với trước đây. - HUMAN-FAC1]]</f>
        <v>6</v>
      </c>
      <c r="AD319">
        <f t="shared" si="115"/>
        <v>0.55555555555555558</v>
      </c>
      <c r="AE319">
        <f>step3_validation[[#This Row],[AI_FAC2]]</f>
        <v>9</v>
      </c>
      <c r="AF319">
        <f t="shared" si="116"/>
        <v>0.88888888888888884</v>
      </c>
      <c r="AG319">
        <f>survey_responses[[#This Row],[So với trước đây, tôi thấy cách tính thuế và các bậc thuế trong phương án mới đơn giản, dễ hiểu và dễ thực hiện hơn. - HUMAN-FAC2]]</f>
        <v>7</v>
      </c>
      <c r="AH319">
        <f t="shared" si="117"/>
        <v>0.66666666666666663</v>
      </c>
      <c r="AI319" s="32">
        <f t="shared" si="118"/>
        <v>0.88888888888888884</v>
      </c>
      <c r="AJ319" s="32">
        <f t="shared" si="119"/>
        <v>0.61111111111111116</v>
      </c>
      <c r="AK319">
        <f>step3_validation[[#This Row],[AI_TRU1]]</f>
        <v>8</v>
      </c>
      <c r="AL319">
        <f t="shared" si="120"/>
        <v>0.77777777777777779</v>
      </c>
      <c r="AM319">
        <f>survey_responses[[#This Row],[Tôi tin rằng Nhà nước, cơ quan thuế sẽ thực thi chính sách mới một cách khách quan, công tâm và đối xử bình đẳng với mọi người nộp thuế.  - HUMAN-TRU1]]</f>
        <v>5</v>
      </c>
      <c r="AN319">
        <f t="shared" si="121"/>
        <v>0.44444444444444442</v>
      </c>
      <c r="AO319">
        <f>step3_validation[[#This Row],[AI_TRU2]]</f>
        <v>9</v>
      </c>
      <c r="AP319">
        <f t="shared" si="122"/>
        <v>0.88888888888888884</v>
      </c>
      <c r="AQ319">
        <f>survey_responses[[#This Row],[Tôi thấy mức thuế tôi phải đóng theo phương án mới là công bằng (người thu nhập như tôi đóng mức này là hợp lý). - HUMAN-TRU2]]</f>
        <v>8</v>
      </c>
      <c r="AR319">
        <f t="shared" si="123"/>
        <v>0.77777777777777779</v>
      </c>
      <c r="AS319">
        <f>step3_validation[[#This Row],[AI_TRU3]]</f>
        <v>8</v>
      </c>
      <c r="AT319">
        <f t="shared" si="124"/>
        <v>0.77777777777777779</v>
      </c>
      <c r="AU319">
        <f>survey_responses[[#This Row],[Tôi tin tưởng số tiền thuế tôi đóng sẽ được Nhà nước sử dụng hiệu quả để cải thiện dịch vụ công (y tế, đường xá...). - HUMAN-TRU3]]</f>
        <v>5</v>
      </c>
      <c r="AV319">
        <f t="shared" si="125"/>
        <v>0.44444444444444442</v>
      </c>
      <c r="AW319">
        <f>step3_validation[[#This Row],[AI_TRU4]]</f>
        <v>9</v>
      </c>
      <c r="AX319">
        <f t="shared" si="126"/>
        <v>0.88888888888888884</v>
      </c>
      <c r="AY319">
        <f>survey_responses[[#This Row],[Tôi thấy Nhà nước đã giải thích rõ ràng, minh bạch về lý do và mục tiêu của việc sửa đổi thuế lần này. - HUMAN-TRU4]]</f>
        <v>5</v>
      </c>
      <c r="AZ319">
        <f t="shared" si="127"/>
        <v>0.44444444444444442</v>
      </c>
      <c r="BA319" s="32">
        <f t="shared" si="128"/>
        <v>0.83333333333333326</v>
      </c>
      <c r="BB319" s="32">
        <f t="shared" si="129"/>
        <v>0.52777777777777779</v>
      </c>
      <c r="BC319" s="7">
        <f t="shared" si="130"/>
        <v>0.81481481481481488</v>
      </c>
      <c r="BD319" s="7">
        <f t="shared" si="131"/>
        <v>0.49074074074074076</v>
      </c>
      <c r="BE319">
        <f>step3_validation[[#This Row],[AI_OUT1]]</f>
        <v>9</v>
      </c>
      <c r="BF319">
        <f t="shared" si="132"/>
        <v>0.88888888888888884</v>
      </c>
      <c r="BG319">
        <f>survey_responses[[#This Row],[Sau khi xem xét các quyền lợi và nghĩa vụ, bạn có ủng hộ và tuân thủ chính sách mới hiện nay? - HUMAN-OUT1]]</f>
        <v>8</v>
      </c>
      <c r="BH319">
        <f t="shared" si="133"/>
        <v>0.77777777777777779</v>
      </c>
      <c r="BI319" s="32">
        <f t="shared" si="134"/>
        <v>1</v>
      </c>
    </row>
    <row r="320" spans="1:61" x14ac:dyDescent="0.45">
      <c r="A320" s="30">
        <f>step3_validation[[#This Row],[Persona_ID]]</f>
        <v>319</v>
      </c>
      <c r="B320" s="31">
        <f>step3_validation[[#This Row],[Used_Seed]]</f>
        <v>2309</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15.901916868626156</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f t="shared" si="108"/>
        <v>0.88888888888888884</v>
      </c>
      <c r="S320">
        <f>survey_responses[[#This Row],[Tôi tin rằng với các quy định quản lý thuế hiện nay, hành vi gian lận hoặc trốn thuế sẽ dễ dàng bị phát hiện và xử lý nghiêm. - HUMAN-ENF1]]</f>
        <v>8</v>
      </c>
      <c r="T320">
        <f t="shared" si="109"/>
        <v>0.77777777777777779</v>
      </c>
      <c r="U320">
        <f>step3_validation[[#This Row],[AI_ENF2]]</f>
        <v>8</v>
      </c>
      <c r="V320">
        <f t="shared" si="110"/>
        <v>0.77777777777777779</v>
      </c>
      <c r="W320">
        <f>survey_responses[[#This Row],[Tôi tin rằng Nhà nước, cơ quan thuế có đủ khả năng và công nghệ để phát hiện, xử lý nghiêm các hành vi trốn thuế. - HUMAN-ENF2]]</f>
        <v>8</v>
      </c>
      <c r="X320">
        <f t="shared" si="111"/>
        <v>0.77777777777777779</v>
      </c>
      <c r="Y320" s="32">
        <f t="shared" si="112"/>
        <v>0.83333333333333326</v>
      </c>
      <c r="Z320" s="32">
        <f t="shared" si="113"/>
        <v>0.77777777777777779</v>
      </c>
      <c r="AA320">
        <f>step3_validation[[#This Row],[AI_FAC1]]</f>
        <v>9</v>
      </c>
      <c r="AB320">
        <f t="shared" si="114"/>
        <v>0.88888888888888884</v>
      </c>
      <c r="AC320">
        <f>survey_responses[[#This Row],[Các thủ tục khai báo thuế VÀ/HOẶC quy trình làm việc với cơ quan thuế đơn giản, tiện lợi, nhanh chóng hơn so với trước đây. - HUMAN-FAC1]]</f>
        <v>10</v>
      </c>
      <c r="AD320">
        <f t="shared" si="115"/>
        <v>1</v>
      </c>
      <c r="AE320">
        <f>step3_validation[[#This Row],[AI_FAC2]]</f>
        <v>10</v>
      </c>
      <c r="AF320">
        <f t="shared" si="116"/>
        <v>1</v>
      </c>
      <c r="AG320">
        <f>survey_responses[[#This Row],[So với trước đây, tôi thấy cách tính thuế và các bậc thuế trong phương án mới đơn giản, dễ hiểu và dễ thực hiện hơn. - HUMAN-FAC2]]</f>
        <v>10</v>
      </c>
      <c r="AH320">
        <f t="shared" si="117"/>
        <v>1</v>
      </c>
      <c r="AI320" s="32">
        <f t="shared" si="118"/>
        <v>0.94444444444444442</v>
      </c>
      <c r="AJ320" s="32">
        <f t="shared" si="119"/>
        <v>1</v>
      </c>
      <c r="AK320">
        <f>step3_validation[[#This Row],[AI_TRU1]]</f>
        <v>9</v>
      </c>
      <c r="AL320">
        <f t="shared" si="120"/>
        <v>0.88888888888888884</v>
      </c>
      <c r="AM320">
        <f>survey_responses[[#This Row],[Tôi tin rằng Nhà nước, cơ quan thuế sẽ thực thi chính sách mới một cách khách quan, công tâm và đối xử bình đẳng với mọi người nộp thuế.  - HUMAN-TRU1]]</f>
        <v>9</v>
      </c>
      <c r="AN320">
        <f t="shared" si="121"/>
        <v>0.88888888888888884</v>
      </c>
      <c r="AO320">
        <f>step3_validation[[#This Row],[AI_TRU2]]</f>
        <v>9</v>
      </c>
      <c r="AP320">
        <f t="shared" si="122"/>
        <v>0.88888888888888884</v>
      </c>
      <c r="AQ320">
        <f>survey_responses[[#This Row],[Tôi thấy mức thuế tôi phải đóng theo phương án mới là công bằng (người thu nhập như tôi đóng mức này là hợp lý). - HUMAN-TRU2]]</f>
        <v>10</v>
      </c>
      <c r="AR320">
        <f t="shared" si="123"/>
        <v>1</v>
      </c>
      <c r="AS320">
        <f>step3_validation[[#This Row],[AI_TRU3]]</f>
        <v>8</v>
      </c>
      <c r="AT320">
        <f t="shared" si="124"/>
        <v>0.77777777777777779</v>
      </c>
      <c r="AU320">
        <f>survey_responses[[#This Row],[Tôi tin tưởng số tiền thuế tôi đóng sẽ được Nhà nước sử dụng hiệu quả để cải thiện dịch vụ công (y tế, đường xá...). - HUMAN-TRU3]]</f>
        <v>8</v>
      </c>
      <c r="AV320">
        <f t="shared" si="125"/>
        <v>0.77777777777777779</v>
      </c>
      <c r="AW320">
        <f>step3_validation[[#This Row],[AI_TRU4]]</f>
        <v>9</v>
      </c>
      <c r="AX320">
        <f t="shared" si="126"/>
        <v>0.88888888888888884</v>
      </c>
      <c r="AY320">
        <f>survey_responses[[#This Row],[Tôi thấy Nhà nước đã giải thích rõ ràng, minh bạch về lý do và mục tiêu của việc sửa đổi thuế lần này. - HUMAN-TRU4]]</f>
        <v>8</v>
      </c>
      <c r="AZ320">
        <f t="shared" si="127"/>
        <v>0.77777777777777779</v>
      </c>
      <c r="BA320" s="32">
        <f t="shared" si="128"/>
        <v>0.86111111111111105</v>
      </c>
      <c r="BB320" s="32">
        <f t="shared" si="129"/>
        <v>0.86111111111111105</v>
      </c>
      <c r="BC320" s="7">
        <f t="shared" si="130"/>
        <v>0.87962962962962965</v>
      </c>
      <c r="BD320" s="7">
        <f t="shared" si="131"/>
        <v>0.87962962962962965</v>
      </c>
      <c r="BE320">
        <f>step3_validation[[#This Row],[AI_OUT1]]</f>
        <v>10</v>
      </c>
      <c r="BF320">
        <f t="shared" si="132"/>
        <v>1</v>
      </c>
      <c r="BG320">
        <f>survey_responses[[#This Row],[Sau khi xem xét các quyền lợi và nghĩa vụ, bạn có ủng hộ và tuân thủ chính sách mới hiện nay? - HUMAN-OUT1]]</f>
        <v>10</v>
      </c>
      <c r="BH320">
        <f t="shared" si="133"/>
        <v>1</v>
      </c>
      <c r="BI320" s="32">
        <f t="shared" si="134"/>
        <v>0</v>
      </c>
    </row>
    <row r="321" spans="1:61" x14ac:dyDescent="0.45">
      <c r="A321" s="30">
        <f>step3_validation[[#This Row],[Persona_ID]]</f>
        <v>320</v>
      </c>
      <c r="B321" s="31">
        <f>step3_validation[[#This Row],[Used_Seed]]</f>
        <v>2310</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29.341342026175226</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f t="shared" si="108"/>
        <v>0.66666666666666663</v>
      </c>
      <c r="S321">
        <f>survey_responses[[#This Row],[Tôi tin rằng với các quy định quản lý thuế hiện nay, hành vi gian lận hoặc trốn thuế sẽ dễ dàng bị phát hiện và xử lý nghiêm. - HUMAN-ENF1]]</f>
        <v>5</v>
      </c>
      <c r="T321">
        <f t="shared" si="109"/>
        <v>0.44444444444444442</v>
      </c>
      <c r="U321">
        <f>step3_validation[[#This Row],[AI_ENF2]]</f>
        <v>8</v>
      </c>
      <c r="V321">
        <f t="shared" si="110"/>
        <v>0.77777777777777779</v>
      </c>
      <c r="W321">
        <f>survey_responses[[#This Row],[Tôi tin rằng Nhà nước, cơ quan thuế có đủ khả năng và công nghệ để phát hiện, xử lý nghiêm các hành vi trốn thuế. - HUMAN-ENF2]]</f>
        <v>7</v>
      </c>
      <c r="X321">
        <f t="shared" si="111"/>
        <v>0.66666666666666663</v>
      </c>
      <c r="Y321" s="32">
        <f t="shared" si="112"/>
        <v>0.72222222222222221</v>
      </c>
      <c r="Z321" s="32">
        <f t="shared" si="113"/>
        <v>0.55555555555555558</v>
      </c>
      <c r="AA321">
        <f>step3_validation[[#This Row],[AI_FAC1]]</f>
        <v>9</v>
      </c>
      <c r="AB321">
        <f t="shared" si="114"/>
        <v>0.88888888888888884</v>
      </c>
      <c r="AC321">
        <f>survey_responses[[#This Row],[Các thủ tục khai báo thuế VÀ/HOẶC quy trình làm việc với cơ quan thuế đơn giản, tiện lợi, nhanh chóng hơn so với trước đây. - HUMAN-FAC1]]</f>
        <v>7</v>
      </c>
      <c r="AD321">
        <f t="shared" si="115"/>
        <v>0.66666666666666663</v>
      </c>
      <c r="AE321">
        <f>step3_validation[[#This Row],[AI_FAC2]]</f>
        <v>8</v>
      </c>
      <c r="AF321">
        <f t="shared" si="116"/>
        <v>0.77777777777777779</v>
      </c>
      <c r="AG321">
        <f>survey_responses[[#This Row],[So với trước đây, tôi thấy cách tính thuế và các bậc thuế trong phương án mới đơn giản, dễ hiểu và dễ thực hiện hơn. - HUMAN-FAC2]]</f>
        <v>9</v>
      </c>
      <c r="AH321">
        <f t="shared" si="117"/>
        <v>0.88888888888888884</v>
      </c>
      <c r="AI321" s="32">
        <f t="shared" si="118"/>
        <v>0.83333333333333326</v>
      </c>
      <c r="AJ321" s="32">
        <f t="shared" si="119"/>
        <v>0.77777777777777768</v>
      </c>
      <c r="AK321">
        <f>step3_validation[[#This Row],[AI_TRU1]]</f>
        <v>7</v>
      </c>
      <c r="AL321">
        <f t="shared" si="120"/>
        <v>0.66666666666666663</v>
      </c>
      <c r="AM321">
        <f>survey_responses[[#This Row],[Tôi tin rằng Nhà nước, cơ quan thuế sẽ thực thi chính sách mới một cách khách quan, công tâm và đối xử bình đẳng với mọi người nộp thuế.  - HUMAN-TRU1]]</f>
        <v>5</v>
      </c>
      <c r="AN321">
        <f t="shared" si="121"/>
        <v>0.44444444444444442</v>
      </c>
      <c r="AO321">
        <f>step3_validation[[#This Row],[AI_TRU2]]</f>
        <v>8</v>
      </c>
      <c r="AP321">
        <f t="shared" si="122"/>
        <v>0.77777777777777779</v>
      </c>
      <c r="AQ321">
        <f>survey_responses[[#This Row],[Tôi thấy mức thuế tôi phải đóng theo phương án mới là công bằng (người thu nhập như tôi đóng mức này là hợp lý). - HUMAN-TRU2]]</f>
        <v>6</v>
      </c>
      <c r="AR321">
        <f t="shared" si="123"/>
        <v>0.55555555555555558</v>
      </c>
      <c r="AS321">
        <f>step3_validation[[#This Row],[AI_TRU3]]</f>
        <v>7</v>
      </c>
      <c r="AT321">
        <f t="shared" si="124"/>
        <v>0.66666666666666663</v>
      </c>
      <c r="AU321">
        <f>survey_responses[[#This Row],[Tôi tin tưởng số tiền thuế tôi đóng sẽ được Nhà nước sử dụng hiệu quả để cải thiện dịch vụ công (y tế, đường xá...). - HUMAN-TRU3]]</f>
        <v>5</v>
      </c>
      <c r="AV321">
        <f t="shared" si="125"/>
        <v>0.44444444444444442</v>
      </c>
      <c r="AW321">
        <f>step3_validation[[#This Row],[AI_TRU4]]</f>
        <v>8</v>
      </c>
      <c r="AX321">
        <f t="shared" si="126"/>
        <v>0.77777777777777779</v>
      </c>
      <c r="AY321">
        <f>survey_responses[[#This Row],[Tôi thấy Nhà nước đã giải thích rõ ràng, minh bạch về lý do và mục tiêu của việc sửa đổi thuế lần này. - HUMAN-TRU4]]</f>
        <v>7</v>
      </c>
      <c r="AZ321">
        <f t="shared" si="127"/>
        <v>0.66666666666666663</v>
      </c>
      <c r="BA321" s="32">
        <f t="shared" si="128"/>
        <v>0.72222222222222221</v>
      </c>
      <c r="BB321" s="32">
        <f t="shared" si="129"/>
        <v>0.52777777777777779</v>
      </c>
      <c r="BC321" s="7">
        <f t="shared" si="130"/>
        <v>0.75925925925925919</v>
      </c>
      <c r="BD321" s="7">
        <f t="shared" si="131"/>
        <v>0.62037037037037035</v>
      </c>
      <c r="BE321">
        <f>step3_validation[[#This Row],[AI_OUT1]]</f>
        <v>9</v>
      </c>
      <c r="BF321">
        <f t="shared" si="132"/>
        <v>0.88888888888888884</v>
      </c>
      <c r="BG321">
        <f>survey_responses[[#This Row],[Sau khi xem xét các quyền lợi và nghĩa vụ, bạn có ủng hộ và tuân thủ chính sách mới hiện nay? - HUMAN-OUT1]]</f>
        <v>7</v>
      </c>
      <c r="BH321">
        <f t="shared" si="133"/>
        <v>0.66666666666666663</v>
      </c>
      <c r="BI321" s="32">
        <f t="shared" si="134"/>
        <v>2</v>
      </c>
    </row>
    <row r="322" spans="1:61" x14ac:dyDescent="0.45">
      <c r="A322" s="30">
        <f>step3_validation[[#This Row],[Persona_ID]]</f>
        <v>321</v>
      </c>
      <c r="B322" s="31">
        <f>step3_validation[[#This Row],[Used_Seed]]</f>
        <v>2311</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12.933171919818072</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f t="shared" si="108"/>
        <v>0.55555555555555558</v>
      </c>
      <c r="S322">
        <f>survey_responses[[#This Row],[Tôi tin rằng với các quy định quản lý thuế hiện nay, hành vi gian lận hoặc trốn thuế sẽ dễ dàng bị phát hiện và xử lý nghiêm. - HUMAN-ENF1]]</f>
        <v>8</v>
      </c>
      <c r="T322">
        <f t="shared" si="109"/>
        <v>0.77777777777777779</v>
      </c>
      <c r="U322">
        <f>step3_validation[[#This Row],[AI_ENF2]]</f>
        <v>8</v>
      </c>
      <c r="V322">
        <f t="shared" si="110"/>
        <v>0.77777777777777779</v>
      </c>
      <c r="W322">
        <f>survey_responses[[#This Row],[Tôi tin rằng Nhà nước, cơ quan thuế có đủ khả năng và công nghệ để phát hiện, xử lý nghiêm các hành vi trốn thuế. - HUMAN-ENF2]]</f>
        <v>8</v>
      </c>
      <c r="X322">
        <f t="shared" si="111"/>
        <v>0.77777777777777779</v>
      </c>
      <c r="Y322" s="32">
        <f t="shared" si="112"/>
        <v>0.66666666666666674</v>
      </c>
      <c r="Z322" s="32">
        <f t="shared" si="113"/>
        <v>0.77777777777777779</v>
      </c>
      <c r="AA322">
        <f>step3_validation[[#This Row],[AI_FAC1]]</f>
        <v>9</v>
      </c>
      <c r="AB322">
        <f t="shared" si="114"/>
        <v>0.88888888888888884</v>
      </c>
      <c r="AC322">
        <f>survey_responses[[#This Row],[Các thủ tục khai báo thuế VÀ/HOẶC quy trình làm việc với cơ quan thuế đơn giản, tiện lợi, nhanh chóng hơn so với trước đây. - HUMAN-FAC1]]</f>
        <v>7</v>
      </c>
      <c r="AD322">
        <f t="shared" si="115"/>
        <v>0.66666666666666663</v>
      </c>
      <c r="AE322">
        <f>step3_validation[[#This Row],[AI_FAC2]]</f>
        <v>8</v>
      </c>
      <c r="AF322">
        <f t="shared" si="116"/>
        <v>0.77777777777777779</v>
      </c>
      <c r="AG322">
        <f>survey_responses[[#This Row],[So với trước đây, tôi thấy cách tính thuế và các bậc thuế trong phương án mới đơn giản, dễ hiểu và dễ thực hiện hơn. - HUMAN-FAC2]]</f>
        <v>9</v>
      </c>
      <c r="AH322">
        <f t="shared" si="117"/>
        <v>0.88888888888888884</v>
      </c>
      <c r="AI322" s="32">
        <f t="shared" si="118"/>
        <v>0.83333333333333326</v>
      </c>
      <c r="AJ322" s="32">
        <f t="shared" si="119"/>
        <v>0.77777777777777768</v>
      </c>
      <c r="AK322">
        <f>step3_validation[[#This Row],[AI_TRU1]]</f>
        <v>7</v>
      </c>
      <c r="AL322">
        <f t="shared" si="120"/>
        <v>0.66666666666666663</v>
      </c>
      <c r="AM322">
        <f>survey_responses[[#This Row],[Tôi tin rằng Nhà nước, cơ quan thuế sẽ thực thi chính sách mới một cách khách quan, công tâm và đối xử bình đẳng với mọi người nộp thuế.  - HUMAN-TRU1]]</f>
        <v>9</v>
      </c>
      <c r="AN322">
        <f t="shared" si="121"/>
        <v>0.88888888888888884</v>
      </c>
      <c r="AO322">
        <f>step3_validation[[#This Row],[AI_TRU2]]</f>
        <v>9</v>
      </c>
      <c r="AP322">
        <f t="shared" si="122"/>
        <v>0.88888888888888884</v>
      </c>
      <c r="AQ322">
        <f>survey_responses[[#This Row],[Tôi thấy mức thuế tôi phải đóng theo phương án mới là công bằng (người thu nhập như tôi đóng mức này là hợp lý). - HUMAN-TRU2]]</f>
        <v>9</v>
      </c>
      <c r="AR322">
        <f t="shared" si="123"/>
        <v>0.88888888888888884</v>
      </c>
      <c r="AS322">
        <f>step3_validation[[#This Row],[AI_TRU3]]</f>
        <v>7</v>
      </c>
      <c r="AT322">
        <f t="shared" si="124"/>
        <v>0.66666666666666663</v>
      </c>
      <c r="AU322">
        <f>survey_responses[[#This Row],[Tôi tin tưởng số tiền thuế tôi đóng sẽ được Nhà nước sử dụng hiệu quả để cải thiện dịch vụ công (y tế, đường xá...). - HUMAN-TRU3]]</f>
        <v>7</v>
      </c>
      <c r="AV322">
        <f t="shared" si="125"/>
        <v>0.66666666666666663</v>
      </c>
      <c r="AW322">
        <f>step3_validation[[#This Row],[AI_TRU4]]</f>
        <v>8</v>
      </c>
      <c r="AX322">
        <f t="shared" si="126"/>
        <v>0.77777777777777779</v>
      </c>
      <c r="AY322">
        <f>survey_responses[[#This Row],[Tôi thấy Nhà nước đã giải thích rõ ràng, minh bạch về lý do và mục tiêu của việc sửa đổi thuế lần này. - HUMAN-TRU4]]</f>
        <v>9</v>
      </c>
      <c r="AZ322">
        <f t="shared" si="127"/>
        <v>0.88888888888888884</v>
      </c>
      <c r="BA322" s="32">
        <f t="shared" si="128"/>
        <v>0.74999999999999989</v>
      </c>
      <c r="BB322" s="32">
        <f t="shared" si="129"/>
        <v>0.83333333333333326</v>
      </c>
      <c r="BC322" s="7">
        <f t="shared" si="130"/>
        <v>0.75</v>
      </c>
      <c r="BD322" s="7">
        <f t="shared" si="131"/>
        <v>0.79629629629629617</v>
      </c>
      <c r="BE322">
        <f>step3_validation[[#This Row],[AI_OUT1]]</f>
        <v>9</v>
      </c>
      <c r="BF322">
        <f t="shared" si="132"/>
        <v>0.88888888888888884</v>
      </c>
      <c r="BG322">
        <f>survey_responses[[#This Row],[Sau khi xem xét các quyền lợi và nghĩa vụ, bạn có ủng hộ và tuân thủ chính sách mới hiện nay? - HUMAN-OUT1]]</f>
        <v>9</v>
      </c>
      <c r="BH322">
        <f t="shared" si="133"/>
        <v>0.88888888888888884</v>
      </c>
      <c r="BI322" s="32">
        <f t="shared" si="134"/>
        <v>0</v>
      </c>
    </row>
    <row r="323" spans="1:61" x14ac:dyDescent="0.45">
      <c r="A323" s="30">
        <f>step3_validation[[#This Row],[Persona_ID]]</f>
        <v>322</v>
      </c>
      <c r="B323" s="31">
        <f>step3_validation[[#This Row],[Used_Seed]]</f>
        <v>2312</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26.840526521385101</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f t="shared" ref="R323:R386" si="135">(Q323-1)/9</f>
        <v>0.66666666666666663</v>
      </c>
      <c r="S323">
        <f>survey_responses[[#This Row],[Tôi tin rằng với các quy định quản lý thuế hiện nay, hành vi gian lận hoặc trốn thuế sẽ dễ dàng bị phát hiện và xử lý nghiêm. - HUMAN-ENF1]]</f>
        <v>5</v>
      </c>
      <c r="T323">
        <f t="shared" ref="T323:T386" si="136">(S323-1)/9</f>
        <v>0.44444444444444442</v>
      </c>
      <c r="U323">
        <f>step3_validation[[#This Row],[AI_ENF2]]</f>
        <v>7</v>
      </c>
      <c r="V323">
        <f t="shared" ref="V323:V386" si="137">(U323-1)/9</f>
        <v>0.66666666666666663</v>
      </c>
      <c r="W323">
        <f>survey_responses[[#This Row],[Tôi tin rằng Nhà nước, cơ quan thuế có đủ khả năng và công nghệ để phát hiện, xử lý nghiêm các hành vi trốn thuế. - HUMAN-ENF2]]</f>
        <v>5</v>
      </c>
      <c r="X323">
        <f t="shared" ref="X323:X386" si="138">(W323-1)/9</f>
        <v>0.44444444444444442</v>
      </c>
      <c r="Y323" s="32">
        <f t="shared" ref="Y323:Y386" si="139">AVERAGE(R323,V323)</f>
        <v>0.66666666666666663</v>
      </c>
      <c r="Z323" s="32">
        <f t="shared" ref="Z323:Z386" si="140">AVERAGE(T323,X323)</f>
        <v>0.44444444444444442</v>
      </c>
      <c r="AA323">
        <f>step3_validation[[#This Row],[AI_FAC1]]</f>
        <v>8</v>
      </c>
      <c r="AB323">
        <f t="shared" ref="AB323:AB386" si="141">(AA323-1)/9</f>
        <v>0.77777777777777779</v>
      </c>
      <c r="AC323">
        <f>survey_responses[[#This Row],[Các thủ tục khai báo thuế VÀ/HOẶC quy trình làm việc với cơ quan thuế đơn giản, tiện lợi, nhanh chóng hơn so với trước đây. - HUMAN-FAC1]]</f>
        <v>5</v>
      </c>
      <c r="AD323">
        <f t="shared" ref="AD323:AD386" si="142">(AC323-1)/9</f>
        <v>0.44444444444444442</v>
      </c>
      <c r="AE323">
        <f>step3_validation[[#This Row],[AI_FAC2]]</f>
        <v>6</v>
      </c>
      <c r="AF323">
        <f t="shared" ref="AF323:AF386" si="143">(AE323-1)/9</f>
        <v>0.55555555555555558</v>
      </c>
      <c r="AG323">
        <f>survey_responses[[#This Row],[So với trước đây, tôi thấy cách tính thuế và các bậc thuế trong phương án mới đơn giản, dễ hiểu và dễ thực hiện hơn. - HUMAN-FAC2]]</f>
        <v>7</v>
      </c>
      <c r="AH323">
        <f t="shared" ref="AH323:AH386" si="144">(AG323-1)/9</f>
        <v>0.66666666666666663</v>
      </c>
      <c r="AI323" s="32">
        <f t="shared" ref="AI323:AI386" si="145">AVERAGE(AB323,AF323)</f>
        <v>0.66666666666666674</v>
      </c>
      <c r="AJ323" s="32">
        <f t="shared" ref="AJ323:AJ386" si="146">AVERAGE(AD323,AH323)</f>
        <v>0.55555555555555558</v>
      </c>
      <c r="AK323">
        <f>step3_validation[[#This Row],[AI_TRU1]]</f>
        <v>7</v>
      </c>
      <c r="AL323">
        <f t="shared" ref="AL323:AL386" si="147">(AK323-1)/9</f>
        <v>0.66666666666666663</v>
      </c>
      <c r="AM323">
        <f>survey_responses[[#This Row],[Tôi tin rằng Nhà nước, cơ quan thuế sẽ thực thi chính sách mới một cách khách quan, công tâm và đối xử bình đẳng với mọi người nộp thuế.  - HUMAN-TRU1]]</f>
        <v>5</v>
      </c>
      <c r="AN323">
        <f t="shared" ref="AN323:AN386" si="148">(AM323-1)/9</f>
        <v>0.44444444444444442</v>
      </c>
      <c r="AO323">
        <f>step3_validation[[#This Row],[AI_TRU2]]</f>
        <v>8</v>
      </c>
      <c r="AP323">
        <f t="shared" ref="AP323:AP386" si="149">(AO323-1)/9</f>
        <v>0.77777777777777779</v>
      </c>
      <c r="AQ323">
        <f>survey_responses[[#This Row],[Tôi thấy mức thuế tôi phải đóng theo phương án mới là công bằng (người thu nhập như tôi đóng mức này là hợp lý). - HUMAN-TRU2]]</f>
        <v>7</v>
      </c>
      <c r="AR323">
        <f t="shared" ref="AR323:AR386" si="150">(AQ323-1)/9</f>
        <v>0.66666666666666663</v>
      </c>
      <c r="AS323">
        <f>step3_validation[[#This Row],[AI_TRU3]]</f>
        <v>6</v>
      </c>
      <c r="AT323">
        <f t="shared" ref="AT323:AT386" si="151">(AS323-1)/9</f>
        <v>0.55555555555555558</v>
      </c>
      <c r="AU323">
        <f>survey_responses[[#This Row],[Tôi tin tưởng số tiền thuế tôi đóng sẽ được Nhà nước sử dụng hiệu quả để cải thiện dịch vụ công (y tế, đường xá...). - HUMAN-TRU3]]</f>
        <v>5</v>
      </c>
      <c r="AV323">
        <f t="shared" ref="AV323:AV386" si="152">(AU323-1)/9</f>
        <v>0.44444444444444442</v>
      </c>
      <c r="AW323">
        <f>step3_validation[[#This Row],[AI_TRU4]]</f>
        <v>7</v>
      </c>
      <c r="AX323">
        <f t="shared" ref="AX323:AX386" si="153">(AW323-1)/9</f>
        <v>0.66666666666666663</v>
      </c>
      <c r="AY323">
        <f>survey_responses[[#This Row],[Tôi thấy Nhà nước đã giải thích rõ ràng, minh bạch về lý do và mục tiêu của việc sửa đổi thuế lần này. - HUMAN-TRU4]]</f>
        <v>5</v>
      </c>
      <c r="AZ323">
        <f t="shared" ref="AZ323:AZ386" si="154">(AY323-1)/9</f>
        <v>0.44444444444444442</v>
      </c>
      <c r="BA323" s="32">
        <f t="shared" ref="BA323:BA386" si="155">AVERAGE(AL323,AP323,AT323,AX323)</f>
        <v>0.66666666666666663</v>
      </c>
      <c r="BB323" s="32">
        <f t="shared" ref="BB323:BB386" si="156">AVERAGE(AN323,AR323,AV323,AZ323)</f>
        <v>0.5</v>
      </c>
      <c r="BC323" s="7">
        <f t="shared" ref="BC323:BC386" si="157">(Y323+AI323+BA323)/3</f>
        <v>0.66666666666666663</v>
      </c>
      <c r="BD323" s="7">
        <f t="shared" ref="BD323:BD386" si="158">(Z323+AJ323+BB323)/3</f>
        <v>0.5</v>
      </c>
      <c r="BE323">
        <f>step3_validation[[#This Row],[AI_OUT1]]</f>
        <v>8</v>
      </c>
      <c r="BF323">
        <f t="shared" ref="BF323:BF386" si="159">(BE323-1)/9</f>
        <v>0.77777777777777779</v>
      </c>
      <c r="BG323">
        <f>survey_responses[[#This Row],[Sau khi xem xét các quyền lợi và nghĩa vụ, bạn có ủng hộ và tuân thủ chính sách mới hiện nay? - HUMAN-OUT1]]</f>
        <v>7</v>
      </c>
      <c r="BH323">
        <f t="shared" ref="BH323:BH386" si="160">(BG323-1)/9</f>
        <v>0.66666666666666663</v>
      </c>
      <c r="BI323" s="32">
        <f t="shared" ref="BI323:BI386" si="161">ABS(BG323-BE323)</f>
        <v>1</v>
      </c>
    </row>
    <row r="324" spans="1:61" x14ac:dyDescent="0.45">
      <c r="A324" s="30">
        <f>step3_validation[[#This Row],[Persona_ID]]</f>
        <v>323</v>
      </c>
      <c r="B324" s="31">
        <f>step3_validation[[#This Row],[Used_Seed]]</f>
        <v>2313</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25.672394156601221</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f t="shared" si="135"/>
        <v>0.66666666666666663</v>
      </c>
      <c r="S324">
        <f>survey_responses[[#This Row],[Tôi tin rằng với các quy định quản lý thuế hiện nay, hành vi gian lận hoặc trốn thuế sẽ dễ dàng bị phát hiện và xử lý nghiêm. - HUMAN-ENF1]]</f>
        <v>7</v>
      </c>
      <c r="T324">
        <f t="shared" si="136"/>
        <v>0.66666666666666663</v>
      </c>
      <c r="U324">
        <f>step3_validation[[#This Row],[AI_ENF2]]</f>
        <v>6</v>
      </c>
      <c r="V324">
        <f t="shared" si="137"/>
        <v>0.55555555555555558</v>
      </c>
      <c r="W324">
        <f>survey_responses[[#This Row],[Tôi tin rằng Nhà nước, cơ quan thuế có đủ khả năng và công nghệ để phát hiện, xử lý nghiêm các hành vi trốn thuế. - HUMAN-ENF2]]</f>
        <v>7</v>
      </c>
      <c r="X324">
        <f t="shared" si="138"/>
        <v>0.66666666666666663</v>
      </c>
      <c r="Y324" s="32">
        <f t="shared" si="139"/>
        <v>0.61111111111111116</v>
      </c>
      <c r="Z324" s="32">
        <f t="shared" si="140"/>
        <v>0.66666666666666663</v>
      </c>
      <c r="AA324">
        <f>step3_validation[[#This Row],[AI_FAC1]]</f>
        <v>9</v>
      </c>
      <c r="AB324">
        <f t="shared" si="141"/>
        <v>0.88888888888888884</v>
      </c>
      <c r="AC324">
        <f>survey_responses[[#This Row],[Các thủ tục khai báo thuế VÀ/HOẶC quy trình làm việc với cơ quan thuế đơn giản, tiện lợi, nhanh chóng hơn so với trước đây. - HUMAN-FAC1]]</f>
        <v>8</v>
      </c>
      <c r="AD324">
        <f t="shared" si="142"/>
        <v>0.77777777777777779</v>
      </c>
      <c r="AE324">
        <f>step3_validation[[#This Row],[AI_FAC2]]</f>
        <v>8</v>
      </c>
      <c r="AF324">
        <f t="shared" si="143"/>
        <v>0.77777777777777779</v>
      </c>
      <c r="AG324">
        <f>survey_responses[[#This Row],[So với trước đây, tôi thấy cách tính thuế và các bậc thuế trong phương án mới đơn giản, dễ hiểu và dễ thực hiện hơn. - HUMAN-FAC2]]</f>
        <v>8</v>
      </c>
      <c r="AH324">
        <f t="shared" si="144"/>
        <v>0.77777777777777779</v>
      </c>
      <c r="AI324" s="32">
        <f t="shared" si="145"/>
        <v>0.83333333333333326</v>
      </c>
      <c r="AJ324" s="32">
        <f t="shared" si="146"/>
        <v>0.77777777777777779</v>
      </c>
      <c r="AK324">
        <f>step3_validation[[#This Row],[AI_TRU1]]</f>
        <v>9</v>
      </c>
      <c r="AL324">
        <f t="shared" si="147"/>
        <v>0.88888888888888884</v>
      </c>
      <c r="AM324">
        <f>survey_responses[[#This Row],[Tôi tin rằng Nhà nước, cơ quan thuế sẽ thực thi chính sách mới một cách khách quan, công tâm và đối xử bình đẳng với mọi người nộp thuế.  - HUMAN-TRU1]]</f>
        <v>6</v>
      </c>
      <c r="AN324">
        <f t="shared" si="148"/>
        <v>0.55555555555555558</v>
      </c>
      <c r="AO324">
        <f>step3_validation[[#This Row],[AI_TRU2]]</f>
        <v>9</v>
      </c>
      <c r="AP324">
        <f t="shared" si="149"/>
        <v>0.88888888888888884</v>
      </c>
      <c r="AQ324">
        <f>survey_responses[[#This Row],[Tôi thấy mức thuế tôi phải đóng theo phương án mới là công bằng (người thu nhập như tôi đóng mức này là hợp lý). - HUMAN-TRU2]]</f>
        <v>7</v>
      </c>
      <c r="AR324">
        <f t="shared" si="150"/>
        <v>0.66666666666666663</v>
      </c>
      <c r="AS324">
        <f>step3_validation[[#This Row],[AI_TRU3]]</f>
        <v>8</v>
      </c>
      <c r="AT324">
        <f t="shared" si="151"/>
        <v>0.77777777777777779</v>
      </c>
      <c r="AU324">
        <f>survey_responses[[#This Row],[Tôi tin tưởng số tiền thuế tôi đóng sẽ được Nhà nước sử dụng hiệu quả để cải thiện dịch vụ công (y tế, đường xá...). - HUMAN-TRU3]]</f>
        <v>6</v>
      </c>
      <c r="AV324">
        <f t="shared" si="152"/>
        <v>0.55555555555555558</v>
      </c>
      <c r="AW324">
        <f>step3_validation[[#This Row],[AI_TRU4]]</f>
        <v>7</v>
      </c>
      <c r="AX324">
        <f t="shared" si="153"/>
        <v>0.66666666666666663</v>
      </c>
      <c r="AY324">
        <f>survey_responses[[#This Row],[Tôi thấy Nhà nước đã giải thích rõ ràng, minh bạch về lý do và mục tiêu của việc sửa đổi thuế lần này. - HUMAN-TRU4]]</f>
        <v>7</v>
      </c>
      <c r="AZ324">
        <f t="shared" si="154"/>
        <v>0.66666666666666663</v>
      </c>
      <c r="BA324" s="32">
        <f t="shared" si="155"/>
        <v>0.80555555555555547</v>
      </c>
      <c r="BB324" s="32">
        <f t="shared" si="156"/>
        <v>0.61111111111111116</v>
      </c>
      <c r="BC324" s="7">
        <f t="shared" si="157"/>
        <v>0.75</v>
      </c>
      <c r="BD324" s="7">
        <f t="shared" si="158"/>
        <v>0.68518518518518512</v>
      </c>
      <c r="BE324">
        <f>step3_validation[[#This Row],[AI_OUT1]]</f>
        <v>9</v>
      </c>
      <c r="BF324">
        <f t="shared" si="159"/>
        <v>0.88888888888888884</v>
      </c>
      <c r="BG324">
        <f>survey_responses[[#This Row],[Sau khi xem xét các quyền lợi và nghĩa vụ, bạn có ủng hộ và tuân thủ chính sách mới hiện nay? - HUMAN-OUT1]]</f>
        <v>7</v>
      </c>
      <c r="BH324">
        <f t="shared" si="160"/>
        <v>0.66666666666666663</v>
      </c>
      <c r="BI324" s="32">
        <f t="shared" si="161"/>
        <v>2</v>
      </c>
    </row>
    <row r="325" spans="1:61" x14ac:dyDescent="0.45">
      <c r="A325" s="30">
        <f>step3_validation[[#This Row],[Persona_ID]]</f>
        <v>324</v>
      </c>
      <c r="B325" s="31">
        <f>step3_validation[[#This Row],[Used_Seed]]</f>
        <v>2314</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8</v>
      </c>
      <c r="R325">
        <f t="shared" si="135"/>
        <v>0.77777777777777779</v>
      </c>
      <c r="S325">
        <f>survey_responses[[#This Row],[Tôi tin rằng với các quy định quản lý thuế hiện nay, hành vi gian lận hoặc trốn thuế sẽ dễ dàng bị phát hiện và xử lý nghiêm. - HUMAN-ENF1]]</f>
        <v>7</v>
      </c>
      <c r="T325">
        <f t="shared" si="136"/>
        <v>0.66666666666666663</v>
      </c>
      <c r="U325">
        <f>step3_validation[[#This Row],[AI_ENF2]]</f>
        <v>9</v>
      </c>
      <c r="V325">
        <f t="shared" si="137"/>
        <v>0.88888888888888884</v>
      </c>
      <c r="W325">
        <f>survey_responses[[#This Row],[Tôi tin rằng Nhà nước, cơ quan thuế có đủ khả năng và công nghệ để phát hiện, xử lý nghiêm các hành vi trốn thuế. - HUMAN-ENF2]]</f>
        <v>7</v>
      </c>
      <c r="X325">
        <f t="shared" si="138"/>
        <v>0.66666666666666663</v>
      </c>
      <c r="Y325" s="32">
        <f t="shared" si="139"/>
        <v>0.83333333333333326</v>
      </c>
      <c r="Z325" s="32">
        <f t="shared" si="140"/>
        <v>0.66666666666666663</v>
      </c>
      <c r="AA325">
        <f>step3_validation[[#This Row],[AI_FAC1]]</f>
        <v>8</v>
      </c>
      <c r="AB325">
        <f t="shared" si="141"/>
        <v>0.77777777777777779</v>
      </c>
      <c r="AC325">
        <f>survey_responses[[#This Row],[Các thủ tục khai báo thuế VÀ/HOẶC quy trình làm việc với cơ quan thuế đơn giản, tiện lợi, nhanh chóng hơn so với trước đây. - HUMAN-FAC1]]</f>
        <v>5</v>
      </c>
      <c r="AD325">
        <f t="shared" si="142"/>
        <v>0.44444444444444442</v>
      </c>
      <c r="AE325">
        <f>step3_validation[[#This Row],[AI_FAC2]]</f>
        <v>9</v>
      </c>
      <c r="AF325">
        <f t="shared" si="143"/>
        <v>0.88888888888888884</v>
      </c>
      <c r="AG325">
        <f>survey_responses[[#This Row],[So với trước đây, tôi thấy cách tính thuế và các bậc thuế trong phương án mới đơn giản, dễ hiểu và dễ thực hiện hơn. - HUMAN-FAC2]]</f>
        <v>7</v>
      </c>
      <c r="AH325">
        <f t="shared" si="144"/>
        <v>0.66666666666666663</v>
      </c>
      <c r="AI325" s="32">
        <f t="shared" si="145"/>
        <v>0.83333333333333326</v>
      </c>
      <c r="AJ325" s="32">
        <f t="shared" si="146"/>
        <v>0.55555555555555558</v>
      </c>
      <c r="AK325">
        <f>step3_validation[[#This Row],[AI_TRU1]]</f>
        <v>8</v>
      </c>
      <c r="AL325">
        <f t="shared" si="147"/>
        <v>0.77777777777777779</v>
      </c>
      <c r="AM325">
        <f>survey_responses[[#This Row],[Tôi tin rằng Nhà nước, cơ quan thuế sẽ thực thi chính sách mới một cách khách quan, công tâm và đối xử bình đẳng với mọi người nộp thuế.  - HUMAN-TRU1]]</f>
        <v>7</v>
      </c>
      <c r="AN325">
        <f t="shared" si="148"/>
        <v>0.66666666666666663</v>
      </c>
      <c r="AO325">
        <f>step3_validation[[#This Row],[AI_TRU2]]</f>
        <v>9</v>
      </c>
      <c r="AP325">
        <f t="shared" si="149"/>
        <v>0.88888888888888884</v>
      </c>
      <c r="AQ325">
        <f>survey_responses[[#This Row],[Tôi thấy mức thuế tôi phải đóng theo phương án mới là công bằng (người thu nhập như tôi đóng mức này là hợp lý). - HUMAN-TRU2]]</f>
        <v>7</v>
      </c>
      <c r="AR325">
        <f t="shared" si="150"/>
        <v>0.66666666666666663</v>
      </c>
      <c r="AS325">
        <f>step3_validation[[#This Row],[AI_TRU3]]</f>
        <v>8</v>
      </c>
      <c r="AT325">
        <f t="shared" si="151"/>
        <v>0.77777777777777779</v>
      </c>
      <c r="AU325">
        <f>survey_responses[[#This Row],[Tôi tin tưởng số tiền thuế tôi đóng sẽ được Nhà nước sử dụng hiệu quả để cải thiện dịch vụ công (y tế, đường xá...). - HUMAN-TRU3]]</f>
        <v>5</v>
      </c>
      <c r="AV325">
        <f t="shared" si="152"/>
        <v>0.44444444444444442</v>
      </c>
      <c r="AW325">
        <f>step3_validation[[#This Row],[AI_TRU4]]</f>
        <v>8</v>
      </c>
      <c r="AX325">
        <f t="shared" si="153"/>
        <v>0.77777777777777779</v>
      </c>
      <c r="AY325">
        <f>survey_responses[[#This Row],[Tôi thấy Nhà nước đã giải thích rõ ràng, minh bạch về lý do và mục tiêu của việc sửa đổi thuế lần này. - HUMAN-TRU4]]</f>
        <v>5</v>
      </c>
      <c r="AZ325">
        <f t="shared" si="154"/>
        <v>0.44444444444444442</v>
      </c>
      <c r="BA325" s="32">
        <f t="shared" si="155"/>
        <v>0.80555555555555547</v>
      </c>
      <c r="BB325" s="32">
        <f t="shared" si="156"/>
        <v>0.55555555555555558</v>
      </c>
      <c r="BC325" s="7">
        <f t="shared" si="157"/>
        <v>0.82407407407407396</v>
      </c>
      <c r="BD325" s="7">
        <f t="shared" si="158"/>
        <v>0.59259259259259267</v>
      </c>
      <c r="BE325">
        <f>step3_validation[[#This Row],[AI_OUT1]]</f>
        <v>8</v>
      </c>
      <c r="BF325">
        <f t="shared" si="159"/>
        <v>0.77777777777777779</v>
      </c>
      <c r="BG325">
        <f>survey_responses[[#This Row],[Sau khi xem xét các quyền lợi và nghĩa vụ, bạn có ủng hộ và tuân thủ chính sách mới hiện nay? - HUMAN-OUT1]]</f>
        <v>8</v>
      </c>
      <c r="BH325">
        <f t="shared" si="160"/>
        <v>0.77777777777777779</v>
      </c>
      <c r="BI325" s="32">
        <f t="shared" si="161"/>
        <v>0</v>
      </c>
    </row>
    <row r="326" spans="1:61" x14ac:dyDescent="0.45">
      <c r="A326" s="30">
        <f>step3_validation[[#This Row],[Persona_ID]]</f>
        <v>325</v>
      </c>
      <c r="B326" s="31">
        <f>step3_validation[[#This Row],[Used_Seed]]</f>
        <v>2315</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32.421696879686671</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6</v>
      </c>
      <c r="R326">
        <f t="shared" si="135"/>
        <v>0.55555555555555558</v>
      </c>
      <c r="S326">
        <f>survey_responses[[#This Row],[Tôi tin rằng với các quy định quản lý thuế hiện nay, hành vi gian lận hoặc trốn thuế sẽ dễ dàng bị phát hiện và xử lý nghiêm. - HUMAN-ENF1]]</f>
        <v>2</v>
      </c>
      <c r="T326">
        <f t="shared" si="136"/>
        <v>0.1111111111111111</v>
      </c>
      <c r="U326">
        <f>step3_validation[[#This Row],[AI_ENF2]]</f>
        <v>8</v>
      </c>
      <c r="V326">
        <f t="shared" si="137"/>
        <v>0.77777777777777779</v>
      </c>
      <c r="W326">
        <f>survey_responses[[#This Row],[Tôi tin rằng Nhà nước, cơ quan thuế có đủ khả năng và công nghệ để phát hiện, xử lý nghiêm các hành vi trốn thuế. - HUMAN-ENF2]]</f>
        <v>2</v>
      </c>
      <c r="X326">
        <f t="shared" si="138"/>
        <v>0.1111111111111111</v>
      </c>
      <c r="Y326" s="32">
        <f t="shared" si="139"/>
        <v>0.66666666666666674</v>
      </c>
      <c r="Z326" s="32">
        <f t="shared" si="140"/>
        <v>0.1111111111111111</v>
      </c>
      <c r="AA326">
        <f>step3_validation[[#This Row],[AI_FAC1]]</f>
        <v>9</v>
      </c>
      <c r="AB326">
        <f t="shared" si="141"/>
        <v>0.88888888888888884</v>
      </c>
      <c r="AC326">
        <f>survey_responses[[#This Row],[Các thủ tục khai báo thuế VÀ/HOẶC quy trình làm việc với cơ quan thuế đơn giản, tiện lợi, nhanh chóng hơn so với trước đây. - HUMAN-FAC1]]</f>
        <v>6</v>
      </c>
      <c r="AD326">
        <f t="shared" si="142"/>
        <v>0.55555555555555558</v>
      </c>
      <c r="AE326">
        <f>step3_validation[[#This Row],[AI_FAC2]]</f>
        <v>10</v>
      </c>
      <c r="AF326">
        <f t="shared" si="143"/>
        <v>1</v>
      </c>
      <c r="AG326">
        <f>survey_responses[[#This Row],[So với trước đây, tôi thấy cách tính thuế và các bậc thuế trong phương án mới đơn giản, dễ hiểu và dễ thực hiện hơn. - HUMAN-FAC2]]</f>
        <v>7</v>
      </c>
      <c r="AH326">
        <f t="shared" si="144"/>
        <v>0.66666666666666663</v>
      </c>
      <c r="AI326" s="32">
        <f t="shared" si="145"/>
        <v>0.94444444444444442</v>
      </c>
      <c r="AJ326" s="32">
        <f t="shared" si="146"/>
        <v>0.61111111111111116</v>
      </c>
      <c r="AK326">
        <f>step3_validation[[#This Row],[AI_TRU1]]</f>
        <v>7</v>
      </c>
      <c r="AL326">
        <f t="shared" si="147"/>
        <v>0.66666666666666663</v>
      </c>
      <c r="AM326">
        <f>survey_responses[[#This Row],[Tôi tin rằng Nhà nước, cơ quan thuế sẽ thực thi chính sách mới một cách khách quan, công tâm và đối xử bình đẳng với mọi người nộp thuế.  - HUMAN-TRU1]]</f>
        <v>2</v>
      </c>
      <c r="AN326">
        <f t="shared" si="148"/>
        <v>0.1111111111111111</v>
      </c>
      <c r="AO326">
        <f>step3_validation[[#This Row],[AI_TRU2]]</f>
        <v>9</v>
      </c>
      <c r="AP326">
        <f t="shared" si="149"/>
        <v>0.88888888888888884</v>
      </c>
      <c r="AQ326">
        <f>survey_responses[[#This Row],[Tôi thấy mức thuế tôi phải đóng theo phương án mới là công bằng (người thu nhập như tôi đóng mức này là hợp lý). - HUMAN-TRU2]]</f>
        <v>5</v>
      </c>
      <c r="AR326">
        <f t="shared" si="150"/>
        <v>0.44444444444444442</v>
      </c>
      <c r="AS326">
        <f>step3_validation[[#This Row],[AI_TRU3]]</f>
        <v>8</v>
      </c>
      <c r="AT326">
        <f t="shared" si="151"/>
        <v>0.77777777777777779</v>
      </c>
      <c r="AU326">
        <f>survey_responses[[#This Row],[Tôi tin tưởng số tiền thuế tôi đóng sẽ được Nhà nước sử dụng hiệu quả để cải thiện dịch vụ công (y tế, đường xá...). - HUMAN-TRU3]]</f>
        <v>5</v>
      </c>
      <c r="AV326">
        <f t="shared" si="152"/>
        <v>0.44444444444444442</v>
      </c>
      <c r="AW326">
        <f>step3_validation[[#This Row],[AI_TRU4]]</f>
        <v>9</v>
      </c>
      <c r="AX326">
        <f t="shared" si="153"/>
        <v>0.88888888888888884</v>
      </c>
      <c r="AY326">
        <f>survey_responses[[#This Row],[Tôi thấy Nhà nước đã giải thích rõ ràng, minh bạch về lý do và mục tiêu của việc sửa đổi thuế lần này. - HUMAN-TRU4]]</f>
        <v>6</v>
      </c>
      <c r="AZ326">
        <f t="shared" si="154"/>
        <v>0.55555555555555558</v>
      </c>
      <c r="BA326" s="32">
        <f t="shared" si="155"/>
        <v>0.80555555555555547</v>
      </c>
      <c r="BB326" s="32">
        <f t="shared" si="156"/>
        <v>0.3888888888888889</v>
      </c>
      <c r="BC326" s="7">
        <f t="shared" si="157"/>
        <v>0.80555555555555547</v>
      </c>
      <c r="BD326" s="7">
        <f t="shared" si="158"/>
        <v>0.37037037037037041</v>
      </c>
      <c r="BE326">
        <f>step3_validation[[#This Row],[AI_OUT1]]</f>
        <v>10</v>
      </c>
      <c r="BF326">
        <f t="shared" si="159"/>
        <v>1</v>
      </c>
      <c r="BG326">
        <f>survey_responses[[#This Row],[Sau khi xem xét các quyền lợi và nghĩa vụ, bạn có ủng hộ và tuân thủ chính sách mới hiện nay? - HUMAN-OUT1]]</f>
        <v>5</v>
      </c>
      <c r="BH326">
        <f t="shared" si="160"/>
        <v>0.44444444444444442</v>
      </c>
      <c r="BI326" s="32">
        <f t="shared" si="161"/>
        <v>5</v>
      </c>
    </row>
    <row r="327" spans="1:61" x14ac:dyDescent="0.45">
      <c r="A327" s="30">
        <f>step3_validation[[#This Row],[Persona_ID]]</f>
        <v>326</v>
      </c>
      <c r="B327" s="31">
        <f>step3_validation[[#This Row],[Used_Seed]]</f>
        <v>2316</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66.599036760439176</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f t="shared" si="135"/>
        <v>0.55555555555555558</v>
      </c>
      <c r="S327">
        <f>survey_responses[[#This Row],[Tôi tin rằng với các quy định quản lý thuế hiện nay, hành vi gian lận hoặc trốn thuế sẽ dễ dàng bị phát hiện và xử lý nghiêm. - HUMAN-ENF1]]</f>
        <v>8</v>
      </c>
      <c r="T327">
        <f t="shared" si="136"/>
        <v>0.77777777777777779</v>
      </c>
      <c r="U327">
        <f>step3_validation[[#This Row],[AI_ENF2]]</f>
        <v>7</v>
      </c>
      <c r="V327">
        <f t="shared" si="137"/>
        <v>0.66666666666666663</v>
      </c>
      <c r="W327">
        <f>survey_responses[[#This Row],[Tôi tin rằng Nhà nước, cơ quan thuế có đủ khả năng và công nghệ để phát hiện, xử lý nghiêm các hành vi trốn thuế. - HUMAN-ENF2]]</f>
        <v>9</v>
      </c>
      <c r="X327">
        <f t="shared" si="138"/>
        <v>0.88888888888888884</v>
      </c>
      <c r="Y327" s="32">
        <f t="shared" si="139"/>
        <v>0.61111111111111116</v>
      </c>
      <c r="Z327" s="32">
        <f t="shared" si="140"/>
        <v>0.83333333333333326</v>
      </c>
      <c r="AA327">
        <f>step3_validation[[#This Row],[AI_FAC1]]</f>
        <v>9</v>
      </c>
      <c r="AB327">
        <f t="shared" si="141"/>
        <v>0.88888888888888884</v>
      </c>
      <c r="AC327">
        <f>survey_responses[[#This Row],[Các thủ tục khai báo thuế VÀ/HOẶC quy trình làm việc với cơ quan thuế đơn giản, tiện lợi, nhanh chóng hơn so với trước đây. - HUMAN-FAC1]]</f>
        <v>9</v>
      </c>
      <c r="AD327">
        <f t="shared" si="142"/>
        <v>0.88888888888888884</v>
      </c>
      <c r="AE327">
        <f>step3_validation[[#This Row],[AI_FAC2]]</f>
        <v>8</v>
      </c>
      <c r="AF327">
        <f t="shared" si="143"/>
        <v>0.77777777777777779</v>
      </c>
      <c r="AG327">
        <f>survey_responses[[#This Row],[So với trước đây, tôi thấy cách tính thuế và các bậc thuế trong phương án mới đơn giản, dễ hiểu và dễ thực hiện hơn. - HUMAN-FAC2]]</f>
        <v>10</v>
      </c>
      <c r="AH327">
        <f t="shared" si="144"/>
        <v>1</v>
      </c>
      <c r="AI327" s="32">
        <f t="shared" si="145"/>
        <v>0.83333333333333326</v>
      </c>
      <c r="AJ327" s="32">
        <f t="shared" si="146"/>
        <v>0.94444444444444442</v>
      </c>
      <c r="AK327">
        <f>step3_validation[[#This Row],[AI_TRU1]]</f>
        <v>7</v>
      </c>
      <c r="AL327">
        <f t="shared" si="147"/>
        <v>0.66666666666666663</v>
      </c>
      <c r="AM327">
        <f>survey_responses[[#This Row],[Tôi tin rằng Nhà nước, cơ quan thuế sẽ thực thi chính sách mới một cách khách quan, công tâm và đối xử bình đẳng với mọi người nộp thuế.  - HUMAN-TRU1]]</f>
        <v>8</v>
      </c>
      <c r="AN327">
        <f t="shared" si="148"/>
        <v>0.77777777777777779</v>
      </c>
      <c r="AO327">
        <f>step3_validation[[#This Row],[AI_TRU2]]</f>
        <v>8</v>
      </c>
      <c r="AP327">
        <f t="shared" si="149"/>
        <v>0.77777777777777779</v>
      </c>
      <c r="AQ327">
        <f>survey_responses[[#This Row],[Tôi thấy mức thuế tôi phải đóng theo phương án mới là công bằng (người thu nhập như tôi đóng mức này là hợp lý). - HUMAN-TRU2]]</f>
        <v>10</v>
      </c>
      <c r="AR327">
        <f t="shared" si="150"/>
        <v>1</v>
      </c>
      <c r="AS327">
        <f>step3_validation[[#This Row],[AI_TRU3]]</f>
        <v>7</v>
      </c>
      <c r="AT327">
        <f t="shared" si="151"/>
        <v>0.66666666666666663</v>
      </c>
      <c r="AU327">
        <f>survey_responses[[#This Row],[Tôi tin tưởng số tiền thuế tôi đóng sẽ được Nhà nước sử dụng hiệu quả để cải thiện dịch vụ công (y tế, đường xá...). - HUMAN-TRU3]]</f>
        <v>9</v>
      </c>
      <c r="AV327">
        <f t="shared" si="152"/>
        <v>0.88888888888888884</v>
      </c>
      <c r="AW327">
        <f>step3_validation[[#This Row],[AI_TRU4]]</f>
        <v>6</v>
      </c>
      <c r="AX327">
        <f t="shared" si="153"/>
        <v>0.55555555555555558</v>
      </c>
      <c r="AY327">
        <f>survey_responses[[#This Row],[Tôi thấy Nhà nước đã giải thích rõ ràng, minh bạch về lý do và mục tiêu của việc sửa đổi thuế lần này. - HUMAN-TRU4]]</f>
        <v>9</v>
      </c>
      <c r="AZ327">
        <f t="shared" si="154"/>
        <v>0.88888888888888884</v>
      </c>
      <c r="BA327" s="32">
        <f t="shared" si="155"/>
        <v>0.66666666666666674</v>
      </c>
      <c r="BB327" s="32">
        <f t="shared" si="156"/>
        <v>0.88888888888888884</v>
      </c>
      <c r="BC327" s="7">
        <f t="shared" si="157"/>
        <v>0.70370370370370372</v>
      </c>
      <c r="BD327" s="7">
        <f t="shared" si="158"/>
        <v>0.88888888888888884</v>
      </c>
      <c r="BE327">
        <f>step3_validation[[#This Row],[AI_OUT1]]</f>
        <v>9</v>
      </c>
      <c r="BF327">
        <f t="shared" si="159"/>
        <v>0.88888888888888884</v>
      </c>
      <c r="BG327">
        <f>survey_responses[[#This Row],[Sau khi xem xét các quyền lợi và nghĩa vụ, bạn có ủng hộ và tuân thủ chính sách mới hiện nay? - HUMAN-OUT1]]</f>
        <v>10</v>
      </c>
      <c r="BH327">
        <f t="shared" si="160"/>
        <v>1</v>
      </c>
      <c r="BI327" s="32">
        <f t="shared" si="161"/>
        <v>1</v>
      </c>
    </row>
    <row r="328" spans="1:61" x14ac:dyDescent="0.45">
      <c r="A328" s="30">
        <f>step3_validation[[#This Row],[Persona_ID]]</f>
        <v>327</v>
      </c>
      <c r="B328" s="31">
        <f>step3_validation[[#This Row],[Used_Seed]]</f>
        <v>2317</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21.42524974191797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f t="shared" si="135"/>
        <v>0.66666666666666663</v>
      </c>
      <c r="S328">
        <f>survey_responses[[#This Row],[Tôi tin rằng với các quy định quản lý thuế hiện nay, hành vi gian lận hoặc trốn thuế sẽ dễ dàng bị phát hiện và xử lý nghiêm. - HUMAN-ENF1]]</f>
        <v>7</v>
      </c>
      <c r="T328">
        <f t="shared" si="136"/>
        <v>0.66666666666666663</v>
      </c>
      <c r="U328">
        <f>step3_validation[[#This Row],[AI_ENF2]]</f>
        <v>6</v>
      </c>
      <c r="V328">
        <f t="shared" si="137"/>
        <v>0.55555555555555558</v>
      </c>
      <c r="W328">
        <f>survey_responses[[#This Row],[Tôi tin rằng Nhà nước, cơ quan thuế có đủ khả năng và công nghệ để phát hiện, xử lý nghiêm các hành vi trốn thuế. - HUMAN-ENF2]]</f>
        <v>7</v>
      </c>
      <c r="X328">
        <f t="shared" si="138"/>
        <v>0.66666666666666663</v>
      </c>
      <c r="Y328" s="32">
        <f t="shared" si="139"/>
        <v>0.61111111111111116</v>
      </c>
      <c r="Z328" s="32">
        <f t="shared" si="140"/>
        <v>0.66666666666666663</v>
      </c>
      <c r="AA328">
        <f>step3_validation[[#This Row],[AI_FAC1]]</f>
        <v>5</v>
      </c>
      <c r="AB328">
        <f t="shared" si="141"/>
        <v>0.44444444444444442</v>
      </c>
      <c r="AC328">
        <f>survey_responses[[#This Row],[Các thủ tục khai báo thuế VÀ/HOẶC quy trình làm việc với cơ quan thuế đơn giản, tiện lợi, nhanh chóng hơn so với trước đây. - HUMAN-FAC1]]</f>
        <v>7</v>
      </c>
      <c r="AD328">
        <f t="shared" si="142"/>
        <v>0.66666666666666663</v>
      </c>
      <c r="AE328">
        <f>step3_validation[[#This Row],[AI_FAC2]]</f>
        <v>8</v>
      </c>
      <c r="AF328">
        <f t="shared" si="143"/>
        <v>0.77777777777777779</v>
      </c>
      <c r="AG328">
        <f>survey_responses[[#This Row],[So với trước đây, tôi thấy cách tính thuế và các bậc thuế trong phương án mới đơn giản, dễ hiểu và dễ thực hiện hơn. - HUMAN-FAC2]]</f>
        <v>9</v>
      </c>
      <c r="AH328">
        <f t="shared" si="144"/>
        <v>0.88888888888888884</v>
      </c>
      <c r="AI328" s="32">
        <f t="shared" si="145"/>
        <v>0.61111111111111116</v>
      </c>
      <c r="AJ328" s="32">
        <f t="shared" si="146"/>
        <v>0.77777777777777768</v>
      </c>
      <c r="AK328">
        <f>step3_validation[[#This Row],[AI_TRU1]]</f>
        <v>6</v>
      </c>
      <c r="AL328">
        <f t="shared" si="147"/>
        <v>0.55555555555555558</v>
      </c>
      <c r="AM328">
        <f>survey_responses[[#This Row],[Tôi tin rằng Nhà nước, cơ quan thuế sẽ thực thi chính sách mới một cách khách quan, công tâm và đối xử bình đẳng với mọi người nộp thuế.  - HUMAN-TRU1]]</f>
        <v>7</v>
      </c>
      <c r="AN328">
        <f t="shared" si="148"/>
        <v>0.66666666666666663</v>
      </c>
      <c r="AO328">
        <f>step3_validation[[#This Row],[AI_TRU2]]</f>
        <v>8</v>
      </c>
      <c r="AP328">
        <f t="shared" si="149"/>
        <v>0.77777777777777779</v>
      </c>
      <c r="AQ328">
        <f>survey_responses[[#This Row],[Tôi thấy mức thuế tôi phải đóng theo phương án mới là công bằng (người thu nhập như tôi đóng mức này là hợp lý). - HUMAN-TRU2]]</f>
        <v>8</v>
      </c>
      <c r="AR328">
        <f t="shared" si="150"/>
        <v>0.77777777777777779</v>
      </c>
      <c r="AS328">
        <f>step3_validation[[#This Row],[AI_TRU3]]</f>
        <v>7</v>
      </c>
      <c r="AT328">
        <f t="shared" si="151"/>
        <v>0.66666666666666663</v>
      </c>
      <c r="AU328">
        <f>survey_responses[[#This Row],[Tôi tin tưởng số tiền thuế tôi đóng sẽ được Nhà nước sử dụng hiệu quả để cải thiện dịch vụ công (y tế, đường xá...). - HUMAN-TRU3]]</f>
        <v>5</v>
      </c>
      <c r="AV328">
        <f t="shared" si="152"/>
        <v>0.44444444444444442</v>
      </c>
      <c r="AW328">
        <f>step3_validation[[#This Row],[AI_TRU4]]</f>
        <v>5</v>
      </c>
      <c r="AX328">
        <f t="shared" si="153"/>
        <v>0.44444444444444442</v>
      </c>
      <c r="AY328">
        <f>survey_responses[[#This Row],[Tôi thấy Nhà nước đã giải thích rõ ràng, minh bạch về lý do và mục tiêu của việc sửa đổi thuế lần này. - HUMAN-TRU4]]</f>
        <v>7</v>
      </c>
      <c r="AZ328">
        <f t="shared" si="154"/>
        <v>0.66666666666666663</v>
      </c>
      <c r="BA328" s="32">
        <f t="shared" si="155"/>
        <v>0.61111111111111116</v>
      </c>
      <c r="BB328" s="32">
        <f t="shared" si="156"/>
        <v>0.63888888888888884</v>
      </c>
      <c r="BC328" s="7">
        <f t="shared" si="157"/>
        <v>0.61111111111111116</v>
      </c>
      <c r="BD328" s="7">
        <f t="shared" si="158"/>
        <v>0.69444444444444431</v>
      </c>
      <c r="BE328">
        <f>step3_validation[[#This Row],[AI_OUT1]]</f>
        <v>9</v>
      </c>
      <c r="BF328">
        <f t="shared" si="159"/>
        <v>0.88888888888888884</v>
      </c>
      <c r="BG328">
        <f>survey_responses[[#This Row],[Sau khi xem xét các quyền lợi và nghĩa vụ, bạn có ủng hộ và tuân thủ chính sách mới hiện nay? - HUMAN-OUT1]]</f>
        <v>8</v>
      </c>
      <c r="BH328">
        <f t="shared" si="160"/>
        <v>0.77777777777777779</v>
      </c>
      <c r="BI328" s="32">
        <f t="shared" si="161"/>
        <v>1</v>
      </c>
    </row>
    <row r="329" spans="1:61" x14ac:dyDescent="0.45">
      <c r="A329" s="30">
        <f>step3_validation[[#This Row],[Persona_ID]]</f>
        <v>328</v>
      </c>
      <c r="B329" s="31">
        <f>step3_validation[[#This Row],[Used_Seed]]</f>
        <v>2318</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90.960749809410544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f t="shared" si="135"/>
        <v>0.77777777777777779</v>
      </c>
      <c r="S329">
        <f>survey_responses[[#This Row],[Tôi tin rằng với các quy định quản lý thuế hiện nay, hành vi gian lận hoặc trốn thuế sẽ dễ dàng bị phát hiện và xử lý nghiêm. - HUMAN-ENF1]]</f>
        <v>7</v>
      </c>
      <c r="T329">
        <f t="shared" si="136"/>
        <v>0.66666666666666663</v>
      </c>
      <c r="U329">
        <f>step3_validation[[#This Row],[AI_ENF2]]</f>
        <v>9</v>
      </c>
      <c r="V329">
        <f t="shared" si="137"/>
        <v>0.88888888888888884</v>
      </c>
      <c r="W329">
        <f>survey_responses[[#This Row],[Tôi tin rằng Nhà nước, cơ quan thuế có đủ khả năng và công nghệ để phát hiện, xử lý nghiêm các hành vi trốn thuế. - HUMAN-ENF2]]</f>
        <v>8</v>
      </c>
      <c r="X329">
        <f t="shared" si="138"/>
        <v>0.77777777777777779</v>
      </c>
      <c r="Y329" s="32">
        <f t="shared" si="139"/>
        <v>0.83333333333333326</v>
      </c>
      <c r="Z329" s="32">
        <f t="shared" si="140"/>
        <v>0.72222222222222221</v>
      </c>
      <c r="AA329">
        <f>step3_validation[[#This Row],[AI_FAC1]]</f>
        <v>8</v>
      </c>
      <c r="AB329">
        <f t="shared" si="141"/>
        <v>0.77777777777777779</v>
      </c>
      <c r="AC329">
        <f>survey_responses[[#This Row],[Các thủ tục khai báo thuế VÀ/HOẶC quy trình làm việc với cơ quan thuế đơn giản, tiện lợi, nhanh chóng hơn so với trước đây. - HUMAN-FAC1]]</f>
        <v>9</v>
      </c>
      <c r="AD329">
        <f t="shared" si="142"/>
        <v>0.88888888888888884</v>
      </c>
      <c r="AE329">
        <f>step3_validation[[#This Row],[AI_FAC2]]</f>
        <v>9</v>
      </c>
      <c r="AF329">
        <f t="shared" si="143"/>
        <v>0.88888888888888884</v>
      </c>
      <c r="AG329">
        <f>survey_responses[[#This Row],[So với trước đây, tôi thấy cách tính thuế và các bậc thuế trong phương án mới đơn giản, dễ hiểu và dễ thực hiện hơn. - HUMAN-FAC2]]</f>
        <v>9</v>
      </c>
      <c r="AH329">
        <f t="shared" si="144"/>
        <v>0.88888888888888884</v>
      </c>
      <c r="AI329" s="32">
        <f t="shared" si="145"/>
        <v>0.83333333333333326</v>
      </c>
      <c r="AJ329" s="32">
        <f t="shared" si="146"/>
        <v>0.88888888888888884</v>
      </c>
      <c r="AK329">
        <f>step3_validation[[#This Row],[AI_TRU1]]</f>
        <v>9</v>
      </c>
      <c r="AL329">
        <f t="shared" si="147"/>
        <v>0.88888888888888884</v>
      </c>
      <c r="AM329">
        <f>survey_responses[[#This Row],[Tôi tin rằng Nhà nước, cơ quan thuế sẽ thực thi chính sách mới một cách khách quan, công tâm và đối xử bình đẳng với mọi người nộp thuế.  - HUMAN-TRU1]]</f>
        <v>9</v>
      </c>
      <c r="AN329">
        <f t="shared" si="148"/>
        <v>0.88888888888888884</v>
      </c>
      <c r="AO329">
        <f>step3_validation[[#This Row],[AI_TRU2]]</f>
        <v>8</v>
      </c>
      <c r="AP329">
        <f t="shared" si="149"/>
        <v>0.77777777777777779</v>
      </c>
      <c r="AQ329">
        <f>survey_responses[[#This Row],[Tôi thấy mức thuế tôi phải đóng theo phương án mới là công bằng (người thu nhập như tôi đóng mức này là hợp lý). - HUMAN-TRU2]]</f>
        <v>8</v>
      </c>
      <c r="AR329">
        <f t="shared" si="150"/>
        <v>0.77777777777777779</v>
      </c>
      <c r="AS329">
        <f>step3_validation[[#This Row],[AI_TRU3]]</f>
        <v>8</v>
      </c>
      <c r="AT329">
        <f t="shared" si="151"/>
        <v>0.77777777777777779</v>
      </c>
      <c r="AU329">
        <f>survey_responses[[#This Row],[Tôi tin tưởng số tiền thuế tôi đóng sẽ được Nhà nước sử dụng hiệu quả để cải thiện dịch vụ công (y tế, đường xá...). - HUMAN-TRU3]]</f>
        <v>7</v>
      </c>
      <c r="AV329">
        <f t="shared" si="152"/>
        <v>0.66666666666666663</v>
      </c>
      <c r="AW329">
        <f>step3_validation[[#This Row],[AI_TRU4]]</f>
        <v>9</v>
      </c>
      <c r="AX329">
        <f t="shared" si="153"/>
        <v>0.88888888888888884</v>
      </c>
      <c r="AY329">
        <f>survey_responses[[#This Row],[Tôi thấy Nhà nước đã giải thích rõ ràng, minh bạch về lý do và mục tiêu của việc sửa đổi thuế lần này. - HUMAN-TRU4]]</f>
        <v>7</v>
      </c>
      <c r="AZ329">
        <f t="shared" si="154"/>
        <v>0.66666666666666663</v>
      </c>
      <c r="BA329" s="32">
        <f t="shared" si="155"/>
        <v>0.83333333333333326</v>
      </c>
      <c r="BB329" s="32">
        <f t="shared" si="156"/>
        <v>0.74999999999999989</v>
      </c>
      <c r="BC329" s="7">
        <f t="shared" si="157"/>
        <v>0.83333333333333337</v>
      </c>
      <c r="BD329" s="7">
        <f t="shared" si="158"/>
        <v>0.78703703703703709</v>
      </c>
      <c r="BE329">
        <f>step3_validation[[#This Row],[AI_OUT1]]</f>
        <v>10</v>
      </c>
      <c r="BF329">
        <f t="shared" si="159"/>
        <v>1</v>
      </c>
      <c r="BG329">
        <f>survey_responses[[#This Row],[Sau khi xem xét các quyền lợi và nghĩa vụ, bạn có ủng hộ và tuân thủ chính sách mới hiện nay? - HUMAN-OUT1]]</f>
        <v>9</v>
      </c>
      <c r="BH329">
        <f t="shared" si="160"/>
        <v>0.88888888888888884</v>
      </c>
      <c r="BI329" s="32">
        <f t="shared" si="161"/>
        <v>1</v>
      </c>
    </row>
    <row r="330" spans="1:61" x14ac:dyDescent="0.45">
      <c r="A330" s="30">
        <f>step3_validation[[#This Row],[Persona_ID]]</f>
        <v>329</v>
      </c>
      <c r="B330" s="31">
        <f>step3_validation[[#This Row],[Used_Seed]]</f>
        <v>2319</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16.728174054891092</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f t="shared" si="135"/>
        <v>0.77777777777777779</v>
      </c>
      <c r="S330">
        <f>survey_responses[[#This Row],[Tôi tin rằng với các quy định quản lý thuế hiện nay, hành vi gian lận hoặc trốn thuế sẽ dễ dàng bị phát hiện và xử lý nghiêm. - HUMAN-ENF1]]</f>
        <v>7</v>
      </c>
      <c r="T330">
        <f t="shared" si="136"/>
        <v>0.66666666666666663</v>
      </c>
      <c r="U330">
        <f>step3_validation[[#This Row],[AI_ENF2]]</f>
        <v>9</v>
      </c>
      <c r="V330">
        <f t="shared" si="137"/>
        <v>0.88888888888888884</v>
      </c>
      <c r="W330">
        <f>survey_responses[[#This Row],[Tôi tin rằng Nhà nước, cơ quan thuế có đủ khả năng và công nghệ để phát hiện, xử lý nghiêm các hành vi trốn thuế. - HUMAN-ENF2]]</f>
        <v>7</v>
      </c>
      <c r="X330">
        <f t="shared" si="138"/>
        <v>0.66666666666666663</v>
      </c>
      <c r="Y330" s="32">
        <f t="shared" si="139"/>
        <v>0.83333333333333326</v>
      </c>
      <c r="Z330" s="32">
        <f t="shared" si="140"/>
        <v>0.66666666666666663</v>
      </c>
      <c r="AA330">
        <f>step3_validation[[#This Row],[AI_FAC1]]</f>
        <v>9</v>
      </c>
      <c r="AB330">
        <f t="shared" si="141"/>
        <v>0.88888888888888884</v>
      </c>
      <c r="AC330">
        <f>survey_responses[[#This Row],[Các thủ tục khai báo thuế VÀ/HOẶC quy trình làm việc với cơ quan thuế đơn giản, tiện lợi, nhanh chóng hơn so với trước đây. - HUMAN-FAC1]]</f>
        <v>9</v>
      </c>
      <c r="AD330">
        <f t="shared" si="142"/>
        <v>0.88888888888888884</v>
      </c>
      <c r="AE330">
        <f>step3_validation[[#This Row],[AI_FAC2]]</f>
        <v>10</v>
      </c>
      <c r="AF330">
        <f t="shared" si="143"/>
        <v>1</v>
      </c>
      <c r="AG330">
        <f>survey_responses[[#This Row],[So với trước đây, tôi thấy cách tính thuế và các bậc thuế trong phương án mới đơn giản, dễ hiểu và dễ thực hiện hơn. - HUMAN-FAC2]]</f>
        <v>9</v>
      </c>
      <c r="AH330">
        <f t="shared" si="144"/>
        <v>0.88888888888888884</v>
      </c>
      <c r="AI330" s="32">
        <f t="shared" si="145"/>
        <v>0.94444444444444442</v>
      </c>
      <c r="AJ330" s="32">
        <f t="shared" si="146"/>
        <v>0.88888888888888884</v>
      </c>
      <c r="AK330">
        <f>step3_validation[[#This Row],[AI_TRU1]]</f>
        <v>9</v>
      </c>
      <c r="AL330">
        <f t="shared" si="147"/>
        <v>0.88888888888888884</v>
      </c>
      <c r="AM330">
        <f>survey_responses[[#This Row],[Tôi tin rằng Nhà nước, cơ quan thuế sẽ thực thi chính sách mới một cách khách quan, công tâm và đối xử bình đẳng với mọi người nộp thuế.  - HUMAN-TRU1]]</f>
        <v>9</v>
      </c>
      <c r="AN330">
        <f t="shared" si="148"/>
        <v>0.88888888888888884</v>
      </c>
      <c r="AO330">
        <f>step3_validation[[#This Row],[AI_TRU2]]</f>
        <v>9</v>
      </c>
      <c r="AP330">
        <f t="shared" si="149"/>
        <v>0.88888888888888884</v>
      </c>
      <c r="AQ330">
        <f>survey_responses[[#This Row],[Tôi thấy mức thuế tôi phải đóng theo phương án mới là công bằng (người thu nhập như tôi đóng mức này là hợp lý). - HUMAN-TRU2]]</f>
        <v>9</v>
      </c>
      <c r="AR330">
        <f t="shared" si="150"/>
        <v>0.88888888888888884</v>
      </c>
      <c r="AS330">
        <f>step3_validation[[#This Row],[AI_TRU3]]</f>
        <v>8</v>
      </c>
      <c r="AT330">
        <f t="shared" si="151"/>
        <v>0.77777777777777779</v>
      </c>
      <c r="AU330">
        <f>survey_responses[[#This Row],[Tôi tin tưởng số tiền thuế tôi đóng sẽ được Nhà nước sử dụng hiệu quả để cải thiện dịch vụ công (y tế, đường xá...). - HUMAN-TRU3]]</f>
        <v>5</v>
      </c>
      <c r="AV330">
        <f t="shared" si="152"/>
        <v>0.44444444444444442</v>
      </c>
      <c r="AW330">
        <f>step3_validation[[#This Row],[AI_TRU4]]</f>
        <v>9</v>
      </c>
      <c r="AX330">
        <f t="shared" si="153"/>
        <v>0.88888888888888884</v>
      </c>
      <c r="AY330">
        <f>survey_responses[[#This Row],[Tôi thấy Nhà nước đã giải thích rõ ràng, minh bạch về lý do và mục tiêu của việc sửa đổi thuế lần này. - HUMAN-TRU4]]</f>
        <v>6</v>
      </c>
      <c r="AZ330">
        <f t="shared" si="154"/>
        <v>0.55555555555555558</v>
      </c>
      <c r="BA330" s="32">
        <f t="shared" si="155"/>
        <v>0.86111111111111105</v>
      </c>
      <c r="BB330" s="32">
        <f t="shared" si="156"/>
        <v>0.69444444444444442</v>
      </c>
      <c r="BC330" s="7">
        <f t="shared" si="157"/>
        <v>0.87962962962962965</v>
      </c>
      <c r="BD330" s="7">
        <f t="shared" si="158"/>
        <v>0.75</v>
      </c>
      <c r="BE330">
        <f>step3_validation[[#This Row],[AI_OUT1]]</f>
        <v>10</v>
      </c>
      <c r="BF330">
        <f t="shared" si="159"/>
        <v>1</v>
      </c>
      <c r="BG330">
        <f>survey_responses[[#This Row],[Sau khi xem xét các quyền lợi và nghĩa vụ, bạn có ủng hộ và tuân thủ chính sách mới hiện nay? - HUMAN-OUT1]]</f>
        <v>9</v>
      </c>
      <c r="BH330">
        <f t="shared" si="160"/>
        <v>0.88888888888888884</v>
      </c>
      <c r="BI330" s="32">
        <f t="shared" si="161"/>
        <v>1</v>
      </c>
    </row>
    <row r="331" spans="1:61" x14ac:dyDescent="0.45">
      <c r="A331" s="30">
        <f>step3_validation[[#This Row],[Persona_ID]]</f>
        <v>330</v>
      </c>
      <c r="B331" s="31">
        <f>step3_validation[[#This Row],[Used_Seed]]</f>
        <v>2320</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12.050702345928158</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6</v>
      </c>
      <c r="R331">
        <f t="shared" si="135"/>
        <v>0.55555555555555558</v>
      </c>
      <c r="S331">
        <f>survey_responses[[#This Row],[Tôi tin rằng với các quy định quản lý thuế hiện nay, hành vi gian lận hoặc trốn thuế sẽ dễ dàng bị phát hiện và xử lý nghiêm. - HUMAN-ENF1]]</f>
        <v>3</v>
      </c>
      <c r="T331">
        <f t="shared" si="136"/>
        <v>0.22222222222222221</v>
      </c>
      <c r="U331">
        <f>step3_validation[[#This Row],[AI_ENF2]]</f>
        <v>7</v>
      </c>
      <c r="V331">
        <f t="shared" si="137"/>
        <v>0.66666666666666663</v>
      </c>
      <c r="W331">
        <f>survey_responses[[#This Row],[Tôi tin rằng Nhà nước, cơ quan thuế có đủ khả năng và công nghệ để phát hiện, xử lý nghiêm các hành vi trốn thuế. - HUMAN-ENF2]]</f>
        <v>3</v>
      </c>
      <c r="X331">
        <f t="shared" si="138"/>
        <v>0.22222222222222221</v>
      </c>
      <c r="Y331" s="32">
        <f t="shared" si="139"/>
        <v>0.61111111111111116</v>
      </c>
      <c r="Z331" s="32">
        <f t="shared" si="140"/>
        <v>0.22222222222222221</v>
      </c>
      <c r="AA331">
        <f>step3_validation[[#This Row],[AI_FAC1]]</f>
        <v>8</v>
      </c>
      <c r="AB331">
        <f t="shared" si="141"/>
        <v>0.77777777777777779</v>
      </c>
      <c r="AC331">
        <f>survey_responses[[#This Row],[Các thủ tục khai báo thuế VÀ/HOẶC quy trình làm việc với cơ quan thuế đơn giản, tiện lợi, nhanh chóng hơn so với trước đây. - HUMAN-FAC1]]</f>
        <v>5</v>
      </c>
      <c r="AD331">
        <f t="shared" si="142"/>
        <v>0.44444444444444442</v>
      </c>
      <c r="AE331">
        <f>step3_validation[[#This Row],[AI_FAC2]]</f>
        <v>9</v>
      </c>
      <c r="AF331">
        <f t="shared" si="143"/>
        <v>0.88888888888888884</v>
      </c>
      <c r="AG331">
        <f>survey_responses[[#This Row],[So với trước đây, tôi thấy cách tính thuế và các bậc thuế trong phương án mới đơn giản, dễ hiểu và dễ thực hiện hơn. - HUMAN-FAC2]]</f>
        <v>6</v>
      </c>
      <c r="AH331">
        <f t="shared" si="144"/>
        <v>0.55555555555555558</v>
      </c>
      <c r="AI331" s="32">
        <f t="shared" si="145"/>
        <v>0.83333333333333326</v>
      </c>
      <c r="AJ331" s="32">
        <f t="shared" si="146"/>
        <v>0.5</v>
      </c>
      <c r="AK331">
        <f>step3_validation[[#This Row],[AI_TRU1]]</f>
        <v>7</v>
      </c>
      <c r="AL331">
        <f t="shared" si="147"/>
        <v>0.66666666666666663</v>
      </c>
      <c r="AM331">
        <f>survey_responses[[#This Row],[Tôi tin rằng Nhà nước, cơ quan thuế sẽ thực thi chính sách mới một cách khách quan, công tâm và đối xử bình đẳng với mọi người nộp thuế.  - HUMAN-TRU1]]</f>
        <v>4</v>
      </c>
      <c r="AN331">
        <f t="shared" si="148"/>
        <v>0.33333333333333331</v>
      </c>
      <c r="AO331">
        <f>step3_validation[[#This Row],[AI_TRU2]]</f>
        <v>9</v>
      </c>
      <c r="AP331">
        <f t="shared" si="149"/>
        <v>0.88888888888888884</v>
      </c>
      <c r="AQ331">
        <f>survey_responses[[#This Row],[Tôi thấy mức thuế tôi phải đóng theo phương án mới là công bằng (người thu nhập như tôi đóng mức này là hợp lý). - HUMAN-TRU2]]</f>
        <v>5</v>
      </c>
      <c r="AR331">
        <f t="shared" si="150"/>
        <v>0.44444444444444442</v>
      </c>
      <c r="AS331">
        <f>step3_validation[[#This Row],[AI_TRU3]]</f>
        <v>7</v>
      </c>
      <c r="AT331">
        <f t="shared" si="151"/>
        <v>0.66666666666666663</v>
      </c>
      <c r="AU331">
        <f>survey_responses[[#This Row],[Tôi tin tưởng số tiền thuế tôi đóng sẽ được Nhà nước sử dụng hiệu quả để cải thiện dịch vụ công (y tế, đường xá...). - HUMAN-TRU3]]</f>
        <v>5</v>
      </c>
      <c r="AV331">
        <f t="shared" si="152"/>
        <v>0.44444444444444442</v>
      </c>
      <c r="AW331">
        <f>step3_validation[[#This Row],[AI_TRU4]]</f>
        <v>8</v>
      </c>
      <c r="AX331">
        <f t="shared" si="153"/>
        <v>0.77777777777777779</v>
      </c>
      <c r="AY331">
        <f>survey_responses[[#This Row],[Tôi thấy Nhà nước đã giải thích rõ ràng, minh bạch về lý do và mục tiêu của việc sửa đổi thuế lần này. - HUMAN-TRU4]]</f>
        <v>5</v>
      </c>
      <c r="AZ331">
        <f t="shared" si="154"/>
        <v>0.44444444444444442</v>
      </c>
      <c r="BA331" s="32">
        <f t="shared" si="155"/>
        <v>0.74999999999999989</v>
      </c>
      <c r="BB331" s="32">
        <f t="shared" si="156"/>
        <v>0.41666666666666663</v>
      </c>
      <c r="BC331" s="7">
        <f t="shared" si="157"/>
        <v>0.7314814814814814</v>
      </c>
      <c r="BD331" s="7">
        <f t="shared" si="158"/>
        <v>0.37962962962962959</v>
      </c>
      <c r="BE331">
        <f>step3_validation[[#This Row],[AI_OUT1]]</f>
        <v>9</v>
      </c>
      <c r="BF331">
        <f t="shared" si="159"/>
        <v>0.88888888888888884</v>
      </c>
      <c r="BG331">
        <f>survey_responses[[#This Row],[Sau khi xem xét các quyền lợi và nghĩa vụ, bạn có ủng hộ và tuân thủ chính sách mới hiện nay? - HUMAN-OUT1]]</f>
        <v>5</v>
      </c>
      <c r="BH331">
        <f t="shared" si="160"/>
        <v>0.44444444444444442</v>
      </c>
      <c r="BI331" s="32">
        <f t="shared" si="161"/>
        <v>4</v>
      </c>
    </row>
    <row r="332" spans="1:61" x14ac:dyDescent="0.45">
      <c r="A332" s="30">
        <f>step3_validation[[#This Row],[Persona_ID]]</f>
        <v>331</v>
      </c>
      <c r="B332" s="31">
        <f>step3_validation[[#This Row],[Used_Seed]]</f>
        <v>2321</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25.593949633815651</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7</v>
      </c>
      <c r="R332">
        <f t="shared" si="135"/>
        <v>0.66666666666666663</v>
      </c>
      <c r="S332">
        <f>survey_responses[[#This Row],[Tôi tin rằng với các quy định quản lý thuế hiện nay, hành vi gian lận hoặc trốn thuế sẽ dễ dàng bị phát hiện và xử lý nghiêm. - HUMAN-ENF1]]</f>
        <v>4</v>
      </c>
      <c r="T332">
        <f t="shared" si="136"/>
        <v>0.33333333333333331</v>
      </c>
      <c r="U332">
        <f>step3_validation[[#This Row],[AI_ENF2]]</f>
        <v>7</v>
      </c>
      <c r="V332">
        <f t="shared" si="137"/>
        <v>0.66666666666666663</v>
      </c>
      <c r="W332">
        <f>survey_responses[[#This Row],[Tôi tin rằng Nhà nước, cơ quan thuế có đủ khả năng và công nghệ để phát hiện, xử lý nghiêm các hành vi trốn thuế. - HUMAN-ENF2]]</f>
        <v>4</v>
      </c>
      <c r="X332">
        <f t="shared" si="138"/>
        <v>0.33333333333333331</v>
      </c>
      <c r="Y332" s="32">
        <f t="shared" si="139"/>
        <v>0.66666666666666663</v>
      </c>
      <c r="Z332" s="32">
        <f t="shared" si="140"/>
        <v>0.33333333333333331</v>
      </c>
      <c r="AA332">
        <f>step3_validation[[#This Row],[AI_FAC1]]</f>
        <v>9</v>
      </c>
      <c r="AB332">
        <f t="shared" si="141"/>
        <v>0.88888888888888884</v>
      </c>
      <c r="AC332">
        <f>survey_responses[[#This Row],[Các thủ tục khai báo thuế VÀ/HOẶC quy trình làm việc với cơ quan thuế đơn giản, tiện lợi, nhanh chóng hơn so với trước đây. - HUMAN-FAC1]]</f>
        <v>5</v>
      </c>
      <c r="AD332">
        <f t="shared" si="142"/>
        <v>0.44444444444444442</v>
      </c>
      <c r="AE332">
        <f>step3_validation[[#This Row],[AI_FAC2]]</f>
        <v>8</v>
      </c>
      <c r="AF332">
        <f t="shared" si="143"/>
        <v>0.77777777777777779</v>
      </c>
      <c r="AG332">
        <f>survey_responses[[#This Row],[So với trước đây, tôi thấy cách tính thuế và các bậc thuế trong phương án mới đơn giản, dễ hiểu và dễ thực hiện hơn. - HUMAN-FAC2]]</f>
        <v>6</v>
      </c>
      <c r="AH332">
        <f t="shared" si="144"/>
        <v>0.55555555555555558</v>
      </c>
      <c r="AI332" s="32">
        <f t="shared" si="145"/>
        <v>0.83333333333333326</v>
      </c>
      <c r="AJ332" s="32">
        <f t="shared" si="146"/>
        <v>0.5</v>
      </c>
      <c r="AK332">
        <f>step3_validation[[#This Row],[AI_TRU1]]</f>
        <v>7</v>
      </c>
      <c r="AL332">
        <f t="shared" si="147"/>
        <v>0.66666666666666663</v>
      </c>
      <c r="AM332">
        <f>survey_responses[[#This Row],[Tôi tin rằng Nhà nước, cơ quan thuế sẽ thực thi chính sách mới một cách khách quan, công tâm và đối xử bình đẳng với mọi người nộp thuế.  - HUMAN-TRU1]]</f>
        <v>4</v>
      </c>
      <c r="AN332">
        <f t="shared" si="148"/>
        <v>0.33333333333333331</v>
      </c>
      <c r="AO332">
        <f>step3_validation[[#This Row],[AI_TRU2]]</f>
        <v>9</v>
      </c>
      <c r="AP332">
        <f t="shared" si="149"/>
        <v>0.88888888888888884</v>
      </c>
      <c r="AQ332">
        <f>survey_responses[[#This Row],[Tôi thấy mức thuế tôi phải đóng theo phương án mới là công bằng (người thu nhập như tôi đóng mức này là hợp lý). - HUMAN-TRU2]]</f>
        <v>5</v>
      </c>
      <c r="AR332">
        <f t="shared" si="150"/>
        <v>0.44444444444444442</v>
      </c>
      <c r="AS332">
        <f>step3_validation[[#This Row],[AI_TRU3]]</f>
        <v>8</v>
      </c>
      <c r="AT332">
        <f t="shared" si="151"/>
        <v>0.77777777777777779</v>
      </c>
      <c r="AU332">
        <f>survey_responses[[#This Row],[Tôi tin tưởng số tiền thuế tôi đóng sẽ được Nhà nước sử dụng hiệu quả để cải thiện dịch vụ công (y tế, đường xá...). - HUMAN-TRU3]]</f>
        <v>3</v>
      </c>
      <c r="AV332">
        <f t="shared" si="152"/>
        <v>0.22222222222222221</v>
      </c>
      <c r="AW332">
        <f>step3_validation[[#This Row],[AI_TRU4]]</f>
        <v>7</v>
      </c>
      <c r="AX332">
        <f t="shared" si="153"/>
        <v>0.66666666666666663</v>
      </c>
      <c r="AY332">
        <f>survey_responses[[#This Row],[Tôi thấy Nhà nước đã giải thích rõ ràng, minh bạch về lý do và mục tiêu của việc sửa đổi thuế lần này. - HUMAN-TRU4]]</f>
        <v>4</v>
      </c>
      <c r="AZ332">
        <f t="shared" si="154"/>
        <v>0.33333333333333331</v>
      </c>
      <c r="BA332" s="32">
        <f t="shared" si="155"/>
        <v>0.74999999999999989</v>
      </c>
      <c r="BB332" s="32">
        <f t="shared" si="156"/>
        <v>0.33333333333333331</v>
      </c>
      <c r="BC332" s="7">
        <f t="shared" si="157"/>
        <v>0.75</v>
      </c>
      <c r="BD332" s="7">
        <f t="shared" si="158"/>
        <v>0.38888888888888884</v>
      </c>
      <c r="BE332">
        <f>step3_validation[[#This Row],[AI_OUT1]]</f>
        <v>9</v>
      </c>
      <c r="BF332">
        <f t="shared" si="159"/>
        <v>0.88888888888888884</v>
      </c>
      <c r="BG332">
        <f>survey_responses[[#This Row],[Sau khi xem xét các quyền lợi và nghĩa vụ, bạn có ủng hộ và tuân thủ chính sách mới hiện nay? - HUMAN-OUT1]]</f>
        <v>5</v>
      </c>
      <c r="BH332">
        <f t="shared" si="160"/>
        <v>0.44444444444444442</v>
      </c>
      <c r="BI332" s="32">
        <f t="shared" si="161"/>
        <v>4</v>
      </c>
    </row>
    <row r="333" spans="1:61" x14ac:dyDescent="0.45">
      <c r="A333" s="30">
        <f>step3_validation[[#This Row],[Persona_ID]]</f>
        <v>332</v>
      </c>
      <c r="B333" s="31">
        <f>step3_validation[[#This Row],[Used_Seed]]</f>
        <v>2322</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19.930764889106943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5</v>
      </c>
      <c r="R333">
        <f t="shared" si="135"/>
        <v>0.44444444444444442</v>
      </c>
      <c r="S333">
        <f>survey_responses[[#This Row],[Tôi tin rằng với các quy định quản lý thuế hiện nay, hành vi gian lận hoặc trốn thuế sẽ dễ dàng bị phát hiện và xử lý nghiêm. - HUMAN-ENF1]]</f>
        <v>7</v>
      </c>
      <c r="T333">
        <f t="shared" si="136"/>
        <v>0.66666666666666663</v>
      </c>
      <c r="U333">
        <f>step3_validation[[#This Row],[AI_ENF2]]</f>
        <v>6</v>
      </c>
      <c r="V333">
        <f t="shared" si="137"/>
        <v>0.55555555555555558</v>
      </c>
      <c r="W333">
        <f>survey_responses[[#This Row],[Tôi tin rằng Nhà nước, cơ quan thuế có đủ khả năng và công nghệ để phát hiện, xử lý nghiêm các hành vi trốn thuế. - HUMAN-ENF2]]</f>
        <v>7</v>
      </c>
      <c r="X333">
        <f t="shared" si="138"/>
        <v>0.66666666666666663</v>
      </c>
      <c r="Y333" s="32">
        <f t="shared" si="139"/>
        <v>0.5</v>
      </c>
      <c r="Z333" s="32">
        <f t="shared" si="140"/>
        <v>0.66666666666666663</v>
      </c>
      <c r="AA333">
        <f>step3_validation[[#This Row],[AI_FAC1]]</f>
        <v>8</v>
      </c>
      <c r="AB333">
        <f t="shared" si="141"/>
        <v>0.77777777777777779</v>
      </c>
      <c r="AC333">
        <f>survey_responses[[#This Row],[Các thủ tục khai báo thuế VÀ/HOẶC quy trình làm việc với cơ quan thuế đơn giản, tiện lợi, nhanh chóng hơn so với trước đây. - HUMAN-FAC1]]</f>
        <v>9</v>
      </c>
      <c r="AD333">
        <f t="shared" si="142"/>
        <v>0.88888888888888884</v>
      </c>
      <c r="AE333">
        <f>step3_validation[[#This Row],[AI_FAC2]]</f>
        <v>9</v>
      </c>
      <c r="AF333">
        <f t="shared" si="143"/>
        <v>0.88888888888888884</v>
      </c>
      <c r="AG333">
        <f>survey_responses[[#This Row],[So với trước đây, tôi thấy cách tính thuế và các bậc thuế trong phương án mới đơn giản, dễ hiểu và dễ thực hiện hơn. - HUMAN-FAC2]]</f>
        <v>9</v>
      </c>
      <c r="AH333">
        <f t="shared" si="144"/>
        <v>0.88888888888888884</v>
      </c>
      <c r="AI333" s="32">
        <f t="shared" si="145"/>
        <v>0.83333333333333326</v>
      </c>
      <c r="AJ333" s="32">
        <f t="shared" si="146"/>
        <v>0.88888888888888884</v>
      </c>
      <c r="AK333">
        <f>step3_validation[[#This Row],[AI_TRU1]]</f>
        <v>4</v>
      </c>
      <c r="AL333">
        <f t="shared" si="147"/>
        <v>0.33333333333333331</v>
      </c>
      <c r="AM333">
        <f>survey_responses[[#This Row],[Tôi tin rằng Nhà nước, cơ quan thuế sẽ thực thi chính sách mới một cách khách quan, công tâm và đối xử bình đẳng với mọi người nộp thuế.  - HUMAN-TRU1]]</f>
        <v>8</v>
      </c>
      <c r="AN333">
        <f t="shared" si="148"/>
        <v>0.77777777777777779</v>
      </c>
      <c r="AO333">
        <f>step3_validation[[#This Row],[AI_TRU2]]</f>
        <v>7</v>
      </c>
      <c r="AP333">
        <f t="shared" si="149"/>
        <v>0.66666666666666663</v>
      </c>
      <c r="AQ333">
        <f>survey_responses[[#This Row],[Tôi thấy mức thuế tôi phải đóng theo phương án mới là công bằng (người thu nhập như tôi đóng mức này là hợp lý). - HUMAN-TRU2]]</f>
        <v>9</v>
      </c>
      <c r="AR333">
        <f t="shared" si="150"/>
        <v>0.88888888888888884</v>
      </c>
      <c r="AS333">
        <f>step3_validation[[#This Row],[AI_TRU3]]</f>
        <v>5</v>
      </c>
      <c r="AT333">
        <f t="shared" si="151"/>
        <v>0.44444444444444442</v>
      </c>
      <c r="AU333">
        <f>survey_responses[[#This Row],[Tôi tin tưởng số tiền thuế tôi đóng sẽ được Nhà nước sử dụng hiệu quả để cải thiện dịch vụ công (y tế, đường xá...). - HUMAN-TRU3]]</f>
        <v>7</v>
      </c>
      <c r="AV333">
        <f t="shared" si="152"/>
        <v>0.66666666666666663</v>
      </c>
      <c r="AW333">
        <f>step3_validation[[#This Row],[AI_TRU4]]</f>
        <v>8</v>
      </c>
      <c r="AX333">
        <f t="shared" si="153"/>
        <v>0.77777777777777779</v>
      </c>
      <c r="AY333">
        <f>survey_responses[[#This Row],[Tôi thấy Nhà nước đã giải thích rõ ràng, minh bạch về lý do và mục tiêu của việc sửa đổi thuế lần này. - HUMAN-TRU4]]</f>
        <v>9</v>
      </c>
      <c r="AZ333">
        <f t="shared" si="154"/>
        <v>0.88888888888888884</v>
      </c>
      <c r="BA333" s="32">
        <f t="shared" si="155"/>
        <v>0.55555555555555558</v>
      </c>
      <c r="BB333" s="32">
        <f t="shared" si="156"/>
        <v>0.80555555555555547</v>
      </c>
      <c r="BC333" s="7">
        <f t="shared" si="157"/>
        <v>0.62962962962962965</v>
      </c>
      <c r="BD333" s="7">
        <f t="shared" si="158"/>
        <v>0.78703703703703687</v>
      </c>
      <c r="BE333">
        <f>step3_validation[[#This Row],[AI_OUT1]]</f>
        <v>9</v>
      </c>
      <c r="BF333">
        <f t="shared" si="159"/>
        <v>0.88888888888888884</v>
      </c>
      <c r="BG333">
        <f>survey_responses[[#This Row],[Sau khi xem xét các quyền lợi và nghĩa vụ, bạn có ủng hộ và tuân thủ chính sách mới hiện nay? - HUMAN-OUT1]]</f>
        <v>9</v>
      </c>
      <c r="BH333">
        <f t="shared" si="160"/>
        <v>0.88888888888888884</v>
      </c>
      <c r="BI333" s="32">
        <f t="shared" si="161"/>
        <v>0</v>
      </c>
    </row>
    <row r="334" spans="1:61" x14ac:dyDescent="0.45">
      <c r="A334" s="30">
        <f>step3_validation[[#This Row],[Persona_ID]]</f>
        <v>333</v>
      </c>
      <c r="B334" s="31">
        <f>step3_validation[[#This Row],[Used_Seed]]</f>
        <v>2323</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71.918773550044762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9</v>
      </c>
      <c r="R334">
        <f t="shared" si="135"/>
        <v>0.88888888888888884</v>
      </c>
      <c r="S334">
        <f>survey_responses[[#This Row],[Tôi tin rằng với các quy định quản lý thuế hiện nay, hành vi gian lận hoặc trốn thuế sẽ dễ dàng bị phát hiện và xử lý nghiêm. - HUMAN-ENF1]]</f>
        <v>6</v>
      </c>
      <c r="T334">
        <f t="shared" si="136"/>
        <v>0.55555555555555558</v>
      </c>
      <c r="U334">
        <f>step3_validation[[#This Row],[AI_ENF2]]</f>
        <v>8</v>
      </c>
      <c r="V334">
        <f t="shared" si="137"/>
        <v>0.77777777777777779</v>
      </c>
      <c r="W334">
        <f>survey_responses[[#This Row],[Tôi tin rằng Nhà nước, cơ quan thuế có đủ khả năng và công nghệ để phát hiện, xử lý nghiêm các hành vi trốn thuế. - HUMAN-ENF2]]</f>
        <v>6</v>
      </c>
      <c r="X334">
        <f t="shared" si="138"/>
        <v>0.55555555555555558</v>
      </c>
      <c r="Y334" s="32">
        <f t="shared" si="139"/>
        <v>0.83333333333333326</v>
      </c>
      <c r="Z334" s="32">
        <f t="shared" si="140"/>
        <v>0.55555555555555558</v>
      </c>
      <c r="AA334">
        <f>step3_validation[[#This Row],[AI_FAC1]]</f>
        <v>9</v>
      </c>
      <c r="AB334">
        <f t="shared" si="141"/>
        <v>0.88888888888888884</v>
      </c>
      <c r="AC334">
        <f>survey_responses[[#This Row],[Các thủ tục khai báo thuế VÀ/HOẶC quy trình làm việc với cơ quan thuế đơn giản, tiện lợi, nhanh chóng hơn so với trước đây. - HUMAN-FAC1]]</f>
        <v>8</v>
      </c>
      <c r="AD334">
        <f t="shared" si="142"/>
        <v>0.77777777777777779</v>
      </c>
      <c r="AE334">
        <f>step3_validation[[#This Row],[AI_FAC2]]</f>
        <v>8</v>
      </c>
      <c r="AF334">
        <f t="shared" si="143"/>
        <v>0.77777777777777779</v>
      </c>
      <c r="AG334">
        <f>survey_responses[[#This Row],[So với trước đây, tôi thấy cách tính thuế và các bậc thuế trong phương án mới đơn giản, dễ hiểu và dễ thực hiện hơn. - HUMAN-FAC2]]</f>
        <v>8</v>
      </c>
      <c r="AH334">
        <f t="shared" si="144"/>
        <v>0.77777777777777779</v>
      </c>
      <c r="AI334" s="32">
        <f t="shared" si="145"/>
        <v>0.83333333333333326</v>
      </c>
      <c r="AJ334" s="32">
        <f t="shared" si="146"/>
        <v>0.77777777777777779</v>
      </c>
      <c r="AK334">
        <f>step3_validation[[#This Row],[AI_TRU1]]</f>
        <v>9</v>
      </c>
      <c r="AL334">
        <f t="shared" si="147"/>
        <v>0.88888888888888884</v>
      </c>
      <c r="AM334">
        <f>survey_responses[[#This Row],[Tôi tin rằng Nhà nước, cơ quan thuế sẽ thực thi chính sách mới một cách khách quan, công tâm và đối xử bình đẳng với mọi người nộp thuế.  - HUMAN-TRU1]]</f>
        <v>6</v>
      </c>
      <c r="AN334">
        <f t="shared" si="148"/>
        <v>0.55555555555555558</v>
      </c>
      <c r="AO334">
        <f>step3_validation[[#This Row],[AI_TRU2]]</f>
        <v>8</v>
      </c>
      <c r="AP334">
        <f t="shared" si="149"/>
        <v>0.77777777777777779</v>
      </c>
      <c r="AQ334">
        <f>survey_responses[[#This Row],[Tôi thấy mức thuế tôi phải đóng theo phương án mới là công bằng (người thu nhập như tôi đóng mức này là hợp lý). - HUMAN-TRU2]]</f>
        <v>7</v>
      </c>
      <c r="AR334">
        <f t="shared" si="150"/>
        <v>0.66666666666666663</v>
      </c>
      <c r="AS334">
        <f>step3_validation[[#This Row],[AI_TRU3]]</f>
        <v>9</v>
      </c>
      <c r="AT334">
        <f t="shared" si="151"/>
        <v>0.88888888888888884</v>
      </c>
      <c r="AU334">
        <f>survey_responses[[#This Row],[Tôi tin tưởng số tiền thuế tôi đóng sẽ được Nhà nước sử dụng hiệu quả để cải thiện dịch vụ công (y tế, đường xá...). - HUMAN-TRU3]]</f>
        <v>6</v>
      </c>
      <c r="AV334">
        <f t="shared" si="152"/>
        <v>0.55555555555555558</v>
      </c>
      <c r="AW334">
        <f>step3_validation[[#This Row],[AI_TRU4]]</f>
        <v>8</v>
      </c>
      <c r="AX334">
        <f t="shared" si="153"/>
        <v>0.77777777777777779</v>
      </c>
      <c r="AY334">
        <f>survey_responses[[#This Row],[Tôi thấy Nhà nước đã giải thích rõ ràng, minh bạch về lý do và mục tiêu của việc sửa đổi thuế lần này. - HUMAN-TRU4]]</f>
        <v>7</v>
      </c>
      <c r="AZ334">
        <f t="shared" si="154"/>
        <v>0.66666666666666663</v>
      </c>
      <c r="BA334" s="32">
        <f t="shared" si="155"/>
        <v>0.83333333333333326</v>
      </c>
      <c r="BB334" s="32">
        <f t="shared" si="156"/>
        <v>0.61111111111111116</v>
      </c>
      <c r="BC334" s="7">
        <f t="shared" si="157"/>
        <v>0.83333333333333337</v>
      </c>
      <c r="BD334" s="7">
        <f t="shared" si="158"/>
        <v>0.64814814814814825</v>
      </c>
      <c r="BE334">
        <f>step3_validation[[#This Row],[AI_OUT1]]</f>
        <v>9</v>
      </c>
      <c r="BF334">
        <f t="shared" si="159"/>
        <v>0.88888888888888884</v>
      </c>
      <c r="BG334">
        <f>survey_responses[[#This Row],[Sau khi xem xét các quyền lợi và nghĩa vụ, bạn có ủng hộ và tuân thủ chính sách mới hiện nay? - HUMAN-OUT1]]</f>
        <v>7</v>
      </c>
      <c r="BH334">
        <f t="shared" si="160"/>
        <v>0.66666666666666663</v>
      </c>
      <c r="BI334" s="32">
        <f t="shared" si="161"/>
        <v>2</v>
      </c>
    </row>
    <row r="335" spans="1:61" x14ac:dyDescent="0.45">
      <c r="A335" s="30">
        <f>step3_validation[[#This Row],[Persona_ID]]</f>
        <v>334</v>
      </c>
      <c r="B335" s="31">
        <f>step3_validation[[#This Row],[Used_Seed]]</f>
        <v>2324</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234.60689954896262</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f t="shared" si="135"/>
        <v>0.55555555555555558</v>
      </c>
      <c r="S335">
        <f>survey_responses[[#This Row],[Tôi tin rằng với các quy định quản lý thuế hiện nay, hành vi gian lận hoặc trốn thuế sẽ dễ dàng bị phát hiện và xử lý nghiêm. - HUMAN-ENF1]]</f>
        <v>2</v>
      </c>
      <c r="T335">
        <f t="shared" si="136"/>
        <v>0.1111111111111111</v>
      </c>
      <c r="U335">
        <f>step3_validation[[#This Row],[AI_ENF2]]</f>
        <v>5</v>
      </c>
      <c r="V335">
        <f t="shared" si="137"/>
        <v>0.44444444444444442</v>
      </c>
      <c r="W335">
        <f>survey_responses[[#This Row],[Tôi tin rằng Nhà nước, cơ quan thuế có đủ khả năng và công nghệ để phát hiện, xử lý nghiêm các hành vi trốn thuế. - HUMAN-ENF2]]</f>
        <v>2</v>
      </c>
      <c r="X335">
        <f t="shared" si="138"/>
        <v>0.1111111111111111</v>
      </c>
      <c r="Y335" s="32">
        <f t="shared" si="139"/>
        <v>0.5</v>
      </c>
      <c r="Z335" s="32">
        <f t="shared" si="140"/>
        <v>0.1111111111111111</v>
      </c>
      <c r="AA335">
        <f>step3_validation[[#This Row],[AI_FAC1]]</f>
        <v>8</v>
      </c>
      <c r="AB335">
        <f t="shared" si="141"/>
        <v>0.77777777777777779</v>
      </c>
      <c r="AC335">
        <f>survey_responses[[#This Row],[Các thủ tục khai báo thuế VÀ/HOẶC quy trình làm việc với cơ quan thuế đơn giản, tiện lợi, nhanh chóng hơn so với trước đây. - HUMAN-FAC1]]</f>
        <v>3</v>
      </c>
      <c r="AD335">
        <f t="shared" si="142"/>
        <v>0.22222222222222221</v>
      </c>
      <c r="AE335">
        <f>step3_validation[[#This Row],[AI_FAC2]]</f>
        <v>7</v>
      </c>
      <c r="AF335">
        <f t="shared" si="143"/>
        <v>0.66666666666666663</v>
      </c>
      <c r="AG335">
        <f>survey_responses[[#This Row],[So với trước đây, tôi thấy cách tính thuế và các bậc thuế trong phương án mới đơn giản, dễ hiểu và dễ thực hiện hơn. - HUMAN-FAC2]]</f>
        <v>5</v>
      </c>
      <c r="AH335">
        <f t="shared" si="144"/>
        <v>0.44444444444444442</v>
      </c>
      <c r="AI335" s="32">
        <f t="shared" si="145"/>
        <v>0.72222222222222221</v>
      </c>
      <c r="AJ335" s="32">
        <f t="shared" si="146"/>
        <v>0.33333333333333331</v>
      </c>
      <c r="AK335">
        <f>step3_validation[[#This Row],[AI_TRU1]]</f>
        <v>9</v>
      </c>
      <c r="AL335">
        <f t="shared" si="147"/>
        <v>0.88888888888888884</v>
      </c>
      <c r="AM335">
        <f>survey_responses[[#This Row],[Tôi tin rằng Nhà nước, cơ quan thuế sẽ thực thi chính sách mới một cách khách quan, công tâm và đối xử bình đẳng với mọi người nộp thuế.  - HUMAN-TRU1]]</f>
        <v>1</v>
      </c>
      <c r="AN335">
        <f t="shared" si="148"/>
        <v>0</v>
      </c>
      <c r="AO335">
        <f>step3_validation[[#This Row],[AI_TRU2]]</f>
        <v>8</v>
      </c>
      <c r="AP335">
        <f t="shared" si="149"/>
        <v>0.77777777777777779</v>
      </c>
      <c r="AQ335">
        <f>survey_responses[[#This Row],[Tôi thấy mức thuế tôi phải đóng theo phương án mới là công bằng (người thu nhập như tôi đóng mức này là hợp lý). - HUMAN-TRU2]]</f>
        <v>1</v>
      </c>
      <c r="AR335">
        <f t="shared" si="150"/>
        <v>0</v>
      </c>
      <c r="AS335">
        <f>step3_validation[[#This Row],[AI_TRU3]]</f>
        <v>7</v>
      </c>
      <c r="AT335">
        <f t="shared" si="151"/>
        <v>0.66666666666666663</v>
      </c>
      <c r="AU335">
        <f>survey_responses[[#This Row],[Tôi tin tưởng số tiền thuế tôi đóng sẽ được Nhà nước sử dụng hiệu quả để cải thiện dịch vụ công (y tế, đường xá...). - HUMAN-TRU3]]</f>
        <v>1</v>
      </c>
      <c r="AV335">
        <f t="shared" si="152"/>
        <v>0</v>
      </c>
      <c r="AW335">
        <f>step3_validation[[#This Row],[AI_TRU4]]</f>
        <v>6</v>
      </c>
      <c r="AX335">
        <f t="shared" si="153"/>
        <v>0.55555555555555558</v>
      </c>
      <c r="AY335">
        <f>survey_responses[[#This Row],[Tôi thấy Nhà nước đã giải thích rõ ràng, minh bạch về lý do và mục tiêu của việc sửa đổi thuế lần này. - HUMAN-TRU4]]</f>
        <v>3</v>
      </c>
      <c r="AZ335">
        <f t="shared" si="154"/>
        <v>0.22222222222222221</v>
      </c>
      <c r="BA335" s="32">
        <f t="shared" si="155"/>
        <v>0.7222222222222221</v>
      </c>
      <c r="BB335" s="32">
        <f t="shared" si="156"/>
        <v>5.5555555555555552E-2</v>
      </c>
      <c r="BC335" s="7">
        <f t="shared" si="157"/>
        <v>0.64814814814814814</v>
      </c>
      <c r="BD335" s="7">
        <f t="shared" si="158"/>
        <v>0.16666666666666666</v>
      </c>
      <c r="BE335">
        <f>step3_validation[[#This Row],[AI_OUT1]]</f>
        <v>9</v>
      </c>
      <c r="BF335">
        <f t="shared" si="159"/>
        <v>0.88888888888888884</v>
      </c>
      <c r="BG335">
        <f>survey_responses[[#This Row],[Sau khi xem xét các quyền lợi và nghĩa vụ, bạn có ủng hộ và tuân thủ chính sách mới hiện nay? - HUMAN-OUT1]]</f>
        <v>1</v>
      </c>
      <c r="BH335">
        <f t="shared" si="160"/>
        <v>0</v>
      </c>
      <c r="BI335" s="32">
        <f t="shared" si="161"/>
        <v>8</v>
      </c>
    </row>
    <row r="336" spans="1:61" x14ac:dyDescent="0.45">
      <c r="A336" s="30">
        <f>step3_validation[[#This Row],[Persona_ID]]</f>
        <v>335</v>
      </c>
      <c r="B336" s="31">
        <f>step3_validation[[#This Row],[Used_Seed]]</f>
        <v>2325</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16.434566267830931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9</v>
      </c>
      <c r="R336">
        <f t="shared" si="135"/>
        <v>0.88888888888888884</v>
      </c>
      <c r="S336">
        <f>survey_responses[[#This Row],[Tôi tin rằng với các quy định quản lý thuế hiện nay, hành vi gian lận hoặc trốn thuế sẽ dễ dàng bị phát hiện và xử lý nghiêm. - HUMAN-ENF1]]</f>
        <v>7</v>
      </c>
      <c r="T336">
        <f t="shared" si="136"/>
        <v>0.66666666666666663</v>
      </c>
      <c r="U336">
        <f>step3_validation[[#This Row],[AI_ENF2]]</f>
        <v>8</v>
      </c>
      <c r="V336">
        <f t="shared" si="137"/>
        <v>0.77777777777777779</v>
      </c>
      <c r="W336">
        <f>survey_responses[[#This Row],[Tôi tin rằng Nhà nước, cơ quan thuế có đủ khả năng và công nghệ để phát hiện, xử lý nghiêm các hành vi trốn thuế. - HUMAN-ENF2]]</f>
        <v>7</v>
      </c>
      <c r="X336">
        <f t="shared" si="138"/>
        <v>0.66666666666666663</v>
      </c>
      <c r="Y336" s="32">
        <f t="shared" si="139"/>
        <v>0.83333333333333326</v>
      </c>
      <c r="Z336" s="32">
        <f t="shared" si="140"/>
        <v>0.66666666666666663</v>
      </c>
      <c r="AA336">
        <f>step3_validation[[#This Row],[AI_FAC1]]</f>
        <v>8</v>
      </c>
      <c r="AB336">
        <f t="shared" si="141"/>
        <v>0.77777777777777779</v>
      </c>
      <c r="AC336">
        <f>survey_responses[[#This Row],[Các thủ tục khai báo thuế VÀ/HOẶC quy trình làm việc với cơ quan thuế đơn giản, tiện lợi, nhanh chóng hơn so với trước đây. - HUMAN-FAC1]]</f>
        <v>8</v>
      </c>
      <c r="AD336">
        <f t="shared" si="142"/>
        <v>0.77777777777777779</v>
      </c>
      <c r="AE336">
        <f>step3_validation[[#This Row],[AI_FAC2]]</f>
        <v>9</v>
      </c>
      <c r="AF336">
        <f t="shared" si="143"/>
        <v>0.88888888888888884</v>
      </c>
      <c r="AG336">
        <f>survey_responses[[#This Row],[So với trước đây, tôi thấy cách tính thuế và các bậc thuế trong phương án mới đơn giản, dễ hiểu và dễ thực hiện hơn. - HUMAN-FAC2]]</f>
        <v>10</v>
      </c>
      <c r="AH336">
        <f t="shared" si="144"/>
        <v>1</v>
      </c>
      <c r="AI336" s="32">
        <f t="shared" si="145"/>
        <v>0.83333333333333326</v>
      </c>
      <c r="AJ336" s="32">
        <f t="shared" si="146"/>
        <v>0.88888888888888884</v>
      </c>
      <c r="AK336">
        <f>step3_validation[[#This Row],[AI_TRU1]]</f>
        <v>8</v>
      </c>
      <c r="AL336">
        <f t="shared" si="147"/>
        <v>0.77777777777777779</v>
      </c>
      <c r="AM336">
        <f>survey_responses[[#This Row],[Tôi tin rằng Nhà nước, cơ quan thuế sẽ thực thi chính sách mới một cách khách quan, công tâm và đối xử bình đẳng với mọi người nộp thuế.  - HUMAN-TRU1]]</f>
        <v>9</v>
      </c>
      <c r="AN336">
        <f t="shared" si="148"/>
        <v>0.88888888888888884</v>
      </c>
      <c r="AO336">
        <f>step3_validation[[#This Row],[AI_TRU2]]</f>
        <v>9</v>
      </c>
      <c r="AP336">
        <f t="shared" si="149"/>
        <v>0.88888888888888884</v>
      </c>
      <c r="AQ336">
        <f>survey_responses[[#This Row],[Tôi thấy mức thuế tôi phải đóng theo phương án mới là công bằng (người thu nhập như tôi đóng mức này là hợp lý). - HUMAN-TRU2]]</f>
        <v>10</v>
      </c>
      <c r="AR336">
        <f t="shared" si="150"/>
        <v>1</v>
      </c>
      <c r="AS336">
        <f>step3_validation[[#This Row],[AI_TRU3]]</f>
        <v>8</v>
      </c>
      <c r="AT336">
        <f t="shared" si="151"/>
        <v>0.77777777777777779</v>
      </c>
      <c r="AU336">
        <f>survey_responses[[#This Row],[Tôi tin tưởng số tiền thuế tôi đóng sẽ được Nhà nước sử dụng hiệu quả để cải thiện dịch vụ công (y tế, đường xá...). - HUMAN-TRU3]]</f>
        <v>8</v>
      </c>
      <c r="AV336">
        <f t="shared" si="152"/>
        <v>0.77777777777777779</v>
      </c>
      <c r="AW336">
        <f>step3_validation[[#This Row],[AI_TRU4]]</f>
        <v>9</v>
      </c>
      <c r="AX336">
        <f t="shared" si="153"/>
        <v>0.88888888888888884</v>
      </c>
      <c r="AY336">
        <f>survey_responses[[#This Row],[Tôi thấy Nhà nước đã giải thích rõ ràng, minh bạch về lý do và mục tiêu của việc sửa đổi thuế lần này. - HUMAN-TRU4]]</f>
        <v>8</v>
      </c>
      <c r="AZ336">
        <f t="shared" si="154"/>
        <v>0.77777777777777779</v>
      </c>
      <c r="BA336" s="32">
        <f t="shared" si="155"/>
        <v>0.83333333333333326</v>
      </c>
      <c r="BB336" s="32">
        <f t="shared" si="156"/>
        <v>0.86111111111111105</v>
      </c>
      <c r="BC336" s="7">
        <f t="shared" si="157"/>
        <v>0.83333333333333337</v>
      </c>
      <c r="BD336" s="7">
        <f t="shared" si="158"/>
        <v>0.80555555555555547</v>
      </c>
      <c r="BE336">
        <f>step3_validation[[#This Row],[AI_OUT1]]</f>
        <v>9</v>
      </c>
      <c r="BF336">
        <f t="shared" si="159"/>
        <v>0.88888888888888884</v>
      </c>
      <c r="BG336">
        <f>survey_responses[[#This Row],[Sau khi xem xét các quyền lợi và nghĩa vụ, bạn có ủng hộ và tuân thủ chính sách mới hiện nay? - HUMAN-OUT1]]</f>
        <v>10</v>
      </c>
      <c r="BH336">
        <f t="shared" si="160"/>
        <v>1</v>
      </c>
      <c r="BI336" s="32">
        <f t="shared" si="161"/>
        <v>1</v>
      </c>
    </row>
    <row r="337" spans="1:61" x14ac:dyDescent="0.45">
      <c r="A337" s="30">
        <f>step3_validation[[#This Row],[Persona_ID]]</f>
        <v>336</v>
      </c>
      <c r="B337" s="31">
        <f>step3_validation[[#This Row],[Used_Seed]]</f>
        <v>2326</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21.539914408558545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9</v>
      </c>
      <c r="R337">
        <f t="shared" si="135"/>
        <v>0.88888888888888884</v>
      </c>
      <c r="S337">
        <f>survey_responses[[#This Row],[Tôi tin rằng với các quy định quản lý thuế hiện nay, hành vi gian lận hoặc trốn thuế sẽ dễ dàng bị phát hiện và xử lý nghiêm. - HUMAN-ENF1]]</f>
        <v>4</v>
      </c>
      <c r="T337">
        <f t="shared" si="136"/>
        <v>0.33333333333333331</v>
      </c>
      <c r="U337">
        <f>step3_validation[[#This Row],[AI_ENF2]]</f>
        <v>8</v>
      </c>
      <c r="V337">
        <f t="shared" si="137"/>
        <v>0.77777777777777779</v>
      </c>
      <c r="W337">
        <f>survey_responses[[#This Row],[Tôi tin rằng Nhà nước, cơ quan thuế có đủ khả năng và công nghệ để phát hiện, xử lý nghiêm các hành vi trốn thuế. - HUMAN-ENF2]]</f>
        <v>5</v>
      </c>
      <c r="X337">
        <f t="shared" si="138"/>
        <v>0.44444444444444442</v>
      </c>
      <c r="Y337" s="32">
        <f t="shared" si="139"/>
        <v>0.83333333333333326</v>
      </c>
      <c r="Z337" s="32">
        <f t="shared" si="140"/>
        <v>0.38888888888888884</v>
      </c>
      <c r="AA337">
        <f>step3_validation[[#This Row],[AI_FAC1]]</f>
        <v>9</v>
      </c>
      <c r="AB337">
        <f t="shared" si="141"/>
        <v>0.88888888888888884</v>
      </c>
      <c r="AC337">
        <f>survey_responses[[#This Row],[Các thủ tục khai báo thuế VÀ/HOẶC quy trình làm việc với cơ quan thuế đơn giản, tiện lợi, nhanh chóng hơn so với trước đây. - HUMAN-FAC1]]</f>
        <v>5</v>
      </c>
      <c r="AD337">
        <f t="shared" si="142"/>
        <v>0.44444444444444442</v>
      </c>
      <c r="AE337">
        <f>step3_validation[[#This Row],[AI_FAC2]]</f>
        <v>8</v>
      </c>
      <c r="AF337">
        <f t="shared" si="143"/>
        <v>0.77777777777777779</v>
      </c>
      <c r="AG337">
        <f>survey_responses[[#This Row],[So với trước đây, tôi thấy cách tính thuế và các bậc thuế trong phương án mới đơn giản, dễ hiểu và dễ thực hiện hơn. - HUMAN-FAC2]]</f>
        <v>6</v>
      </c>
      <c r="AH337">
        <f t="shared" si="144"/>
        <v>0.55555555555555558</v>
      </c>
      <c r="AI337" s="32">
        <f t="shared" si="145"/>
        <v>0.83333333333333326</v>
      </c>
      <c r="AJ337" s="32">
        <f t="shared" si="146"/>
        <v>0.5</v>
      </c>
      <c r="AK337">
        <f>step3_validation[[#This Row],[AI_TRU1]]</f>
        <v>9</v>
      </c>
      <c r="AL337">
        <f t="shared" si="147"/>
        <v>0.88888888888888884</v>
      </c>
      <c r="AM337">
        <f>survey_responses[[#This Row],[Tôi tin rằng Nhà nước, cơ quan thuế sẽ thực thi chính sách mới một cách khách quan, công tâm và đối xử bình đẳng với mọi người nộp thuế.  - HUMAN-TRU1]]</f>
        <v>5</v>
      </c>
      <c r="AN337">
        <f t="shared" si="148"/>
        <v>0.44444444444444442</v>
      </c>
      <c r="AO337">
        <f>step3_validation[[#This Row],[AI_TRU2]]</f>
        <v>8</v>
      </c>
      <c r="AP337">
        <f t="shared" si="149"/>
        <v>0.77777777777777779</v>
      </c>
      <c r="AQ337">
        <f>survey_responses[[#This Row],[Tôi thấy mức thuế tôi phải đóng theo phương án mới là công bằng (người thu nhập như tôi đóng mức này là hợp lý). - HUMAN-TRU2]]</f>
        <v>6</v>
      </c>
      <c r="AR337">
        <f t="shared" si="150"/>
        <v>0.55555555555555558</v>
      </c>
      <c r="AS337">
        <f>step3_validation[[#This Row],[AI_TRU3]]</f>
        <v>9</v>
      </c>
      <c r="AT337">
        <f t="shared" si="151"/>
        <v>0.88888888888888884</v>
      </c>
      <c r="AU337">
        <f>survey_responses[[#This Row],[Tôi tin tưởng số tiền thuế tôi đóng sẽ được Nhà nước sử dụng hiệu quả để cải thiện dịch vụ công (y tế, đường xá...). - HUMAN-TRU3]]</f>
        <v>5</v>
      </c>
      <c r="AV337">
        <f t="shared" si="152"/>
        <v>0.44444444444444442</v>
      </c>
      <c r="AW337">
        <f>step3_validation[[#This Row],[AI_TRU4]]</f>
        <v>8</v>
      </c>
      <c r="AX337">
        <f t="shared" si="153"/>
        <v>0.77777777777777779</v>
      </c>
      <c r="AY337">
        <f>survey_responses[[#This Row],[Tôi thấy Nhà nước đã giải thích rõ ràng, minh bạch về lý do và mục tiêu của việc sửa đổi thuế lần này. - HUMAN-TRU4]]</f>
        <v>5</v>
      </c>
      <c r="AZ337">
        <f t="shared" si="154"/>
        <v>0.44444444444444442</v>
      </c>
      <c r="BA337" s="32">
        <f t="shared" si="155"/>
        <v>0.83333333333333326</v>
      </c>
      <c r="BB337" s="32">
        <f t="shared" si="156"/>
        <v>0.47222222222222221</v>
      </c>
      <c r="BC337" s="7">
        <f t="shared" si="157"/>
        <v>0.83333333333333337</v>
      </c>
      <c r="BD337" s="7">
        <f t="shared" si="158"/>
        <v>0.45370370370370372</v>
      </c>
      <c r="BE337">
        <f>step3_validation[[#This Row],[AI_OUT1]]</f>
        <v>9</v>
      </c>
      <c r="BF337">
        <f t="shared" si="159"/>
        <v>0.88888888888888884</v>
      </c>
      <c r="BG337">
        <f>survey_responses[[#This Row],[Sau khi xem xét các quyền lợi và nghĩa vụ, bạn có ủng hộ và tuân thủ chính sách mới hiện nay? - HUMAN-OUT1]]</f>
        <v>6</v>
      </c>
      <c r="BH337">
        <f t="shared" si="160"/>
        <v>0.55555555555555558</v>
      </c>
      <c r="BI337" s="32">
        <f t="shared" si="161"/>
        <v>3</v>
      </c>
    </row>
    <row r="338" spans="1:61" x14ac:dyDescent="0.45">
      <c r="A338" s="30">
        <f>step3_validation[[#This Row],[Persona_ID]]</f>
        <v>337</v>
      </c>
      <c r="B338" s="31">
        <f>step3_validation[[#This Row],[Used_Seed]]</f>
        <v>2327</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28.625944835947372</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4</v>
      </c>
      <c r="R338">
        <f t="shared" si="135"/>
        <v>0.33333333333333331</v>
      </c>
      <c r="S338">
        <f>survey_responses[[#This Row],[Tôi tin rằng với các quy định quản lý thuế hiện nay, hành vi gian lận hoặc trốn thuế sẽ dễ dàng bị phát hiện và xử lý nghiêm. - HUMAN-ENF1]]</f>
        <v>7</v>
      </c>
      <c r="T338">
        <f t="shared" si="136"/>
        <v>0.66666666666666663</v>
      </c>
      <c r="U338">
        <f>step3_validation[[#This Row],[AI_ENF2]]</f>
        <v>5</v>
      </c>
      <c r="V338">
        <f t="shared" si="137"/>
        <v>0.44444444444444442</v>
      </c>
      <c r="W338">
        <f>survey_responses[[#This Row],[Tôi tin rằng Nhà nước, cơ quan thuế có đủ khả năng và công nghệ để phát hiện, xử lý nghiêm các hành vi trốn thuế. - HUMAN-ENF2]]</f>
        <v>8</v>
      </c>
      <c r="X338">
        <f t="shared" si="138"/>
        <v>0.77777777777777779</v>
      </c>
      <c r="Y338" s="32">
        <f t="shared" si="139"/>
        <v>0.38888888888888884</v>
      </c>
      <c r="Z338" s="32">
        <f t="shared" si="140"/>
        <v>0.72222222222222221</v>
      </c>
      <c r="AA338">
        <f>step3_validation[[#This Row],[AI_FAC1]]</f>
        <v>8</v>
      </c>
      <c r="AB338">
        <f t="shared" si="141"/>
        <v>0.77777777777777779</v>
      </c>
      <c r="AC338">
        <f>survey_responses[[#This Row],[Các thủ tục khai báo thuế VÀ/HOẶC quy trình làm việc với cơ quan thuế đơn giản, tiện lợi, nhanh chóng hơn so với trước đây. - HUMAN-FAC1]]</f>
        <v>7</v>
      </c>
      <c r="AD338">
        <f t="shared" si="142"/>
        <v>0.66666666666666663</v>
      </c>
      <c r="AE338">
        <f>step3_validation[[#This Row],[AI_FAC2]]</f>
        <v>7</v>
      </c>
      <c r="AF338">
        <f t="shared" si="143"/>
        <v>0.66666666666666663</v>
      </c>
      <c r="AG338">
        <f>survey_responses[[#This Row],[So với trước đây, tôi thấy cách tính thuế và các bậc thuế trong phương án mới đơn giản, dễ hiểu và dễ thực hiện hơn. - HUMAN-FAC2]]</f>
        <v>7</v>
      </c>
      <c r="AH338">
        <f t="shared" si="144"/>
        <v>0.66666666666666663</v>
      </c>
      <c r="AI338" s="32">
        <f t="shared" si="145"/>
        <v>0.72222222222222221</v>
      </c>
      <c r="AJ338" s="32">
        <f t="shared" si="146"/>
        <v>0.66666666666666663</v>
      </c>
      <c r="AK338">
        <f>step3_validation[[#This Row],[AI_TRU1]]</f>
        <v>6</v>
      </c>
      <c r="AL338">
        <f t="shared" si="147"/>
        <v>0.55555555555555558</v>
      </c>
      <c r="AM338">
        <f>survey_responses[[#This Row],[Tôi tin rằng Nhà nước, cơ quan thuế sẽ thực thi chính sách mới một cách khách quan, công tâm và đối xử bình đẳng với mọi người nộp thuế.  - HUMAN-TRU1]]</f>
        <v>6</v>
      </c>
      <c r="AN338">
        <f t="shared" si="148"/>
        <v>0.55555555555555558</v>
      </c>
      <c r="AO338">
        <f>step3_validation[[#This Row],[AI_TRU2]]</f>
        <v>8</v>
      </c>
      <c r="AP338">
        <f t="shared" si="149"/>
        <v>0.77777777777777779</v>
      </c>
      <c r="AQ338">
        <f>survey_responses[[#This Row],[Tôi thấy mức thuế tôi phải đóng theo phương án mới là công bằng (người thu nhập như tôi đóng mức này là hợp lý). - HUMAN-TRU2]]</f>
        <v>8</v>
      </c>
      <c r="AR338">
        <f t="shared" si="150"/>
        <v>0.77777777777777779</v>
      </c>
      <c r="AS338">
        <f>step3_validation[[#This Row],[AI_TRU3]]</f>
        <v>7</v>
      </c>
      <c r="AT338">
        <f t="shared" si="151"/>
        <v>0.66666666666666663</v>
      </c>
      <c r="AU338">
        <f>survey_responses[[#This Row],[Tôi tin tưởng số tiền thuế tôi đóng sẽ được Nhà nước sử dụng hiệu quả để cải thiện dịch vụ công (y tế, đường xá...). - HUMAN-TRU3]]</f>
        <v>6</v>
      </c>
      <c r="AV338">
        <f t="shared" si="152"/>
        <v>0.55555555555555558</v>
      </c>
      <c r="AW338">
        <f>step3_validation[[#This Row],[AI_TRU4]]</f>
        <v>8</v>
      </c>
      <c r="AX338">
        <f t="shared" si="153"/>
        <v>0.77777777777777779</v>
      </c>
      <c r="AY338">
        <f>survey_responses[[#This Row],[Tôi thấy Nhà nước đã giải thích rõ ràng, minh bạch về lý do và mục tiêu của việc sửa đổi thuế lần này. - HUMAN-TRU4]]</f>
        <v>8</v>
      </c>
      <c r="AZ338">
        <f t="shared" si="154"/>
        <v>0.77777777777777779</v>
      </c>
      <c r="BA338" s="32">
        <f t="shared" si="155"/>
        <v>0.69444444444444442</v>
      </c>
      <c r="BB338" s="32">
        <f t="shared" si="156"/>
        <v>0.66666666666666674</v>
      </c>
      <c r="BC338" s="7">
        <f t="shared" si="157"/>
        <v>0.60185185185185186</v>
      </c>
      <c r="BD338" s="7">
        <f t="shared" si="158"/>
        <v>0.68518518518518512</v>
      </c>
      <c r="BE338">
        <f>step3_validation[[#This Row],[AI_OUT1]]</f>
        <v>9</v>
      </c>
      <c r="BF338">
        <f t="shared" si="159"/>
        <v>0.88888888888888884</v>
      </c>
      <c r="BG338">
        <f>survey_responses[[#This Row],[Sau khi xem xét các quyền lợi và nghĩa vụ, bạn có ủng hộ và tuân thủ chính sách mới hiện nay? - HUMAN-OUT1]]</f>
        <v>8</v>
      </c>
      <c r="BH338">
        <f t="shared" si="160"/>
        <v>0.77777777777777779</v>
      </c>
      <c r="BI338" s="32">
        <f t="shared" si="161"/>
        <v>1</v>
      </c>
    </row>
    <row r="339" spans="1:61" x14ac:dyDescent="0.45">
      <c r="A339" s="30">
        <f>step3_validation[[#This Row],[Persona_ID]]</f>
        <v>338</v>
      </c>
      <c r="B339" s="31">
        <f>step3_validation[[#This Row],[Used_Seed]]</f>
        <v>2328</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16.758565311772529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f t="shared" si="135"/>
        <v>0.66666666666666663</v>
      </c>
      <c r="S339">
        <f>survey_responses[[#This Row],[Tôi tin rằng với các quy định quản lý thuế hiện nay, hành vi gian lận hoặc trốn thuế sẽ dễ dàng bị phát hiện và xử lý nghiêm. - HUMAN-ENF1]]</f>
        <v>8</v>
      </c>
      <c r="T339">
        <f t="shared" si="136"/>
        <v>0.77777777777777779</v>
      </c>
      <c r="U339">
        <f>step3_validation[[#This Row],[AI_ENF2]]</f>
        <v>7</v>
      </c>
      <c r="V339">
        <f t="shared" si="137"/>
        <v>0.66666666666666663</v>
      </c>
      <c r="W339">
        <f>survey_responses[[#This Row],[Tôi tin rằng Nhà nước, cơ quan thuế có đủ khả năng và công nghệ để phát hiện, xử lý nghiêm các hành vi trốn thuế. - HUMAN-ENF2]]</f>
        <v>8</v>
      </c>
      <c r="X339">
        <f t="shared" si="138"/>
        <v>0.77777777777777779</v>
      </c>
      <c r="Y339" s="32">
        <f t="shared" si="139"/>
        <v>0.66666666666666663</v>
      </c>
      <c r="Z339" s="32">
        <f t="shared" si="140"/>
        <v>0.77777777777777779</v>
      </c>
      <c r="AA339">
        <f>step3_validation[[#This Row],[AI_FAC1]]</f>
        <v>9</v>
      </c>
      <c r="AB339">
        <f t="shared" si="141"/>
        <v>0.88888888888888884</v>
      </c>
      <c r="AC339">
        <f>survey_responses[[#This Row],[Các thủ tục khai báo thuế VÀ/HOẶC quy trình làm việc với cơ quan thuế đơn giản, tiện lợi, nhanh chóng hơn so với trước đây. - HUMAN-FAC1]]</f>
        <v>9</v>
      </c>
      <c r="AD339">
        <f t="shared" si="142"/>
        <v>0.88888888888888884</v>
      </c>
      <c r="AE339">
        <f>step3_validation[[#This Row],[AI_FAC2]]</f>
        <v>8</v>
      </c>
      <c r="AF339">
        <f t="shared" si="143"/>
        <v>0.77777777777777779</v>
      </c>
      <c r="AG339">
        <f>survey_responses[[#This Row],[So với trước đây, tôi thấy cách tính thuế và các bậc thuế trong phương án mới đơn giản, dễ hiểu và dễ thực hiện hơn. - HUMAN-FAC2]]</f>
        <v>9</v>
      </c>
      <c r="AH339">
        <f t="shared" si="144"/>
        <v>0.88888888888888884</v>
      </c>
      <c r="AI339" s="32">
        <f t="shared" si="145"/>
        <v>0.83333333333333326</v>
      </c>
      <c r="AJ339" s="32">
        <f t="shared" si="146"/>
        <v>0.88888888888888884</v>
      </c>
      <c r="AK339">
        <f>step3_validation[[#This Row],[AI_TRU1]]</f>
        <v>7</v>
      </c>
      <c r="AL339">
        <f t="shared" si="147"/>
        <v>0.66666666666666663</v>
      </c>
      <c r="AM339">
        <f>survey_responses[[#This Row],[Tôi tin rằng Nhà nước, cơ quan thuế sẽ thực thi chính sách mới một cách khách quan, công tâm và đối xử bình đẳng với mọi người nộp thuế.  - HUMAN-TRU1]]</f>
        <v>8</v>
      </c>
      <c r="AN339">
        <f t="shared" si="148"/>
        <v>0.77777777777777779</v>
      </c>
      <c r="AO339">
        <f>step3_validation[[#This Row],[AI_TRU2]]</f>
        <v>6</v>
      </c>
      <c r="AP339">
        <f t="shared" si="149"/>
        <v>0.55555555555555558</v>
      </c>
      <c r="AQ339">
        <f>survey_responses[[#This Row],[Tôi thấy mức thuế tôi phải đóng theo phương án mới là công bằng (người thu nhập như tôi đóng mức này là hợp lý). - HUMAN-TRU2]]</f>
        <v>9</v>
      </c>
      <c r="AR339">
        <f t="shared" si="150"/>
        <v>0.88888888888888884</v>
      </c>
      <c r="AS339">
        <f>step3_validation[[#This Row],[AI_TRU3]]</f>
        <v>8</v>
      </c>
      <c r="AT339">
        <f t="shared" si="151"/>
        <v>0.77777777777777779</v>
      </c>
      <c r="AU339">
        <f>survey_responses[[#This Row],[Tôi tin tưởng số tiền thuế tôi đóng sẽ được Nhà nước sử dụng hiệu quả để cải thiện dịch vụ công (y tế, đường xá...). - HUMAN-TRU3]]</f>
        <v>10</v>
      </c>
      <c r="AV339">
        <f t="shared" si="152"/>
        <v>1</v>
      </c>
      <c r="AW339">
        <f>step3_validation[[#This Row],[AI_TRU4]]</f>
        <v>7</v>
      </c>
      <c r="AX339">
        <f t="shared" si="153"/>
        <v>0.66666666666666663</v>
      </c>
      <c r="AY339">
        <f>survey_responses[[#This Row],[Tôi thấy Nhà nước đã giải thích rõ ràng, minh bạch về lý do và mục tiêu của việc sửa đổi thuế lần này. - HUMAN-TRU4]]</f>
        <v>9</v>
      </c>
      <c r="AZ339">
        <f t="shared" si="154"/>
        <v>0.88888888888888884</v>
      </c>
      <c r="BA339" s="32">
        <f t="shared" si="155"/>
        <v>0.66666666666666663</v>
      </c>
      <c r="BB339" s="32">
        <f t="shared" si="156"/>
        <v>0.88888888888888884</v>
      </c>
      <c r="BC339" s="7">
        <f t="shared" si="157"/>
        <v>0.72222222222222221</v>
      </c>
      <c r="BD339" s="7">
        <f t="shared" si="158"/>
        <v>0.85185185185185175</v>
      </c>
      <c r="BE339">
        <f>step3_validation[[#This Row],[AI_OUT1]]</f>
        <v>8</v>
      </c>
      <c r="BF339">
        <f t="shared" si="159"/>
        <v>0.77777777777777779</v>
      </c>
      <c r="BG339">
        <f>survey_responses[[#This Row],[Sau khi xem xét các quyền lợi và nghĩa vụ, bạn có ủng hộ và tuân thủ chính sách mới hiện nay? - HUMAN-OUT1]]</f>
        <v>10</v>
      </c>
      <c r="BH339">
        <f t="shared" si="160"/>
        <v>1</v>
      </c>
      <c r="BI339" s="32">
        <f t="shared" si="161"/>
        <v>2</v>
      </c>
    </row>
    <row r="340" spans="1:61" x14ac:dyDescent="0.45">
      <c r="A340" s="30">
        <f>step3_validation[[#This Row],[Persona_ID]]</f>
        <v>339</v>
      </c>
      <c r="B340" s="31">
        <f>step3_validation[[#This Row],[Used_Seed]]</f>
        <v>2329</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14.632622679515956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f t="shared" si="135"/>
        <v>0.66666666666666663</v>
      </c>
      <c r="S340">
        <f>survey_responses[[#This Row],[Tôi tin rằng với các quy định quản lý thuế hiện nay, hành vi gian lận hoặc trốn thuế sẽ dễ dàng bị phát hiện và xử lý nghiêm. - HUMAN-ENF1]]</f>
        <v>7</v>
      </c>
      <c r="T340">
        <f t="shared" si="136"/>
        <v>0.66666666666666663</v>
      </c>
      <c r="U340">
        <f>step3_validation[[#This Row],[AI_ENF2]]</f>
        <v>8</v>
      </c>
      <c r="V340">
        <f t="shared" si="137"/>
        <v>0.77777777777777779</v>
      </c>
      <c r="W340">
        <f>survey_responses[[#This Row],[Tôi tin rằng Nhà nước, cơ quan thuế có đủ khả năng và công nghệ để phát hiện, xử lý nghiêm các hành vi trốn thuế. - HUMAN-ENF2]]</f>
        <v>7</v>
      </c>
      <c r="X340">
        <f t="shared" si="138"/>
        <v>0.66666666666666663</v>
      </c>
      <c r="Y340" s="32">
        <f t="shared" si="139"/>
        <v>0.72222222222222221</v>
      </c>
      <c r="Z340" s="32">
        <f t="shared" si="140"/>
        <v>0.66666666666666663</v>
      </c>
      <c r="AA340">
        <f>step3_validation[[#This Row],[AI_FAC1]]</f>
        <v>9</v>
      </c>
      <c r="AB340">
        <f t="shared" si="141"/>
        <v>0.88888888888888884</v>
      </c>
      <c r="AC340">
        <f>survey_responses[[#This Row],[Các thủ tục khai báo thuế VÀ/HOẶC quy trình làm việc với cơ quan thuế đơn giản, tiện lợi, nhanh chóng hơn so với trước đây. - HUMAN-FAC1]]</f>
        <v>8</v>
      </c>
      <c r="AD340">
        <f t="shared" si="142"/>
        <v>0.77777777777777779</v>
      </c>
      <c r="AE340">
        <f>step3_validation[[#This Row],[AI_FAC2]]</f>
        <v>10</v>
      </c>
      <c r="AF340">
        <f t="shared" si="143"/>
        <v>1</v>
      </c>
      <c r="AG340">
        <f>survey_responses[[#This Row],[So với trước đây, tôi thấy cách tính thuế và các bậc thuế trong phương án mới đơn giản, dễ hiểu và dễ thực hiện hơn. - HUMAN-FAC2]]</f>
        <v>8</v>
      </c>
      <c r="AH340">
        <f t="shared" si="144"/>
        <v>0.77777777777777779</v>
      </c>
      <c r="AI340" s="32">
        <f t="shared" si="145"/>
        <v>0.94444444444444442</v>
      </c>
      <c r="AJ340" s="32">
        <f t="shared" si="146"/>
        <v>0.77777777777777779</v>
      </c>
      <c r="AK340">
        <f>step3_validation[[#This Row],[AI_TRU1]]</f>
        <v>8</v>
      </c>
      <c r="AL340">
        <f t="shared" si="147"/>
        <v>0.77777777777777779</v>
      </c>
      <c r="AM340">
        <f>survey_responses[[#This Row],[Tôi tin rằng Nhà nước, cơ quan thuế sẽ thực thi chính sách mới một cách khách quan, công tâm và đối xử bình đẳng với mọi người nộp thuế.  - HUMAN-TRU1]]</f>
        <v>6</v>
      </c>
      <c r="AN340">
        <f t="shared" si="148"/>
        <v>0.55555555555555558</v>
      </c>
      <c r="AO340">
        <f>step3_validation[[#This Row],[AI_TRU2]]</f>
        <v>9</v>
      </c>
      <c r="AP340">
        <f t="shared" si="149"/>
        <v>0.88888888888888884</v>
      </c>
      <c r="AQ340">
        <f>survey_responses[[#This Row],[Tôi thấy mức thuế tôi phải đóng theo phương án mới là công bằng (người thu nhập như tôi đóng mức này là hợp lý). - HUMAN-TRU2]]</f>
        <v>7</v>
      </c>
      <c r="AR340">
        <f t="shared" si="150"/>
        <v>0.66666666666666663</v>
      </c>
      <c r="AS340">
        <f>step3_validation[[#This Row],[AI_TRU3]]</f>
        <v>8</v>
      </c>
      <c r="AT340">
        <f t="shared" si="151"/>
        <v>0.77777777777777779</v>
      </c>
      <c r="AU340">
        <f>survey_responses[[#This Row],[Tôi tin tưởng số tiền thuế tôi đóng sẽ được Nhà nước sử dụng hiệu quả để cải thiện dịch vụ công (y tế, đường xá...). - HUMAN-TRU3]]</f>
        <v>6</v>
      </c>
      <c r="AV340">
        <f t="shared" si="152"/>
        <v>0.55555555555555558</v>
      </c>
      <c r="AW340">
        <f>step3_validation[[#This Row],[AI_TRU4]]</f>
        <v>7</v>
      </c>
      <c r="AX340">
        <f t="shared" si="153"/>
        <v>0.66666666666666663</v>
      </c>
      <c r="AY340">
        <f>survey_responses[[#This Row],[Tôi thấy Nhà nước đã giải thích rõ ràng, minh bạch về lý do và mục tiêu của việc sửa đổi thuế lần này. - HUMAN-TRU4]]</f>
        <v>6</v>
      </c>
      <c r="AZ340">
        <f t="shared" si="154"/>
        <v>0.55555555555555558</v>
      </c>
      <c r="BA340" s="32">
        <f t="shared" si="155"/>
        <v>0.77777777777777768</v>
      </c>
      <c r="BB340" s="32">
        <f t="shared" si="156"/>
        <v>0.58333333333333337</v>
      </c>
      <c r="BC340" s="7">
        <f t="shared" si="157"/>
        <v>0.81481481481481477</v>
      </c>
      <c r="BD340" s="7">
        <f t="shared" si="158"/>
        <v>0.67592592592592593</v>
      </c>
      <c r="BE340">
        <f>step3_validation[[#This Row],[AI_OUT1]]</f>
        <v>9</v>
      </c>
      <c r="BF340">
        <f t="shared" si="159"/>
        <v>0.88888888888888884</v>
      </c>
      <c r="BG340">
        <f>survey_responses[[#This Row],[Sau khi xem xét các quyền lợi và nghĩa vụ, bạn có ủng hộ và tuân thủ chính sách mới hiện nay? - HUMAN-OUT1]]</f>
        <v>7</v>
      </c>
      <c r="BH340">
        <f t="shared" si="160"/>
        <v>0.66666666666666663</v>
      </c>
      <c r="BI340" s="32">
        <f t="shared" si="161"/>
        <v>2</v>
      </c>
    </row>
    <row r="341" spans="1:61" x14ac:dyDescent="0.45">
      <c r="A341" s="30">
        <f>step3_validation[[#This Row],[Persona_ID]]</f>
        <v>340</v>
      </c>
      <c r="B341" s="31">
        <f>step3_validation[[#This Row],[Used_Seed]]</f>
        <v>2330</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14.958310988785255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f t="shared" si="135"/>
        <v>0.66666666666666663</v>
      </c>
      <c r="S341">
        <f>survey_responses[[#This Row],[Tôi tin rằng với các quy định quản lý thuế hiện nay, hành vi gian lận hoặc trốn thuế sẽ dễ dàng bị phát hiện và xử lý nghiêm. - HUMAN-ENF1]]</f>
        <v>7</v>
      </c>
      <c r="T341">
        <f t="shared" si="136"/>
        <v>0.66666666666666663</v>
      </c>
      <c r="U341">
        <f>step3_validation[[#This Row],[AI_ENF2]]</f>
        <v>7</v>
      </c>
      <c r="V341">
        <f t="shared" si="137"/>
        <v>0.66666666666666663</v>
      </c>
      <c r="W341">
        <f>survey_responses[[#This Row],[Tôi tin rằng Nhà nước, cơ quan thuế có đủ khả năng và công nghệ để phát hiện, xử lý nghiêm các hành vi trốn thuế. - HUMAN-ENF2]]</f>
        <v>8</v>
      </c>
      <c r="X341">
        <f t="shared" si="138"/>
        <v>0.77777777777777779</v>
      </c>
      <c r="Y341" s="32">
        <f t="shared" si="139"/>
        <v>0.66666666666666663</v>
      </c>
      <c r="Z341" s="32">
        <f t="shared" si="140"/>
        <v>0.72222222222222221</v>
      </c>
      <c r="AA341">
        <f>step3_validation[[#This Row],[AI_FAC1]]</f>
        <v>9</v>
      </c>
      <c r="AB341">
        <f t="shared" si="141"/>
        <v>0.88888888888888884</v>
      </c>
      <c r="AC341">
        <f>survey_responses[[#This Row],[Các thủ tục khai báo thuế VÀ/HOẶC quy trình làm việc với cơ quan thuế đơn giản, tiện lợi, nhanh chóng hơn so với trước đây. - HUMAN-FAC1]]</f>
        <v>8</v>
      </c>
      <c r="AD341">
        <f t="shared" si="142"/>
        <v>0.77777777777777779</v>
      </c>
      <c r="AE341">
        <f>step3_validation[[#This Row],[AI_FAC2]]</f>
        <v>8</v>
      </c>
      <c r="AF341">
        <f t="shared" si="143"/>
        <v>0.77777777777777779</v>
      </c>
      <c r="AG341">
        <f>survey_responses[[#This Row],[So với trước đây, tôi thấy cách tính thuế và các bậc thuế trong phương án mới đơn giản, dễ hiểu và dễ thực hiện hơn. - HUMAN-FAC2]]</f>
        <v>8</v>
      </c>
      <c r="AH341">
        <f t="shared" si="144"/>
        <v>0.77777777777777779</v>
      </c>
      <c r="AI341" s="32">
        <f t="shared" si="145"/>
        <v>0.83333333333333326</v>
      </c>
      <c r="AJ341" s="32">
        <f t="shared" si="146"/>
        <v>0.77777777777777779</v>
      </c>
      <c r="AK341">
        <f>step3_validation[[#This Row],[AI_TRU1]]</f>
        <v>9</v>
      </c>
      <c r="AL341">
        <f t="shared" si="147"/>
        <v>0.88888888888888884</v>
      </c>
      <c r="AM341">
        <f>survey_responses[[#This Row],[Tôi tin rằng Nhà nước, cơ quan thuế sẽ thực thi chính sách mới một cách khách quan, công tâm và đối xử bình đẳng với mọi người nộp thuế.  - HUMAN-TRU1]]</f>
        <v>5</v>
      </c>
      <c r="AN341">
        <f t="shared" si="148"/>
        <v>0.44444444444444442</v>
      </c>
      <c r="AO341">
        <f>step3_validation[[#This Row],[AI_TRU2]]</f>
        <v>8</v>
      </c>
      <c r="AP341">
        <f t="shared" si="149"/>
        <v>0.77777777777777779</v>
      </c>
      <c r="AQ341">
        <f>survey_responses[[#This Row],[Tôi thấy mức thuế tôi phải đóng theo phương án mới là công bằng (người thu nhập như tôi đóng mức này là hợp lý). - HUMAN-TRU2]]</f>
        <v>8</v>
      </c>
      <c r="AR341">
        <f t="shared" si="150"/>
        <v>0.77777777777777779</v>
      </c>
      <c r="AS341">
        <f>step3_validation[[#This Row],[AI_TRU3]]</f>
        <v>9</v>
      </c>
      <c r="AT341">
        <f t="shared" si="151"/>
        <v>0.88888888888888884</v>
      </c>
      <c r="AU341">
        <f>survey_responses[[#This Row],[Tôi tin tưởng số tiền thuế tôi đóng sẽ được Nhà nước sử dụng hiệu quả để cải thiện dịch vụ công (y tế, đường xá...). - HUMAN-TRU3]]</f>
        <v>5</v>
      </c>
      <c r="AV341">
        <f t="shared" si="152"/>
        <v>0.44444444444444442</v>
      </c>
      <c r="AW341">
        <f>step3_validation[[#This Row],[AI_TRU4]]</f>
        <v>8</v>
      </c>
      <c r="AX341">
        <f t="shared" si="153"/>
        <v>0.77777777777777779</v>
      </c>
      <c r="AY341">
        <f>survey_responses[[#This Row],[Tôi thấy Nhà nước đã giải thích rõ ràng, minh bạch về lý do và mục tiêu của việc sửa đổi thuế lần này. - HUMAN-TRU4]]</f>
        <v>8</v>
      </c>
      <c r="AZ341">
        <f t="shared" si="154"/>
        <v>0.77777777777777779</v>
      </c>
      <c r="BA341" s="32">
        <f t="shared" si="155"/>
        <v>0.83333333333333326</v>
      </c>
      <c r="BB341" s="32">
        <f t="shared" si="156"/>
        <v>0.61111111111111116</v>
      </c>
      <c r="BC341" s="7">
        <f t="shared" si="157"/>
        <v>0.77777777777777768</v>
      </c>
      <c r="BD341" s="7">
        <f t="shared" si="158"/>
        <v>0.70370370370370372</v>
      </c>
      <c r="BE341">
        <f>step3_validation[[#This Row],[AI_OUT1]]</f>
        <v>9</v>
      </c>
      <c r="BF341">
        <f t="shared" si="159"/>
        <v>0.88888888888888884</v>
      </c>
      <c r="BG341">
        <f>survey_responses[[#This Row],[Sau khi xem xét các quyền lợi và nghĩa vụ, bạn có ủng hộ và tuân thủ chính sách mới hiện nay? - HUMAN-OUT1]]</f>
        <v>8</v>
      </c>
      <c r="BH341">
        <f t="shared" si="160"/>
        <v>0.77777777777777779</v>
      </c>
      <c r="BI341" s="32">
        <f t="shared" si="161"/>
        <v>1</v>
      </c>
    </row>
    <row r="342" spans="1:61" x14ac:dyDescent="0.45">
      <c r="A342" s="30">
        <f>step3_validation[[#This Row],[Persona_ID]]</f>
        <v>341</v>
      </c>
      <c r="B342" s="31">
        <f>step3_validation[[#This Row],[Used_Seed]]</f>
        <v>2331</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f t="shared" si="135"/>
        <v>0.77777777777777779</v>
      </c>
      <c r="S342">
        <f>survey_responses[[#This Row],[Tôi tin rằng với các quy định quản lý thuế hiện nay, hành vi gian lận hoặc trốn thuế sẽ dễ dàng bị phát hiện và xử lý nghiêm. - HUMAN-ENF1]]</f>
        <v>8</v>
      </c>
      <c r="T342">
        <f t="shared" si="136"/>
        <v>0.77777777777777779</v>
      </c>
      <c r="U342">
        <f>step3_validation[[#This Row],[AI_ENF2]]</f>
        <v>9</v>
      </c>
      <c r="V342">
        <f t="shared" si="137"/>
        <v>0.88888888888888884</v>
      </c>
      <c r="W342">
        <f>survey_responses[[#This Row],[Tôi tin rằng Nhà nước, cơ quan thuế có đủ khả năng và công nghệ để phát hiện, xử lý nghiêm các hành vi trốn thuế. - HUMAN-ENF2]]</f>
        <v>8</v>
      </c>
      <c r="X342">
        <f t="shared" si="138"/>
        <v>0.77777777777777779</v>
      </c>
      <c r="Y342" s="32">
        <f t="shared" si="139"/>
        <v>0.83333333333333326</v>
      </c>
      <c r="Z342" s="32">
        <f t="shared" si="140"/>
        <v>0.77777777777777779</v>
      </c>
      <c r="AA342">
        <f>step3_validation[[#This Row],[AI_FAC1]]</f>
        <v>8</v>
      </c>
      <c r="AB342">
        <f t="shared" si="141"/>
        <v>0.77777777777777779</v>
      </c>
      <c r="AC342">
        <f>survey_responses[[#This Row],[Các thủ tục khai báo thuế VÀ/HOẶC quy trình làm việc với cơ quan thuế đơn giản, tiện lợi, nhanh chóng hơn so với trước đây. - HUMAN-FAC1]]</f>
        <v>8</v>
      </c>
      <c r="AD342">
        <f t="shared" si="142"/>
        <v>0.77777777777777779</v>
      </c>
      <c r="AE342">
        <f>step3_validation[[#This Row],[AI_FAC2]]</f>
        <v>9</v>
      </c>
      <c r="AF342">
        <f t="shared" si="143"/>
        <v>0.88888888888888884</v>
      </c>
      <c r="AG342">
        <f>survey_responses[[#This Row],[So với trước đây, tôi thấy cách tính thuế và các bậc thuế trong phương án mới đơn giản, dễ hiểu và dễ thực hiện hơn. - HUMAN-FAC2]]</f>
        <v>9</v>
      </c>
      <c r="AH342">
        <f t="shared" si="144"/>
        <v>0.88888888888888884</v>
      </c>
      <c r="AI342" s="32">
        <f t="shared" si="145"/>
        <v>0.83333333333333326</v>
      </c>
      <c r="AJ342" s="32">
        <f t="shared" si="146"/>
        <v>0.83333333333333326</v>
      </c>
      <c r="AK342">
        <f>step3_validation[[#This Row],[AI_TRU1]]</f>
        <v>8</v>
      </c>
      <c r="AL342">
        <f t="shared" si="147"/>
        <v>0.77777777777777779</v>
      </c>
      <c r="AM342">
        <f>survey_responses[[#This Row],[Tôi tin rằng Nhà nước, cơ quan thuế sẽ thực thi chính sách mới một cách khách quan, công tâm và đối xử bình đẳng với mọi người nộp thuế.  - HUMAN-TRU1]]</f>
        <v>8</v>
      </c>
      <c r="AN342">
        <f t="shared" si="148"/>
        <v>0.77777777777777779</v>
      </c>
      <c r="AO342">
        <f>step3_validation[[#This Row],[AI_TRU2]]</f>
        <v>9</v>
      </c>
      <c r="AP342">
        <f t="shared" si="149"/>
        <v>0.88888888888888884</v>
      </c>
      <c r="AQ342">
        <f>survey_responses[[#This Row],[Tôi thấy mức thuế tôi phải đóng theo phương án mới là công bằng (người thu nhập như tôi đóng mức này là hợp lý). - HUMAN-TRU2]]</f>
        <v>8</v>
      </c>
      <c r="AR342">
        <f t="shared" si="150"/>
        <v>0.77777777777777779</v>
      </c>
      <c r="AS342">
        <f>step3_validation[[#This Row],[AI_TRU3]]</f>
        <v>8</v>
      </c>
      <c r="AT342">
        <f t="shared" si="151"/>
        <v>0.77777777777777779</v>
      </c>
      <c r="AU342">
        <f>survey_responses[[#This Row],[Tôi tin tưởng số tiền thuế tôi đóng sẽ được Nhà nước sử dụng hiệu quả để cải thiện dịch vụ công (y tế, đường xá...). - HUMAN-TRU3]]</f>
        <v>7</v>
      </c>
      <c r="AV342">
        <f t="shared" si="152"/>
        <v>0.66666666666666663</v>
      </c>
      <c r="AW342">
        <f>step3_validation[[#This Row],[AI_TRU4]]</f>
        <v>9</v>
      </c>
      <c r="AX342">
        <f t="shared" si="153"/>
        <v>0.88888888888888884</v>
      </c>
      <c r="AY342">
        <f>survey_responses[[#This Row],[Tôi thấy Nhà nước đã giải thích rõ ràng, minh bạch về lý do và mục tiêu của việc sửa đổi thuế lần này. - HUMAN-TRU4]]</f>
        <v>7</v>
      </c>
      <c r="AZ342">
        <f t="shared" si="154"/>
        <v>0.66666666666666663</v>
      </c>
      <c r="BA342" s="32">
        <f t="shared" si="155"/>
        <v>0.83333333333333326</v>
      </c>
      <c r="BB342" s="32">
        <f t="shared" si="156"/>
        <v>0.72222222222222221</v>
      </c>
      <c r="BC342" s="7">
        <f t="shared" si="157"/>
        <v>0.83333333333333337</v>
      </c>
      <c r="BD342" s="7">
        <f t="shared" si="158"/>
        <v>0.77777777777777779</v>
      </c>
      <c r="BE342">
        <f>step3_validation[[#This Row],[AI_OUT1]]</f>
        <v>9</v>
      </c>
      <c r="BF342">
        <f t="shared" si="159"/>
        <v>0.88888888888888884</v>
      </c>
      <c r="BG342">
        <f>survey_responses[[#This Row],[Sau khi xem xét các quyền lợi và nghĩa vụ, bạn có ủng hộ và tuân thủ chính sách mới hiện nay? - HUMAN-OUT1]]</f>
        <v>8</v>
      </c>
      <c r="BH342">
        <f t="shared" si="160"/>
        <v>0.77777777777777779</v>
      </c>
      <c r="BI342" s="32">
        <f t="shared" si="161"/>
        <v>1</v>
      </c>
    </row>
    <row r="343" spans="1:61" x14ac:dyDescent="0.45">
      <c r="A343" s="30">
        <f>step3_validation[[#This Row],[Persona_ID]]</f>
        <v>342</v>
      </c>
      <c r="B343" s="31">
        <f>step3_validation[[#This Row],[Used_Seed]]</f>
        <v>2332</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f t="shared" si="135"/>
        <v>0.66666666666666663</v>
      </c>
      <c r="S343">
        <f>survey_responses[[#This Row],[Tôi tin rằng với các quy định quản lý thuế hiện nay, hành vi gian lận hoặc trốn thuế sẽ dễ dàng bị phát hiện và xử lý nghiêm. - HUMAN-ENF1]]</f>
        <v>5</v>
      </c>
      <c r="T343">
        <f t="shared" si="136"/>
        <v>0.44444444444444442</v>
      </c>
      <c r="U343">
        <f>step3_validation[[#This Row],[AI_ENF2]]</f>
        <v>8</v>
      </c>
      <c r="V343">
        <f t="shared" si="137"/>
        <v>0.77777777777777779</v>
      </c>
      <c r="W343">
        <f>survey_responses[[#This Row],[Tôi tin rằng Nhà nước, cơ quan thuế có đủ khả năng và công nghệ để phát hiện, xử lý nghiêm các hành vi trốn thuế. - HUMAN-ENF2]]</f>
        <v>5</v>
      </c>
      <c r="X343">
        <f t="shared" si="138"/>
        <v>0.44444444444444442</v>
      </c>
      <c r="Y343" s="32">
        <f t="shared" si="139"/>
        <v>0.72222222222222221</v>
      </c>
      <c r="Z343" s="32">
        <f t="shared" si="140"/>
        <v>0.44444444444444442</v>
      </c>
      <c r="AA343">
        <f>step3_validation[[#This Row],[AI_FAC1]]</f>
        <v>9</v>
      </c>
      <c r="AB343">
        <f t="shared" si="141"/>
        <v>0.88888888888888884</v>
      </c>
      <c r="AC343">
        <f>survey_responses[[#This Row],[Các thủ tục khai báo thuế VÀ/HOẶC quy trình làm việc với cơ quan thuế đơn giản, tiện lợi, nhanh chóng hơn so với trước đây. - HUMAN-FAC1]]</f>
        <v>6</v>
      </c>
      <c r="AD343">
        <f t="shared" si="142"/>
        <v>0.55555555555555558</v>
      </c>
      <c r="AE343">
        <f>step3_validation[[#This Row],[AI_FAC2]]</f>
        <v>8</v>
      </c>
      <c r="AF343">
        <f t="shared" si="143"/>
        <v>0.77777777777777779</v>
      </c>
      <c r="AG343">
        <f>survey_responses[[#This Row],[So với trước đây, tôi thấy cách tính thuế và các bậc thuế trong phương án mới đơn giản, dễ hiểu và dễ thực hiện hơn. - HUMAN-FAC2]]</f>
        <v>7</v>
      </c>
      <c r="AH343">
        <f t="shared" si="144"/>
        <v>0.66666666666666663</v>
      </c>
      <c r="AI343" s="32">
        <f t="shared" si="145"/>
        <v>0.83333333333333326</v>
      </c>
      <c r="AJ343" s="32">
        <f t="shared" si="146"/>
        <v>0.61111111111111116</v>
      </c>
      <c r="AK343">
        <f>step3_validation[[#This Row],[AI_TRU1]]</f>
        <v>9</v>
      </c>
      <c r="AL343">
        <f t="shared" si="147"/>
        <v>0.88888888888888884</v>
      </c>
      <c r="AM343">
        <f>survey_responses[[#This Row],[Tôi tin rằng Nhà nước, cơ quan thuế sẽ thực thi chính sách mới một cách khách quan, công tâm và đối xử bình đẳng với mọi người nộp thuế.  - HUMAN-TRU1]]</f>
        <v>5</v>
      </c>
      <c r="AN343">
        <f t="shared" si="148"/>
        <v>0.44444444444444442</v>
      </c>
      <c r="AO343">
        <f>step3_validation[[#This Row],[AI_TRU2]]</f>
        <v>8</v>
      </c>
      <c r="AP343">
        <f t="shared" si="149"/>
        <v>0.77777777777777779</v>
      </c>
      <c r="AQ343">
        <f>survey_responses[[#This Row],[Tôi thấy mức thuế tôi phải đóng theo phương án mới là công bằng (người thu nhập như tôi đóng mức này là hợp lý). - HUMAN-TRU2]]</f>
        <v>8</v>
      </c>
      <c r="AR343">
        <f t="shared" si="150"/>
        <v>0.77777777777777779</v>
      </c>
      <c r="AS343">
        <f>step3_validation[[#This Row],[AI_TRU3]]</f>
        <v>9</v>
      </c>
      <c r="AT343">
        <f t="shared" si="151"/>
        <v>0.88888888888888884</v>
      </c>
      <c r="AU343">
        <f>survey_responses[[#This Row],[Tôi tin tưởng số tiền thuế tôi đóng sẽ được Nhà nước sử dụng hiệu quả để cải thiện dịch vụ công (y tế, đường xá...). - HUMAN-TRU3]]</f>
        <v>6</v>
      </c>
      <c r="AV343">
        <f t="shared" si="152"/>
        <v>0.55555555555555558</v>
      </c>
      <c r="AW343">
        <f>step3_validation[[#This Row],[AI_TRU4]]</f>
        <v>8</v>
      </c>
      <c r="AX343">
        <f t="shared" si="153"/>
        <v>0.77777777777777779</v>
      </c>
      <c r="AY343">
        <f>survey_responses[[#This Row],[Tôi thấy Nhà nước đã giải thích rõ ràng, minh bạch về lý do và mục tiêu của việc sửa đổi thuế lần này. - HUMAN-TRU4]]</f>
        <v>6</v>
      </c>
      <c r="AZ343">
        <f t="shared" si="154"/>
        <v>0.55555555555555558</v>
      </c>
      <c r="BA343" s="32">
        <f t="shared" si="155"/>
        <v>0.83333333333333326</v>
      </c>
      <c r="BB343" s="32">
        <f t="shared" si="156"/>
        <v>0.58333333333333337</v>
      </c>
      <c r="BC343" s="7">
        <f t="shared" si="157"/>
        <v>0.79629629629629617</v>
      </c>
      <c r="BD343" s="7">
        <f t="shared" si="158"/>
        <v>0.54629629629629628</v>
      </c>
      <c r="BE343">
        <f>step3_validation[[#This Row],[AI_OUT1]]</f>
        <v>9</v>
      </c>
      <c r="BF343">
        <f t="shared" si="159"/>
        <v>0.88888888888888884</v>
      </c>
      <c r="BG343">
        <f>survey_responses[[#This Row],[Sau khi xem xét các quyền lợi và nghĩa vụ, bạn có ủng hộ và tuân thủ chính sách mới hiện nay? - HUMAN-OUT1]]</f>
        <v>7</v>
      </c>
      <c r="BH343">
        <f t="shared" si="160"/>
        <v>0.66666666666666663</v>
      </c>
      <c r="BI343" s="32">
        <f t="shared" si="161"/>
        <v>2</v>
      </c>
    </row>
    <row r="344" spans="1:61" x14ac:dyDescent="0.45">
      <c r="A344" s="30">
        <f>step3_validation[[#This Row],[Persona_ID]]</f>
        <v>343</v>
      </c>
      <c r="B344" s="31">
        <f>step3_validation[[#This Row],[Used_Seed]]</f>
        <v>2333</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14.640203362523385</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8</v>
      </c>
      <c r="R344">
        <f t="shared" si="135"/>
        <v>0.77777777777777779</v>
      </c>
      <c r="S344">
        <f>survey_responses[[#This Row],[Tôi tin rằng với các quy định quản lý thuế hiện nay, hành vi gian lận hoặc trốn thuế sẽ dễ dàng bị phát hiện và xử lý nghiêm. - HUMAN-ENF1]]</f>
        <v>7</v>
      </c>
      <c r="T344">
        <f t="shared" si="136"/>
        <v>0.66666666666666663</v>
      </c>
      <c r="U344">
        <f>step3_validation[[#This Row],[AI_ENF2]]</f>
        <v>9</v>
      </c>
      <c r="V344">
        <f t="shared" si="137"/>
        <v>0.88888888888888884</v>
      </c>
      <c r="W344">
        <f>survey_responses[[#This Row],[Tôi tin rằng Nhà nước, cơ quan thuế có đủ khả năng và công nghệ để phát hiện, xử lý nghiêm các hành vi trốn thuế. - HUMAN-ENF2]]</f>
        <v>7</v>
      </c>
      <c r="X344">
        <f t="shared" si="138"/>
        <v>0.66666666666666663</v>
      </c>
      <c r="Y344" s="32">
        <f t="shared" si="139"/>
        <v>0.83333333333333326</v>
      </c>
      <c r="Z344" s="32">
        <f t="shared" si="140"/>
        <v>0.66666666666666663</v>
      </c>
      <c r="AA344">
        <f>step3_validation[[#This Row],[AI_FAC1]]</f>
        <v>8</v>
      </c>
      <c r="AB344">
        <f t="shared" si="141"/>
        <v>0.77777777777777779</v>
      </c>
      <c r="AC344">
        <f>survey_responses[[#This Row],[Các thủ tục khai báo thuế VÀ/HOẶC quy trình làm việc với cơ quan thuế đơn giản, tiện lợi, nhanh chóng hơn so với trước đây. - HUMAN-FAC1]]</f>
        <v>8</v>
      </c>
      <c r="AD344">
        <f t="shared" si="142"/>
        <v>0.77777777777777779</v>
      </c>
      <c r="AE344">
        <f>step3_validation[[#This Row],[AI_FAC2]]</f>
        <v>9</v>
      </c>
      <c r="AF344">
        <f t="shared" si="143"/>
        <v>0.88888888888888884</v>
      </c>
      <c r="AG344">
        <f>survey_responses[[#This Row],[So với trước đây, tôi thấy cách tính thuế và các bậc thuế trong phương án mới đơn giản, dễ hiểu và dễ thực hiện hơn. - HUMAN-FAC2]]</f>
        <v>7</v>
      </c>
      <c r="AH344">
        <f t="shared" si="144"/>
        <v>0.66666666666666663</v>
      </c>
      <c r="AI344" s="32">
        <f t="shared" si="145"/>
        <v>0.83333333333333326</v>
      </c>
      <c r="AJ344" s="32">
        <f t="shared" si="146"/>
        <v>0.72222222222222221</v>
      </c>
      <c r="AK344">
        <f>step3_validation[[#This Row],[AI_TRU1]]</f>
        <v>8</v>
      </c>
      <c r="AL344">
        <f t="shared" si="147"/>
        <v>0.77777777777777779</v>
      </c>
      <c r="AM344">
        <f>survey_responses[[#This Row],[Tôi tin rằng Nhà nước, cơ quan thuế sẽ thực thi chính sách mới một cách khách quan, công tâm và đối xử bình đẳng với mọi người nộp thuế.  - HUMAN-TRU1]]</f>
        <v>8</v>
      </c>
      <c r="AN344">
        <f t="shared" si="148"/>
        <v>0.77777777777777779</v>
      </c>
      <c r="AO344">
        <f>step3_validation[[#This Row],[AI_TRU2]]</f>
        <v>9</v>
      </c>
      <c r="AP344">
        <f t="shared" si="149"/>
        <v>0.88888888888888884</v>
      </c>
      <c r="AQ344">
        <f>survey_responses[[#This Row],[Tôi thấy mức thuế tôi phải đóng theo phương án mới là công bằng (người thu nhập như tôi đóng mức này là hợp lý). - HUMAN-TRU2]]</f>
        <v>8</v>
      </c>
      <c r="AR344">
        <f t="shared" si="150"/>
        <v>0.77777777777777779</v>
      </c>
      <c r="AS344">
        <f>step3_validation[[#This Row],[AI_TRU3]]</f>
        <v>8</v>
      </c>
      <c r="AT344">
        <f t="shared" si="151"/>
        <v>0.77777777777777779</v>
      </c>
      <c r="AU344">
        <f>survey_responses[[#This Row],[Tôi tin tưởng số tiền thuế tôi đóng sẽ được Nhà nước sử dụng hiệu quả để cải thiện dịch vụ công (y tế, đường xá...). - HUMAN-TRU3]]</f>
        <v>8</v>
      </c>
      <c r="AV344">
        <f t="shared" si="152"/>
        <v>0.77777777777777779</v>
      </c>
      <c r="AW344">
        <f>step3_validation[[#This Row],[AI_TRU4]]</f>
        <v>9</v>
      </c>
      <c r="AX344">
        <f t="shared" si="153"/>
        <v>0.88888888888888884</v>
      </c>
      <c r="AY344">
        <f>survey_responses[[#This Row],[Tôi thấy Nhà nước đã giải thích rõ ràng, minh bạch về lý do và mục tiêu của việc sửa đổi thuế lần này. - HUMAN-TRU4]]</f>
        <v>7</v>
      </c>
      <c r="AZ344">
        <f t="shared" si="154"/>
        <v>0.66666666666666663</v>
      </c>
      <c r="BA344" s="32">
        <f t="shared" si="155"/>
        <v>0.83333333333333326</v>
      </c>
      <c r="BB344" s="32">
        <f t="shared" si="156"/>
        <v>0.75</v>
      </c>
      <c r="BC344" s="7">
        <f t="shared" si="157"/>
        <v>0.83333333333333337</v>
      </c>
      <c r="BD344" s="7">
        <f t="shared" si="158"/>
        <v>0.71296296296296291</v>
      </c>
      <c r="BE344">
        <f>step3_validation[[#This Row],[AI_OUT1]]</f>
        <v>9</v>
      </c>
      <c r="BF344">
        <f t="shared" si="159"/>
        <v>0.88888888888888884</v>
      </c>
      <c r="BG344">
        <f>survey_responses[[#This Row],[Sau khi xem xét các quyền lợi và nghĩa vụ, bạn có ủng hộ và tuân thủ chính sách mới hiện nay? - HUMAN-OUT1]]</f>
        <v>8</v>
      </c>
      <c r="BH344">
        <f t="shared" si="160"/>
        <v>0.77777777777777779</v>
      </c>
      <c r="BI344" s="32">
        <f t="shared" si="161"/>
        <v>1</v>
      </c>
    </row>
    <row r="345" spans="1:61" x14ac:dyDescent="0.45">
      <c r="A345" s="30">
        <f>step3_validation[[#This Row],[Persona_ID]]</f>
        <v>344</v>
      </c>
      <c r="B345" s="31">
        <f>step3_validation[[#This Row],[Used_Seed]]</f>
        <v>2334</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64.845851968529757</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7</v>
      </c>
      <c r="R345">
        <f t="shared" si="135"/>
        <v>0.66666666666666663</v>
      </c>
      <c r="S345">
        <f>survey_responses[[#This Row],[Tôi tin rằng với các quy định quản lý thuế hiện nay, hành vi gian lận hoặc trốn thuế sẽ dễ dàng bị phát hiện và xử lý nghiêm. - HUMAN-ENF1]]</f>
        <v>7</v>
      </c>
      <c r="T345">
        <f t="shared" si="136"/>
        <v>0.66666666666666663</v>
      </c>
      <c r="U345">
        <f>step3_validation[[#This Row],[AI_ENF2]]</f>
        <v>8</v>
      </c>
      <c r="V345">
        <f t="shared" si="137"/>
        <v>0.77777777777777779</v>
      </c>
      <c r="W345">
        <f>survey_responses[[#This Row],[Tôi tin rằng Nhà nước, cơ quan thuế có đủ khả năng và công nghệ để phát hiện, xử lý nghiêm các hành vi trốn thuế. - HUMAN-ENF2]]</f>
        <v>7</v>
      </c>
      <c r="X345">
        <f t="shared" si="138"/>
        <v>0.66666666666666663</v>
      </c>
      <c r="Y345" s="32">
        <f t="shared" si="139"/>
        <v>0.72222222222222221</v>
      </c>
      <c r="Z345" s="32">
        <f t="shared" si="140"/>
        <v>0.66666666666666663</v>
      </c>
      <c r="AA345">
        <f>step3_validation[[#This Row],[AI_FAC1]]</f>
        <v>6</v>
      </c>
      <c r="AB345">
        <f t="shared" si="141"/>
        <v>0.55555555555555558</v>
      </c>
      <c r="AC345">
        <f>survey_responses[[#This Row],[Các thủ tục khai báo thuế VÀ/HOẶC quy trình làm việc với cơ quan thuế đơn giản, tiện lợi, nhanh chóng hơn so với trước đây. - HUMAN-FAC1]]</f>
        <v>5</v>
      </c>
      <c r="AD345">
        <f t="shared" si="142"/>
        <v>0.44444444444444442</v>
      </c>
      <c r="AE345">
        <f>step3_validation[[#This Row],[AI_FAC2]]</f>
        <v>9</v>
      </c>
      <c r="AF345">
        <f t="shared" si="143"/>
        <v>0.88888888888888884</v>
      </c>
      <c r="AG345">
        <f>survey_responses[[#This Row],[So với trước đây, tôi thấy cách tính thuế và các bậc thuế trong phương án mới đơn giản, dễ hiểu và dễ thực hiện hơn. - HUMAN-FAC2]]</f>
        <v>8</v>
      </c>
      <c r="AH345">
        <f t="shared" si="144"/>
        <v>0.77777777777777779</v>
      </c>
      <c r="AI345" s="32">
        <f t="shared" si="145"/>
        <v>0.72222222222222221</v>
      </c>
      <c r="AJ345" s="32">
        <f t="shared" si="146"/>
        <v>0.61111111111111116</v>
      </c>
      <c r="AK345">
        <f>step3_validation[[#This Row],[AI_TRU1]]</f>
        <v>7</v>
      </c>
      <c r="AL345">
        <f t="shared" si="147"/>
        <v>0.66666666666666663</v>
      </c>
      <c r="AM345">
        <f>survey_responses[[#This Row],[Tôi tin rằng Nhà nước, cơ quan thuế sẽ thực thi chính sách mới một cách khách quan, công tâm và đối xử bình đẳng với mọi người nộp thuế.  - HUMAN-TRU1]]</f>
        <v>6</v>
      </c>
      <c r="AN345">
        <f t="shared" si="148"/>
        <v>0.55555555555555558</v>
      </c>
      <c r="AO345">
        <f>step3_validation[[#This Row],[AI_TRU2]]</f>
        <v>8</v>
      </c>
      <c r="AP345">
        <f t="shared" si="149"/>
        <v>0.77777777777777779</v>
      </c>
      <c r="AQ345">
        <f>survey_responses[[#This Row],[Tôi thấy mức thuế tôi phải đóng theo phương án mới là công bằng (người thu nhập như tôi đóng mức này là hợp lý). - HUMAN-TRU2]]</f>
        <v>5</v>
      </c>
      <c r="AR345">
        <f t="shared" si="150"/>
        <v>0.44444444444444442</v>
      </c>
      <c r="AS345">
        <f>step3_validation[[#This Row],[AI_TRU3]]</f>
        <v>9</v>
      </c>
      <c r="AT345">
        <f t="shared" si="151"/>
        <v>0.88888888888888884</v>
      </c>
      <c r="AU345">
        <f>survey_responses[[#This Row],[Tôi tin tưởng số tiền thuế tôi đóng sẽ được Nhà nước sử dụng hiệu quả để cải thiện dịch vụ công (y tế, đường xá...). - HUMAN-TRU3]]</f>
        <v>5</v>
      </c>
      <c r="AV345">
        <f t="shared" si="152"/>
        <v>0.44444444444444442</v>
      </c>
      <c r="AW345">
        <f>step3_validation[[#This Row],[AI_TRU4]]</f>
        <v>7</v>
      </c>
      <c r="AX345">
        <f t="shared" si="153"/>
        <v>0.66666666666666663</v>
      </c>
      <c r="AY345">
        <f>survey_responses[[#This Row],[Tôi thấy Nhà nước đã giải thích rõ ràng, minh bạch về lý do và mục tiêu của việc sửa đổi thuế lần này. - HUMAN-TRU4]]</f>
        <v>6</v>
      </c>
      <c r="AZ345">
        <f t="shared" si="154"/>
        <v>0.55555555555555558</v>
      </c>
      <c r="BA345" s="32">
        <f t="shared" si="155"/>
        <v>0.74999999999999989</v>
      </c>
      <c r="BB345" s="32">
        <f t="shared" si="156"/>
        <v>0.5</v>
      </c>
      <c r="BC345" s="7">
        <f t="shared" si="157"/>
        <v>0.7314814814814814</v>
      </c>
      <c r="BD345" s="7">
        <f t="shared" si="158"/>
        <v>0.59259259259259256</v>
      </c>
      <c r="BE345">
        <f>step3_validation[[#This Row],[AI_OUT1]]</f>
        <v>9</v>
      </c>
      <c r="BF345">
        <f t="shared" si="159"/>
        <v>0.88888888888888884</v>
      </c>
      <c r="BG345">
        <f>survey_responses[[#This Row],[Sau khi xem xét các quyền lợi và nghĩa vụ, bạn có ủng hộ và tuân thủ chính sách mới hiện nay? - HUMAN-OUT1]]</f>
        <v>5</v>
      </c>
      <c r="BH345">
        <f t="shared" si="160"/>
        <v>0.44444444444444442</v>
      </c>
      <c r="BI345" s="32">
        <f t="shared" si="161"/>
        <v>4</v>
      </c>
    </row>
    <row r="346" spans="1:61" x14ac:dyDescent="0.45">
      <c r="A346" s="30">
        <f>step3_validation[[#This Row],[Persona_ID]]</f>
        <v>345</v>
      </c>
      <c r="B346" s="31">
        <f>step3_validation[[#This Row],[Used_Seed]]</f>
        <v>2335</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15.829406271752029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f t="shared" si="135"/>
        <v>0.66666666666666663</v>
      </c>
      <c r="S346">
        <f>survey_responses[[#This Row],[Tôi tin rằng với các quy định quản lý thuế hiện nay, hành vi gian lận hoặc trốn thuế sẽ dễ dàng bị phát hiện và xử lý nghiêm. - HUMAN-ENF1]]</f>
        <v>7</v>
      </c>
      <c r="T346">
        <f t="shared" si="136"/>
        <v>0.66666666666666663</v>
      </c>
      <c r="U346">
        <f>step3_validation[[#This Row],[AI_ENF2]]</f>
        <v>7</v>
      </c>
      <c r="V346">
        <f t="shared" si="137"/>
        <v>0.66666666666666663</v>
      </c>
      <c r="W346">
        <f>survey_responses[[#This Row],[Tôi tin rằng Nhà nước, cơ quan thuế có đủ khả năng và công nghệ để phát hiện, xử lý nghiêm các hành vi trốn thuế. - HUMAN-ENF2]]</f>
        <v>7</v>
      </c>
      <c r="X346">
        <f t="shared" si="138"/>
        <v>0.66666666666666663</v>
      </c>
      <c r="Y346" s="32">
        <f t="shared" si="139"/>
        <v>0.66666666666666663</v>
      </c>
      <c r="Z346" s="32">
        <f t="shared" si="140"/>
        <v>0.66666666666666663</v>
      </c>
      <c r="AA346">
        <f>step3_validation[[#This Row],[AI_FAC1]]</f>
        <v>6</v>
      </c>
      <c r="AB346">
        <f t="shared" si="141"/>
        <v>0.55555555555555558</v>
      </c>
      <c r="AC346">
        <f>survey_responses[[#This Row],[Các thủ tục khai báo thuế VÀ/HOẶC quy trình làm việc với cơ quan thuế đơn giản, tiện lợi, nhanh chóng hơn so với trước đây. - HUMAN-FAC1]]</f>
        <v>5</v>
      </c>
      <c r="AD346">
        <f t="shared" si="142"/>
        <v>0.44444444444444442</v>
      </c>
      <c r="AE346">
        <f>step3_validation[[#This Row],[AI_FAC2]]</f>
        <v>8</v>
      </c>
      <c r="AF346">
        <f t="shared" si="143"/>
        <v>0.77777777777777779</v>
      </c>
      <c r="AG346">
        <f>survey_responses[[#This Row],[So với trước đây, tôi thấy cách tính thuế và các bậc thuế trong phương án mới đơn giản, dễ hiểu và dễ thực hiện hơn. - HUMAN-FAC2]]</f>
        <v>8</v>
      </c>
      <c r="AH346">
        <f t="shared" si="144"/>
        <v>0.77777777777777779</v>
      </c>
      <c r="AI346" s="32">
        <f t="shared" si="145"/>
        <v>0.66666666666666674</v>
      </c>
      <c r="AJ346" s="32">
        <f t="shared" si="146"/>
        <v>0.61111111111111116</v>
      </c>
      <c r="AK346">
        <f>step3_validation[[#This Row],[AI_TRU1]]</f>
        <v>6</v>
      </c>
      <c r="AL346">
        <f t="shared" si="147"/>
        <v>0.55555555555555558</v>
      </c>
      <c r="AM346">
        <f>survey_responses[[#This Row],[Tôi tin rằng Nhà nước, cơ quan thuế sẽ thực thi chính sách mới một cách khách quan, công tâm và đối xử bình đẳng với mọi người nộp thuế.  - HUMAN-TRU1]]</f>
        <v>7</v>
      </c>
      <c r="AN346">
        <f t="shared" si="148"/>
        <v>0.66666666666666663</v>
      </c>
      <c r="AO346">
        <f>step3_validation[[#This Row],[AI_TRU2]]</f>
        <v>9</v>
      </c>
      <c r="AP346">
        <f t="shared" si="149"/>
        <v>0.88888888888888884</v>
      </c>
      <c r="AQ346">
        <f>survey_responses[[#This Row],[Tôi thấy mức thuế tôi phải đóng theo phương án mới là công bằng (người thu nhập như tôi đóng mức này là hợp lý). - HUMAN-TRU2]]</f>
        <v>7</v>
      </c>
      <c r="AR346">
        <f t="shared" si="150"/>
        <v>0.66666666666666663</v>
      </c>
      <c r="AS346">
        <f>step3_validation[[#This Row],[AI_TRU3]]</f>
        <v>6</v>
      </c>
      <c r="AT346">
        <f t="shared" si="151"/>
        <v>0.55555555555555558</v>
      </c>
      <c r="AU346">
        <f>survey_responses[[#This Row],[Tôi tin tưởng số tiền thuế tôi đóng sẽ được Nhà nước sử dụng hiệu quả để cải thiện dịch vụ công (y tế, đường xá...). - HUMAN-TRU3]]</f>
        <v>6</v>
      </c>
      <c r="AV346">
        <f t="shared" si="152"/>
        <v>0.55555555555555558</v>
      </c>
      <c r="AW346">
        <f>step3_validation[[#This Row],[AI_TRU4]]</f>
        <v>7</v>
      </c>
      <c r="AX346">
        <f t="shared" si="153"/>
        <v>0.66666666666666663</v>
      </c>
      <c r="AY346">
        <f>survey_responses[[#This Row],[Tôi thấy Nhà nước đã giải thích rõ ràng, minh bạch về lý do và mục tiêu của việc sửa đổi thuế lần này. - HUMAN-TRU4]]</f>
        <v>7</v>
      </c>
      <c r="AZ346">
        <f t="shared" si="154"/>
        <v>0.66666666666666663</v>
      </c>
      <c r="BA346" s="32">
        <f t="shared" si="155"/>
        <v>0.66666666666666663</v>
      </c>
      <c r="BB346" s="32">
        <f t="shared" si="156"/>
        <v>0.63888888888888884</v>
      </c>
      <c r="BC346" s="7">
        <f t="shared" si="157"/>
        <v>0.66666666666666663</v>
      </c>
      <c r="BD346" s="7">
        <f t="shared" si="158"/>
        <v>0.63888888888888884</v>
      </c>
      <c r="BE346">
        <f>step3_validation[[#This Row],[AI_OUT1]]</f>
        <v>9</v>
      </c>
      <c r="BF346">
        <f t="shared" si="159"/>
        <v>0.88888888888888884</v>
      </c>
      <c r="BG346">
        <f>survey_responses[[#This Row],[Sau khi xem xét các quyền lợi và nghĩa vụ, bạn có ủng hộ và tuân thủ chính sách mới hiện nay? - HUMAN-OUT1]]</f>
        <v>7</v>
      </c>
      <c r="BH346">
        <f t="shared" si="160"/>
        <v>0.66666666666666663</v>
      </c>
      <c r="BI346" s="32">
        <f t="shared" si="161"/>
        <v>2</v>
      </c>
    </row>
    <row r="347" spans="1:61" x14ac:dyDescent="0.45">
      <c r="A347" s="30">
        <f>step3_validation[[#This Row],[Persona_ID]]</f>
        <v>346</v>
      </c>
      <c r="B347" s="31">
        <f>step3_validation[[#This Row],[Used_Seed]]</f>
        <v>2336</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25.519211290085583</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6</v>
      </c>
      <c r="R347">
        <f t="shared" si="135"/>
        <v>0.55555555555555558</v>
      </c>
      <c r="S347">
        <f>survey_responses[[#This Row],[Tôi tin rằng với các quy định quản lý thuế hiện nay, hành vi gian lận hoặc trốn thuế sẽ dễ dàng bị phát hiện và xử lý nghiêm. - HUMAN-ENF1]]</f>
        <v>9</v>
      </c>
      <c r="T347">
        <f t="shared" si="136"/>
        <v>0.88888888888888884</v>
      </c>
      <c r="U347">
        <f>step3_validation[[#This Row],[AI_ENF2]]</f>
        <v>7</v>
      </c>
      <c r="V347">
        <f t="shared" si="137"/>
        <v>0.66666666666666663</v>
      </c>
      <c r="W347">
        <f>survey_responses[[#This Row],[Tôi tin rằng Nhà nước, cơ quan thuế có đủ khả năng và công nghệ để phát hiện, xử lý nghiêm các hành vi trốn thuế. - HUMAN-ENF2]]</f>
        <v>8</v>
      </c>
      <c r="X347">
        <f t="shared" si="138"/>
        <v>0.77777777777777779</v>
      </c>
      <c r="Y347" s="32">
        <f t="shared" si="139"/>
        <v>0.61111111111111116</v>
      </c>
      <c r="Z347" s="32">
        <f t="shared" si="140"/>
        <v>0.83333333333333326</v>
      </c>
      <c r="AA347">
        <f>step3_validation[[#This Row],[AI_FAC1]]</f>
        <v>8</v>
      </c>
      <c r="AB347">
        <f t="shared" si="141"/>
        <v>0.77777777777777779</v>
      </c>
      <c r="AC347">
        <f>survey_responses[[#This Row],[Các thủ tục khai báo thuế VÀ/HOẶC quy trình làm việc với cơ quan thuế đơn giản, tiện lợi, nhanh chóng hơn so với trước đây. - HUMAN-FAC1]]</f>
        <v>8</v>
      </c>
      <c r="AD347">
        <f t="shared" si="142"/>
        <v>0.77777777777777779</v>
      </c>
      <c r="AE347">
        <f>step3_validation[[#This Row],[AI_FAC2]]</f>
        <v>9</v>
      </c>
      <c r="AF347">
        <f t="shared" si="143"/>
        <v>0.88888888888888884</v>
      </c>
      <c r="AG347">
        <f>survey_responses[[#This Row],[So với trước đây, tôi thấy cách tính thuế và các bậc thuế trong phương án mới đơn giản, dễ hiểu và dễ thực hiện hơn. - HUMAN-FAC2]]</f>
        <v>9</v>
      </c>
      <c r="AH347">
        <f t="shared" si="144"/>
        <v>0.88888888888888884</v>
      </c>
      <c r="AI347" s="32">
        <f t="shared" si="145"/>
        <v>0.83333333333333326</v>
      </c>
      <c r="AJ347" s="32">
        <f t="shared" si="146"/>
        <v>0.83333333333333326</v>
      </c>
      <c r="AK347">
        <f>step3_validation[[#This Row],[AI_TRU1]]</f>
        <v>7</v>
      </c>
      <c r="AL347">
        <f t="shared" si="147"/>
        <v>0.66666666666666663</v>
      </c>
      <c r="AM347">
        <f>survey_responses[[#This Row],[Tôi tin rằng Nhà nước, cơ quan thuế sẽ thực thi chính sách mới một cách khách quan, công tâm và đối xử bình đẳng với mọi người nộp thuế.  - HUMAN-TRU1]]</f>
        <v>7</v>
      </c>
      <c r="AN347">
        <f t="shared" si="148"/>
        <v>0.66666666666666663</v>
      </c>
      <c r="AO347">
        <f>step3_validation[[#This Row],[AI_TRU2]]</f>
        <v>9</v>
      </c>
      <c r="AP347">
        <f t="shared" si="149"/>
        <v>0.88888888888888884</v>
      </c>
      <c r="AQ347">
        <f>survey_responses[[#This Row],[Tôi thấy mức thuế tôi phải đóng theo phương án mới là công bằng (người thu nhập như tôi đóng mức này là hợp lý). - HUMAN-TRU2]]</f>
        <v>8</v>
      </c>
      <c r="AR347">
        <f t="shared" si="150"/>
        <v>0.77777777777777779</v>
      </c>
      <c r="AS347">
        <f>step3_validation[[#This Row],[AI_TRU3]]</f>
        <v>8</v>
      </c>
      <c r="AT347">
        <f t="shared" si="151"/>
        <v>0.77777777777777779</v>
      </c>
      <c r="AU347">
        <f>survey_responses[[#This Row],[Tôi tin tưởng số tiền thuế tôi đóng sẽ được Nhà nước sử dụng hiệu quả để cải thiện dịch vụ công (y tế, đường xá...). - HUMAN-TRU3]]</f>
        <v>7</v>
      </c>
      <c r="AV347">
        <f t="shared" si="152"/>
        <v>0.66666666666666663</v>
      </c>
      <c r="AW347">
        <f>step3_validation[[#This Row],[AI_TRU4]]</f>
        <v>9</v>
      </c>
      <c r="AX347">
        <f t="shared" si="153"/>
        <v>0.88888888888888884</v>
      </c>
      <c r="AY347">
        <f>survey_responses[[#This Row],[Tôi thấy Nhà nước đã giải thích rõ ràng, minh bạch về lý do và mục tiêu của việc sửa đổi thuế lần này. - HUMAN-TRU4]]</f>
        <v>7</v>
      </c>
      <c r="AZ347">
        <f t="shared" si="154"/>
        <v>0.66666666666666663</v>
      </c>
      <c r="BA347" s="32">
        <f t="shared" si="155"/>
        <v>0.80555555555555547</v>
      </c>
      <c r="BB347" s="32">
        <f t="shared" si="156"/>
        <v>0.69444444444444442</v>
      </c>
      <c r="BC347" s="7">
        <f t="shared" si="157"/>
        <v>0.75</v>
      </c>
      <c r="BD347" s="7">
        <f t="shared" si="158"/>
        <v>0.78703703703703687</v>
      </c>
      <c r="BE347">
        <f>step3_validation[[#This Row],[AI_OUT1]]</f>
        <v>8</v>
      </c>
      <c r="BF347">
        <f t="shared" si="159"/>
        <v>0.77777777777777779</v>
      </c>
      <c r="BG347">
        <f>survey_responses[[#This Row],[Sau khi xem xét các quyền lợi và nghĩa vụ, bạn có ủng hộ và tuân thủ chính sách mới hiện nay? - HUMAN-OUT1]]</f>
        <v>8</v>
      </c>
      <c r="BH347">
        <f t="shared" si="160"/>
        <v>0.77777777777777779</v>
      </c>
      <c r="BI347" s="32">
        <f t="shared" si="161"/>
        <v>0</v>
      </c>
    </row>
    <row r="348" spans="1:61" x14ac:dyDescent="0.45">
      <c r="A348" s="30">
        <f>step3_validation[[#This Row],[Persona_ID]]</f>
        <v>347</v>
      </c>
      <c r="B348" s="31">
        <f>step3_validation[[#This Row],[Used_Seed]]</f>
        <v>2337</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20.777676159732167</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f t="shared" si="135"/>
        <v>0.77777777777777779</v>
      </c>
      <c r="S348">
        <f>survey_responses[[#This Row],[Tôi tin rằng với các quy định quản lý thuế hiện nay, hành vi gian lận hoặc trốn thuế sẽ dễ dàng bị phát hiện và xử lý nghiêm. - HUMAN-ENF1]]</f>
        <v>8</v>
      </c>
      <c r="T348">
        <f t="shared" si="136"/>
        <v>0.77777777777777779</v>
      </c>
      <c r="U348">
        <f>step3_validation[[#This Row],[AI_ENF2]]</f>
        <v>9</v>
      </c>
      <c r="V348">
        <f t="shared" si="137"/>
        <v>0.88888888888888884</v>
      </c>
      <c r="W348">
        <f>survey_responses[[#This Row],[Tôi tin rằng Nhà nước, cơ quan thuế có đủ khả năng và công nghệ để phát hiện, xử lý nghiêm các hành vi trốn thuế. - HUMAN-ENF2]]</f>
        <v>8</v>
      </c>
      <c r="X348">
        <f t="shared" si="138"/>
        <v>0.77777777777777779</v>
      </c>
      <c r="Y348" s="32">
        <f t="shared" si="139"/>
        <v>0.83333333333333326</v>
      </c>
      <c r="Z348" s="32">
        <f t="shared" si="140"/>
        <v>0.77777777777777779</v>
      </c>
      <c r="AA348">
        <f>step3_validation[[#This Row],[AI_FAC1]]</f>
        <v>8</v>
      </c>
      <c r="AB348">
        <f t="shared" si="141"/>
        <v>0.77777777777777779</v>
      </c>
      <c r="AC348">
        <f>survey_responses[[#This Row],[Các thủ tục khai báo thuế VÀ/HOẶC quy trình làm việc với cơ quan thuế đơn giản, tiện lợi, nhanh chóng hơn so với trước đây. - HUMAN-FAC1]]</f>
        <v>7</v>
      </c>
      <c r="AD348">
        <f t="shared" si="142"/>
        <v>0.66666666666666663</v>
      </c>
      <c r="AE348">
        <f>step3_validation[[#This Row],[AI_FAC2]]</f>
        <v>9</v>
      </c>
      <c r="AF348">
        <f t="shared" si="143"/>
        <v>0.88888888888888884</v>
      </c>
      <c r="AG348">
        <f>survey_responses[[#This Row],[So với trước đây, tôi thấy cách tính thuế và các bậc thuế trong phương án mới đơn giản, dễ hiểu và dễ thực hiện hơn. - HUMAN-FAC2]]</f>
        <v>8</v>
      </c>
      <c r="AH348">
        <f t="shared" si="144"/>
        <v>0.77777777777777779</v>
      </c>
      <c r="AI348" s="32">
        <f t="shared" si="145"/>
        <v>0.83333333333333326</v>
      </c>
      <c r="AJ348" s="32">
        <f t="shared" si="146"/>
        <v>0.72222222222222221</v>
      </c>
      <c r="AK348">
        <f>step3_validation[[#This Row],[AI_TRU1]]</f>
        <v>7</v>
      </c>
      <c r="AL348">
        <f t="shared" si="147"/>
        <v>0.66666666666666663</v>
      </c>
      <c r="AM348">
        <f>survey_responses[[#This Row],[Tôi tin rằng Nhà nước, cơ quan thuế sẽ thực thi chính sách mới một cách khách quan, công tâm và đối xử bình đẳng với mọi người nộp thuế.  - HUMAN-TRU1]]</f>
        <v>6</v>
      </c>
      <c r="AN348">
        <f t="shared" si="148"/>
        <v>0.55555555555555558</v>
      </c>
      <c r="AO348">
        <f>step3_validation[[#This Row],[AI_TRU2]]</f>
        <v>9</v>
      </c>
      <c r="AP348">
        <f t="shared" si="149"/>
        <v>0.88888888888888884</v>
      </c>
      <c r="AQ348">
        <f>survey_responses[[#This Row],[Tôi thấy mức thuế tôi phải đóng theo phương án mới là công bằng (người thu nhập như tôi đóng mức này là hợp lý). - HUMAN-TRU2]]</f>
        <v>8</v>
      </c>
      <c r="AR348">
        <f t="shared" si="150"/>
        <v>0.77777777777777779</v>
      </c>
      <c r="AS348">
        <f>step3_validation[[#This Row],[AI_TRU3]]</f>
        <v>8</v>
      </c>
      <c r="AT348">
        <f t="shared" si="151"/>
        <v>0.77777777777777779</v>
      </c>
      <c r="AU348">
        <f>survey_responses[[#This Row],[Tôi tin tưởng số tiền thuế tôi đóng sẽ được Nhà nước sử dụng hiệu quả để cải thiện dịch vụ công (y tế, đường xá...). - HUMAN-TRU3]]</f>
        <v>6</v>
      </c>
      <c r="AV348">
        <f t="shared" si="152"/>
        <v>0.55555555555555558</v>
      </c>
      <c r="AW348">
        <f>step3_validation[[#This Row],[AI_TRU4]]</f>
        <v>7</v>
      </c>
      <c r="AX348">
        <f t="shared" si="153"/>
        <v>0.66666666666666663</v>
      </c>
      <c r="AY348">
        <f>survey_responses[[#This Row],[Tôi thấy Nhà nước đã giải thích rõ ràng, minh bạch về lý do và mục tiêu của việc sửa đổi thuế lần này. - HUMAN-TRU4]]</f>
        <v>6</v>
      </c>
      <c r="AZ348">
        <f t="shared" si="154"/>
        <v>0.55555555555555558</v>
      </c>
      <c r="BA348" s="32">
        <f t="shared" si="155"/>
        <v>0.74999999999999989</v>
      </c>
      <c r="BB348" s="32">
        <f t="shared" si="156"/>
        <v>0.61111111111111116</v>
      </c>
      <c r="BC348" s="7">
        <f t="shared" si="157"/>
        <v>0.80555555555555547</v>
      </c>
      <c r="BD348" s="7">
        <f t="shared" si="158"/>
        <v>0.70370370370370372</v>
      </c>
      <c r="BE348">
        <f>step3_validation[[#This Row],[AI_OUT1]]</f>
        <v>9</v>
      </c>
      <c r="BF348">
        <f t="shared" si="159"/>
        <v>0.88888888888888884</v>
      </c>
      <c r="BG348">
        <f>survey_responses[[#This Row],[Sau khi xem xét các quyền lợi và nghĩa vụ, bạn có ủng hộ và tuân thủ chính sách mới hiện nay? - HUMAN-OUT1]]</f>
        <v>8</v>
      </c>
      <c r="BH348">
        <f t="shared" si="160"/>
        <v>0.77777777777777779</v>
      </c>
      <c r="BI348" s="32">
        <f t="shared" si="161"/>
        <v>1</v>
      </c>
    </row>
    <row r="349" spans="1:61" x14ac:dyDescent="0.45">
      <c r="A349" s="30">
        <f>step3_validation[[#This Row],[Persona_ID]]</f>
        <v>348</v>
      </c>
      <c r="B349" s="31">
        <f>step3_validation[[#This Row],[Used_Seed]]</f>
        <v>2338</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18.653231668521222</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f t="shared" si="135"/>
        <v>0.66666666666666663</v>
      </c>
      <c r="S349">
        <f>survey_responses[[#This Row],[Tôi tin rằng với các quy định quản lý thuế hiện nay, hành vi gian lận hoặc trốn thuế sẽ dễ dàng bị phát hiện và xử lý nghiêm. - HUMAN-ENF1]]</f>
        <v>8</v>
      </c>
      <c r="T349">
        <f t="shared" si="136"/>
        <v>0.77777777777777779</v>
      </c>
      <c r="U349">
        <f>step3_validation[[#This Row],[AI_ENF2]]</f>
        <v>8</v>
      </c>
      <c r="V349">
        <f t="shared" si="137"/>
        <v>0.77777777777777779</v>
      </c>
      <c r="W349">
        <f>survey_responses[[#This Row],[Tôi tin rằng Nhà nước, cơ quan thuế có đủ khả năng và công nghệ để phát hiện, xử lý nghiêm các hành vi trốn thuế. - HUMAN-ENF2]]</f>
        <v>8</v>
      </c>
      <c r="X349">
        <f t="shared" si="138"/>
        <v>0.77777777777777779</v>
      </c>
      <c r="Y349" s="32">
        <f t="shared" si="139"/>
        <v>0.72222222222222221</v>
      </c>
      <c r="Z349" s="32">
        <f t="shared" si="140"/>
        <v>0.77777777777777779</v>
      </c>
      <c r="AA349">
        <f>step3_validation[[#This Row],[AI_FAC1]]</f>
        <v>9</v>
      </c>
      <c r="AB349">
        <f t="shared" si="141"/>
        <v>0.88888888888888884</v>
      </c>
      <c r="AC349">
        <f>survey_responses[[#This Row],[Các thủ tục khai báo thuế VÀ/HOẶC quy trình làm việc với cơ quan thuế đơn giản, tiện lợi, nhanh chóng hơn so với trước đây. - HUMAN-FAC1]]</f>
        <v>7</v>
      </c>
      <c r="AD349">
        <f t="shared" si="142"/>
        <v>0.66666666666666663</v>
      </c>
      <c r="AE349">
        <f>step3_validation[[#This Row],[AI_FAC2]]</f>
        <v>10</v>
      </c>
      <c r="AF349">
        <f t="shared" si="143"/>
        <v>1</v>
      </c>
      <c r="AG349">
        <f>survey_responses[[#This Row],[So với trước đây, tôi thấy cách tính thuế và các bậc thuế trong phương án mới đơn giản, dễ hiểu và dễ thực hiện hơn. - HUMAN-FAC2]]</f>
        <v>7</v>
      </c>
      <c r="AH349">
        <f t="shared" si="144"/>
        <v>0.66666666666666663</v>
      </c>
      <c r="AI349" s="32">
        <f t="shared" si="145"/>
        <v>0.94444444444444442</v>
      </c>
      <c r="AJ349" s="32">
        <f t="shared" si="146"/>
        <v>0.66666666666666663</v>
      </c>
      <c r="AK349">
        <f>step3_validation[[#This Row],[AI_TRU1]]</f>
        <v>7</v>
      </c>
      <c r="AL349">
        <f t="shared" si="147"/>
        <v>0.66666666666666663</v>
      </c>
      <c r="AM349">
        <f>survey_responses[[#This Row],[Tôi tin rằng Nhà nước, cơ quan thuế sẽ thực thi chính sách mới một cách khách quan, công tâm và đối xử bình đẳng với mọi người nộp thuế.  - HUMAN-TRU1]]</f>
        <v>6</v>
      </c>
      <c r="AN349">
        <f t="shared" si="148"/>
        <v>0.55555555555555558</v>
      </c>
      <c r="AO349">
        <f>step3_validation[[#This Row],[AI_TRU2]]</f>
        <v>8</v>
      </c>
      <c r="AP349">
        <f t="shared" si="149"/>
        <v>0.77777777777777779</v>
      </c>
      <c r="AQ349">
        <f>survey_responses[[#This Row],[Tôi thấy mức thuế tôi phải đóng theo phương án mới là công bằng (người thu nhập như tôi đóng mức này là hợp lý). - HUMAN-TRU2]]</f>
        <v>7</v>
      </c>
      <c r="AR349">
        <f t="shared" si="150"/>
        <v>0.66666666666666663</v>
      </c>
      <c r="AS349">
        <f>step3_validation[[#This Row],[AI_TRU3]]</f>
        <v>6</v>
      </c>
      <c r="AT349">
        <f t="shared" si="151"/>
        <v>0.55555555555555558</v>
      </c>
      <c r="AU349">
        <f>survey_responses[[#This Row],[Tôi tin tưởng số tiền thuế tôi đóng sẽ được Nhà nước sử dụng hiệu quả để cải thiện dịch vụ công (y tế, đường xá...). - HUMAN-TRU3]]</f>
        <v>6</v>
      </c>
      <c r="AV349">
        <f t="shared" si="152"/>
        <v>0.55555555555555558</v>
      </c>
      <c r="AW349">
        <f>step3_validation[[#This Row],[AI_TRU4]]</f>
        <v>9</v>
      </c>
      <c r="AX349">
        <f t="shared" si="153"/>
        <v>0.88888888888888884</v>
      </c>
      <c r="AY349">
        <f>survey_responses[[#This Row],[Tôi thấy Nhà nước đã giải thích rõ ràng, minh bạch về lý do và mục tiêu của việc sửa đổi thuế lần này. - HUMAN-TRU4]]</f>
        <v>6</v>
      </c>
      <c r="AZ349">
        <f t="shared" si="154"/>
        <v>0.55555555555555558</v>
      </c>
      <c r="BA349" s="32">
        <f t="shared" si="155"/>
        <v>0.72222222222222221</v>
      </c>
      <c r="BB349" s="32">
        <f t="shared" si="156"/>
        <v>0.58333333333333337</v>
      </c>
      <c r="BC349" s="7">
        <f t="shared" si="157"/>
        <v>0.79629629629629628</v>
      </c>
      <c r="BD349" s="7">
        <f t="shared" si="158"/>
        <v>0.67592592592592593</v>
      </c>
      <c r="BE349">
        <f>step3_validation[[#This Row],[AI_OUT1]]</f>
        <v>10</v>
      </c>
      <c r="BF349">
        <f t="shared" si="159"/>
        <v>1</v>
      </c>
      <c r="BG349">
        <f>survey_responses[[#This Row],[Sau khi xem xét các quyền lợi và nghĩa vụ, bạn có ủng hộ và tuân thủ chính sách mới hiện nay? - HUMAN-OUT1]]</f>
        <v>7</v>
      </c>
      <c r="BH349">
        <f t="shared" si="160"/>
        <v>0.66666666666666663</v>
      </c>
      <c r="BI349" s="32">
        <f t="shared" si="161"/>
        <v>3</v>
      </c>
    </row>
    <row r="350" spans="1:61" x14ac:dyDescent="0.45">
      <c r="A350" s="30">
        <f>step3_validation[[#This Row],[Persona_ID]]</f>
        <v>349</v>
      </c>
      <c r="B350" s="31">
        <f>step3_validation[[#This Row],[Used_Seed]]</f>
        <v>2339</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20.35320858682794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f t="shared" si="135"/>
        <v>0.66666666666666663</v>
      </c>
      <c r="S350">
        <f>survey_responses[[#This Row],[Tôi tin rằng với các quy định quản lý thuế hiện nay, hành vi gian lận hoặc trốn thuế sẽ dễ dàng bị phát hiện và xử lý nghiêm. - HUMAN-ENF1]]</f>
        <v>4</v>
      </c>
      <c r="T350">
        <f t="shared" si="136"/>
        <v>0.33333333333333331</v>
      </c>
      <c r="U350">
        <f>step3_validation[[#This Row],[AI_ENF2]]</f>
        <v>8</v>
      </c>
      <c r="V350">
        <f t="shared" si="137"/>
        <v>0.77777777777777779</v>
      </c>
      <c r="W350">
        <f>survey_responses[[#This Row],[Tôi tin rằng Nhà nước, cơ quan thuế có đủ khả năng và công nghệ để phát hiện, xử lý nghiêm các hành vi trốn thuế. - HUMAN-ENF2]]</f>
        <v>4</v>
      </c>
      <c r="X350">
        <f t="shared" si="138"/>
        <v>0.33333333333333331</v>
      </c>
      <c r="Y350" s="32">
        <f t="shared" si="139"/>
        <v>0.72222222222222221</v>
      </c>
      <c r="Z350" s="32">
        <f t="shared" si="140"/>
        <v>0.33333333333333331</v>
      </c>
      <c r="AA350">
        <f>step3_validation[[#This Row],[AI_FAC1]]</f>
        <v>6</v>
      </c>
      <c r="AB350">
        <f t="shared" si="141"/>
        <v>0.55555555555555558</v>
      </c>
      <c r="AC350">
        <f>survey_responses[[#This Row],[Các thủ tục khai báo thuế VÀ/HOẶC quy trình làm việc với cơ quan thuế đơn giản, tiện lợi, nhanh chóng hơn so với trước đây. - HUMAN-FAC1]]</f>
        <v>5</v>
      </c>
      <c r="AD350">
        <f t="shared" si="142"/>
        <v>0.44444444444444442</v>
      </c>
      <c r="AE350">
        <f>step3_validation[[#This Row],[AI_FAC2]]</f>
        <v>9</v>
      </c>
      <c r="AF350">
        <f t="shared" si="143"/>
        <v>0.88888888888888884</v>
      </c>
      <c r="AG350">
        <f>survey_responses[[#This Row],[So với trước đây, tôi thấy cách tính thuế và các bậc thuế trong phương án mới đơn giản, dễ hiểu và dễ thực hiện hơn. - HUMAN-FAC2]]</f>
        <v>7</v>
      </c>
      <c r="AH350">
        <f t="shared" si="144"/>
        <v>0.66666666666666663</v>
      </c>
      <c r="AI350" s="32">
        <f t="shared" si="145"/>
        <v>0.72222222222222221</v>
      </c>
      <c r="AJ350" s="32">
        <f t="shared" si="146"/>
        <v>0.55555555555555558</v>
      </c>
      <c r="AK350">
        <f>step3_validation[[#This Row],[AI_TRU1]]</f>
        <v>7</v>
      </c>
      <c r="AL350">
        <f t="shared" si="147"/>
        <v>0.66666666666666663</v>
      </c>
      <c r="AM350">
        <f>survey_responses[[#This Row],[Tôi tin rằng Nhà nước, cơ quan thuế sẽ thực thi chính sách mới một cách khách quan, công tâm và đối xử bình đẳng với mọi người nộp thuế.  - HUMAN-TRU1]]</f>
        <v>5</v>
      </c>
      <c r="AN350">
        <f t="shared" si="148"/>
        <v>0.44444444444444442</v>
      </c>
      <c r="AO350">
        <f>step3_validation[[#This Row],[AI_TRU2]]</f>
        <v>8</v>
      </c>
      <c r="AP350">
        <f t="shared" si="149"/>
        <v>0.77777777777777779</v>
      </c>
      <c r="AQ350">
        <f>survey_responses[[#This Row],[Tôi thấy mức thuế tôi phải đóng theo phương án mới là công bằng (người thu nhập như tôi đóng mức này là hợp lý). - HUMAN-TRU2]]</f>
        <v>6</v>
      </c>
      <c r="AR350">
        <f t="shared" si="150"/>
        <v>0.55555555555555558</v>
      </c>
      <c r="AS350">
        <f>step3_validation[[#This Row],[AI_TRU3]]</f>
        <v>6</v>
      </c>
      <c r="AT350">
        <f t="shared" si="151"/>
        <v>0.55555555555555558</v>
      </c>
      <c r="AU350">
        <f>survey_responses[[#This Row],[Tôi tin tưởng số tiền thuế tôi đóng sẽ được Nhà nước sử dụng hiệu quả để cải thiện dịch vụ công (y tế, đường xá...). - HUMAN-TRU3]]</f>
        <v>6</v>
      </c>
      <c r="AV350">
        <f t="shared" si="152"/>
        <v>0.55555555555555558</v>
      </c>
      <c r="AW350">
        <f>step3_validation[[#This Row],[AI_TRU4]]</f>
        <v>7</v>
      </c>
      <c r="AX350">
        <f t="shared" si="153"/>
        <v>0.66666666666666663</v>
      </c>
      <c r="AY350">
        <f>survey_responses[[#This Row],[Tôi thấy Nhà nước đã giải thích rõ ràng, minh bạch về lý do và mục tiêu của việc sửa đổi thuế lần này. - HUMAN-TRU4]]</f>
        <v>6</v>
      </c>
      <c r="AZ350">
        <f t="shared" si="154"/>
        <v>0.55555555555555558</v>
      </c>
      <c r="BA350" s="32">
        <f t="shared" si="155"/>
        <v>0.66666666666666663</v>
      </c>
      <c r="BB350" s="32">
        <f t="shared" si="156"/>
        <v>0.52777777777777779</v>
      </c>
      <c r="BC350" s="7">
        <f t="shared" si="157"/>
        <v>0.70370370370370372</v>
      </c>
      <c r="BD350" s="7">
        <f t="shared" si="158"/>
        <v>0.47222222222222215</v>
      </c>
      <c r="BE350">
        <f>step3_validation[[#This Row],[AI_OUT1]]</f>
        <v>8</v>
      </c>
      <c r="BF350">
        <f t="shared" si="159"/>
        <v>0.77777777777777779</v>
      </c>
      <c r="BG350">
        <f>survey_responses[[#This Row],[Sau khi xem xét các quyền lợi và nghĩa vụ, bạn có ủng hộ và tuân thủ chính sách mới hiện nay? - HUMAN-OUT1]]</f>
        <v>6</v>
      </c>
      <c r="BH350">
        <f t="shared" si="160"/>
        <v>0.55555555555555558</v>
      </c>
      <c r="BI350" s="32">
        <f t="shared" si="161"/>
        <v>2</v>
      </c>
    </row>
    <row r="351" spans="1:61" x14ac:dyDescent="0.45">
      <c r="A351" s="30">
        <f>step3_validation[[#This Row],[Persona_ID]]</f>
        <v>350</v>
      </c>
      <c r="B351" s="31">
        <f>step3_validation[[#This Row],[Used_Seed]]</f>
        <v>2340</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23.294302963266411</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f t="shared" si="135"/>
        <v>0.66666666666666663</v>
      </c>
      <c r="S351">
        <f>survey_responses[[#This Row],[Tôi tin rằng với các quy định quản lý thuế hiện nay, hành vi gian lận hoặc trốn thuế sẽ dễ dàng bị phát hiện và xử lý nghiêm. - HUMAN-ENF1]]</f>
        <v>7</v>
      </c>
      <c r="T351">
        <f t="shared" si="136"/>
        <v>0.66666666666666663</v>
      </c>
      <c r="U351">
        <f>step3_validation[[#This Row],[AI_ENF2]]</f>
        <v>6</v>
      </c>
      <c r="V351">
        <f t="shared" si="137"/>
        <v>0.55555555555555558</v>
      </c>
      <c r="W351">
        <f>survey_responses[[#This Row],[Tôi tin rằng Nhà nước, cơ quan thuế có đủ khả năng và công nghệ để phát hiện, xử lý nghiêm các hành vi trốn thuế. - HUMAN-ENF2]]</f>
        <v>7</v>
      </c>
      <c r="X351">
        <f t="shared" si="138"/>
        <v>0.66666666666666663</v>
      </c>
      <c r="Y351" s="32">
        <f t="shared" si="139"/>
        <v>0.61111111111111116</v>
      </c>
      <c r="Z351" s="32">
        <f t="shared" si="140"/>
        <v>0.66666666666666663</v>
      </c>
      <c r="AA351">
        <f>step3_validation[[#This Row],[AI_FAC1]]</f>
        <v>8</v>
      </c>
      <c r="AB351">
        <f t="shared" si="141"/>
        <v>0.77777777777777779</v>
      </c>
      <c r="AC351">
        <f>survey_responses[[#This Row],[Các thủ tục khai báo thuế VÀ/HOẶC quy trình làm việc với cơ quan thuế đơn giản, tiện lợi, nhanh chóng hơn so với trước đây. - HUMAN-FAC1]]</f>
        <v>8</v>
      </c>
      <c r="AD351">
        <f t="shared" si="142"/>
        <v>0.77777777777777779</v>
      </c>
      <c r="AE351">
        <f>step3_validation[[#This Row],[AI_FAC2]]</f>
        <v>9</v>
      </c>
      <c r="AF351">
        <f t="shared" si="143"/>
        <v>0.88888888888888884</v>
      </c>
      <c r="AG351">
        <f>survey_responses[[#This Row],[So với trước đây, tôi thấy cách tính thuế và các bậc thuế trong phương án mới đơn giản, dễ hiểu và dễ thực hiện hơn. - HUMAN-FAC2]]</f>
        <v>8</v>
      </c>
      <c r="AH351">
        <f t="shared" si="144"/>
        <v>0.77777777777777779</v>
      </c>
      <c r="AI351" s="32">
        <f t="shared" si="145"/>
        <v>0.83333333333333326</v>
      </c>
      <c r="AJ351" s="32">
        <f t="shared" si="146"/>
        <v>0.77777777777777779</v>
      </c>
      <c r="AK351">
        <f>step3_validation[[#This Row],[AI_TRU1]]</f>
        <v>7</v>
      </c>
      <c r="AL351">
        <f t="shared" si="147"/>
        <v>0.66666666666666663</v>
      </c>
      <c r="AM351">
        <f>survey_responses[[#This Row],[Tôi tin rằng Nhà nước, cơ quan thuế sẽ thực thi chính sách mới một cách khách quan, công tâm và đối xử bình đẳng với mọi người nộp thuế.  - HUMAN-TRU1]]</f>
        <v>7</v>
      </c>
      <c r="AN351">
        <f t="shared" si="148"/>
        <v>0.66666666666666663</v>
      </c>
      <c r="AO351">
        <f>step3_validation[[#This Row],[AI_TRU2]]</f>
        <v>8</v>
      </c>
      <c r="AP351">
        <f t="shared" si="149"/>
        <v>0.77777777777777779</v>
      </c>
      <c r="AQ351">
        <f>survey_responses[[#This Row],[Tôi thấy mức thuế tôi phải đóng theo phương án mới là công bằng (người thu nhập như tôi đóng mức này là hợp lý). - HUMAN-TRU2]]</f>
        <v>7</v>
      </c>
      <c r="AR351">
        <f t="shared" si="150"/>
        <v>0.66666666666666663</v>
      </c>
      <c r="AS351">
        <f>step3_validation[[#This Row],[AI_TRU3]]</f>
        <v>7</v>
      </c>
      <c r="AT351">
        <f t="shared" si="151"/>
        <v>0.66666666666666663</v>
      </c>
      <c r="AU351">
        <f>survey_responses[[#This Row],[Tôi tin tưởng số tiền thuế tôi đóng sẽ được Nhà nước sử dụng hiệu quả để cải thiện dịch vụ công (y tế, đường xá...). - HUMAN-TRU3]]</f>
        <v>8</v>
      </c>
      <c r="AV351">
        <f t="shared" si="152"/>
        <v>0.77777777777777779</v>
      </c>
      <c r="AW351">
        <f>step3_validation[[#This Row],[AI_TRU4]]</f>
        <v>8</v>
      </c>
      <c r="AX351">
        <f t="shared" si="153"/>
        <v>0.77777777777777779</v>
      </c>
      <c r="AY351">
        <f>survey_responses[[#This Row],[Tôi thấy Nhà nước đã giải thích rõ ràng, minh bạch về lý do và mục tiêu của việc sửa đổi thuế lần này. - HUMAN-TRU4]]</f>
        <v>7</v>
      </c>
      <c r="AZ351">
        <f t="shared" si="154"/>
        <v>0.66666666666666663</v>
      </c>
      <c r="BA351" s="32">
        <f t="shared" si="155"/>
        <v>0.72222222222222221</v>
      </c>
      <c r="BB351" s="32">
        <f t="shared" si="156"/>
        <v>0.69444444444444442</v>
      </c>
      <c r="BC351" s="7">
        <f t="shared" si="157"/>
        <v>0.72222222222222221</v>
      </c>
      <c r="BD351" s="7">
        <f t="shared" si="158"/>
        <v>0.71296296296296291</v>
      </c>
      <c r="BE351">
        <f>step3_validation[[#This Row],[AI_OUT1]]</f>
        <v>9</v>
      </c>
      <c r="BF351">
        <f t="shared" si="159"/>
        <v>0.88888888888888884</v>
      </c>
      <c r="BG351">
        <f>survey_responses[[#This Row],[Sau khi xem xét các quyền lợi và nghĩa vụ, bạn có ủng hộ và tuân thủ chính sách mới hiện nay? - HUMAN-OUT1]]</f>
        <v>8</v>
      </c>
      <c r="BH351">
        <f t="shared" si="160"/>
        <v>0.77777777777777779</v>
      </c>
      <c r="BI351" s="32">
        <f t="shared" si="161"/>
        <v>1</v>
      </c>
    </row>
    <row r="352" spans="1:61" x14ac:dyDescent="0.45">
      <c r="A352" s="30">
        <f>step3_validation[[#This Row],[Persona_ID]]</f>
        <v>351</v>
      </c>
      <c r="B352" s="31">
        <f>step3_validation[[#This Row],[Used_Seed]]</f>
        <v>2341</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41.23280230271429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f t="shared" si="135"/>
        <v>0.66666666666666663</v>
      </c>
      <c r="S352">
        <f>survey_responses[[#This Row],[Tôi tin rằng với các quy định quản lý thuế hiện nay, hành vi gian lận hoặc trốn thuế sẽ dễ dàng bị phát hiện và xử lý nghiêm. - HUMAN-ENF1]]</f>
        <v>8</v>
      </c>
      <c r="T352">
        <f t="shared" si="136"/>
        <v>0.77777777777777779</v>
      </c>
      <c r="U352">
        <f>step3_validation[[#This Row],[AI_ENF2]]</f>
        <v>8</v>
      </c>
      <c r="V352">
        <f t="shared" si="137"/>
        <v>0.77777777777777779</v>
      </c>
      <c r="W352">
        <f>survey_responses[[#This Row],[Tôi tin rằng Nhà nước, cơ quan thuế có đủ khả năng và công nghệ để phát hiện, xử lý nghiêm các hành vi trốn thuế. - HUMAN-ENF2]]</f>
        <v>8</v>
      </c>
      <c r="X352">
        <f t="shared" si="138"/>
        <v>0.77777777777777779</v>
      </c>
      <c r="Y352" s="32">
        <f t="shared" si="139"/>
        <v>0.72222222222222221</v>
      </c>
      <c r="Z352" s="32">
        <f t="shared" si="140"/>
        <v>0.77777777777777779</v>
      </c>
      <c r="AA352">
        <f>step3_validation[[#This Row],[AI_FAC1]]</f>
        <v>7</v>
      </c>
      <c r="AB352">
        <f t="shared" si="141"/>
        <v>0.66666666666666663</v>
      </c>
      <c r="AC352">
        <f>survey_responses[[#This Row],[Các thủ tục khai báo thuế VÀ/HOẶC quy trình làm việc với cơ quan thuế đơn giản, tiện lợi, nhanh chóng hơn so với trước đây. - HUMAN-FAC1]]</f>
        <v>6</v>
      </c>
      <c r="AD352">
        <f t="shared" si="142"/>
        <v>0.55555555555555558</v>
      </c>
      <c r="AE352">
        <f>step3_validation[[#This Row],[AI_FAC2]]</f>
        <v>9</v>
      </c>
      <c r="AF352">
        <f t="shared" si="143"/>
        <v>0.88888888888888884</v>
      </c>
      <c r="AG352">
        <f>survey_responses[[#This Row],[So với trước đây, tôi thấy cách tính thuế và các bậc thuế trong phương án mới đơn giản, dễ hiểu và dễ thực hiện hơn. - HUMAN-FAC2]]</f>
        <v>7</v>
      </c>
      <c r="AH352">
        <f t="shared" si="144"/>
        <v>0.66666666666666663</v>
      </c>
      <c r="AI352" s="32">
        <f t="shared" si="145"/>
        <v>0.77777777777777768</v>
      </c>
      <c r="AJ352" s="32">
        <f t="shared" si="146"/>
        <v>0.61111111111111116</v>
      </c>
      <c r="AK352">
        <f>step3_validation[[#This Row],[AI_TRU1]]</f>
        <v>8</v>
      </c>
      <c r="AL352">
        <f t="shared" si="147"/>
        <v>0.77777777777777779</v>
      </c>
      <c r="AM352">
        <f>survey_responses[[#This Row],[Tôi tin rằng Nhà nước, cơ quan thuế sẽ thực thi chính sách mới một cách khách quan, công tâm và đối xử bình đẳng với mọi người nộp thuế.  - HUMAN-TRU1]]</f>
        <v>6</v>
      </c>
      <c r="AN352">
        <f t="shared" si="148"/>
        <v>0.55555555555555558</v>
      </c>
      <c r="AO352">
        <f>step3_validation[[#This Row],[AI_TRU2]]</f>
        <v>9</v>
      </c>
      <c r="AP352">
        <f t="shared" si="149"/>
        <v>0.88888888888888884</v>
      </c>
      <c r="AQ352">
        <f>survey_responses[[#This Row],[Tôi thấy mức thuế tôi phải đóng theo phương án mới là công bằng (người thu nhập như tôi đóng mức này là hợp lý). - HUMAN-TRU2]]</f>
        <v>7</v>
      </c>
      <c r="AR352">
        <f t="shared" si="150"/>
        <v>0.66666666666666663</v>
      </c>
      <c r="AS352">
        <f>step3_validation[[#This Row],[AI_TRU3]]</f>
        <v>7</v>
      </c>
      <c r="AT352">
        <f t="shared" si="151"/>
        <v>0.66666666666666663</v>
      </c>
      <c r="AU352">
        <f>survey_responses[[#This Row],[Tôi tin tưởng số tiền thuế tôi đóng sẽ được Nhà nước sử dụng hiệu quả để cải thiện dịch vụ công (y tế, đường xá...). - HUMAN-TRU3]]</f>
        <v>5</v>
      </c>
      <c r="AV352">
        <f t="shared" si="152"/>
        <v>0.44444444444444442</v>
      </c>
      <c r="AW352">
        <f>step3_validation[[#This Row],[AI_TRU4]]</f>
        <v>8</v>
      </c>
      <c r="AX352">
        <f t="shared" si="153"/>
        <v>0.77777777777777779</v>
      </c>
      <c r="AY352">
        <f>survey_responses[[#This Row],[Tôi thấy Nhà nước đã giải thích rõ ràng, minh bạch về lý do và mục tiêu của việc sửa đổi thuế lần này. - HUMAN-TRU4]]</f>
        <v>7</v>
      </c>
      <c r="AZ352">
        <f t="shared" si="154"/>
        <v>0.66666666666666663</v>
      </c>
      <c r="BA352" s="32">
        <f t="shared" si="155"/>
        <v>0.77777777777777768</v>
      </c>
      <c r="BB352" s="32">
        <f t="shared" si="156"/>
        <v>0.58333333333333337</v>
      </c>
      <c r="BC352" s="7">
        <f t="shared" si="157"/>
        <v>0.75925925925925919</v>
      </c>
      <c r="BD352" s="7">
        <f t="shared" si="158"/>
        <v>0.65740740740740744</v>
      </c>
      <c r="BE352">
        <f>step3_validation[[#This Row],[AI_OUT1]]</f>
        <v>9</v>
      </c>
      <c r="BF352">
        <f t="shared" si="159"/>
        <v>0.88888888888888884</v>
      </c>
      <c r="BG352">
        <f>survey_responses[[#This Row],[Sau khi xem xét các quyền lợi và nghĩa vụ, bạn có ủng hộ và tuân thủ chính sách mới hiện nay? - HUMAN-OUT1]]</f>
        <v>7</v>
      </c>
      <c r="BH352">
        <f t="shared" si="160"/>
        <v>0.66666666666666663</v>
      </c>
      <c r="BI352" s="32">
        <f t="shared" si="161"/>
        <v>2</v>
      </c>
    </row>
    <row r="353" spans="1:61" x14ac:dyDescent="0.45">
      <c r="A353" s="30">
        <f>step3_validation[[#This Row],[Persona_ID]]</f>
        <v>352</v>
      </c>
      <c r="B353" s="31">
        <f>step3_validation[[#This Row],[Used_Seed]]</f>
        <v>2342</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29.307246409588465</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9</v>
      </c>
      <c r="R353">
        <f t="shared" si="135"/>
        <v>0.88888888888888884</v>
      </c>
      <c r="S353">
        <f>survey_responses[[#This Row],[Tôi tin rằng với các quy định quản lý thuế hiện nay, hành vi gian lận hoặc trốn thuế sẽ dễ dàng bị phát hiện và xử lý nghiêm. - HUMAN-ENF1]]</f>
        <v>6</v>
      </c>
      <c r="T353">
        <f t="shared" si="136"/>
        <v>0.55555555555555558</v>
      </c>
      <c r="U353">
        <f>step3_validation[[#This Row],[AI_ENF2]]</f>
        <v>8</v>
      </c>
      <c r="V353">
        <f t="shared" si="137"/>
        <v>0.77777777777777779</v>
      </c>
      <c r="W353">
        <f>survey_responses[[#This Row],[Tôi tin rằng Nhà nước, cơ quan thuế có đủ khả năng và công nghệ để phát hiện, xử lý nghiêm các hành vi trốn thuế. - HUMAN-ENF2]]</f>
        <v>6</v>
      </c>
      <c r="X353">
        <f t="shared" si="138"/>
        <v>0.55555555555555558</v>
      </c>
      <c r="Y353" s="32">
        <f t="shared" si="139"/>
        <v>0.83333333333333326</v>
      </c>
      <c r="Z353" s="32">
        <f t="shared" si="140"/>
        <v>0.55555555555555558</v>
      </c>
      <c r="AA353">
        <f>step3_validation[[#This Row],[AI_FAC1]]</f>
        <v>9</v>
      </c>
      <c r="AB353">
        <f t="shared" si="141"/>
        <v>0.88888888888888884</v>
      </c>
      <c r="AC353">
        <f>survey_responses[[#This Row],[Các thủ tục khai báo thuế VÀ/HOẶC quy trình làm việc với cơ quan thuế đơn giản, tiện lợi, nhanh chóng hơn so với trước đây. - HUMAN-FAC1]]</f>
        <v>8</v>
      </c>
      <c r="AD353">
        <f t="shared" si="142"/>
        <v>0.77777777777777779</v>
      </c>
      <c r="AE353">
        <f>step3_validation[[#This Row],[AI_FAC2]]</f>
        <v>8</v>
      </c>
      <c r="AF353">
        <f t="shared" si="143"/>
        <v>0.77777777777777779</v>
      </c>
      <c r="AG353">
        <f>survey_responses[[#This Row],[So với trước đây, tôi thấy cách tính thuế và các bậc thuế trong phương án mới đơn giản, dễ hiểu và dễ thực hiện hơn. - HUMAN-FAC2]]</f>
        <v>7</v>
      </c>
      <c r="AH353">
        <f t="shared" si="144"/>
        <v>0.66666666666666663</v>
      </c>
      <c r="AI353" s="32">
        <f t="shared" si="145"/>
        <v>0.83333333333333326</v>
      </c>
      <c r="AJ353" s="32">
        <f t="shared" si="146"/>
        <v>0.72222222222222221</v>
      </c>
      <c r="AK353">
        <f>step3_validation[[#This Row],[AI_TRU1]]</f>
        <v>9</v>
      </c>
      <c r="AL353">
        <f t="shared" si="147"/>
        <v>0.88888888888888884</v>
      </c>
      <c r="AM353">
        <f>survey_responses[[#This Row],[Tôi tin rằng Nhà nước, cơ quan thuế sẽ thực thi chính sách mới một cách khách quan, công tâm và đối xử bình đẳng với mọi người nộp thuế.  - HUMAN-TRU1]]</f>
        <v>7</v>
      </c>
      <c r="AN353">
        <f t="shared" si="148"/>
        <v>0.66666666666666663</v>
      </c>
      <c r="AO353">
        <f>step3_validation[[#This Row],[AI_TRU2]]</f>
        <v>8</v>
      </c>
      <c r="AP353">
        <f t="shared" si="149"/>
        <v>0.77777777777777779</v>
      </c>
      <c r="AQ353">
        <f>survey_responses[[#This Row],[Tôi thấy mức thuế tôi phải đóng theo phương án mới là công bằng (người thu nhập như tôi đóng mức này là hợp lý). - HUMAN-TRU2]]</f>
        <v>7</v>
      </c>
      <c r="AR353">
        <f t="shared" si="150"/>
        <v>0.66666666666666663</v>
      </c>
      <c r="AS353">
        <f>step3_validation[[#This Row],[AI_TRU3]]</f>
        <v>9</v>
      </c>
      <c r="AT353">
        <f t="shared" si="151"/>
        <v>0.88888888888888884</v>
      </c>
      <c r="AU353">
        <f>survey_responses[[#This Row],[Tôi tin tưởng số tiền thuế tôi đóng sẽ được Nhà nước sử dụng hiệu quả để cải thiện dịch vụ công (y tế, đường xá...). - HUMAN-TRU3]]</f>
        <v>5</v>
      </c>
      <c r="AV353">
        <f t="shared" si="152"/>
        <v>0.44444444444444442</v>
      </c>
      <c r="AW353">
        <f>step3_validation[[#This Row],[AI_TRU4]]</f>
        <v>8</v>
      </c>
      <c r="AX353">
        <f t="shared" si="153"/>
        <v>0.77777777777777779</v>
      </c>
      <c r="AY353">
        <f>survey_responses[[#This Row],[Tôi thấy Nhà nước đã giải thích rõ ràng, minh bạch về lý do và mục tiêu của việc sửa đổi thuế lần này. - HUMAN-TRU4]]</f>
        <v>6</v>
      </c>
      <c r="AZ353">
        <f t="shared" si="154"/>
        <v>0.55555555555555558</v>
      </c>
      <c r="BA353" s="32">
        <f t="shared" si="155"/>
        <v>0.83333333333333326</v>
      </c>
      <c r="BB353" s="32">
        <f t="shared" si="156"/>
        <v>0.58333333333333326</v>
      </c>
      <c r="BC353" s="7">
        <f t="shared" si="157"/>
        <v>0.83333333333333337</v>
      </c>
      <c r="BD353" s="7">
        <f t="shared" si="158"/>
        <v>0.62037037037037035</v>
      </c>
      <c r="BE353">
        <f>step3_validation[[#This Row],[AI_OUT1]]</f>
        <v>7</v>
      </c>
      <c r="BF353">
        <f t="shared" si="159"/>
        <v>0.66666666666666663</v>
      </c>
      <c r="BG353">
        <f>survey_responses[[#This Row],[Sau khi xem xét các quyền lợi và nghĩa vụ, bạn có ủng hộ và tuân thủ chính sách mới hiện nay? - HUMAN-OUT1]]</f>
        <v>7</v>
      </c>
      <c r="BH353">
        <f t="shared" si="160"/>
        <v>0.66666666666666663</v>
      </c>
      <c r="BI353" s="32">
        <f t="shared" si="161"/>
        <v>0</v>
      </c>
    </row>
    <row r="354" spans="1:61" x14ac:dyDescent="0.45">
      <c r="A354" s="30">
        <f>step3_validation[[#This Row],[Persona_ID]]</f>
        <v>353</v>
      </c>
      <c r="B354" s="31">
        <f>step3_validation[[#This Row],[Used_Seed]]</f>
        <v>2343</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84.90412737225077</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5</v>
      </c>
      <c r="R354">
        <f t="shared" si="135"/>
        <v>0.44444444444444442</v>
      </c>
      <c r="S354">
        <f>survey_responses[[#This Row],[Tôi tin rằng với các quy định quản lý thuế hiện nay, hành vi gian lận hoặc trốn thuế sẽ dễ dàng bị phát hiện và xử lý nghiêm. - HUMAN-ENF1]]</f>
        <v>7</v>
      </c>
      <c r="T354">
        <f t="shared" si="136"/>
        <v>0.66666666666666663</v>
      </c>
      <c r="U354">
        <f>step3_validation[[#This Row],[AI_ENF2]]</f>
        <v>6</v>
      </c>
      <c r="V354">
        <f t="shared" si="137"/>
        <v>0.55555555555555558</v>
      </c>
      <c r="W354">
        <f>survey_responses[[#This Row],[Tôi tin rằng Nhà nước, cơ quan thuế có đủ khả năng và công nghệ để phát hiện, xử lý nghiêm các hành vi trốn thuế. - HUMAN-ENF2]]</f>
        <v>7</v>
      </c>
      <c r="X354">
        <f t="shared" si="138"/>
        <v>0.66666666666666663</v>
      </c>
      <c r="Y354" s="32">
        <f t="shared" si="139"/>
        <v>0.5</v>
      </c>
      <c r="Z354" s="32">
        <f t="shared" si="140"/>
        <v>0.66666666666666663</v>
      </c>
      <c r="AA354">
        <f>step3_validation[[#This Row],[AI_FAC1]]</f>
        <v>8</v>
      </c>
      <c r="AB354">
        <f t="shared" si="141"/>
        <v>0.77777777777777779</v>
      </c>
      <c r="AC354">
        <f>survey_responses[[#This Row],[Các thủ tục khai báo thuế VÀ/HOẶC quy trình làm việc với cơ quan thuế đơn giản, tiện lợi, nhanh chóng hơn so với trước đây. - HUMAN-FAC1]]</f>
        <v>8</v>
      </c>
      <c r="AD354">
        <f t="shared" si="142"/>
        <v>0.77777777777777779</v>
      </c>
      <c r="AE354">
        <f>step3_validation[[#This Row],[AI_FAC2]]</f>
        <v>9</v>
      </c>
      <c r="AF354">
        <f t="shared" si="143"/>
        <v>0.88888888888888884</v>
      </c>
      <c r="AG354">
        <f>survey_responses[[#This Row],[So với trước đây, tôi thấy cách tính thuế và các bậc thuế trong phương án mới đơn giản, dễ hiểu và dễ thực hiện hơn. - HUMAN-FAC2]]</f>
        <v>8</v>
      </c>
      <c r="AH354">
        <f t="shared" si="144"/>
        <v>0.77777777777777779</v>
      </c>
      <c r="AI354" s="32">
        <f t="shared" si="145"/>
        <v>0.83333333333333326</v>
      </c>
      <c r="AJ354" s="32">
        <f t="shared" si="146"/>
        <v>0.77777777777777779</v>
      </c>
      <c r="AK354">
        <f>step3_validation[[#This Row],[AI_TRU1]]</f>
        <v>8</v>
      </c>
      <c r="AL354">
        <f t="shared" si="147"/>
        <v>0.77777777777777779</v>
      </c>
      <c r="AM354">
        <f>survey_responses[[#This Row],[Tôi tin rằng Nhà nước, cơ quan thuế sẽ thực thi chính sách mới một cách khách quan, công tâm và đối xử bình đẳng với mọi người nộp thuế.  - HUMAN-TRU1]]</f>
        <v>6</v>
      </c>
      <c r="AN354">
        <f t="shared" si="148"/>
        <v>0.55555555555555558</v>
      </c>
      <c r="AO354">
        <f>step3_validation[[#This Row],[AI_TRU2]]</f>
        <v>7</v>
      </c>
      <c r="AP354">
        <f t="shared" si="149"/>
        <v>0.66666666666666663</v>
      </c>
      <c r="AQ354">
        <f>survey_responses[[#This Row],[Tôi thấy mức thuế tôi phải đóng theo phương án mới là công bằng (người thu nhập như tôi đóng mức này là hợp lý). - HUMAN-TRU2]]</f>
        <v>7</v>
      </c>
      <c r="AR354">
        <f t="shared" si="150"/>
        <v>0.66666666666666663</v>
      </c>
      <c r="AS354">
        <f>step3_validation[[#This Row],[AI_TRU3]]</f>
        <v>6</v>
      </c>
      <c r="AT354">
        <f t="shared" si="151"/>
        <v>0.55555555555555558</v>
      </c>
      <c r="AU354">
        <f>survey_responses[[#This Row],[Tôi tin tưởng số tiền thuế tôi đóng sẽ được Nhà nước sử dụng hiệu quả để cải thiện dịch vụ công (y tế, đường xá...). - HUMAN-TRU3]]</f>
        <v>5</v>
      </c>
      <c r="AV354">
        <f t="shared" si="152"/>
        <v>0.44444444444444442</v>
      </c>
      <c r="AW354">
        <f>step3_validation[[#This Row],[AI_TRU4]]</f>
        <v>8</v>
      </c>
      <c r="AX354">
        <f t="shared" si="153"/>
        <v>0.77777777777777779</v>
      </c>
      <c r="AY354">
        <f>survey_responses[[#This Row],[Tôi thấy Nhà nước đã giải thích rõ ràng, minh bạch về lý do và mục tiêu của việc sửa đổi thuế lần này. - HUMAN-TRU4]]</f>
        <v>7</v>
      </c>
      <c r="AZ354">
        <f t="shared" si="154"/>
        <v>0.66666666666666663</v>
      </c>
      <c r="BA354" s="32">
        <f t="shared" si="155"/>
        <v>0.69444444444444442</v>
      </c>
      <c r="BB354" s="32">
        <f t="shared" si="156"/>
        <v>0.58333333333333337</v>
      </c>
      <c r="BC354" s="7">
        <f t="shared" si="157"/>
        <v>0.67592592592592593</v>
      </c>
      <c r="BD354" s="7">
        <f t="shared" si="158"/>
        <v>0.67592592592592593</v>
      </c>
      <c r="BE354">
        <f>step3_validation[[#This Row],[AI_OUT1]]</f>
        <v>9</v>
      </c>
      <c r="BF354">
        <f t="shared" si="159"/>
        <v>0.88888888888888884</v>
      </c>
      <c r="BG354">
        <f>survey_responses[[#This Row],[Sau khi xem xét các quyền lợi và nghĩa vụ, bạn có ủng hộ và tuân thủ chính sách mới hiện nay? - HUMAN-OUT1]]</f>
        <v>7</v>
      </c>
      <c r="BH354">
        <f t="shared" si="160"/>
        <v>0.66666666666666663</v>
      </c>
      <c r="BI354" s="32">
        <f t="shared" si="161"/>
        <v>2</v>
      </c>
    </row>
    <row r="355" spans="1:61" x14ac:dyDescent="0.45">
      <c r="A355" s="30">
        <f>step3_validation[[#This Row],[Persona_ID]]</f>
        <v>354</v>
      </c>
      <c r="B355" s="31">
        <f>step3_validation[[#This Row],[Used_Seed]]</f>
        <v>2344</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15.930593337444501</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9</v>
      </c>
      <c r="R355">
        <f t="shared" si="135"/>
        <v>0.88888888888888884</v>
      </c>
      <c r="S355">
        <f>survey_responses[[#This Row],[Tôi tin rằng với các quy định quản lý thuế hiện nay, hành vi gian lận hoặc trốn thuế sẽ dễ dàng bị phát hiện và xử lý nghiêm. - HUMAN-ENF1]]</f>
        <v>9</v>
      </c>
      <c r="T355">
        <f t="shared" si="136"/>
        <v>0.88888888888888884</v>
      </c>
      <c r="U355">
        <f>step3_validation[[#This Row],[AI_ENF2]]</f>
        <v>8</v>
      </c>
      <c r="V355">
        <f t="shared" si="137"/>
        <v>0.77777777777777779</v>
      </c>
      <c r="W355">
        <f>survey_responses[[#This Row],[Tôi tin rằng Nhà nước, cơ quan thuế có đủ khả năng và công nghệ để phát hiện, xử lý nghiêm các hành vi trốn thuế. - HUMAN-ENF2]]</f>
        <v>9</v>
      </c>
      <c r="X355">
        <f t="shared" si="138"/>
        <v>0.88888888888888884</v>
      </c>
      <c r="Y355" s="32">
        <f t="shared" si="139"/>
        <v>0.83333333333333326</v>
      </c>
      <c r="Z355" s="32">
        <f t="shared" si="140"/>
        <v>0.88888888888888884</v>
      </c>
      <c r="AA355">
        <f>step3_validation[[#This Row],[AI_FAC1]]</f>
        <v>9</v>
      </c>
      <c r="AB355">
        <f t="shared" si="141"/>
        <v>0.88888888888888884</v>
      </c>
      <c r="AC355">
        <f>survey_responses[[#This Row],[Các thủ tục khai báo thuế VÀ/HOẶC quy trình làm việc với cơ quan thuế đơn giản, tiện lợi, nhanh chóng hơn so với trước đây. - HUMAN-FAC1]]</f>
        <v>10</v>
      </c>
      <c r="AD355">
        <f t="shared" si="142"/>
        <v>1</v>
      </c>
      <c r="AE355">
        <f>step3_validation[[#This Row],[AI_FAC2]]</f>
        <v>8</v>
      </c>
      <c r="AF355">
        <f t="shared" si="143"/>
        <v>0.77777777777777779</v>
      </c>
      <c r="AG355">
        <f>survey_responses[[#This Row],[So với trước đây, tôi thấy cách tính thuế và các bậc thuế trong phương án mới đơn giản, dễ hiểu và dễ thực hiện hơn. - HUMAN-FAC2]]</f>
        <v>10</v>
      </c>
      <c r="AH355">
        <f t="shared" si="144"/>
        <v>1</v>
      </c>
      <c r="AI355" s="32">
        <f t="shared" si="145"/>
        <v>0.83333333333333326</v>
      </c>
      <c r="AJ355" s="32">
        <f t="shared" si="146"/>
        <v>1</v>
      </c>
      <c r="AK355">
        <f>step3_validation[[#This Row],[AI_TRU1]]</f>
        <v>9</v>
      </c>
      <c r="AL355">
        <f t="shared" si="147"/>
        <v>0.88888888888888884</v>
      </c>
      <c r="AM355">
        <f>survey_responses[[#This Row],[Tôi tin rằng Nhà nước, cơ quan thuế sẽ thực thi chính sách mới một cách khách quan, công tâm và đối xử bình đẳng với mọi người nộp thuế.  - HUMAN-TRU1]]</f>
        <v>9</v>
      </c>
      <c r="AN355">
        <f t="shared" si="148"/>
        <v>0.88888888888888884</v>
      </c>
      <c r="AO355">
        <f>step3_validation[[#This Row],[AI_TRU2]]</f>
        <v>8</v>
      </c>
      <c r="AP355">
        <f t="shared" si="149"/>
        <v>0.77777777777777779</v>
      </c>
      <c r="AQ355">
        <f>survey_responses[[#This Row],[Tôi thấy mức thuế tôi phải đóng theo phương án mới là công bằng (người thu nhập như tôi đóng mức này là hợp lý). - HUMAN-TRU2]]</f>
        <v>10</v>
      </c>
      <c r="AR355">
        <f t="shared" si="150"/>
        <v>1</v>
      </c>
      <c r="AS355">
        <f>step3_validation[[#This Row],[AI_TRU3]]</f>
        <v>9</v>
      </c>
      <c r="AT355">
        <f t="shared" si="151"/>
        <v>0.88888888888888884</v>
      </c>
      <c r="AU355">
        <f>survey_responses[[#This Row],[Tôi tin tưởng số tiền thuế tôi đóng sẽ được Nhà nước sử dụng hiệu quả để cải thiện dịch vụ công (y tế, đường xá...). - HUMAN-TRU3]]</f>
        <v>8</v>
      </c>
      <c r="AV355">
        <f t="shared" si="152"/>
        <v>0.77777777777777779</v>
      </c>
      <c r="AW355">
        <f>step3_validation[[#This Row],[AI_TRU4]]</f>
        <v>8</v>
      </c>
      <c r="AX355">
        <f t="shared" si="153"/>
        <v>0.77777777777777779</v>
      </c>
      <c r="AY355">
        <f>survey_responses[[#This Row],[Tôi thấy Nhà nước đã giải thích rõ ràng, minh bạch về lý do và mục tiêu của việc sửa đổi thuế lần này. - HUMAN-TRU4]]</f>
        <v>8</v>
      </c>
      <c r="AZ355">
        <f t="shared" si="154"/>
        <v>0.77777777777777779</v>
      </c>
      <c r="BA355" s="32">
        <f t="shared" si="155"/>
        <v>0.83333333333333326</v>
      </c>
      <c r="BB355" s="32">
        <f t="shared" si="156"/>
        <v>0.86111111111111105</v>
      </c>
      <c r="BC355" s="7">
        <f t="shared" si="157"/>
        <v>0.83333333333333337</v>
      </c>
      <c r="BD355" s="7">
        <f t="shared" si="158"/>
        <v>0.91666666666666663</v>
      </c>
      <c r="BE355">
        <f>step3_validation[[#This Row],[AI_OUT1]]</f>
        <v>9</v>
      </c>
      <c r="BF355">
        <f t="shared" si="159"/>
        <v>0.88888888888888884</v>
      </c>
      <c r="BG355">
        <f>survey_responses[[#This Row],[Sau khi xem xét các quyền lợi và nghĩa vụ, bạn có ủng hộ và tuân thủ chính sách mới hiện nay? - HUMAN-OUT1]]</f>
        <v>9</v>
      </c>
      <c r="BH355">
        <f t="shared" si="160"/>
        <v>0.88888888888888884</v>
      </c>
      <c r="BI355" s="32">
        <f t="shared" si="161"/>
        <v>0</v>
      </c>
    </row>
    <row r="356" spans="1:61" x14ac:dyDescent="0.45">
      <c r="A356" s="30">
        <f>step3_validation[[#This Row],[Persona_ID]]</f>
        <v>355</v>
      </c>
      <c r="B356" s="31">
        <f>step3_validation[[#This Row],[Used_Seed]]</f>
        <v>2345</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14.529106801505399</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6</v>
      </c>
      <c r="R356">
        <f t="shared" si="135"/>
        <v>0.55555555555555558</v>
      </c>
      <c r="S356">
        <f>survey_responses[[#This Row],[Tôi tin rằng với các quy định quản lý thuế hiện nay, hành vi gian lận hoặc trốn thuế sẽ dễ dàng bị phát hiện và xử lý nghiêm. - HUMAN-ENF1]]</f>
        <v>7</v>
      </c>
      <c r="T356">
        <f t="shared" si="136"/>
        <v>0.66666666666666663</v>
      </c>
      <c r="U356">
        <f>step3_validation[[#This Row],[AI_ENF2]]</f>
        <v>7</v>
      </c>
      <c r="V356">
        <f t="shared" si="137"/>
        <v>0.66666666666666663</v>
      </c>
      <c r="W356">
        <f>survey_responses[[#This Row],[Tôi tin rằng Nhà nước, cơ quan thuế có đủ khả năng và công nghệ để phát hiện, xử lý nghiêm các hành vi trốn thuế. - HUMAN-ENF2]]</f>
        <v>8</v>
      </c>
      <c r="X356">
        <f t="shared" si="138"/>
        <v>0.77777777777777779</v>
      </c>
      <c r="Y356" s="32">
        <f t="shared" si="139"/>
        <v>0.61111111111111116</v>
      </c>
      <c r="Z356" s="32">
        <f t="shared" si="140"/>
        <v>0.72222222222222221</v>
      </c>
      <c r="AA356">
        <f>step3_validation[[#This Row],[AI_FAC1]]</f>
        <v>8</v>
      </c>
      <c r="AB356">
        <f t="shared" si="141"/>
        <v>0.77777777777777779</v>
      </c>
      <c r="AC356">
        <f>survey_responses[[#This Row],[Các thủ tục khai báo thuế VÀ/HOẶC quy trình làm việc với cơ quan thuế đơn giản, tiện lợi, nhanh chóng hơn so với trước đây. - HUMAN-FAC1]]</f>
        <v>8</v>
      </c>
      <c r="AD356">
        <f t="shared" si="142"/>
        <v>0.77777777777777779</v>
      </c>
      <c r="AE356">
        <f>step3_validation[[#This Row],[AI_FAC2]]</f>
        <v>9</v>
      </c>
      <c r="AF356">
        <f t="shared" si="143"/>
        <v>0.88888888888888884</v>
      </c>
      <c r="AG356">
        <f>survey_responses[[#This Row],[So với trước đây, tôi thấy cách tính thuế và các bậc thuế trong phương án mới đơn giản, dễ hiểu và dễ thực hiện hơn. - HUMAN-FAC2]]</f>
        <v>9</v>
      </c>
      <c r="AH356">
        <f t="shared" si="144"/>
        <v>0.88888888888888884</v>
      </c>
      <c r="AI356" s="32">
        <f t="shared" si="145"/>
        <v>0.83333333333333326</v>
      </c>
      <c r="AJ356" s="32">
        <f t="shared" si="146"/>
        <v>0.83333333333333326</v>
      </c>
      <c r="AK356">
        <f>step3_validation[[#This Row],[AI_TRU1]]</f>
        <v>7</v>
      </c>
      <c r="AL356">
        <f t="shared" si="147"/>
        <v>0.66666666666666663</v>
      </c>
      <c r="AM356">
        <f>survey_responses[[#This Row],[Tôi tin rằng Nhà nước, cơ quan thuế sẽ thực thi chính sách mới một cách khách quan, công tâm và đối xử bình đẳng với mọi người nộp thuế.  - HUMAN-TRU1]]</f>
        <v>8</v>
      </c>
      <c r="AN356">
        <f t="shared" si="148"/>
        <v>0.77777777777777779</v>
      </c>
      <c r="AO356">
        <f>step3_validation[[#This Row],[AI_TRU2]]</f>
        <v>9</v>
      </c>
      <c r="AP356">
        <f t="shared" si="149"/>
        <v>0.88888888888888884</v>
      </c>
      <c r="AQ356">
        <f>survey_responses[[#This Row],[Tôi thấy mức thuế tôi phải đóng theo phương án mới là công bằng (người thu nhập như tôi đóng mức này là hợp lý). - HUMAN-TRU2]]</f>
        <v>10</v>
      </c>
      <c r="AR356">
        <f t="shared" si="150"/>
        <v>1</v>
      </c>
      <c r="AS356">
        <f>step3_validation[[#This Row],[AI_TRU3]]</f>
        <v>8</v>
      </c>
      <c r="AT356">
        <f t="shared" si="151"/>
        <v>0.77777777777777779</v>
      </c>
      <c r="AU356">
        <f>survey_responses[[#This Row],[Tôi tin tưởng số tiền thuế tôi đóng sẽ được Nhà nước sử dụng hiệu quả để cải thiện dịch vụ công (y tế, đường xá...). - HUMAN-TRU3]]</f>
        <v>8</v>
      </c>
      <c r="AV356">
        <f t="shared" si="152"/>
        <v>0.77777777777777779</v>
      </c>
      <c r="AW356">
        <f>step3_validation[[#This Row],[AI_TRU4]]</f>
        <v>9</v>
      </c>
      <c r="AX356">
        <f t="shared" si="153"/>
        <v>0.88888888888888884</v>
      </c>
      <c r="AY356">
        <f>survey_responses[[#This Row],[Tôi thấy Nhà nước đã giải thích rõ ràng, minh bạch về lý do và mục tiêu của việc sửa đổi thuế lần này. - HUMAN-TRU4]]</f>
        <v>8</v>
      </c>
      <c r="AZ356">
        <f t="shared" si="154"/>
        <v>0.77777777777777779</v>
      </c>
      <c r="BA356" s="32">
        <f t="shared" si="155"/>
        <v>0.80555555555555547</v>
      </c>
      <c r="BB356" s="32">
        <f t="shared" si="156"/>
        <v>0.83333333333333326</v>
      </c>
      <c r="BC356" s="7">
        <f t="shared" si="157"/>
        <v>0.75</v>
      </c>
      <c r="BD356" s="7">
        <f t="shared" si="158"/>
        <v>0.79629629629629617</v>
      </c>
      <c r="BE356">
        <f>step3_validation[[#This Row],[AI_OUT1]]</f>
        <v>10</v>
      </c>
      <c r="BF356">
        <f t="shared" si="159"/>
        <v>1</v>
      </c>
      <c r="BG356">
        <f>survey_responses[[#This Row],[Sau khi xem xét các quyền lợi và nghĩa vụ, bạn có ủng hộ và tuân thủ chính sách mới hiện nay? - HUMAN-OUT1]]</f>
        <v>9</v>
      </c>
      <c r="BH356">
        <f t="shared" si="160"/>
        <v>0.88888888888888884</v>
      </c>
      <c r="BI356" s="32">
        <f t="shared" si="161"/>
        <v>1</v>
      </c>
    </row>
    <row r="357" spans="1:61" x14ac:dyDescent="0.45">
      <c r="A357" s="30">
        <f>step3_validation[[#This Row],[Persona_ID]]</f>
        <v>356</v>
      </c>
      <c r="B357" s="31">
        <f>step3_validation[[#This Row],[Used_Seed]]</f>
        <v>2346</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13.29466550493764</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f t="shared" si="135"/>
        <v>0.66666666666666663</v>
      </c>
      <c r="S357">
        <f>survey_responses[[#This Row],[Tôi tin rằng với các quy định quản lý thuế hiện nay, hành vi gian lận hoặc trốn thuế sẽ dễ dàng bị phát hiện và xử lý nghiêm. - HUMAN-ENF1]]</f>
        <v>7</v>
      </c>
      <c r="T357">
        <f t="shared" si="136"/>
        <v>0.66666666666666663</v>
      </c>
      <c r="U357">
        <f>step3_validation[[#This Row],[AI_ENF2]]</f>
        <v>6</v>
      </c>
      <c r="V357">
        <f t="shared" si="137"/>
        <v>0.55555555555555558</v>
      </c>
      <c r="W357">
        <f>survey_responses[[#This Row],[Tôi tin rằng Nhà nước, cơ quan thuế có đủ khả năng và công nghệ để phát hiện, xử lý nghiêm các hành vi trốn thuế. - HUMAN-ENF2]]</f>
        <v>7</v>
      </c>
      <c r="X357">
        <f t="shared" si="138"/>
        <v>0.66666666666666663</v>
      </c>
      <c r="Y357" s="32">
        <f t="shared" si="139"/>
        <v>0.61111111111111116</v>
      </c>
      <c r="Z357" s="32">
        <f t="shared" si="140"/>
        <v>0.66666666666666663</v>
      </c>
      <c r="AA357">
        <f>step3_validation[[#This Row],[AI_FAC1]]</f>
        <v>8</v>
      </c>
      <c r="AB357">
        <f t="shared" si="141"/>
        <v>0.77777777777777779</v>
      </c>
      <c r="AC357">
        <f>survey_responses[[#This Row],[Các thủ tục khai báo thuế VÀ/HOẶC quy trình làm việc với cơ quan thuế đơn giản, tiện lợi, nhanh chóng hơn so với trước đây. - HUMAN-FAC1]]</f>
        <v>8</v>
      </c>
      <c r="AD357">
        <f t="shared" si="142"/>
        <v>0.77777777777777779</v>
      </c>
      <c r="AE357">
        <f>step3_validation[[#This Row],[AI_FAC2]]</f>
        <v>7</v>
      </c>
      <c r="AF357">
        <f t="shared" si="143"/>
        <v>0.66666666666666663</v>
      </c>
      <c r="AG357">
        <f>survey_responses[[#This Row],[So với trước đây, tôi thấy cách tính thuế và các bậc thuế trong phương án mới đơn giản, dễ hiểu và dễ thực hiện hơn. - HUMAN-FAC2]]</f>
        <v>10</v>
      </c>
      <c r="AH357">
        <f t="shared" si="144"/>
        <v>1</v>
      </c>
      <c r="AI357" s="32">
        <f t="shared" si="145"/>
        <v>0.72222222222222221</v>
      </c>
      <c r="AJ357" s="32">
        <f t="shared" si="146"/>
        <v>0.88888888888888884</v>
      </c>
      <c r="AK357">
        <f>step3_validation[[#This Row],[AI_TRU1]]</f>
        <v>8</v>
      </c>
      <c r="AL357">
        <f t="shared" si="147"/>
        <v>0.77777777777777779</v>
      </c>
      <c r="AM357">
        <f>survey_responses[[#This Row],[Tôi tin rằng Nhà nước, cơ quan thuế sẽ thực thi chính sách mới một cách khách quan, công tâm và đối xử bình đẳng với mọi người nộp thuế.  - HUMAN-TRU1]]</f>
        <v>9</v>
      </c>
      <c r="AN357">
        <f t="shared" si="148"/>
        <v>0.88888888888888884</v>
      </c>
      <c r="AO357">
        <f>step3_validation[[#This Row],[AI_TRU2]]</f>
        <v>9</v>
      </c>
      <c r="AP357">
        <f t="shared" si="149"/>
        <v>0.88888888888888884</v>
      </c>
      <c r="AQ357">
        <f>survey_responses[[#This Row],[Tôi thấy mức thuế tôi phải đóng theo phương án mới là công bằng (người thu nhập như tôi đóng mức này là hợp lý). - HUMAN-TRU2]]</f>
        <v>10</v>
      </c>
      <c r="AR357">
        <f t="shared" si="150"/>
        <v>1</v>
      </c>
      <c r="AS357">
        <f>step3_validation[[#This Row],[AI_TRU3]]</f>
        <v>8</v>
      </c>
      <c r="AT357">
        <f t="shared" si="151"/>
        <v>0.77777777777777779</v>
      </c>
      <c r="AU357">
        <f>survey_responses[[#This Row],[Tôi tin tưởng số tiền thuế tôi đóng sẽ được Nhà nước sử dụng hiệu quả để cải thiện dịch vụ công (y tế, đường xá...). - HUMAN-TRU3]]</f>
        <v>8</v>
      </c>
      <c r="AV357">
        <f t="shared" si="152"/>
        <v>0.77777777777777779</v>
      </c>
      <c r="AW357">
        <f>step3_validation[[#This Row],[AI_TRU4]]</f>
        <v>9</v>
      </c>
      <c r="AX357">
        <f t="shared" si="153"/>
        <v>0.88888888888888884</v>
      </c>
      <c r="AY357">
        <f>survey_responses[[#This Row],[Tôi thấy Nhà nước đã giải thích rõ ràng, minh bạch về lý do và mục tiêu của việc sửa đổi thuế lần này. - HUMAN-TRU4]]</f>
        <v>8</v>
      </c>
      <c r="AZ357">
        <f t="shared" si="154"/>
        <v>0.77777777777777779</v>
      </c>
      <c r="BA357" s="32">
        <f t="shared" si="155"/>
        <v>0.83333333333333326</v>
      </c>
      <c r="BB357" s="32">
        <f t="shared" si="156"/>
        <v>0.86111111111111105</v>
      </c>
      <c r="BC357" s="7">
        <f t="shared" si="157"/>
        <v>0.72222222222222232</v>
      </c>
      <c r="BD357" s="7">
        <f t="shared" si="158"/>
        <v>0.80555555555555547</v>
      </c>
      <c r="BE357">
        <f>step3_validation[[#This Row],[AI_OUT1]]</f>
        <v>9</v>
      </c>
      <c r="BF357">
        <f t="shared" si="159"/>
        <v>0.88888888888888884</v>
      </c>
      <c r="BG357">
        <f>survey_responses[[#This Row],[Sau khi xem xét các quyền lợi và nghĩa vụ, bạn có ủng hộ và tuân thủ chính sách mới hiện nay? - HUMAN-OUT1]]</f>
        <v>10</v>
      </c>
      <c r="BH357">
        <f t="shared" si="160"/>
        <v>1</v>
      </c>
      <c r="BI357" s="32">
        <f t="shared" si="161"/>
        <v>1</v>
      </c>
    </row>
    <row r="358" spans="1:61" x14ac:dyDescent="0.45">
      <c r="A358" s="30">
        <f>step3_validation[[#This Row],[Persona_ID]]</f>
        <v>357</v>
      </c>
      <c r="B358" s="31">
        <f>step3_validation[[#This Row],[Used_Seed]]</f>
        <v>2347</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25.004337059616322</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6</v>
      </c>
      <c r="R358">
        <f t="shared" si="135"/>
        <v>0.55555555555555558</v>
      </c>
      <c r="S358">
        <f>survey_responses[[#This Row],[Tôi tin rằng với các quy định quản lý thuế hiện nay, hành vi gian lận hoặc trốn thuế sẽ dễ dàng bị phát hiện và xử lý nghiêm. - HUMAN-ENF1]]</f>
        <v>9</v>
      </c>
      <c r="T358">
        <f t="shared" si="136"/>
        <v>0.88888888888888884</v>
      </c>
      <c r="U358">
        <f>step3_validation[[#This Row],[AI_ENF2]]</f>
        <v>7</v>
      </c>
      <c r="V358">
        <f t="shared" si="137"/>
        <v>0.66666666666666663</v>
      </c>
      <c r="W358">
        <f>survey_responses[[#This Row],[Tôi tin rằng Nhà nước, cơ quan thuế có đủ khả năng và công nghệ để phát hiện, xử lý nghiêm các hành vi trốn thuế. - HUMAN-ENF2]]</f>
        <v>9</v>
      </c>
      <c r="X358">
        <f t="shared" si="138"/>
        <v>0.88888888888888884</v>
      </c>
      <c r="Y358" s="32">
        <f t="shared" si="139"/>
        <v>0.61111111111111116</v>
      </c>
      <c r="Z358" s="32">
        <f t="shared" si="140"/>
        <v>0.88888888888888884</v>
      </c>
      <c r="AA358">
        <f>step3_validation[[#This Row],[AI_FAC1]]</f>
        <v>8</v>
      </c>
      <c r="AB358">
        <f t="shared" si="141"/>
        <v>0.77777777777777779</v>
      </c>
      <c r="AC358">
        <f>survey_responses[[#This Row],[Các thủ tục khai báo thuế VÀ/HOẶC quy trình làm việc với cơ quan thuế đơn giản, tiện lợi, nhanh chóng hơn so với trước đây. - HUMAN-FAC1]]</f>
        <v>8</v>
      </c>
      <c r="AD358">
        <f t="shared" si="142"/>
        <v>0.77777777777777779</v>
      </c>
      <c r="AE358">
        <f>step3_validation[[#This Row],[AI_FAC2]]</f>
        <v>9</v>
      </c>
      <c r="AF358">
        <f t="shared" si="143"/>
        <v>0.88888888888888884</v>
      </c>
      <c r="AG358">
        <f>survey_responses[[#This Row],[So với trước đây, tôi thấy cách tính thuế và các bậc thuế trong phương án mới đơn giản, dễ hiểu và dễ thực hiện hơn. - HUMAN-FAC2]]</f>
        <v>9</v>
      </c>
      <c r="AH358">
        <f t="shared" si="144"/>
        <v>0.88888888888888884</v>
      </c>
      <c r="AI358" s="32">
        <f t="shared" si="145"/>
        <v>0.83333333333333326</v>
      </c>
      <c r="AJ358" s="32">
        <f t="shared" si="146"/>
        <v>0.83333333333333326</v>
      </c>
      <c r="AK358">
        <f>step3_validation[[#This Row],[AI_TRU1]]</f>
        <v>8</v>
      </c>
      <c r="AL358">
        <f t="shared" si="147"/>
        <v>0.77777777777777779</v>
      </c>
      <c r="AM358">
        <f>survey_responses[[#This Row],[Tôi tin rằng Nhà nước, cơ quan thuế sẽ thực thi chính sách mới một cách khách quan, công tâm và đối xử bình đẳng với mọi người nộp thuế.  - HUMAN-TRU1]]</f>
        <v>8</v>
      </c>
      <c r="AN358">
        <f t="shared" si="148"/>
        <v>0.77777777777777779</v>
      </c>
      <c r="AO358">
        <f>step3_validation[[#This Row],[AI_TRU2]]</f>
        <v>9</v>
      </c>
      <c r="AP358">
        <f t="shared" si="149"/>
        <v>0.88888888888888884</v>
      </c>
      <c r="AQ358">
        <f>survey_responses[[#This Row],[Tôi thấy mức thuế tôi phải đóng theo phương án mới là công bằng (người thu nhập như tôi đóng mức này là hợp lý). - HUMAN-TRU2]]</f>
        <v>8</v>
      </c>
      <c r="AR358">
        <f t="shared" si="150"/>
        <v>0.77777777777777779</v>
      </c>
      <c r="AS358">
        <f>step3_validation[[#This Row],[AI_TRU3]]</f>
        <v>8</v>
      </c>
      <c r="AT358">
        <f t="shared" si="151"/>
        <v>0.77777777777777779</v>
      </c>
      <c r="AU358">
        <f>survey_responses[[#This Row],[Tôi tin tưởng số tiền thuế tôi đóng sẽ được Nhà nước sử dụng hiệu quả để cải thiện dịch vụ công (y tế, đường xá...). - HUMAN-TRU3]]</f>
        <v>7</v>
      </c>
      <c r="AV358">
        <f t="shared" si="152"/>
        <v>0.66666666666666663</v>
      </c>
      <c r="AW358">
        <f>step3_validation[[#This Row],[AI_TRU4]]</f>
        <v>7</v>
      </c>
      <c r="AX358">
        <f t="shared" si="153"/>
        <v>0.66666666666666663</v>
      </c>
      <c r="AY358">
        <f>survey_responses[[#This Row],[Tôi thấy Nhà nước đã giải thích rõ ràng, minh bạch về lý do và mục tiêu của việc sửa đổi thuế lần này. - HUMAN-TRU4]]</f>
        <v>7</v>
      </c>
      <c r="AZ358">
        <f t="shared" si="154"/>
        <v>0.66666666666666663</v>
      </c>
      <c r="BA358" s="32">
        <f t="shared" si="155"/>
        <v>0.77777777777777768</v>
      </c>
      <c r="BB358" s="32">
        <f t="shared" si="156"/>
        <v>0.72222222222222221</v>
      </c>
      <c r="BC358" s="7">
        <f t="shared" si="157"/>
        <v>0.74074074074074081</v>
      </c>
      <c r="BD358" s="7">
        <f t="shared" si="158"/>
        <v>0.81481481481481477</v>
      </c>
      <c r="BE358">
        <f>step3_validation[[#This Row],[AI_OUT1]]</f>
        <v>9</v>
      </c>
      <c r="BF358">
        <f t="shared" si="159"/>
        <v>0.88888888888888884</v>
      </c>
      <c r="BG358">
        <f>survey_responses[[#This Row],[Sau khi xem xét các quyền lợi và nghĩa vụ, bạn có ủng hộ và tuân thủ chính sách mới hiện nay? - HUMAN-OUT1]]</f>
        <v>8</v>
      </c>
      <c r="BH358">
        <f t="shared" si="160"/>
        <v>0.77777777777777779</v>
      </c>
      <c r="BI358" s="32">
        <f t="shared" si="161"/>
        <v>1</v>
      </c>
    </row>
    <row r="359" spans="1:61" x14ac:dyDescent="0.45">
      <c r="A359" s="30">
        <f>step3_validation[[#This Row],[Persona_ID]]</f>
        <v>358</v>
      </c>
      <c r="B359" s="31">
        <f>step3_validation[[#This Row],[Used_Seed]]</f>
        <v>2348</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13.343862758706214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f t="shared" si="135"/>
        <v>0.55555555555555558</v>
      </c>
      <c r="S359">
        <f>survey_responses[[#This Row],[Tôi tin rằng với các quy định quản lý thuế hiện nay, hành vi gian lận hoặc trốn thuế sẽ dễ dàng bị phát hiện và xử lý nghiêm. - HUMAN-ENF1]]</f>
        <v>7</v>
      </c>
      <c r="T359">
        <f t="shared" si="136"/>
        <v>0.66666666666666663</v>
      </c>
      <c r="U359">
        <f>step3_validation[[#This Row],[AI_ENF2]]</f>
        <v>7</v>
      </c>
      <c r="V359">
        <f t="shared" si="137"/>
        <v>0.66666666666666663</v>
      </c>
      <c r="W359">
        <f>survey_responses[[#This Row],[Tôi tin rằng Nhà nước, cơ quan thuế có đủ khả năng và công nghệ để phát hiện, xử lý nghiêm các hành vi trốn thuế. - HUMAN-ENF2]]</f>
        <v>7</v>
      </c>
      <c r="X359">
        <f t="shared" si="138"/>
        <v>0.66666666666666663</v>
      </c>
      <c r="Y359" s="32">
        <f t="shared" si="139"/>
        <v>0.61111111111111116</v>
      </c>
      <c r="Z359" s="32">
        <f t="shared" si="140"/>
        <v>0.66666666666666663</v>
      </c>
      <c r="AA359">
        <f>step3_validation[[#This Row],[AI_FAC1]]</f>
        <v>8</v>
      </c>
      <c r="AB359">
        <f t="shared" si="141"/>
        <v>0.77777777777777779</v>
      </c>
      <c r="AC359">
        <f>survey_responses[[#This Row],[Các thủ tục khai báo thuế VÀ/HOẶC quy trình làm việc với cơ quan thuế đơn giản, tiện lợi, nhanh chóng hơn so với trước đây. - HUMAN-FAC1]]</f>
        <v>7</v>
      </c>
      <c r="AD359">
        <f t="shared" si="142"/>
        <v>0.66666666666666663</v>
      </c>
      <c r="AE359">
        <f>step3_validation[[#This Row],[AI_FAC2]]</f>
        <v>9</v>
      </c>
      <c r="AF359">
        <f t="shared" si="143"/>
        <v>0.88888888888888884</v>
      </c>
      <c r="AG359">
        <f>survey_responses[[#This Row],[So với trước đây, tôi thấy cách tính thuế và các bậc thuế trong phương án mới đơn giản, dễ hiểu và dễ thực hiện hơn. - HUMAN-FAC2]]</f>
        <v>8</v>
      </c>
      <c r="AH359">
        <f t="shared" si="144"/>
        <v>0.77777777777777779</v>
      </c>
      <c r="AI359" s="32">
        <f t="shared" si="145"/>
        <v>0.83333333333333326</v>
      </c>
      <c r="AJ359" s="32">
        <f t="shared" si="146"/>
        <v>0.72222222222222221</v>
      </c>
      <c r="AK359">
        <f>step3_validation[[#This Row],[AI_TRU1]]</f>
        <v>8</v>
      </c>
      <c r="AL359">
        <f t="shared" si="147"/>
        <v>0.77777777777777779</v>
      </c>
      <c r="AM359">
        <f>survey_responses[[#This Row],[Tôi tin rằng Nhà nước, cơ quan thuế sẽ thực thi chính sách mới một cách khách quan, công tâm và đối xử bình đẳng với mọi người nộp thuế.  - HUMAN-TRU1]]</f>
        <v>7</v>
      </c>
      <c r="AN359">
        <f t="shared" si="148"/>
        <v>0.66666666666666663</v>
      </c>
      <c r="AO359">
        <f>step3_validation[[#This Row],[AI_TRU2]]</f>
        <v>7</v>
      </c>
      <c r="AP359">
        <f t="shared" si="149"/>
        <v>0.66666666666666663</v>
      </c>
      <c r="AQ359">
        <f>survey_responses[[#This Row],[Tôi thấy mức thuế tôi phải đóng theo phương án mới là công bằng (người thu nhập như tôi đóng mức này là hợp lý). - HUMAN-TRU2]]</f>
        <v>9</v>
      </c>
      <c r="AR359">
        <f t="shared" si="150"/>
        <v>0.88888888888888884</v>
      </c>
      <c r="AS359">
        <f>step3_validation[[#This Row],[AI_TRU3]]</f>
        <v>6</v>
      </c>
      <c r="AT359">
        <f t="shared" si="151"/>
        <v>0.55555555555555558</v>
      </c>
      <c r="AU359">
        <f>survey_responses[[#This Row],[Tôi tin tưởng số tiền thuế tôi đóng sẽ được Nhà nước sử dụng hiệu quả để cải thiện dịch vụ công (y tế, đường xá...). - HUMAN-TRU3]]</f>
        <v>8</v>
      </c>
      <c r="AV359">
        <f t="shared" si="152"/>
        <v>0.77777777777777779</v>
      </c>
      <c r="AW359">
        <f>step3_validation[[#This Row],[AI_TRU4]]</f>
        <v>7</v>
      </c>
      <c r="AX359">
        <f t="shared" si="153"/>
        <v>0.66666666666666663</v>
      </c>
      <c r="AY359">
        <f>survey_responses[[#This Row],[Tôi thấy Nhà nước đã giải thích rõ ràng, minh bạch về lý do và mục tiêu của việc sửa đổi thuế lần này. - HUMAN-TRU4]]</f>
        <v>8</v>
      </c>
      <c r="AZ359">
        <f t="shared" si="154"/>
        <v>0.77777777777777779</v>
      </c>
      <c r="BA359" s="32">
        <f t="shared" si="155"/>
        <v>0.66666666666666663</v>
      </c>
      <c r="BB359" s="32">
        <f t="shared" si="156"/>
        <v>0.77777777777777768</v>
      </c>
      <c r="BC359" s="7">
        <f t="shared" si="157"/>
        <v>0.70370370370370372</v>
      </c>
      <c r="BD359" s="7">
        <f t="shared" si="158"/>
        <v>0.72222222222222221</v>
      </c>
      <c r="BE359">
        <f>step3_validation[[#This Row],[AI_OUT1]]</f>
        <v>8</v>
      </c>
      <c r="BF359">
        <f t="shared" si="159"/>
        <v>0.77777777777777779</v>
      </c>
      <c r="BG359">
        <f>survey_responses[[#This Row],[Sau khi xem xét các quyền lợi và nghĩa vụ, bạn có ủng hộ và tuân thủ chính sách mới hiện nay? - HUMAN-OUT1]]</f>
        <v>8</v>
      </c>
      <c r="BH359">
        <f t="shared" si="160"/>
        <v>0.77777777777777779</v>
      </c>
      <c r="BI359" s="32">
        <f t="shared" si="161"/>
        <v>0</v>
      </c>
    </row>
    <row r="360" spans="1:61" x14ac:dyDescent="0.45">
      <c r="A360" s="30">
        <f>step3_validation[[#This Row],[Persona_ID]]</f>
        <v>359</v>
      </c>
      <c r="B360" s="31">
        <f>step3_validation[[#This Row],[Used_Seed]]</f>
        <v>2349</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18.804621973749335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6</v>
      </c>
      <c r="R360">
        <f t="shared" si="135"/>
        <v>0.55555555555555558</v>
      </c>
      <c r="S360">
        <f>survey_responses[[#This Row],[Tôi tin rằng với các quy định quản lý thuế hiện nay, hành vi gian lận hoặc trốn thuế sẽ dễ dàng bị phát hiện và xử lý nghiêm. - HUMAN-ENF1]]</f>
        <v>4</v>
      </c>
      <c r="T360">
        <f t="shared" si="136"/>
        <v>0.33333333333333331</v>
      </c>
      <c r="U360">
        <f>step3_validation[[#This Row],[AI_ENF2]]</f>
        <v>7</v>
      </c>
      <c r="V360">
        <f t="shared" si="137"/>
        <v>0.66666666666666663</v>
      </c>
      <c r="W360">
        <f>survey_responses[[#This Row],[Tôi tin rằng Nhà nước, cơ quan thuế có đủ khả năng và công nghệ để phát hiện, xử lý nghiêm các hành vi trốn thuế. - HUMAN-ENF2]]</f>
        <v>5</v>
      </c>
      <c r="X360">
        <f t="shared" si="138"/>
        <v>0.44444444444444442</v>
      </c>
      <c r="Y360" s="32">
        <f t="shared" si="139"/>
        <v>0.61111111111111116</v>
      </c>
      <c r="Z360" s="32">
        <f t="shared" si="140"/>
        <v>0.38888888888888884</v>
      </c>
      <c r="AA360">
        <f>step3_validation[[#This Row],[AI_FAC1]]</f>
        <v>9</v>
      </c>
      <c r="AB360">
        <f t="shared" si="141"/>
        <v>0.88888888888888884</v>
      </c>
      <c r="AC360">
        <f>survey_responses[[#This Row],[Các thủ tục khai báo thuế VÀ/HOẶC quy trình làm việc với cơ quan thuế đơn giản, tiện lợi, nhanh chóng hơn so với trước đây. - HUMAN-FAC1]]</f>
        <v>6</v>
      </c>
      <c r="AD360">
        <f t="shared" si="142"/>
        <v>0.55555555555555558</v>
      </c>
      <c r="AE360">
        <f>step3_validation[[#This Row],[AI_FAC2]]</f>
        <v>10</v>
      </c>
      <c r="AF360">
        <f t="shared" si="143"/>
        <v>1</v>
      </c>
      <c r="AG360">
        <f>survey_responses[[#This Row],[So với trước đây, tôi thấy cách tính thuế và các bậc thuế trong phương án mới đơn giản, dễ hiểu và dễ thực hiện hơn. - HUMAN-FAC2]]</f>
        <v>7</v>
      </c>
      <c r="AH360">
        <f t="shared" si="144"/>
        <v>0.66666666666666663</v>
      </c>
      <c r="AI360" s="32">
        <f t="shared" si="145"/>
        <v>0.94444444444444442</v>
      </c>
      <c r="AJ360" s="32">
        <f t="shared" si="146"/>
        <v>0.61111111111111116</v>
      </c>
      <c r="AK360">
        <f>step3_validation[[#This Row],[AI_TRU1]]</f>
        <v>8</v>
      </c>
      <c r="AL360">
        <f t="shared" si="147"/>
        <v>0.77777777777777779</v>
      </c>
      <c r="AM360">
        <f>survey_responses[[#This Row],[Tôi tin rằng Nhà nước, cơ quan thuế sẽ thực thi chính sách mới một cách khách quan, công tâm và đối xử bình đẳng với mọi người nộp thuế.  - HUMAN-TRU1]]</f>
        <v>7</v>
      </c>
      <c r="AN360">
        <f t="shared" si="148"/>
        <v>0.66666666666666663</v>
      </c>
      <c r="AO360">
        <f>step3_validation[[#This Row],[AI_TRU2]]</f>
        <v>9</v>
      </c>
      <c r="AP360">
        <f t="shared" si="149"/>
        <v>0.88888888888888884</v>
      </c>
      <c r="AQ360">
        <f>survey_responses[[#This Row],[Tôi thấy mức thuế tôi phải đóng theo phương án mới là công bằng (người thu nhập như tôi đóng mức này là hợp lý). - HUMAN-TRU2]]</f>
        <v>6</v>
      </c>
      <c r="AR360">
        <f t="shared" si="150"/>
        <v>0.55555555555555558</v>
      </c>
      <c r="AS360">
        <f>step3_validation[[#This Row],[AI_TRU3]]</f>
        <v>8</v>
      </c>
      <c r="AT360">
        <f t="shared" si="151"/>
        <v>0.77777777777777779</v>
      </c>
      <c r="AU360">
        <f>survey_responses[[#This Row],[Tôi tin tưởng số tiền thuế tôi đóng sẽ được Nhà nước sử dụng hiệu quả để cải thiện dịch vụ công (y tế, đường xá...). - HUMAN-TRU3]]</f>
        <v>4</v>
      </c>
      <c r="AV360">
        <f t="shared" si="152"/>
        <v>0.33333333333333331</v>
      </c>
      <c r="AW360">
        <f>step3_validation[[#This Row],[AI_TRU4]]</f>
        <v>7</v>
      </c>
      <c r="AX360">
        <f t="shared" si="153"/>
        <v>0.66666666666666663</v>
      </c>
      <c r="AY360">
        <f>survey_responses[[#This Row],[Tôi thấy Nhà nước đã giải thích rõ ràng, minh bạch về lý do và mục tiêu của việc sửa đổi thuế lần này. - HUMAN-TRU4]]</f>
        <v>6</v>
      </c>
      <c r="AZ360">
        <f t="shared" si="154"/>
        <v>0.55555555555555558</v>
      </c>
      <c r="BA360" s="32">
        <f t="shared" si="155"/>
        <v>0.77777777777777768</v>
      </c>
      <c r="BB360" s="32">
        <f t="shared" si="156"/>
        <v>0.52777777777777779</v>
      </c>
      <c r="BC360" s="7">
        <f t="shared" si="157"/>
        <v>0.77777777777777768</v>
      </c>
      <c r="BD360" s="7">
        <f t="shared" si="158"/>
        <v>0.50925925925925919</v>
      </c>
      <c r="BE360">
        <f>step3_validation[[#This Row],[AI_OUT1]]</f>
        <v>9</v>
      </c>
      <c r="BF360">
        <f t="shared" si="159"/>
        <v>0.88888888888888884</v>
      </c>
      <c r="BG360">
        <f>survey_responses[[#This Row],[Sau khi xem xét các quyền lợi và nghĩa vụ, bạn có ủng hộ và tuân thủ chính sách mới hiện nay? - HUMAN-OUT1]]</f>
        <v>7</v>
      </c>
      <c r="BH360">
        <f t="shared" si="160"/>
        <v>0.66666666666666663</v>
      </c>
      <c r="BI360" s="32">
        <f t="shared" si="161"/>
        <v>2</v>
      </c>
    </row>
    <row r="361" spans="1:61" x14ac:dyDescent="0.45">
      <c r="A361" s="30">
        <f>step3_validation[[#This Row],[Persona_ID]]</f>
        <v>360</v>
      </c>
      <c r="B361" s="31">
        <f>step3_validation[[#This Row],[Used_Seed]]</f>
        <v>2350</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21.424811989680624</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6</v>
      </c>
      <c r="R361">
        <f t="shared" si="135"/>
        <v>0.55555555555555558</v>
      </c>
      <c r="S361">
        <f>survey_responses[[#This Row],[Tôi tin rằng với các quy định quản lý thuế hiện nay, hành vi gian lận hoặc trốn thuế sẽ dễ dàng bị phát hiện và xử lý nghiêm. - HUMAN-ENF1]]</f>
        <v>9</v>
      </c>
      <c r="T361">
        <f t="shared" si="136"/>
        <v>0.88888888888888884</v>
      </c>
      <c r="U361">
        <f>step3_validation[[#This Row],[AI_ENF2]]</f>
        <v>6</v>
      </c>
      <c r="V361">
        <f t="shared" si="137"/>
        <v>0.55555555555555558</v>
      </c>
      <c r="W361">
        <f>survey_responses[[#This Row],[Tôi tin rằng Nhà nước, cơ quan thuế có đủ khả năng và công nghệ để phát hiện, xử lý nghiêm các hành vi trốn thuế. - HUMAN-ENF2]]</f>
        <v>8</v>
      </c>
      <c r="X361">
        <f t="shared" si="138"/>
        <v>0.77777777777777779</v>
      </c>
      <c r="Y361" s="32">
        <f t="shared" si="139"/>
        <v>0.55555555555555558</v>
      </c>
      <c r="Z361" s="32">
        <f t="shared" si="140"/>
        <v>0.83333333333333326</v>
      </c>
      <c r="AA361">
        <f>step3_validation[[#This Row],[AI_FAC1]]</f>
        <v>9</v>
      </c>
      <c r="AB361">
        <f t="shared" si="141"/>
        <v>0.88888888888888884</v>
      </c>
      <c r="AC361">
        <f>survey_responses[[#This Row],[Các thủ tục khai báo thuế VÀ/HOẶC quy trình làm việc với cơ quan thuế đơn giản, tiện lợi, nhanh chóng hơn so với trước đây. - HUMAN-FAC1]]</f>
        <v>8</v>
      </c>
      <c r="AD361">
        <f t="shared" si="142"/>
        <v>0.77777777777777779</v>
      </c>
      <c r="AE361">
        <f>step3_validation[[#This Row],[AI_FAC2]]</f>
        <v>8</v>
      </c>
      <c r="AF361">
        <f t="shared" si="143"/>
        <v>0.77777777777777779</v>
      </c>
      <c r="AG361">
        <f>survey_responses[[#This Row],[So với trước đây, tôi thấy cách tính thuế và các bậc thuế trong phương án mới đơn giản, dễ hiểu và dễ thực hiện hơn. - HUMAN-FAC2]]</f>
        <v>8</v>
      </c>
      <c r="AH361">
        <f t="shared" si="144"/>
        <v>0.77777777777777779</v>
      </c>
      <c r="AI361" s="32">
        <f t="shared" si="145"/>
        <v>0.83333333333333326</v>
      </c>
      <c r="AJ361" s="32">
        <f t="shared" si="146"/>
        <v>0.77777777777777779</v>
      </c>
      <c r="AK361">
        <f>step3_validation[[#This Row],[AI_TRU1]]</f>
        <v>9</v>
      </c>
      <c r="AL361">
        <f t="shared" si="147"/>
        <v>0.88888888888888884</v>
      </c>
      <c r="AM361">
        <f>survey_responses[[#This Row],[Tôi tin rằng Nhà nước, cơ quan thuế sẽ thực thi chính sách mới một cách khách quan, công tâm và đối xử bình đẳng với mọi người nộp thuế.  - HUMAN-TRU1]]</f>
        <v>7</v>
      </c>
      <c r="AN361">
        <f t="shared" si="148"/>
        <v>0.66666666666666663</v>
      </c>
      <c r="AO361">
        <f>step3_validation[[#This Row],[AI_TRU2]]</f>
        <v>9</v>
      </c>
      <c r="AP361">
        <f t="shared" si="149"/>
        <v>0.88888888888888884</v>
      </c>
      <c r="AQ361">
        <f>survey_responses[[#This Row],[Tôi thấy mức thuế tôi phải đóng theo phương án mới là công bằng (người thu nhập như tôi đóng mức này là hợp lý). - HUMAN-TRU2]]</f>
        <v>7</v>
      </c>
      <c r="AR361">
        <f t="shared" si="150"/>
        <v>0.66666666666666663</v>
      </c>
      <c r="AS361">
        <f>step3_validation[[#This Row],[AI_TRU3]]</f>
        <v>8</v>
      </c>
      <c r="AT361">
        <f t="shared" si="151"/>
        <v>0.77777777777777779</v>
      </c>
      <c r="AU361">
        <f>survey_responses[[#This Row],[Tôi tin tưởng số tiền thuế tôi đóng sẽ được Nhà nước sử dụng hiệu quả để cải thiện dịch vụ công (y tế, đường xá...). - HUMAN-TRU3]]</f>
        <v>6</v>
      </c>
      <c r="AV361">
        <f t="shared" si="152"/>
        <v>0.55555555555555558</v>
      </c>
      <c r="AW361">
        <f>step3_validation[[#This Row],[AI_TRU4]]</f>
        <v>9</v>
      </c>
      <c r="AX361">
        <f t="shared" si="153"/>
        <v>0.88888888888888884</v>
      </c>
      <c r="AY361">
        <f>survey_responses[[#This Row],[Tôi thấy Nhà nước đã giải thích rõ ràng, minh bạch về lý do và mục tiêu của việc sửa đổi thuế lần này. - HUMAN-TRU4]]</f>
        <v>7</v>
      </c>
      <c r="AZ361">
        <f t="shared" si="154"/>
        <v>0.66666666666666663</v>
      </c>
      <c r="BA361" s="32">
        <f t="shared" si="155"/>
        <v>0.86111111111111105</v>
      </c>
      <c r="BB361" s="32">
        <f t="shared" si="156"/>
        <v>0.63888888888888884</v>
      </c>
      <c r="BC361" s="7">
        <f t="shared" si="157"/>
        <v>0.75</v>
      </c>
      <c r="BD361" s="7">
        <f t="shared" si="158"/>
        <v>0.75</v>
      </c>
      <c r="BE361">
        <f>step3_validation[[#This Row],[AI_OUT1]]</f>
        <v>9</v>
      </c>
      <c r="BF361">
        <f t="shared" si="159"/>
        <v>0.88888888888888884</v>
      </c>
      <c r="BG361">
        <f>survey_responses[[#This Row],[Sau khi xem xét các quyền lợi và nghĩa vụ, bạn có ủng hộ và tuân thủ chính sách mới hiện nay? - HUMAN-OUT1]]</f>
        <v>8</v>
      </c>
      <c r="BH361">
        <f t="shared" si="160"/>
        <v>0.77777777777777779</v>
      </c>
      <c r="BI361" s="32">
        <f t="shared" si="161"/>
        <v>1</v>
      </c>
    </row>
    <row r="362" spans="1:61" x14ac:dyDescent="0.45">
      <c r="A362" s="30">
        <f>step3_validation[[#This Row],[Persona_ID]]</f>
        <v>361</v>
      </c>
      <c r="B362" s="31">
        <f>step3_validation[[#This Row],[Used_Seed]]</f>
        <v>2351</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f t="shared" si="135"/>
        <v>0.66666666666666663</v>
      </c>
      <c r="S362">
        <f>survey_responses[[#This Row],[Tôi tin rằng với các quy định quản lý thuế hiện nay, hành vi gian lận hoặc trốn thuế sẽ dễ dàng bị phát hiện và xử lý nghiêm. - HUMAN-ENF1]]</f>
        <v>7</v>
      </c>
      <c r="T362">
        <f t="shared" si="136"/>
        <v>0.66666666666666663</v>
      </c>
      <c r="U362">
        <f>step3_validation[[#This Row],[AI_ENF2]]</f>
        <v>6</v>
      </c>
      <c r="V362">
        <f t="shared" si="137"/>
        <v>0.55555555555555558</v>
      </c>
      <c r="W362">
        <f>survey_responses[[#This Row],[Tôi tin rằng Nhà nước, cơ quan thuế có đủ khả năng và công nghệ để phát hiện, xử lý nghiêm các hành vi trốn thuế. - HUMAN-ENF2]]</f>
        <v>7</v>
      </c>
      <c r="X362">
        <f t="shared" si="138"/>
        <v>0.66666666666666663</v>
      </c>
      <c r="Y362" s="32">
        <f t="shared" si="139"/>
        <v>0.61111111111111116</v>
      </c>
      <c r="Z362" s="32">
        <f t="shared" si="140"/>
        <v>0.66666666666666663</v>
      </c>
      <c r="AA362">
        <f>step3_validation[[#This Row],[AI_FAC1]]</f>
        <v>8</v>
      </c>
      <c r="AB362">
        <f t="shared" si="141"/>
        <v>0.77777777777777779</v>
      </c>
      <c r="AC362">
        <f>survey_responses[[#This Row],[Các thủ tục khai báo thuế VÀ/HOẶC quy trình làm việc với cơ quan thuế đơn giản, tiện lợi, nhanh chóng hơn so với trước đây. - HUMAN-FAC1]]</f>
        <v>8</v>
      </c>
      <c r="AD362">
        <f t="shared" si="142"/>
        <v>0.77777777777777779</v>
      </c>
      <c r="AE362">
        <f>step3_validation[[#This Row],[AI_FAC2]]</f>
        <v>9</v>
      </c>
      <c r="AF362">
        <f t="shared" si="143"/>
        <v>0.88888888888888884</v>
      </c>
      <c r="AG362">
        <f>survey_responses[[#This Row],[So với trước đây, tôi thấy cách tính thuế và các bậc thuế trong phương án mới đơn giản, dễ hiểu và dễ thực hiện hơn. - HUMAN-FAC2]]</f>
        <v>9</v>
      </c>
      <c r="AH362">
        <f t="shared" si="144"/>
        <v>0.88888888888888884</v>
      </c>
      <c r="AI362" s="32">
        <f t="shared" si="145"/>
        <v>0.83333333333333326</v>
      </c>
      <c r="AJ362" s="32">
        <f t="shared" si="146"/>
        <v>0.83333333333333326</v>
      </c>
      <c r="AK362">
        <f>step3_validation[[#This Row],[AI_TRU1]]</f>
        <v>8</v>
      </c>
      <c r="AL362">
        <f t="shared" si="147"/>
        <v>0.77777777777777779</v>
      </c>
      <c r="AM362">
        <f>survey_responses[[#This Row],[Tôi tin rằng Nhà nước, cơ quan thuế sẽ thực thi chính sách mới một cách khách quan, công tâm và đối xử bình đẳng với mọi người nộp thuế.  - HUMAN-TRU1]]</f>
        <v>7</v>
      </c>
      <c r="AN362">
        <f t="shared" si="148"/>
        <v>0.66666666666666663</v>
      </c>
      <c r="AO362">
        <f>step3_validation[[#This Row],[AI_TRU2]]</f>
        <v>9</v>
      </c>
      <c r="AP362">
        <f t="shared" si="149"/>
        <v>0.88888888888888884</v>
      </c>
      <c r="AQ362">
        <f>survey_responses[[#This Row],[Tôi thấy mức thuế tôi phải đóng theo phương án mới là công bằng (người thu nhập như tôi đóng mức này là hợp lý). - HUMAN-TRU2]]</f>
        <v>10</v>
      </c>
      <c r="AR362">
        <f t="shared" si="150"/>
        <v>1</v>
      </c>
      <c r="AS362">
        <f>step3_validation[[#This Row],[AI_TRU3]]</f>
        <v>8</v>
      </c>
      <c r="AT362">
        <f t="shared" si="151"/>
        <v>0.77777777777777779</v>
      </c>
      <c r="AU362">
        <f>survey_responses[[#This Row],[Tôi tin tưởng số tiền thuế tôi đóng sẽ được Nhà nước sử dụng hiệu quả để cải thiện dịch vụ công (y tế, đường xá...). - HUMAN-TRU3]]</f>
        <v>8</v>
      </c>
      <c r="AV362">
        <f t="shared" si="152"/>
        <v>0.77777777777777779</v>
      </c>
      <c r="AW362">
        <f>step3_validation[[#This Row],[AI_TRU4]]</f>
        <v>7</v>
      </c>
      <c r="AX362">
        <f t="shared" si="153"/>
        <v>0.66666666666666663</v>
      </c>
      <c r="AY362">
        <f>survey_responses[[#This Row],[Tôi thấy Nhà nước đã giải thích rõ ràng, minh bạch về lý do và mục tiêu của việc sửa đổi thuế lần này. - HUMAN-TRU4]]</f>
        <v>8</v>
      </c>
      <c r="AZ362">
        <f t="shared" si="154"/>
        <v>0.77777777777777779</v>
      </c>
      <c r="BA362" s="32">
        <f t="shared" si="155"/>
        <v>0.77777777777777768</v>
      </c>
      <c r="BB362" s="32">
        <f t="shared" si="156"/>
        <v>0.80555555555555547</v>
      </c>
      <c r="BC362" s="7">
        <f t="shared" si="157"/>
        <v>0.74074074074074081</v>
      </c>
      <c r="BD362" s="7">
        <f t="shared" si="158"/>
        <v>0.76851851851851849</v>
      </c>
      <c r="BE362">
        <f>step3_validation[[#This Row],[AI_OUT1]]</f>
        <v>9</v>
      </c>
      <c r="BF362">
        <f t="shared" si="159"/>
        <v>0.88888888888888884</v>
      </c>
      <c r="BG362">
        <f>survey_responses[[#This Row],[Sau khi xem xét các quyền lợi và nghĩa vụ, bạn có ủng hộ và tuân thủ chính sách mới hiện nay? - HUMAN-OUT1]]</f>
        <v>10</v>
      </c>
      <c r="BH362">
        <f t="shared" si="160"/>
        <v>1</v>
      </c>
      <c r="BI362" s="32">
        <f t="shared" si="161"/>
        <v>1</v>
      </c>
    </row>
    <row r="363" spans="1:61" x14ac:dyDescent="0.45">
      <c r="A363" s="30">
        <f>step3_validation[[#This Row],[Persona_ID]]</f>
        <v>362</v>
      </c>
      <c r="B363" s="31">
        <f>step3_validation[[#This Row],[Used_Seed]]</f>
        <v>2352</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15.250439861908996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8</v>
      </c>
      <c r="R363">
        <f t="shared" si="135"/>
        <v>0.77777777777777779</v>
      </c>
      <c r="S363">
        <f>survey_responses[[#This Row],[Tôi tin rằng với các quy định quản lý thuế hiện nay, hành vi gian lận hoặc trốn thuế sẽ dễ dàng bị phát hiện và xử lý nghiêm. - HUMAN-ENF1]]</f>
        <v>3</v>
      </c>
      <c r="T363">
        <f t="shared" si="136"/>
        <v>0.22222222222222221</v>
      </c>
      <c r="U363">
        <f>step3_validation[[#This Row],[AI_ENF2]]</f>
        <v>9</v>
      </c>
      <c r="V363">
        <f t="shared" si="137"/>
        <v>0.88888888888888884</v>
      </c>
      <c r="W363">
        <f>survey_responses[[#This Row],[Tôi tin rằng Nhà nước, cơ quan thuế có đủ khả năng và công nghệ để phát hiện, xử lý nghiêm các hành vi trốn thuế. - HUMAN-ENF2]]</f>
        <v>3</v>
      </c>
      <c r="X363">
        <f t="shared" si="138"/>
        <v>0.22222222222222221</v>
      </c>
      <c r="Y363" s="32">
        <f t="shared" si="139"/>
        <v>0.83333333333333326</v>
      </c>
      <c r="Z363" s="32">
        <f t="shared" si="140"/>
        <v>0.22222222222222221</v>
      </c>
      <c r="AA363">
        <f>step3_validation[[#This Row],[AI_FAC1]]</f>
        <v>9</v>
      </c>
      <c r="AB363">
        <f t="shared" si="141"/>
        <v>0.88888888888888884</v>
      </c>
      <c r="AC363">
        <f>survey_responses[[#This Row],[Các thủ tục khai báo thuế VÀ/HOẶC quy trình làm việc với cơ quan thuế đơn giản, tiện lợi, nhanh chóng hơn so với trước đây. - HUMAN-FAC1]]</f>
        <v>5</v>
      </c>
      <c r="AD363">
        <f t="shared" si="142"/>
        <v>0.44444444444444442</v>
      </c>
      <c r="AE363">
        <f>step3_validation[[#This Row],[AI_FAC2]]</f>
        <v>8</v>
      </c>
      <c r="AF363">
        <f t="shared" si="143"/>
        <v>0.77777777777777779</v>
      </c>
      <c r="AG363">
        <f>survey_responses[[#This Row],[So với trước đây, tôi thấy cách tính thuế và các bậc thuế trong phương án mới đơn giản, dễ hiểu và dễ thực hiện hơn. - HUMAN-FAC2]]</f>
        <v>6</v>
      </c>
      <c r="AH363">
        <f t="shared" si="144"/>
        <v>0.55555555555555558</v>
      </c>
      <c r="AI363" s="32">
        <f t="shared" si="145"/>
        <v>0.83333333333333326</v>
      </c>
      <c r="AJ363" s="32">
        <f t="shared" si="146"/>
        <v>0.5</v>
      </c>
      <c r="AK363">
        <f>step3_validation[[#This Row],[AI_TRU1]]</f>
        <v>9</v>
      </c>
      <c r="AL363">
        <f t="shared" si="147"/>
        <v>0.88888888888888884</v>
      </c>
      <c r="AM363">
        <f>survey_responses[[#This Row],[Tôi tin rằng Nhà nước, cơ quan thuế sẽ thực thi chính sách mới một cách khách quan, công tâm và đối xử bình đẳng với mọi người nộp thuế.  - HUMAN-TRU1]]</f>
        <v>5</v>
      </c>
      <c r="AN363">
        <f t="shared" si="148"/>
        <v>0.44444444444444442</v>
      </c>
      <c r="AO363">
        <f>step3_validation[[#This Row],[AI_TRU2]]</f>
        <v>9</v>
      </c>
      <c r="AP363">
        <f t="shared" si="149"/>
        <v>0.88888888888888884</v>
      </c>
      <c r="AQ363">
        <f>survey_responses[[#This Row],[Tôi thấy mức thuế tôi phải đóng theo phương án mới là công bằng (người thu nhập như tôi đóng mức này là hợp lý). - HUMAN-TRU2]]</f>
        <v>6</v>
      </c>
      <c r="AR363">
        <f t="shared" si="150"/>
        <v>0.55555555555555558</v>
      </c>
      <c r="AS363">
        <f>step3_validation[[#This Row],[AI_TRU3]]</f>
        <v>9</v>
      </c>
      <c r="AT363">
        <f t="shared" si="151"/>
        <v>0.88888888888888884</v>
      </c>
      <c r="AU363">
        <f>survey_responses[[#This Row],[Tôi tin tưởng số tiền thuế tôi đóng sẽ được Nhà nước sử dụng hiệu quả để cải thiện dịch vụ công (y tế, đường xá...). - HUMAN-TRU3]]</f>
        <v>4</v>
      </c>
      <c r="AV363">
        <f t="shared" si="152"/>
        <v>0.33333333333333331</v>
      </c>
      <c r="AW363">
        <f>step3_validation[[#This Row],[AI_TRU4]]</f>
        <v>8</v>
      </c>
      <c r="AX363">
        <f t="shared" si="153"/>
        <v>0.77777777777777779</v>
      </c>
      <c r="AY363">
        <f>survey_responses[[#This Row],[Tôi thấy Nhà nước đã giải thích rõ ràng, minh bạch về lý do và mục tiêu của việc sửa đổi thuế lần này. - HUMAN-TRU4]]</f>
        <v>6</v>
      </c>
      <c r="AZ363">
        <f t="shared" si="154"/>
        <v>0.55555555555555558</v>
      </c>
      <c r="BA363" s="32">
        <f t="shared" si="155"/>
        <v>0.86111111111111105</v>
      </c>
      <c r="BB363" s="32">
        <f t="shared" si="156"/>
        <v>0.47222222222222221</v>
      </c>
      <c r="BC363" s="7">
        <f t="shared" si="157"/>
        <v>0.84259259259259256</v>
      </c>
      <c r="BD363" s="7">
        <f t="shared" si="158"/>
        <v>0.39814814814814814</v>
      </c>
      <c r="BE363">
        <f>step3_validation[[#This Row],[AI_OUT1]]</f>
        <v>9</v>
      </c>
      <c r="BF363">
        <f t="shared" si="159"/>
        <v>0.88888888888888884</v>
      </c>
      <c r="BG363">
        <f>survey_responses[[#This Row],[Sau khi xem xét các quyền lợi và nghĩa vụ, bạn có ủng hộ và tuân thủ chính sách mới hiện nay? - HUMAN-OUT1]]</f>
        <v>6</v>
      </c>
      <c r="BH363">
        <f t="shared" si="160"/>
        <v>0.55555555555555558</v>
      </c>
      <c r="BI363" s="32">
        <f t="shared" si="161"/>
        <v>3</v>
      </c>
    </row>
    <row r="364" spans="1:61" x14ac:dyDescent="0.45">
      <c r="A364" s="30">
        <f>step3_validation[[#This Row],[Persona_ID]]</f>
        <v>363</v>
      </c>
      <c r="B364" s="31">
        <f>step3_validation[[#This Row],[Used_Seed]]</f>
        <v>2353</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29.363439304212196</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f t="shared" si="135"/>
        <v>0.66666666666666663</v>
      </c>
      <c r="S364">
        <f>survey_responses[[#This Row],[Tôi tin rằng với các quy định quản lý thuế hiện nay, hành vi gian lận hoặc trốn thuế sẽ dễ dàng bị phát hiện và xử lý nghiêm. - HUMAN-ENF1]]</f>
        <v>8</v>
      </c>
      <c r="T364">
        <f t="shared" si="136"/>
        <v>0.77777777777777779</v>
      </c>
      <c r="U364">
        <f>step3_validation[[#This Row],[AI_ENF2]]</f>
        <v>6</v>
      </c>
      <c r="V364">
        <f t="shared" si="137"/>
        <v>0.55555555555555558</v>
      </c>
      <c r="W364">
        <f>survey_responses[[#This Row],[Tôi tin rằng Nhà nước, cơ quan thuế có đủ khả năng và công nghệ để phát hiện, xử lý nghiêm các hành vi trốn thuế. - HUMAN-ENF2]]</f>
        <v>8</v>
      </c>
      <c r="X364">
        <f t="shared" si="138"/>
        <v>0.77777777777777779</v>
      </c>
      <c r="Y364" s="32">
        <f t="shared" si="139"/>
        <v>0.61111111111111116</v>
      </c>
      <c r="Z364" s="32">
        <f t="shared" si="140"/>
        <v>0.77777777777777779</v>
      </c>
      <c r="AA364">
        <f>step3_validation[[#This Row],[AI_FAC1]]</f>
        <v>8</v>
      </c>
      <c r="AB364">
        <f t="shared" si="141"/>
        <v>0.77777777777777779</v>
      </c>
      <c r="AC364">
        <f>survey_responses[[#This Row],[Các thủ tục khai báo thuế VÀ/HOẶC quy trình làm việc với cơ quan thuế đơn giản, tiện lợi, nhanh chóng hơn so với trước đây. - HUMAN-FAC1]]</f>
        <v>5</v>
      </c>
      <c r="AD364">
        <f t="shared" si="142"/>
        <v>0.44444444444444442</v>
      </c>
      <c r="AE364">
        <f>step3_validation[[#This Row],[AI_FAC2]]</f>
        <v>9</v>
      </c>
      <c r="AF364">
        <f t="shared" si="143"/>
        <v>0.88888888888888884</v>
      </c>
      <c r="AG364">
        <f>survey_responses[[#This Row],[So với trước đây, tôi thấy cách tính thuế và các bậc thuế trong phương án mới đơn giản, dễ hiểu và dễ thực hiện hơn. - HUMAN-FAC2]]</f>
        <v>7</v>
      </c>
      <c r="AH364">
        <f t="shared" si="144"/>
        <v>0.66666666666666663</v>
      </c>
      <c r="AI364" s="32">
        <f t="shared" si="145"/>
        <v>0.83333333333333326</v>
      </c>
      <c r="AJ364" s="32">
        <f t="shared" si="146"/>
        <v>0.55555555555555558</v>
      </c>
      <c r="AK364">
        <f>step3_validation[[#This Row],[AI_TRU1]]</f>
        <v>7</v>
      </c>
      <c r="AL364">
        <f t="shared" si="147"/>
        <v>0.66666666666666663</v>
      </c>
      <c r="AM364">
        <f>survey_responses[[#This Row],[Tôi tin rằng Nhà nước, cơ quan thuế sẽ thực thi chính sách mới một cách khách quan, công tâm và đối xử bình đẳng với mọi người nộp thuế.  - HUMAN-TRU1]]</f>
        <v>5</v>
      </c>
      <c r="AN364">
        <f t="shared" si="148"/>
        <v>0.44444444444444442</v>
      </c>
      <c r="AO364">
        <f>step3_validation[[#This Row],[AI_TRU2]]</f>
        <v>9</v>
      </c>
      <c r="AP364">
        <f t="shared" si="149"/>
        <v>0.88888888888888884</v>
      </c>
      <c r="AQ364">
        <f>survey_responses[[#This Row],[Tôi thấy mức thuế tôi phải đóng theo phương án mới là công bằng (người thu nhập như tôi đóng mức này là hợp lý). - HUMAN-TRU2]]</f>
        <v>8</v>
      </c>
      <c r="AR364">
        <f t="shared" si="150"/>
        <v>0.77777777777777779</v>
      </c>
      <c r="AS364">
        <f>step3_validation[[#This Row],[AI_TRU3]]</f>
        <v>7</v>
      </c>
      <c r="AT364">
        <f t="shared" si="151"/>
        <v>0.66666666666666663</v>
      </c>
      <c r="AU364">
        <f>survey_responses[[#This Row],[Tôi tin tưởng số tiền thuế tôi đóng sẽ được Nhà nước sử dụng hiệu quả để cải thiện dịch vụ công (y tế, đường xá...). - HUMAN-TRU3]]</f>
        <v>5</v>
      </c>
      <c r="AV364">
        <f t="shared" si="152"/>
        <v>0.44444444444444442</v>
      </c>
      <c r="AW364">
        <f>step3_validation[[#This Row],[AI_TRU4]]</f>
        <v>8</v>
      </c>
      <c r="AX364">
        <f t="shared" si="153"/>
        <v>0.77777777777777779</v>
      </c>
      <c r="AY364">
        <f>survey_responses[[#This Row],[Tôi thấy Nhà nước đã giải thích rõ ràng, minh bạch về lý do và mục tiêu của việc sửa đổi thuế lần này. - HUMAN-TRU4]]</f>
        <v>7</v>
      </c>
      <c r="AZ364">
        <f t="shared" si="154"/>
        <v>0.66666666666666663</v>
      </c>
      <c r="BA364" s="32">
        <f t="shared" si="155"/>
        <v>0.74999999999999989</v>
      </c>
      <c r="BB364" s="32">
        <f t="shared" si="156"/>
        <v>0.58333333333333337</v>
      </c>
      <c r="BC364" s="7">
        <f t="shared" si="157"/>
        <v>0.7314814814814814</v>
      </c>
      <c r="BD364" s="7">
        <f t="shared" si="158"/>
        <v>0.63888888888888895</v>
      </c>
      <c r="BE364">
        <f>step3_validation[[#This Row],[AI_OUT1]]</f>
        <v>9</v>
      </c>
      <c r="BF364">
        <f t="shared" si="159"/>
        <v>0.88888888888888884</v>
      </c>
      <c r="BG364">
        <f>survey_responses[[#This Row],[Sau khi xem xét các quyền lợi và nghĩa vụ, bạn có ủng hộ và tuân thủ chính sách mới hiện nay? - HUMAN-OUT1]]</f>
        <v>8</v>
      </c>
      <c r="BH364">
        <f t="shared" si="160"/>
        <v>0.77777777777777779</v>
      </c>
      <c r="BI364" s="32">
        <f t="shared" si="161"/>
        <v>1</v>
      </c>
    </row>
    <row r="365" spans="1:61" x14ac:dyDescent="0.45">
      <c r="A365" s="30">
        <f>step3_validation[[#This Row],[Persona_ID]]</f>
        <v>364</v>
      </c>
      <c r="B365" s="31">
        <f>step3_validation[[#This Row],[Used_Seed]]</f>
        <v>2354</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18.725084011725549</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f t="shared" si="135"/>
        <v>0.55555555555555558</v>
      </c>
      <c r="S365">
        <f>survey_responses[[#This Row],[Tôi tin rằng với các quy định quản lý thuế hiện nay, hành vi gian lận hoặc trốn thuế sẽ dễ dàng bị phát hiện và xử lý nghiêm. - HUMAN-ENF1]]</f>
        <v>4</v>
      </c>
      <c r="T365">
        <f t="shared" si="136"/>
        <v>0.33333333333333331</v>
      </c>
      <c r="U365">
        <f>step3_validation[[#This Row],[AI_ENF2]]</f>
        <v>7</v>
      </c>
      <c r="V365">
        <f t="shared" si="137"/>
        <v>0.66666666666666663</v>
      </c>
      <c r="W365">
        <f>survey_responses[[#This Row],[Tôi tin rằng Nhà nước, cơ quan thuế có đủ khả năng và công nghệ để phát hiện, xử lý nghiêm các hành vi trốn thuế. - HUMAN-ENF2]]</f>
        <v>5</v>
      </c>
      <c r="X365">
        <f t="shared" si="138"/>
        <v>0.44444444444444442</v>
      </c>
      <c r="Y365" s="32">
        <f t="shared" si="139"/>
        <v>0.61111111111111116</v>
      </c>
      <c r="Z365" s="32">
        <f t="shared" si="140"/>
        <v>0.38888888888888884</v>
      </c>
      <c r="AA365">
        <f>step3_validation[[#This Row],[AI_FAC1]]</f>
        <v>9</v>
      </c>
      <c r="AB365">
        <f t="shared" si="141"/>
        <v>0.88888888888888884</v>
      </c>
      <c r="AC365">
        <f>survey_responses[[#This Row],[Các thủ tục khai báo thuế VÀ/HOẶC quy trình làm việc với cơ quan thuế đơn giản, tiện lợi, nhanh chóng hơn so với trước đây. - HUMAN-FAC1]]</f>
        <v>5</v>
      </c>
      <c r="AD365">
        <f t="shared" si="142"/>
        <v>0.44444444444444442</v>
      </c>
      <c r="AE365">
        <f>step3_validation[[#This Row],[AI_FAC2]]</f>
        <v>8</v>
      </c>
      <c r="AF365">
        <f t="shared" si="143"/>
        <v>0.77777777777777779</v>
      </c>
      <c r="AG365">
        <f>survey_responses[[#This Row],[So với trước đây, tôi thấy cách tính thuế và các bậc thuế trong phương án mới đơn giản, dễ hiểu và dễ thực hiện hơn. - HUMAN-FAC2]]</f>
        <v>7</v>
      </c>
      <c r="AH365">
        <f t="shared" si="144"/>
        <v>0.66666666666666663</v>
      </c>
      <c r="AI365" s="32">
        <f t="shared" si="145"/>
        <v>0.83333333333333326</v>
      </c>
      <c r="AJ365" s="32">
        <f t="shared" si="146"/>
        <v>0.55555555555555558</v>
      </c>
      <c r="AK365">
        <f>step3_validation[[#This Row],[AI_TRU1]]</f>
        <v>9</v>
      </c>
      <c r="AL365">
        <f t="shared" si="147"/>
        <v>0.88888888888888884</v>
      </c>
      <c r="AM365">
        <f>survey_responses[[#This Row],[Tôi tin rằng Nhà nước, cơ quan thuế sẽ thực thi chính sách mới một cách khách quan, công tâm và đối xử bình đẳng với mọi người nộp thuế.  - HUMAN-TRU1]]</f>
        <v>5</v>
      </c>
      <c r="AN365">
        <f t="shared" si="148"/>
        <v>0.44444444444444442</v>
      </c>
      <c r="AO365">
        <f>step3_validation[[#This Row],[AI_TRU2]]</f>
        <v>8</v>
      </c>
      <c r="AP365">
        <f t="shared" si="149"/>
        <v>0.77777777777777779</v>
      </c>
      <c r="AQ365">
        <f>survey_responses[[#This Row],[Tôi thấy mức thuế tôi phải đóng theo phương án mới là công bằng (người thu nhập như tôi đóng mức này là hợp lý). - HUMAN-TRU2]]</f>
        <v>7</v>
      </c>
      <c r="AR365">
        <f t="shared" si="150"/>
        <v>0.66666666666666663</v>
      </c>
      <c r="AS365">
        <f>step3_validation[[#This Row],[AI_TRU3]]</f>
        <v>9</v>
      </c>
      <c r="AT365">
        <f t="shared" si="151"/>
        <v>0.88888888888888884</v>
      </c>
      <c r="AU365">
        <f>survey_responses[[#This Row],[Tôi tin tưởng số tiền thuế tôi đóng sẽ được Nhà nước sử dụng hiệu quả để cải thiện dịch vụ công (y tế, đường xá...). - HUMAN-TRU3]]</f>
        <v>5</v>
      </c>
      <c r="AV365">
        <f t="shared" si="152"/>
        <v>0.44444444444444442</v>
      </c>
      <c r="AW365">
        <f>step3_validation[[#This Row],[AI_TRU4]]</f>
        <v>7</v>
      </c>
      <c r="AX365">
        <f t="shared" si="153"/>
        <v>0.66666666666666663</v>
      </c>
      <c r="AY365">
        <f>survey_responses[[#This Row],[Tôi thấy Nhà nước đã giải thích rõ ràng, minh bạch về lý do và mục tiêu của việc sửa đổi thuế lần này. - HUMAN-TRU4]]</f>
        <v>6</v>
      </c>
      <c r="AZ365">
        <f t="shared" si="154"/>
        <v>0.55555555555555558</v>
      </c>
      <c r="BA365" s="32">
        <f t="shared" si="155"/>
        <v>0.80555555555555547</v>
      </c>
      <c r="BB365" s="32">
        <f t="shared" si="156"/>
        <v>0.52777777777777779</v>
      </c>
      <c r="BC365" s="7">
        <f t="shared" si="157"/>
        <v>0.75</v>
      </c>
      <c r="BD365" s="7">
        <f t="shared" si="158"/>
        <v>0.49074074074074076</v>
      </c>
      <c r="BE365">
        <f>step3_validation[[#This Row],[AI_OUT1]]</f>
        <v>9</v>
      </c>
      <c r="BF365">
        <f t="shared" si="159"/>
        <v>0.88888888888888884</v>
      </c>
      <c r="BG365">
        <f>survey_responses[[#This Row],[Sau khi xem xét các quyền lợi và nghĩa vụ, bạn có ủng hộ và tuân thủ chính sách mới hiện nay? - HUMAN-OUT1]]</f>
        <v>7</v>
      </c>
      <c r="BH365">
        <f t="shared" si="160"/>
        <v>0.66666666666666663</v>
      </c>
      <c r="BI365" s="32">
        <f t="shared" si="161"/>
        <v>2</v>
      </c>
    </row>
    <row r="366" spans="1:61" x14ac:dyDescent="0.45">
      <c r="A366" s="30">
        <f>step3_validation[[#This Row],[Persona_ID]]</f>
        <v>365</v>
      </c>
      <c r="B366" s="31">
        <f>step3_validation[[#This Row],[Used_Seed]]</f>
        <v>2355</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39.830690095258355</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f t="shared" si="135"/>
        <v>0.66666666666666663</v>
      </c>
      <c r="S366">
        <f>survey_responses[[#This Row],[Tôi tin rằng với các quy định quản lý thuế hiện nay, hành vi gian lận hoặc trốn thuế sẽ dễ dàng bị phát hiện và xử lý nghiêm. - HUMAN-ENF1]]</f>
        <v>9</v>
      </c>
      <c r="T366">
        <f t="shared" si="136"/>
        <v>0.88888888888888884</v>
      </c>
      <c r="U366">
        <f>step3_validation[[#This Row],[AI_ENF2]]</f>
        <v>7</v>
      </c>
      <c r="V366">
        <f t="shared" si="137"/>
        <v>0.66666666666666663</v>
      </c>
      <c r="W366">
        <f>survey_responses[[#This Row],[Tôi tin rằng Nhà nước, cơ quan thuế có đủ khả năng và công nghệ để phát hiện, xử lý nghiêm các hành vi trốn thuế. - HUMAN-ENF2]]</f>
        <v>9</v>
      </c>
      <c r="X366">
        <f t="shared" si="138"/>
        <v>0.88888888888888884</v>
      </c>
      <c r="Y366" s="32">
        <f t="shared" si="139"/>
        <v>0.66666666666666663</v>
      </c>
      <c r="Z366" s="32">
        <f t="shared" si="140"/>
        <v>0.88888888888888884</v>
      </c>
      <c r="AA366">
        <f>step3_validation[[#This Row],[AI_FAC1]]</f>
        <v>8</v>
      </c>
      <c r="AB366">
        <f t="shared" si="141"/>
        <v>0.77777777777777779</v>
      </c>
      <c r="AC366">
        <f>survey_responses[[#This Row],[Các thủ tục khai báo thuế VÀ/HOẶC quy trình làm việc với cơ quan thuế đơn giản, tiện lợi, nhanh chóng hơn so với trước đây. - HUMAN-FAC1]]</f>
        <v>8</v>
      </c>
      <c r="AD366">
        <f t="shared" si="142"/>
        <v>0.77777777777777779</v>
      </c>
      <c r="AE366">
        <f>step3_validation[[#This Row],[AI_FAC2]]</f>
        <v>9</v>
      </c>
      <c r="AF366">
        <f t="shared" si="143"/>
        <v>0.88888888888888884</v>
      </c>
      <c r="AG366">
        <f>survey_responses[[#This Row],[So với trước đây, tôi thấy cách tính thuế và các bậc thuế trong phương án mới đơn giản, dễ hiểu và dễ thực hiện hơn. - HUMAN-FAC2]]</f>
        <v>9</v>
      </c>
      <c r="AH366">
        <f t="shared" si="144"/>
        <v>0.88888888888888884</v>
      </c>
      <c r="AI366" s="32">
        <f t="shared" si="145"/>
        <v>0.83333333333333326</v>
      </c>
      <c r="AJ366" s="32">
        <f t="shared" si="146"/>
        <v>0.83333333333333326</v>
      </c>
      <c r="AK366">
        <f>step3_validation[[#This Row],[AI_TRU1]]</f>
        <v>6</v>
      </c>
      <c r="AL366">
        <f t="shared" si="147"/>
        <v>0.55555555555555558</v>
      </c>
      <c r="AM366">
        <f>survey_responses[[#This Row],[Tôi tin rằng Nhà nước, cơ quan thuế sẽ thực thi chính sách mới một cách khách quan, công tâm và đối xử bình đẳng với mọi người nộp thuế.  - HUMAN-TRU1]]</f>
        <v>9</v>
      </c>
      <c r="AN366">
        <f t="shared" si="148"/>
        <v>0.88888888888888884</v>
      </c>
      <c r="AO366">
        <f>step3_validation[[#This Row],[AI_TRU2]]</f>
        <v>8</v>
      </c>
      <c r="AP366">
        <f t="shared" si="149"/>
        <v>0.77777777777777779</v>
      </c>
      <c r="AQ366">
        <f>survey_responses[[#This Row],[Tôi thấy mức thuế tôi phải đóng theo phương án mới là công bằng (người thu nhập như tôi đóng mức này là hợp lý). - HUMAN-TRU2]]</f>
        <v>7</v>
      </c>
      <c r="AR366">
        <f t="shared" si="150"/>
        <v>0.66666666666666663</v>
      </c>
      <c r="AS366">
        <f>step3_validation[[#This Row],[AI_TRU3]]</f>
        <v>7</v>
      </c>
      <c r="AT366">
        <f t="shared" si="151"/>
        <v>0.66666666666666663</v>
      </c>
      <c r="AU366">
        <f>survey_responses[[#This Row],[Tôi tin tưởng số tiền thuế tôi đóng sẽ được Nhà nước sử dụng hiệu quả để cải thiện dịch vụ công (y tế, đường xá...). - HUMAN-TRU3]]</f>
        <v>7</v>
      </c>
      <c r="AV366">
        <f t="shared" si="152"/>
        <v>0.66666666666666663</v>
      </c>
      <c r="AW366">
        <f>step3_validation[[#This Row],[AI_TRU4]]</f>
        <v>6</v>
      </c>
      <c r="AX366">
        <f t="shared" si="153"/>
        <v>0.55555555555555558</v>
      </c>
      <c r="AY366">
        <f>survey_responses[[#This Row],[Tôi thấy Nhà nước đã giải thích rõ ràng, minh bạch về lý do và mục tiêu của việc sửa đổi thuế lần này. - HUMAN-TRU4]]</f>
        <v>7</v>
      </c>
      <c r="AZ366">
        <f t="shared" si="154"/>
        <v>0.66666666666666663</v>
      </c>
      <c r="BA366" s="32">
        <f t="shared" si="155"/>
        <v>0.63888888888888884</v>
      </c>
      <c r="BB366" s="32">
        <f t="shared" si="156"/>
        <v>0.7222222222222221</v>
      </c>
      <c r="BC366" s="7">
        <f t="shared" si="157"/>
        <v>0.71296296296296291</v>
      </c>
      <c r="BD366" s="7">
        <f t="shared" si="158"/>
        <v>0.81481481481481477</v>
      </c>
      <c r="BE366">
        <f>step3_validation[[#This Row],[AI_OUT1]]</f>
        <v>8</v>
      </c>
      <c r="BF366">
        <f t="shared" si="159"/>
        <v>0.77777777777777779</v>
      </c>
      <c r="BG366">
        <f>survey_responses[[#This Row],[Sau khi xem xét các quyền lợi và nghĩa vụ, bạn có ủng hộ và tuân thủ chính sách mới hiện nay? - HUMAN-OUT1]]</f>
        <v>7</v>
      </c>
      <c r="BH366">
        <f t="shared" si="160"/>
        <v>0.66666666666666663</v>
      </c>
      <c r="BI366" s="32">
        <f t="shared" si="161"/>
        <v>1</v>
      </c>
    </row>
    <row r="367" spans="1:61" x14ac:dyDescent="0.45">
      <c r="A367" s="30">
        <f>step3_validation[[#This Row],[Persona_ID]]</f>
        <v>366</v>
      </c>
      <c r="B367" s="31">
        <f>step3_validation[[#This Row],[Used_Seed]]</f>
        <v>2356</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51.45867378392812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6</v>
      </c>
      <c r="R367">
        <f t="shared" si="135"/>
        <v>0.55555555555555558</v>
      </c>
      <c r="S367">
        <f>survey_responses[[#This Row],[Tôi tin rằng với các quy định quản lý thuế hiện nay, hành vi gian lận hoặc trốn thuế sẽ dễ dàng bị phát hiện và xử lý nghiêm. - HUMAN-ENF1]]</f>
        <v>7</v>
      </c>
      <c r="T367">
        <f t="shared" si="136"/>
        <v>0.66666666666666663</v>
      </c>
      <c r="U367">
        <f>step3_validation[[#This Row],[AI_ENF2]]</f>
        <v>7</v>
      </c>
      <c r="V367">
        <f t="shared" si="137"/>
        <v>0.66666666666666663</v>
      </c>
      <c r="W367">
        <f>survey_responses[[#This Row],[Tôi tin rằng Nhà nước, cơ quan thuế có đủ khả năng và công nghệ để phát hiện, xử lý nghiêm các hành vi trốn thuế. - HUMAN-ENF2]]</f>
        <v>8</v>
      </c>
      <c r="X367">
        <f t="shared" si="138"/>
        <v>0.77777777777777779</v>
      </c>
      <c r="Y367" s="32">
        <f t="shared" si="139"/>
        <v>0.61111111111111116</v>
      </c>
      <c r="Z367" s="32">
        <f t="shared" si="140"/>
        <v>0.72222222222222221</v>
      </c>
      <c r="AA367">
        <f>step3_validation[[#This Row],[AI_FAC1]]</f>
        <v>8</v>
      </c>
      <c r="AB367">
        <f t="shared" si="141"/>
        <v>0.77777777777777779</v>
      </c>
      <c r="AC367">
        <f>survey_responses[[#This Row],[Các thủ tục khai báo thuế VÀ/HOẶC quy trình làm việc với cơ quan thuế đơn giản, tiện lợi, nhanh chóng hơn so với trước đây. - HUMAN-FAC1]]</f>
        <v>8</v>
      </c>
      <c r="AD367">
        <f t="shared" si="142"/>
        <v>0.77777777777777779</v>
      </c>
      <c r="AE367">
        <f>step3_validation[[#This Row],[AI_FAC2]]</f>
        <v>9</v>
      </c>
      <c r="AF367">
        <f t="shared" si="143"/>
        <v>0.88888888888888884</v>
      </c>
      <c r="AG367">
        <f>survey_responses[[#This Row],[So với trước đây, tôi thấy cách tính thuế và các bậc thuế trong phương án mới đơn giản, dễ hiểu và dễ thực hiện hơn. - HUMAN-FAC2]]</f>
        <v>8</v>
      </c>
      <c r="AH367">
        <f t="shared" si="144"/>
        <v>0.77777777777777779</v>
      </c>
      <c r="AI367" s="32">
        <f t="shared" si="145"/>
        <v>0.83333333333333326</v>
      </c>
      <c r="AJ367" s="32">
        <f t="shared" si="146"/>
        <v>0.77777777777777779</v>
      </c>
      <c r="AK367">
        <f>step3_validation[[#This Row],[AI_TRU1]]</f>
        <v>8</v>
      </c>
      <c r="AL367">
        <f t="shared" si="147"/>
        <v>0.77777777777777779</v>
      </c>
      <c r="AM367">
        <f>survey_responses[[#This Row],[Tôi tin rằng Nhà nước, cơ quan thuế sẽ thực thi chính sách mới một cách khách quan, công tâm và đối xử bình đẳng với mọi người nộp thuế.  - HUMAN-TRU1]]</f>
        <v>5</v>
      </c>
      <c r="AN367">
        <f t="shared" si="148"/>
        <v>0.44444444444444442</v>
      </c>
      <c r="AO367">
        <f>step3_validation[[#This Row],[AI_TRU2]]</f>
        <v>9</v>
      </c>
      <c r="AP367">
        <f t="shared" si="149"/>
        <v>0.88888888888888884</v>
      </c>
      <c r="AQ367">
        <f>survey_responses[[#This Row],[Tôi thấy mức thuế tôi phải đóng theo phương án mới là công bằng (người thu nhập như tôi đóng mức này là hợp lý). - HUMAN-TRU2]]</f>
        <v>6</v>
      </c>
      <c r="AR367">
        <f t="shared" si="150"/>
        <v>0.55555555555555558</v>
      </c>
      <c r="AS367">
        <f>step3_validation[[#This Row],[AI_TRU3]]</f>
        <v>7</v>
      </c>
      <c r="AT367">
        <f t="shared" si="151"/>
        <v>0.66666666666666663</v>
      </c>
      <c r="AU367">
        <f>survey_responses[[#This Row],[Tôi tin tưởng số tiền thuế tôi đóng sẽ được Nhà nước sử dụng hiệu quả để cải thiện dịch vụ công (y tế, đường xá...). - HUMAN-TRU3]]</f>
        <v>5</v>
      </c>
      <c r="AV367">
        <f t="shared" si="152"/>
        <v>0.44444444444444442</v>
      </c>
      <c r="AW367">
        <f>step3_validation[[#This Row],[AI_TRU4]]</f>
        <v>9</v>
      </c>
      <c r="AX367">
        <f t="shared" si="153"/>
        <v>0.88888888888888884</v>
      </c>
      <c r="AY367">
        <f>survey_responses[[#This Row],[Tôi thấy Nhà nước đã giải thích rõ ràng, minh bạch về lý do và mục tiêu của việc sửa đổi thuế lần này. - HUMAN-TRU4]]</f>
        <v>6</v>
      </c>
      <c r="AZ367">
        <f t="shared" si="154"/>
        <v>0.55555555555555558</v>
      </c>
      <c r="BA367" s="32">
        <f t="shared" si="155"/>
        <v>0.80555555555555547</v>
      </c>
      <c r="BB367" s="32">
        <f t="shared" si="156"/>
        <v>0.5</v>
      </c>
      <c r="BC367" s="7">
        <f t="shared" si="157"/>
        <v>0.75</v>
      </c>
      <c r="BD367" s="7">
        <f t="shared" si="158"/>
        <v>0.66666666666666663</v>
      </c>
      <c r="BE367">
        <f>step3_validation[[#This Row],[AI_OUT1]]</f>
        <v>8</v>
      </c>
      <c r="BF367">
        <f t="shared" si="159"/>
        <v>0.77777777777777779</v>
      </c>
      <c r="BG367">
        <f>survey_responses[[#This Row],[Sau khi xem xét các quyền lợi và nghĩa vụ, bạn có ủng hộ và tuân thủ chính sách mới hiện nay? - HUMAN-OUT1]]</f>
        <v>6</v>
      </c>
      <c r="BH367">
        <f t="shared" si="160"/>
        <v>0.55555555555555558</v>
      </c>
      <c r="BI367" s="32">
        <f t="shared" si="161"/>
        <v>2</v>
      </c>
    </row>
    <row r="368" spans="1:61" x14ac:dyDescent="0.45">
      <c r="A368" s="30">
        <f>step3_validation[[#This Row],[Persona_ID]]</f>
        <v>367</v>
      </c>
      <c r="B368" s="31">
        <f>step3_validation[[#This Row],[Used_Seed]]</f>
        <v>2357</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12.963323804232729</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6</v>
      </c>
      <c r="R368">
        <f t="shared" si="135"/>
        <v>0.55555555555555558</v>
      </c>
      <c r="S368">
        <f>survey_responses[[#This Row],[Tôi tin rằng với các quy định quản lý thuế hiện nay, hành vi gian lận hoặc trốn thuế sẽ dễ dàng bị phát hiện và xử lý nghiêm. - HUMAN-ENF1]]</f>
        <v>8</v>
      </c>
      <c r="T368">
        <f t="shared" si="136"/>
        <v>0.77777777777777779</v>
      </c>
      <c r="U368">
        <f>step3_validation[[#This Row],[AI_ENF2]]</f>
        <v>7</v>
      </c>
      <c r="V368">
        <f t="shared" si="137"/>
        <v>0.66666666666666663</v>
      </c>
      <c r="W368">
        <f>survey_responses[[#This Row],[Tôi tin rằng Nhà nước, cơ quan thuế có đủ khả năng và công nghệ để phát hiện, xử lý nghiêm các hành vi trốn thuế. - HUMAN-ENF2]]</f>
        <v>9</v>
      </c>
      <c r="X368">
        <f t="shared" si="138"/>
        <v>0.88888888888888884</v>
      </c>
      <c r="Y368" s="32">
        <f t="shared" si="139"/>
        <v>0.61111111111111116</v>
      </c>
      <c r="Z368" s="32">
        <f t="shared" si="140"/>
        <v>0.83333333333333326</v>
      </c>
      <c r="AA368">
        <f>step3_validation[[#This Row],[AI_FAC1]]</f>
        <v>9</v>
      </c>
      <c r="AB368">
        <f t="shared" si="141"/>
        <v>0.88888888888888884</v>
      </c>
      <c r="AC368">
        <f>survey_responses[[#This Row],[Các thủ tục khai báo thuế VÀ/HOẶC quy trình làm việc với cơ quan thuế đơn giản, tiện lợi, nhanh chóng hơn so với trước đây. - HUMAN-FAC1]]</f>
        <v>8</v>
      </c>
      <c r="AD368">
        <f t="shared" si="142"/>
        <v>0.77777777777777779</v>
      </c>
      <c r="AE368">
        <f>step3_validation[[#This Row],[AI_FAC2]]</f>
        <v>8</v>
      </c>
      <c r="AF368">
        <f t="shared" si="143"/>
        <v>0.77777777777777779</v>
      </c>
      <c r="AG368">
        <f>survey_responses[[#This Row],[So với trước đây, tôi thấy cách tính thuế và các bậc thuế trong phương án mới đơn giản, dễ hiểu và dễ thực hiện hơn. - HUMAN-FAC2]]</f>
        <v>8</v>
      </c>
      <c r="AH368">
        <f t="shared" si="144"/>
        <v>0.77777777777777779</v>
      </c>
      <c r="AI368" s="32">
        <f t="shared" si="145"/>
        <v>0.83333333333333326</v>
      </c>
      <c r="AJ368" s="32">
        <f t="shared" si="146"/>
        <v>0.77777777777777779</v>
      </c>
      <c r="AK368">
        <f>step3_validation[[#This Row],[AI_TRU1]]</f>
        <v>9</v>
      </c>
      <c r="AL368">
        <f t="shared" si="147"/>
        <v>0.88888888888888884</v>
      </c>
      <c r="AM368">
        <f>survey_responses[[#This Row],[Tôi tin rằng Nhà nước, cơ quan thuế sẽ thực thi chính sách mới một cách khách quan, công tâm và đối xử bình đẳng với mọi người nộp thuế.  - HUMAN-TRU1]]</f>
        <v>9</v>
      </c>
      <c r="AN368">
        <f t="shared" si="148"/>
        <v>0.88888888888888884</v>
      </c>
      <c r="AO368">
        <f>step3_validation[[#This Row],[AI_TRU2]]</f>
        <v>8</v>
      </c>
      <c r="AP368">
        <f t="shared" si="149"/>
        <v>0.77777777777777779</v>
      </c>
      <c r="AQ368">
        <f>survey_responses[[#This Row],[Tôi thấy mức thuế tôi phải đóng theo phương án mới là công bằng (người thu nhập như tôi đóng mức này là hợp lý). - HUMAN-TRU2]]</f>
        <v>10</v>
      </c>
      <c r="AR368">
        <f t="shared" si="150"/>
        <v>1</v>
      </c>
      <c r="AS368">
        <f>step3_validation[[#This Row],[AI_TRU3]]</f>
        <v>9</v>
      </c>
      <c r="AT368">
        <f t="shared" si="151"/>
        <v>0.88888888888888884</v>
      </c>
      <c r="AU368">
        <f>survey_responses[[#This Row],[Tôi tin tưởng số tiền thuế tôi đóng sẽ được Nhà nước sử dụng hiệu quả để cải thiện dịch vụ công (y tế, đường xá...). - HUMAN-TRU3]]</f>
        <v>10</v>
      </c>
      <c r="AV368">
        <f t="shared" si="152"/>
        <v>1</v>
      </c>
      <c r="AW368">
        <f>step3_validation[[#This Row],[AI_TRU4]]</f>
        <v>8</v>
      </c>
      <c r="AX368">
        <f t="shared" si="153"/>
        <v>0.77777777777777779</v>
      </c>
      <c r="AY368">
        <f>survey_responses[[#This Row],[Tôi thấy Nhà nước đã giải thích rõ ràng, minh bạch về lý do và mục tiêu của việc sửa đổi thuế lần này. - HUMAN-TRU4]]</f>
        <v>9</v>
      </c>
      <c r="AZ368">
        <f t="shared" si="154"/>
        <v>0.88888888888888884</v>
      </c>
      <c r="BA368" s="32">
        <f t="shared" si="155"/>
        <v>0.83333333333333326</v>
      </c>
      <c r="BB368" s="32">
        <f t="shared" si="156"/>
        <v>0.94444444444444442</v>
      </c>
      <c r="BC368" s="7">
        <f t="shared" si="157"/>
        <v>0.75925925925925919</v>
      </c>
      <c r="BD368" s="7">
        <f t="shared" si="158"/>
        <v>0.85185185185185175</v>
      </c>
      <c r="BE368">
        <f>step3_validation[[#This Row],[AI_OUT1]]</f>
        <v>9</v>
      </c>
      <c r="BF368">
        <f t="shared" si="159"/>
        <v>0.88888888888888884</v>
      </c>
      <c r="BG368">
        <f>survey_responses[[#This Row],[Sau khi xem xét các quyền lợi và nghĩa vụ, bạn có ủng hộ và tuân thủ chính sách mới hiện nay? - HUMAN-OUT1]]</f>
        <v>10</v>
      </c>
      <c r="BH368">
        <f t="shared" si="160"/>
        <v>1</v>
      </c>
      <c r="BI368" s="32">
        <f t="shared" si="161"/>
        <v>1</v>
      </c>
    </row>
    <row r="369" spans="1:61" x14ac:dyDescent="0.45">
      <c r="A369" s="30">
        <f>step3_validation[[#This Row],[Persona_ID]]</f>
        <v>368</v>
      </c>
      <c r="B369" s="31">
        <f>step3_validation[[#This Row],[Used_Seed]]</f>
        <v>2358</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29.994046877652671</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f t="shared" si="135"/>
        <v>0.55555555555555558</v>
      </c>
      <c r="S369">
        <f>survey_responses[[#This Row],[Tôi tin rằng với các quy định quản lý thuế hiện nay, hành vi gian lận hoặc trốn thuế sẽ dễ dàng bị phát hiện và xử lý nghiêm. - HUMAN-ENF1]]</f>
        <v>7</v>
      </c>
      <c r="T369">
        <f t="shared" si="136"/>
        <v>0.66666666666666663</v>
      </c>
      <c r="U369">
        <f>step3_validation[[#This Row],[AI_ENF2]]</f>
        <v>5</v>
      </c>
      <c r="V369">
        <f t="shared" si="137"/>
        <v>0.44444444444444442</v>
      </c>
      <c r="W369">
        <f>survey_responses[[#This Row],[Tôi tin rằng Nhà nước, cơ quan thuế có đủ khả năng và công nghệ để phát hiện, xử lý nghiêm các hành vi trốn thuế. - HUMAN-ENF2]]</f>
        <v>7</v>
      </c>
      <c r="X369">
        <f t="shared" si="138"/>
        <v>0.66666666666666663</v>
      </c>
      <c r="Y369" s="32">
        <f t="shared" si="139"/>
        <v>0.5</v>
      </c>
      <c r="Z369" s="32">
        <f t="shared" si="140"/>
        <v>0.66666666666666663</v>
      </c>
      <c r="AA369">
        <f>step3_validation[[#This Row],[AI_FAC1]]</f>
        <v>8</v>
      </c>
      <c r="AB369">
        <f t="shared" si="141"/>
        <v>0.77777777777777779</v>
      </c>
      <c r="AC369">
        <f>survey_responses[[#This Row],[Các thủ tục khai báo thuế VÀ/HOẶC quy trình làm việc với cơ quan thuế đơn giản, tiện lợi, nhanh chóng hơn so với trước đây. - HUMAN-FAC1]]</f>
        <v>8</v>
      </c>
      <c r="AD369">
        <f t="shared" si="142"/>
        <v>0.77777777777777779</v>
      </c>
      <c r="AE369">
        <f>step3_validation[[#This Row],[AI_FAC2]]</f>
        <v>9</v>
      </c>
      <c r="AF369">
        <f t="shared" si="143"/>
        <v>0.88888888888888884</v>
      </c>
      <c r="AG369">
        <f>survey_responses[[#This Row],[So với trước đây, tôi thấy cách tính thuế và các bậc thuế trong phương án mới đơn giản, dễ hiểu và dễ thực hiện hơn. - HUMAN-FAC2]]</f>
        <v>8</v>
      </c>
      <c r="AH369">
        <f t="shared" si="144"/>
        <v>0.77777777777777779</v>
      </c>
      <c r="AI369" s="32">
        <f t="shared" si="145"/>
        <v>0.83333333333333326</v>
      </c>
      <c r="AJ369" s="32">
        <f t="shared" si="146"/>
        <v>0.77777777777777779</v>
      </c>
      <c r="AK369">
        <f>step3_validation[[#This Row],[AI_TRU1]]</f>
        <v>7</v>
      </c>
      <c r="AL369">
        <f t="shared" si="147"/>
        <v>0.66666666666666663</v>
      </c>
      <c r="AM369">
        <f>survey_responses[[#This Row],[Tôi tin rằng Nhà nước, cơ quan thuế sẽ thực thi chính sách mới một cách khách quan, công tâm và đối xử bình đẳng với mọi người nộp thuế.  - HUMAN-TRU1]]</f>
        <v>6</v>
      </c>
      <c r="AN369">
        <f t="shared" si="148"/>
        <v>0.55555555555555558</v>
      </c>
      <c r="AO369">
        <f>step3_validation[[#This Row],[AI_TRU2]]</f>
        <v>9</v>
      </c>
      <c r="AP369">
        <f t="shared" si="149"/>
        <v>0.88888888888888884</v>
      </c>
      <c r="AQ369">
        <f>survey_responses[[#This Row],[Tôi thấy mức thuế tôi phải đóng theo phương án mới là công bằng (người thu nhập như tôi đóng mức này là hợp lý). - HUMAN-TRU2]]</f>
        <v>8</v>
      </c>
      <c r="AR369">
        <f t="shared" si="150"/>
        <v>0.77777777777777779</v>
      </c>
      <c r="AS369">
        <f>step3_validation[[#This Row],[AI_TRU3]]</f>
        <v>8</v>
      </c>
      <c r="AT369">
        <f t="shared" si="151"/>
        <v>0.77777777777777779</v>
      </c>
      <c r="AU369">
        <f>survey_responses[[#This Row],[Tôi tin tưởng số tiền thuế tôi đóng sẽ được Nhà nước sử dụng hiệu quả để cải thiện dịch vụ công (y tế, đường xá...). - HUMAN-TRU3]]</f>
        <v>6</v>
      </c>
      <c r="AV369">
        <f t="shared" si="152"/>
        <v>0.55555555555555558</v>
      </c>
      <c r="AW369">
        <f>step3_validation[[#This Row],[AI_TRU4]]</f>
        <v>7</v>
      </c>
      <c r="AX369">
        <f t="shared" si="153"/>
        <v>0.66666666666666663</v>
      </c>
      <c r="AY369">
        <f>survey_responses[[#This Row],[Tôi thấy Nhà nước đã giải thích rõ ràng, minh bạch về lý do và mục tiêu của việc sửa đổi thuế lần này. - HUMAN-TRU4]]</f>
        <v>7</v>
      </c>
      <c r="AZ369">
        <f t="shared" si="154"/>
        <v>0.66666666666666663</v>
      </c>
      <c r="BA369" s="32">
        <f t="shared" si="155"/>
        <v>0.74999999999999989</v>
      </c>
      <c r="BB369" s="32">
        <f t="shared" si="156"/>
        <v>0.63888888888888895</v>
      </c>
      <c r="BC369" s="7">
        <f t="shared" si="157"/>
        <v>0.69444444444444431</v>
      </c>
      <c r="BD369" s="7">
        <f t="shared" si="158"/>
        <v>0.69444444444444453</v>
      </c>
      <c r="BE369">
        <f>step3_validation[[#This Row],[AI_OUT1]]</f>
        <v>9</v>
      </c>
      <c r="BF369">
        <f t="shared" si="159"/>
        <v>0.88888888888888884</v>
      </c>
      <c r="BG369">
        <f>survey_responses[[#This Row],[Sau khi xem xét các quyền lợi và nghĩa vụ, bạn có ủng hộ và tuân thủ chính sách mới hiện nay? - HUMAN-OUT1]]</f>
        <v>8</v>
      </c>
      <c r="BH369">
        <f t="shared" si="160"/>
        <v>0.77777777777777779</v>
      </c>
      <c r="BI369" s="32">
        <f t="shared" si="161"/>
        <v>1</v>
      </c>
    </row>
    <row r="370" spans="1:61" x14ac:dyDescent="0.45">
      <c r="A370" s="30">
        <f>step3_validation[[#This Row],[Persona_ID]]</f>
        <v>369</v>
      </c>
      <c r="B370" s="31">
        <f>step3_validation[[#This Row],[Used_Seed]]</f>
        <v>2359</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12.136423705738206</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8</v>
      </c>
      <c r="R370">
        <f t="shared" si="135"/>
        <v>0.77777777777777779</v>
      </c>
      <c r="S370">
        <f>survey_responses[[#This Row],[Tôi tin rằng với các quy định quản lý thuế hiện nay, hành vi gian lận hoặc trốn thuế sẽ dễ dàng bị phát hiện và xử lý nghiêm. - HUMAN-ENF1]]</f>
        <v>6</v>
      </c>
      <c r="T370">
        <f t="shared" si="136"/>
        <v>0.55555555555555558</v>
      </c>
      <c r="U370">
        <f>step3_validation[[#This Row],[AI_ENF2]]</f>
        <v>8</v>
      </c>
      <c r="V370">
        <f t="shared" si="137"/>
        <v>0.77777777777777779</v>
      </c>
      <c r="W370">
        <f>survey_responses[[#This Row],[Tôi tin rằng Nhà nước, cơ quan thuế có đủ khả năng và công nghệ để phát hiện, xử lý nghiêm các hành vi trốn thuế. - HUMAN-ENF2]]</f>
        <v>6</v>
      </c>
      <c r="X370">
        <f t="shared" si="138"/>
        <v>0.55555555555555558</v>
      </c>
      <c r="Y370" s="32">
        <f t="shared" si="139"/>
        <v>0.77777777777777779</v>
      </c>
      <c r="Z370" s="32">
        <f t="shared" si="140"/>
        <v>0.55555555555555558</v>
      </c>
      <c r="AA370">
        <f>step3_validation[[#This Row],[AI_FAC1]]</f>
        <v>9</v>
      </c>
      <c r="AB370">
        <f t="shared" si="141"/>
        <v>0.88888888888888884</v>
      </c>
      <c r="AC370">
        <f>survey_responses[[#This Row],[Các thủ tục khai báo thuế VÀ/HOẶC quy trình làm việc với cơ quan thuế đơn giản, tiện lợi, nhanh chóng hơn so với trước đây. - HUMAN-FAC1]]</f>
        <v>8</v>
      </c>
      <c r="AD370">
        <f t="shared" si="142"/>
        <v>0.77777777777777779</v>
      </c>
      <c r="AE370">
        <f>step3_validation[[#This Row],[AI_FAC2]]</f>
        <v>9</v>
      </c>
      <c r="AF370">
        <f t="shared" si="143"/>
        <v>0.88888888888888884</v>
      </c>
      <c r="AG370">
        <f>survey_responses[[#This Row],[So với trước đây, tôi thấy cách tính thuế và các bậc thuế trong phương án mới đơn giản, dễ hiểu và dễ thực hiện hơn. - HUMAN-FAC2]]</f>
        <v>9</v>
      </c>
      <c r="AH370">
        <f t="shared" si="144"/>
        <v>0.88888888888888884</v>
      </c>
      <c r="AI370" s="32">
        <f t="shared" si="145"/>
        <v>0.88888888888888884</v>
      </c>
      <c r="AJ370" s="32">
        <f t="shared" si="146"/>
        <v>0.83333333333333326</v>
      </c>
      <c r="AK370">
        <f>step3_validation[[#This Row],[AI_TRU1]]</f>
        <v>8</v>
      </c>
      <c r="AL370">
        <f t="shared" si="147"/>
        <v>0.77777777777777779</v>
      </c>
      <c r="AM370">
        <f>survey_responses[[#This Row],[Tôi tin rằng Nhà nước, cơ quan thuế sẽ thực thi chính sách mới một cách khách quan, công tâm và đối xử bình đẳng với mọi người nộp thuế.  - HUMAN-TRU1]]</f>
        <v>8</v>
      </c>
      <c r="AN370">
        <f t="shared" si="148"/>
        <v>0.77777777777777779</v>
      </c>
      <c r="AO370">
        <f>step3_validation[[#This Row],[AI_TRU2]]</f>
        <v>9</v>
      </c>
      <c r="AP370">
        <f t="shared" si="149"/>
        <v>0.88888888888888884</v>
      </c>
      <c r="AQ370">
        <f>survey_responses[[#This Row],[Tôi thấy mức thuế tôi phải đóng theo phương án mới là công bằng (người thu nhập như tôi đóng mức này là hợp lý). - HUMAN-TRU2]]</f>
        <v>8</v>
      </c>
      <c r="AR370">
        <f t="shared" si="150"/>
        <v>0.77777777777777779</v>
      </c>
      <c r="AS370">
        <f>step3_validation[[#This Row],[AI_TRU3]]</f>
        <v>8</v>
      </c>
      <c r="AT370">
        <f t="shared" si="151"/>
        <v>0.77777777777777779</v>
      </c>
      <c r="AU370">
        <f>survey_responses[[#This Row],[Tôi tin tưởng số tiền thuế tôi đóng sẽ được Nhà nước sử dụng hiệu quả để cải thiện dịch vụ công (y tế, đường xá...). - HUMAN-TRU3]]</f>
        <v>5</v>
      </c>
      <c r="AV370">
        <f t="shared" si="152"/>
        <v>0.44444444444444442</v>
      </c>
      <c r="AW370">
        <f>step3_validation[[#This Row],[AI_TRU4]]</f>
        <v>9</v>
      </c>
      <c r="AX370">
        <f t="shared" si="153"/>
        <v>0.88888888888888884</v>
      </c>
      <c r="AY370">
        <f>survey_responses[[#This Row],[Tôi thấy Nhà nước đã giải thích rõ ràng, minh bạch về lý do và mục tiêu của việc sửa đổi thuế lần này. - HUMAN-TRU4]]</f>
        <v>7</v>
      </c>
      <c r="AZ370">
        <f t="shared" si="154"/>
        <v>0.66666666666666663</v>
      </c>
      <c r="BA370" s="32">
        <f t="shared" si="155"/>
        <v>0.83333333333333326</v>
      </c>
      <c r="BB370" s="32">
        <f t="shared" si="156"/>
        <v>0.66666666666666663</v>
      </c>
      <c r="BC370" s="7">
        <f t="shared" si="157"/>
        <v>0.83333333333333337</v>
      </c>
      <c r="BD370" s="7">
        <f t="shared" si="158"/>
        <v>0.68518518518518512</v>
      </c>
      <c r="BE370">
        <f>step3_validation[[#This Row],[AI_OUT1]]</f>
        <v>9</v>
      </c>
      <c r="BF370">
        <f t="shared" si="159"/>
        <v>0.88888888888888884</v>
      </c>
      <c r="BG370">
        <f>survey_responses[[#This Row],[Sau khi xem xét các quyền lợi và nghĩa vụ, bạn có ủng hộ và tuân thủ chính sách mới hiện nay? - HUMAN-OUT1]]</f>
        <v>8</v>
      </c>
      <c r="BH370">
        <f t="shared" si="160"/>
        <v>0.77777777777777779</v>
      </c>
      <c r="BI370" s="32">
        <f t="shared" si="161"/>
        <v>1</v>
      </c>
    </row>
    <row r="371" spans="1:61" x14ac:dyDescent="0.45">
      <c r="A371" s="30">
        <f>step3_validation[[#This Row],[Persona_ID]]</f>
        <v>370</v>
      </c>
      <c r="B371" s="31">
        <f>step3_validation[[#This Row],[Used_Seed]]</f>
        <v>2360</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20.792196320437082</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6</v>
      </c>
      <c r="R371">
        <f t="shared" si="135"/>
        <v>0.55555555555555558</v>
      </c>
      <c r="S371">
        <f>survey_responses[[#This Row],[Tôi tin rằng với các quy định quản lý thuế hiện nay, hành vi gian lận hoặc trốn thuế sẽ dễ dàng bị phát hiện và xử lý nghiêm. - HUMAN-ENF1]]</f>
        <v>6</v>
      </c>
      <c r="T371">
        <f t="shared" si="136"/>
        <v>0.55555555555555558</v>
      </c>
      <c r="U371">
        <f>step3_validation[[#This Row],[AI_ENF2]]</f>
        <v>6</v>
      </c>
      <c r="V371">
        <f t="shared" si="137"/>
        <v>0.55555555555555558</v>
      </c>
      <c r="W371">
        <f>survey_responses[[#This Row],[Tôi tin rằng Nhà nước, cơ quan thuế có đủ khả năng và công nghệ để phát hiện, xử lý nghiêm các hành vi trốn thuế. - HUMAN-ENF2]]</f>
        <v>7</v>
      </c>
      <c r="X371">
        <f t="shared" si="138"/>
        <v>0.66666666666666663</v>
      </c>
      <c r="Y371" s="32">
        <f t="shared" si="139"/>
        <v>0.55555555555555558</v>
      </c>
      <c r="Z371" s="32">
        <f t="shared" si="140"/>
        <v>0.61111111111111116</v>
      </c>
      <c r="AA371">
        <f>step3_validation[[#This Row],[AI_FAC1]]</f>
        <v>7</v>
      </c>
      <c r="AB371">
        <f t="shared" si="141"/>
        <v>0.66666666666666663</v>
      </c>
      <c r="AC371">
        <f>survey_responses[[#This Row],[Các thủ tục khai báo thuế VÀ/HOẶC quy trình làm việc với cơ quan thuế đơn giản, tiện lợi, nhanh chóng hơn so với trước đây. - HUMAN-FAC1]]</f>
        <v>7</v>
      </c>
      <c r="AD371">
        <f t="shared" si="142"/>
        <v>0.66666666666666663</v>
      </c>
      <c r="AE371">
        <f>step3_validation[[#This Row],[AI_FAC2]]</f>
        <v>8</v>
      </c>
      <c r="AF371">
        <f t="shared" si="143"/>
        <v>0.77777777777777779</v>
      </c>
      <c r="AG371">
        <f>survey_responses[[#This Row],[So với trước đây, tôi thấy cách tính thuế và các bậc thuế trong phương án mới đơn giản, dễ hiểu và dễ thực hiện hơn. - HUMAN-FAC2]]</f>
        <v>9</v>
      </c>
      <c r="AH371">
        <f t="shared" si="144"/>
        <v>0.88888888888888884</v>
      </c>
      <c r="AI371" s="32">
        <f t="shared" si="145"/>
        <v>0.72222222222222221</v>
      </c>
      <c r="AJ371" s="32">
        <f t="shared" si="146"/>
        <v>0.77777777777777768</v>
      </c>
      <c r="AK371">
        <f>step3_validation[[#This Row],[AI_TRU1]]</f>
        <v>0</v>
      </c>
      <c r="AL371">
        <f t="shared" si="147"/>
        <v>-0.1111111111111111</v>
      </c>
      <c r="AM371">
        <f>survey_responses[[#This Row],[Tôi tin rằng Nhà nước, cơ quan thuế sẽ thực thi chính sách mới một cách khách quan, công tâm và đối xử bình đẳng với mọi người nộp thuế.  - HUMAN-TRU1]]</f>
        <v>7</v>
      </c>
      <c r="AN371">
        <f t="shared" si="148"/>
        <v>0.66666666666666663</v>
      </c>
      <c r="AO371">
        <f>step3_validation[[#This Row],[AI_TRU2]]</f>
        <v>0</v>
      </c>
      <c r="AP371">
        <f t="shared" si="149"/>
        <v>-0.1111111111111111</v>
      </c>
      <c r="AQ371">
        <f>survey_responses[[#This Row],[Tôi thấy mức thuế tôi phải đóng theo phương án mới là công bằng (người thu nhập như tôi đóng mức này là hợp lý). - HUMAN-TRU2]]</f>
        <v>9</v>
      </c>
      <c r="AR371">
        <f t="shared" si="150"/>
        <v>0.88888888888888884</v>
      </c>
      <c r="AS371">
        <f>step3_validation[[#This Row],[AI_TRU3]]</f>
        <v>0</v>
      </c>
      <c r="AT371">
        <f t="shared" si="151"/>
        <v>-0.1111111111111111</v>
      </c>
      <c r="AU371">
        <f>survey_responses[[#This Row],[Tôi tin tưởng số tiền thuế tôi đóng sẽ được Nhà nước sử dụng hiệu quả để cải thiện dịch vụ công (y tế, đường xá...). - HUMAN-TRU3]]</f>
        <v>9</v>
      </c>
      <c r="AV371">
        <f t="shared" si="152"/>
        <v>0.88888888888888884</v>
      </c>
      <c r="AW371">
        <f>step3_validation[[#This Row],[AI_TRU4]]</f>
        <v>0</v>
      </c>
      <c r="AX371">
        <f t="shared" si="153"/>
        <v>-0.1111111111111111</v>
      </c>
      <c r="AY371">
        <f>survey_responses[[#This Row],[Tôi thấy Nhà nước đã giải thích rõ ràng, minh bạch về lý do và mục tiêu của việc sửa đổi thuế lần này. - HUMAN-TRU4]]</f>
        <v>9</v>
      </c>
      <c r="AZ371">
        <f t="shared" si="154"/>
        <v>0.88888888888888884</v>
      </c>
      <c r="BA371" s="32">
        <f t="shared" si="155"/>
        <v>-0.1111111111111111</v>
      </c>
      <c r="BB371" s="32">
        <f t="shared" si="156"/>
        <v>0.83333333333333326</v>
      </c>
      <c r="BC371" s="7">
        <f t="shared" si="157"/>
        <v>0.38888888888888884</v>
      </c>
      <c r="BD371" s="7">
        <f t="shared" si="158"/>
        <v>0.74074074074074081</v>
      </c>
      <c r="BE371">
        <f>step3_validation[[#This Row],[AI_OUT1]]</f>
        <v>0</v>
      </c>
      <c r="BF371">
        <f t="shared" si="159"/>
        <v>-0.1111111111111111</v>
      </c>
      <c r="BG371">
        <f>survey_responses[[#This Row],[Sau khi xem xét các quyền lợi và nghĩa vụ, bạn có ủng hộ và tuân thủ chính sách mới hiện nay? - HUMAN-OUT1]]</f>
        <v>9</v>
      </c>
      <c r="BH371">
        <f t="shared" si="160"/>
        <v>0.88888888888888884</v>
      </c>
      <c r="BI371" s="32">
        <f t="shared" si="161"/>
        <v>9</v>
      </c>
    </row>
    <row r="372" spans="1:61" x14ac:dyDescent="0.45">
      <c r="A372" s="30">
        <f>step3_validation[[#This Row],[Persona_ID]]</f>
        <v>371</v>
      </c>
      <c r="B372" s="31">
        <f>step3_validation[[#This Row],[Used_Seed]]</f>
        <v>2361</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64.658827631072882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6</v>
      </c>
      <c r="R372">
        <f t="shared" si="135"/>
        <v>0.55555555555555558</v>
      </c>
      <c r="S372">
        <f>survey_responses[[#This Row],[Tôi tin rằng với các quy định quản lý thuế hiện nay, hành vi gian lận hoặc trốn thuế sẽ dễ dàng bị phát hiện và xử lý nghiêm. - HUMAN-ENF1]]</f>
        <v>4</v>
      </c>
      <c r="T372">
        <f t="shared" si="136"/>
        <v>0.33333333333333331</v>
      </c>
      <c r="U372">
        <f>step3_validation[[#This Row],[AI_ENF2]]</f>
        <v>7</v>
      </c>
      <c r="V372">
        <f t="shared" si="137"/>
        <v>0.66666666666666663</v>
      </c>
      <c r="W372">
        <f>survey_responses[[#This Row],[Tôi tin rằng Nhà nước, cơ quan thuế có đủ khả năng và công nghệ để phát hiện, xử lý nghiêm các hành vi trốn thuế. - HUMAN-ENF2]]</f>
        <v>4</v>
      </c>
      <c r="X372">
        <f t="shared" si="138"/>
        <v>0.33333333333333331</v>
      </c>
      <c r="Y372" s="32">
        <f t="shared" si="139"/>
        <v>0.61111111111111116</v>
      </c>
      <c r="Z372" s="32">
        <f t="shared" si="140"/>
        <v>0.33333333333333331</v>
      </c>
      <c r="AA372">
        <f>step3_validation[[#This Row],[AI_FAC1]]</f>
        <v>9</v>
      </c>
      <c r="AB372">
        <f t="shared" si="141"/>
        <v>0.88888888888888884</v>
      </c>
      <c r="AC372">
        <f>survey_responses[[#This Row],[Các thủ tục khai báo thuế VÀ/HOẶC quy trình làm việc với cơ quan thuế đơn giản, tiện lợi, nhanh chóng hơn so với trước đây. - HUMAN-FAC1]]</f>
        <v>5</v>
      </c>
      <c r="AD372">
        <f t="shared" si="142"/>
        <v>0.44444444444444442</v>
      </c>
      <c r="AE372">
        <f>step3_validation[[#This Row],[AI_FAC2]]</f>
        <v>8</v>
      </c>
      <c r="AF372">
        <f t="shared" si="143"/>
        <v>0.77777777777777779</v>
      </c>
      <c r="AG372">
        <f>survey_responses[[#This Row],[So với trước đây, tôi thấy cách tính thuế và các bậc thuế trong phương án mới đơn giản, dễ hiểu và dễ thực hiện hơn. - HUMAN-FAC2]]</f>
        <v>5</v>
      </c>
      <c r="AH372">
        <f t="shared" si="144"/>
        <v>0.44444444444444442</v>
      </c>
      <c r="AI372" s="32">
        <f t="shared" si="145"/>
        <v>0.83333333333333326</v>
      </c>
      <c r="AJ372" s="32">
        <f t="shared" si="146"/>
        <v>0.44444444444444442</v>
      </c>
      <c r="AK372">
        <f>step3_validation[[#This Row],[AI_TRU1]]</f>
        <v>6</v>
      </c>
      <c r="AL372">
        <f t="shared" si="147"/>
        <v>0.55555555555555558</v>
      </c>
      <c r="AM372">
        <f>survey_responses[[#This Row],[Tôi tin rằng Nhà nước, cơ quan thuế sẽ thực thi chính sách mới một cách khách quan, công tâm và đối xử bình đẳng với mọi người nộp thuế.  - HUMAN-TRU1]]</f>
        <v>5</v>
      </c>
      <c r="AN372">
        <f t="shared" si="148"/>
        <v>0.44444444444444442</v>
      </c>
      <c r="AO372">
        <f>step3_validation[[#This Row],[AI_TRU2]]</f>
        <v>9</v>
      </c>
      <c r="AP372">
        <f t="shared" si="149"/>
        <v>0.88888888888888884</v>
      </c>
      <c r="AQ372">
        <f>survey_responses[[#This Row],[Tôi thấy mức thuế tôi phải đóng theo phương án mới là công bằng (người thu nhập như tôi đóng mức này là hợp lý). - HUMAN-TRU2]]</f>
        <v>4</v>
      </c>
      <c r="AR372">
        <f t="shared" si="150"/>
        <v>0.33333333333333331</v>
      </c>
      <c r="AS372">
        <f>step3_validation[[#This Row],[AI_TRU3]]</f>
        <v>7</v>
      </c>
      <c r="AT372">
        <f t="shared" si="151"/>
        <v>0.66666666666666663</v>
      </c>
      <c r="AU372">
        <f>survey_responses[[#This Row],[Tôi tin tưởng số tiền thuế tôi đóng sẽ được Nhà nước sử dụng hiệu quả để cải thiện dịch vụ công (y tế, đường xá...). - HUMAN-TRU3]]</f>
        <v>5</v>
      </c>
      <c r="AV372">
        <f t="shared" si="152"/>
        <v>0.44444444444444442</v>
      </c>
      <c r="AW372">
        <f>step3_validation[[#This Row],[AI_TRU4]]</f>
        <v>8</v>
      </c>
      <c r="AX372">
        <f t="shared" si="153"/>
        <v>0.77777777777777779</v>
      </c>
      <c r="AY372">
        <f>survey_responses[[#This Row],[Tôi thấy Nhà nước đã giải thích rõ ràng, minh bạch về lý do và mục tiêu của việc sửa đổi thuế lần này. - HUMAN-TRU4]]</f>
        <v>6</v>
      </c>
      <c r="AZ372">
        <f t="shared" si="154"/>
        <v>0.55555555555555558</v>
      </c>
      <c r="BA372" s="32">
        <f t="shared" si="155"/>
        <v>0.72222222222222221</v>
      </c>
      <c r="BB372" s="32">
        <f t="shared" si="156"/>
        <v>0.44444444444444442</v>
      </c>
      <c r="BC372" s="7">
        <f t="shared" si="157"/>
        <v>0.72222222222222221</v>
      </c>
      <c r="BD372" s="7">
        <f t="shared" si="158"/>
        <v>0.40740740740740738</v>
      </c>
      <c r="BE372">
        <f>step3_validation[[#This Row],[AI_OUT1]]</f>
        <v>9</v>
      </c>
      <c r="BF372">
        <f t="shared" si="159"/>
        <v>0.88888888888888884</v>
      </c>
      <c r="BG372">
        <f>survey_responses[[#This Row],[Sau khi xem xét các quyền lợi và nghĩa vụ, bạn có ủng hộ và tuân thủ chính sách mới hiện nay? - HUMAN-OUT1]]</f>
        <v>5</v>
      </c>
      <c r="BH372">
        <f t="shared" si="160"/>
        <v>0.44444444444444442</v>
      </c>
      <c r="BI372" s="32">
        <f t="shared" si="161"/>
        <v>4</v>
      </c>
    </row>
    <row r="373" spans="1:61" x14ac:dyDescent="0.45">
      <c r="A373" s="30">
        <f>step3_validation[[#This Row],[Persona_ID]]</f>
        <v>372</v>
      </c>
      <c r="B373" s="31">
        <f>step3_validation[[#This Row],[Used_Seed]]</f>
        <v>2362</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38.305383857010327</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8</v>
      </c>
      <c r="R373">
        <f t="shared" si="135"/>
        <v>0.77777777777777779</v>
      </c>
      <c r="S373">
        <f>survey_responses[[#This Row],[Tôi tin rằng với các quy định quản lý thuế hiện nay, hành vi gian lận hoặc trốn thuế sẽ dễ dàng bị phát hiện và xử lý nghiêm. - HUMAN-ENF1]]</f>
        <v>6</v>
      </c>
      <c r="T373">
        <f t="shared" si="136"/>
        <v>0.55555555555555558</v>
      </c>
      <c r="U373">
        <f>step3_validation[[#This Row],[AI_ENF2]]</f>
        <v>9</v>
      </c>
      <c r="V373">
        <f t="shared" si="137"/>
        <v>0.88888888888888884</v>
      </c>
      <c r="W373">
        <f>survey_responses[[#This Row],[Tôi tin rằng Nhà nước, cơ quan thuế có đủ khả năng và công nghệ để phát hiện, xử lý nghiêm các hành vi trốn thuế. - HUMAN-ENF2]]</f>
        <v>6</v>
      </c>
      <c r="X373">
        <f t="shared" si="138"/>
        <v>0.55555555555555558</v>
      </c>
      <c r="Y373" s="32">
        <f t="shared" si="139"/>
        <v>0.83333333333333326</v>
      </c>
      <c r="Z373" s="32">
        <f t="shared" si="140"/>
        <v>0.55555555555555558</v>
      </c>
      <c r="AA373">
        <f>step3_validation[[#This Row],[AI_FAC1]]</f>
        <v>8</v>
      </c>
      <c r="AB373">
        <f t="shared" si="141"/>
        <v>0.77777777777777779</v>
      </c>
      <c r="AC373">
        <f>survey_responses[[#This Row],[Các thủ tục khai báo thuế VÀ/HOẶC quy trình làm việc với cơ quan thuế đơn giản, tiện lợi, nhanh chóng hơn so với trước đây. - HUMAN-FAC1]]</f>
        <v>8</v>
      </c>
      <c r="AD373">
        <f t="shared" si="142"/>
        <v>0.77777777777777779</v>
      </c>
      <c r="AE373">
        <f>step3_validation[[#This Row],[AI_FAC2]]</f>
        <v>9</v>
      </c>
      <c r="AF373">
        <f t="shared" si="143"/>
        <v>0.88888888888888884</v>
      </c>
      <c r="AG373">
        <f>survey_responses[[#This Row],[So với trước đây, tôi thấy cách tính thuế và các bậc thuế trong phương án mới đơn giản, dễ hiểu và dễ thực hiện hơn. - HUMAN-FAC2]]</f>
        <v>8</v>
      </c>
      <c r="AH373">
        <f t="shared" si="144"/>
        <v>0.77777777777777779</v>
      </c>
      <c r="AI373" s="32">
        <f t="shared" si="145"/>
        <v>0.83333333333333326</v>
      </c>
      <c r="AJ373" s="32">
        <f t="shared" si="146"/>
        <v>0.77777777777777779</v>
      </c>
      <c r="AK373">
        <f>step3_validation[[#This Row],[AI_TRU1]]</f>
        <v>8</v>
      </c>
      <c r="AL373">
        <f t="shared" si="147"/>
        <v>0.77777777777777779</v>
      </c>
      <c r="AM373">
        <f>survey_responses[[#This Row],[Tôi tin rằng Nhà nước, cơ quan thuế sẽ thực thi chính sách mới một cách khách quan, công tâm và đối xử bình đẳng với mọi người nộp thuế.  - HUMAN-TRU1]]</f>
        <v>6</v>
      </c>
      <c r="AN373">
        <f t="shared" si="148"/>
        <v>0.55555555555555558</v>
      </c>
      <c r="AO373">
        <f>step3_validation[[#This Row],[AI_TRU2]]</f>
        <v>9</v>
      </c>
      <c r="AP373">
        <f t="shared" si="149"/>
        <v>0.88888888888888884</v>
      </c>
      <c r="AQ373">
        <f>survey_responses[[#This Row],[Tôi thấy mức thuế tôi phải đóng theo phương án mới là công bằng (người thu nhập như tôi đóng mức này là hợp lý). - HUMAN-TRU2]]</f>
        <v>7</v>
      </c>
      <c r="AR373">
        <f t="shared" si="150"/>
        <v>0.66666666666666663</v>
      </c>
      <c r="AS373">
        <f>step3_validation[[#This Row],[AI_TRU3]]</f>
        <v>8</v>
      </c>
      <c r="AT373">
        <f t="shared" si="151"/>
        <v>0.77777777777777779</v>
      </c>
      <c r="AU373">
        <f>survey_responses[[#This Row],[Tôi tin tưởng số tiền thuế tôi đóng sẽ được Nhà nước sử dụng hiệu quả để cải thiện dịch vụ công (y tế, đường xá...). - HUMAN-TRU3]]</f>
        <v>5</v>
      </c>
      <c r="AV373">
        <f t="shared" si="152"/>
        <v>0.44444444444444442</v>
      </c>
      <c r="AW373">
        <f>step3_validation[[#This Row],[AI_TRU4]]</f>
        <v>9</v>
      </c>
      <c r="AX373">
        <f t="shared" si="153"/>
        <v>0.88888888888888884</v>
      </c>
      <c r="AY373">
        <f>survey_responses[[#This Row],[Tôi thấy Nhà nước đã giải thích rõ ràng, minh bạch về lý do và mục tiêu của việc sửa đổi thuế lần này. - HUMAN-TRU4]]</f>
        <v>6</v>
      </c>
      <c r="AZ373">
        <f t="shared" si="154"/>
        <v>0.55555555555555558</v>
      </c>
      <c r="BA373" s="32">
        <f t="shared" si="155"/>
        <v>0.83333333333333326</v>
      </c>
      <c r="BB373" s="32">
        <f t="shared" si="156"/>
        <v>0.55555555555555558</v>
      </c>
      <c r="BC373" s="7">
        <f t="shared" si="157"/>
        <v>0.83333333333333337</v>
      </c>
      <c r="BD373" s="7">
        <f t="shared" si="158"/>
        <v>0.62962962962962965</v>
      </c>
      <c r="BE373">
        <f>step3_validation[[#This Row],[AI_OUT1]]</f>
        <v>9</v>
      </c>
      <c r="BF373">
        <f t="shared" si="159"/>
        <v>0.88888888888888884</v>
      </c>
      <c r="BG373">
        <f>survey_responses[[#This Row],[Sau khi xem xét các quyền lợi và nghĩa vụ, bạn có ủng hộ và tuân thủ chính sách mới hiện nay? - HUMAN-OUT1]]</f>
        <v>6</v>
      </c>
      <c r="BH373">
        <f t="shared" si="160"/>
        <v>0.55555555555555558</v>
      </c>
      <c r="BI373" s="32">
        <f t="shared" si="161"/>
        <v>3</v>
      </c>
    </row>
    <row r="374" spans="1:61" x14ac:dyDescent="0.45">
      <c r="A374" s="30">
        <f>step3_validation[[#This Row],[Persona_ID]]</f>
        <v>373</v>
      </c>
      <c r="B374" s="31">
        <f>step3_validation[[#This Row],[Used_Seed]]</f>
        <v>2363</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75.716250671386007</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6</v>
      </c>
      <c r="R374">
        <f t="shared" si="135"/>
        <v>0.55555555555555558</v>
      </c>
      <c r="S374">
        <f>survey_responses[[#This Row],[Tôi tin rằng với các quy định quản lý thuế hiện nay, hành vi gian lận hoặc trốn thuế sẽ dễ dàng bị phát hiện và xử lý nghiêm. - HUMAN-ENF1]]</f>
        <v>8</v>
      </c>
      <c r="T374">
        <f t="shared" si="136"/>
        <v>0.77777777777777779</v>
      </c>
      <c r="U374">
        <f>step3_validation[[#This Row],[AI_ENF2]]</f>
        <v>7</v>
      </c>
      <c r="V374">
        <f t="shared" si="137"/>
        <v>0.66666666666666663</v>
      </c>
      <c r="W374">
        <f>survey_responses[[#This Row],[Tôi tin rằng Nhà nước, cơ quan thuế có đủ khả năng và công nghệ để phát hiện, xử lý nghiêm các hành vi trốn thuế. - HUMAN-ENF2]]</f>
        <v>8</v>
      </c>
      <c r="X374">
        <f t="shared" si="138"/>
        <v>0.77777777777777779</v>
      </c>
      <c r="Y374" s="32">
        <f t="shared" si="139"/>
        <v>0.61111111111111116</v>
      </c>
      <c r="Z374" s="32">
        <f t="shared" si="140"/>
        <v>0.77777777777777779</v>
      </c>
      <c r="AA374">
        <f>step3_validation[[#This Row],[AI_FAC1]]</f>
        <v>8</v>
      </c>
      <c r="AB374">
        <f t="shared" si="141"/>
        <v>0.77777777777777779</v>
      </c>
      <c r="AC374">
        <f>survey_responses[[#This Row],[Các thủ tục khai báo thuế VÀ/HOẶC quy trình làm việc với cơ quan thuế đơn giản, tiện lợi, nhanh chóng hơn so với trước đây. - HUMAN-FAC1]]</f>
        <v>9</v>
      </c>
      <c r="AD374">
        <f t="shared" si="142"/>
        <v>0.88888888888888884</v>
      </c>
      <c r="AE374">
        <f>step3_validation[[#This Row],[AI_FAC2]]</f>
        <v>9</v>
      </c>
      <c r="AF374">
        <f t="shared" si="143"/>
        <v>0.88888888888888884</v>
      </c>
      <c r="AG374">
        <f>survey_responses[[#This Row],[So với trước đây, tôi thấy cách tính thuế và các bậc thuế trong phương án mới đơn giản, dễ hiểu và dễ thực hiện hơn. - HUMAN-FAC2]]</f>
        <v>9</v>
      </c>
      <c r="AH374">
        <f t="shared" si="144"/>
        <v>0.88888888888888884</v>
      </c>
      <c r="AI374" s="32">
        <f t="shared" si="145"/>
        <v>0.83333333333333326</v>
      </c>
      <c r="AJ374" s="32">
        <f t="shared" si="146"/>
        <v>0.88888888888888884</v>
      </c>
      <c r="AK374">
        <f>step3_validation[[#This Row],[AI_TRU1]]</f>
        <v>8</v>
      </c>
      <c r="AL374">
        <f t="shared" si="147"/>
        <v>0.77777777777777779</v>
      </c>
      <c r="AM374">
        <f>survey_responses[[#This Row],[Tôi tin rằng Nhà nước, cơ quan thuế sẽ thực thi chính sách mới một cách khách quan, công tâm và đối xử bình đẳng với mọi người nộp thuế.  - HUMAN-TRU1]]</f>
        <v>5</v>
      </c>
      <c r="AN374">
        <f t="shared" si="148"/>
        <v>0.44444444444444442</v>
      </c>
      <c r="AO374">
        <f>step3_validation[[#This Row],[AI_TRU2]]</f>
        <v>9</v>
      </c>
      <c r="AP374">
        <f t="shared" si="149"/>
        <v>0.88888888888888884</v>
      </c>
      <c r="AQ374">
        <f>survey_responses[[#This Row],[Tôi thấy mức thuế tôi phải đóng theo phương án mới là công bằng (người thu nhập như tôi đóng mức này là hợp lý). - HUMAN-TRU2]]</f>
        <v>5</v>
      </c>
      <c r="AR374">
        <f t="shared" si="150"/>
        <v>0.44444444444444442</v>
      </c>
      <c r="AS374">
        <f>step3_validation[[#This Row],[AI_TRU3]]</f>
        <v>8</v>
      </c>
      <c r="AT374">
        <f t="shared" si="151"/>
        <v>0.77777777777777779</v>
      </c>
      <c r="AU374">
        <f>survey_responses[[#This Row],[Tôi tin tưởng số tiền thuế tôi đóng sẽ được Nhà nước sử dụng hiệu quả để cải thiện dịch vụ công (y tế, đường xá...). - HUMAN-TRU3]]</f>
        <v>5</v>
      </c>
      <c r="AV374">
        <f t="shared" si="152"/>
        <v>0.44444444444444442</v>
      </c>
      <c r="AW374">
        <f>step3_validation[[#This Row],[AI_TRU4]]</f>
        <v>7</v>
      </c>
      <c r="AX374">
        <f t="shared" si="153"/>
        <v>0.66666666666666663</v>
      </c>
      <c r="AY374">
        <f>survey_responses[[#This Row],[Tôi thấy Nhà nước đã giải thích rõ ràng, minh bạch về lý do và mục tiêu của việc sửa đổi thuế lần này. - HUMAN-TRU4]]</f>
        <v>6</v>
      </c>
      <c r="AZ374">
        <f t="shared" si="154"/>
        <v>0.55555555555555558</v>
      </c>
      <c r="BA374" s="32">
        <f t="shared" si="155"/>
        <v>0.77777777777777768</v>
      </c>
      <c r="BB374" s="32">
        <f t="shared" si="156"/>
        <v>0.47222222222222221</v>
      </c>
      <c r="BC374" s="7">
        <f t="shared" si="157"/>
        <v>0.74074074074074081</v>
      </c>
      <c r="BD374" s="7">
        <f t="shared" si="158"/>
        <v>0.71296296296296291</v>
      </c>
      <c r="BE374">
        <f>step3_validation[[#This Row],[AI_OUT1]]</f>
        <v>9</v>
      </c>
      <c r="BF374">
        <f t="shared" si="159"/>
        <v>0.88888888888888884</v>
      </c>
      <c r="BG374">
        <f>survey_responses[[#This Row],[Sau khi xem xét các quyền lợi và nghĩa vụ, bạn có ủng hộ và tuân thủ chính sách mới hiện nay? - HUMAN-OUT1]]</f>
        <v>5</v>
      </c>
      <c r="BH374">
        <f t="shared" si="160"/>
        <v>0.44444444444444442</v>
      </c>
      <c r="BI374" s="32">
        <f t="shared" si="161"/>
        <v>4</v>
      </c>
    </row>
    <row r="375" spans="1:61" x14ac:dyDescent="0.45">
      <c r="A375" s="30">
        <f>step3_validation[[#This Row],[Persona_ID]]</f>
        <v>374</v>
      </c>
      <c r="B375" s="31">
        <f>step3_validation[[#This Row],[Used_Seed]]</f>
        <v>2364</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46.286492782535312</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7</v>
      </c>
      <c r="R375">
        <f t="shared" si="135"/>
        <v>0.66666666666666663</v>
      </c>
      <c r="S375">
        <f>survey_responses[[#This Row],[Tôi tin rằng với các quy định quản lý thuế hiện nay, hành vi gian lận hoặc trốn thuế sẽ dễ dàng bị phát hiện và xử lý nghiêm. - HUMAN-ENF1]]</f>
        <v>6</v>
      </c>
      <c r="T375">
        <f t="shared" si="136"/>
        <v>0.55555555555555558</v>
      </c>
      <c r="U375">
        <f>step3_validation[[#This Row],[AI_ENF2]]</f>
        <v>8</v>
      </c>
      <c r="V375">
        <f t="shared" si="137"/>
        <v>0.77777777777777779</v>
      </c>
      <c r="W375">
        <f>survey_responses[[#This Row],[Tôi tin rằng Nhà nước, cơ quan thuế có đủ khả năng và công nghệ để phát hiện, xử lý nghiêm các hành vi trốn thuế. - HUMAN-ENF2]]</f>
        <v>6</v>
      </c>
      <c r="X375">
        <f t="shared" si="138"/>
        <v>0.55555555555555558</v>
      </c>
      <c r="Y375" s="32">
        <f t="shared" si="139"/>
        <v>0.72222222222222221</v>
      </c>
      <c r="Z375" s="32">
        <f t="shared" si="140"/>
        <v>0.55555555555555558</v>
      </c>
      <c r="AA375">
        <f>step3_validation[[#This Row],[AI_FAC1]]</f>
        <v>9</v>
      </c>
      <c r="AB375">
        <f t="shared" si="141"/>
        <v>0.88888888888888884</v>
      </c>
      <c r="AC375">
        <f>survey_responses[[#This Row],[Các thủ tục khai báo thuế VÀ/HOẶC quy trình làm việc với cơ quan thuế đơn giản, tiện lợi, nhanh chóng hơn so với trước đây. - HUMAN-FAC1]]</f>
        <v>7</v>
      </c>
      <c r="AD375">
        <f t="shared" si="142"/>
        <v>0.66666666666666663</v>
      </c>
      <c r="AE375">
        <f>step3_validation[[#This Row],[AI_FAC2]]</f>
        <v>9</v>
      </c>
      <c r="AF375">
        <f t="shared" si="143"/>
        <v>0.88888888888888884</v>
      </c>
      <c r="AG375">
        <f>survey_responses[[#This Row],[So với trước đây, tôi thấy cách tính thuế và các bậc thuế trong phương án mới đơn giản, dễ hiểu và dễ thực hiện hơn. - HUMAN-FAC2]]</f>
        <v>7</v>
      </c>
      <c r="AH375">
        <f t="shared" si="144"/>
        <v>0.66666666666666663</v>
      </c>
      <c r="AI375" s="32">
        <f t="shared" si="145"/>
        <v>0.88888888888888884</v>
      </c>
      <c r="AJ375" s="32">
        <f t="shared" si="146"/>
        <v>0.66666666666666663</v>
      </c>
      <c r="AK375">
        <f>step3_validation[[#This Row],[AI_TRU1]]</f>
        <v>8</v>
      </c>
      <c r="AL375">
        <f t="shared" si="147"/>
        <v>0.77777777777777779</v>
      </c>
      <c r="AM375">
        <f>survey_responses[[#This Row],[Tôi tin rằng Nhà nước, cơ quan thuế sẽ thực thi chính sách mới một cách khách quan, công tâm và đối xử bình đẳng với mọi người nộp thuế.  - HUMAN-TRU1]]</f>
        <v>6</v>
      </c>
      <c r="AN375">
        <f t="shared" si="148"/>
        <v>0.55555555555555558</v>
      </c>
      <c r="AO375">
        <f>step3_validation[[#This Row],[AI_TRU2]]</f>
        <v>8</v>
      </c>
      <c r="AP375">
        <f t="shared" si="149"/>
        <v>0.77777777777777779</v>
      </c>
      <c r="AQ375">
        <f>survey_responses[[#This Row],[Tôi thấy mức thuế tôi phải đóng theo phương án mới là công bằng (người thu nhập như tôi đóng mức này là hợp lý). - HUMAN-TRU2]]</f>
        <v>6</v>
      </c>
      <c r="AR375">
        <f t="shared" si="150"/>
        <v>0.55555555555555558</v>
      </c>
      <c r="AS375">
        <f>step3_validation[[#This Row],[AI_TRU3]]</f>
        <v>9</v>
      </c>
      <c r="AT375">
        <f t="shared" si="151"/>
        <v>0.88888888888888884</v>
      </c>
      <c r="AU375">
        <f>survey_responses[[#This Row],[Tôi tin tưởng số tiền thuế tôi đóng sẽ được Nhà nước sử dụng hiệu quả để cải thiện dịch vụ công (y tế, đường xá...). - HUMAN-TRU3]]</f>
        <v>6</v>
      </c>
      <c r="AV375">
        <f t="shared" si="152"/>
        <v>0.55555555555555558</v>
      </c>
      <c r="AW375">
        <f>step3_validation[[#This Row],[AI_TRU4]]</f>
        <v>8</v>
      </c>
      <c r="AX375">
        <f t="shared" si="153"/>
        <v>0.77777777777777779</v>
      </c>
      <c r="AY375">
        <f>survey_responses[[#This Row],[Tôi thấy Nhà nước đã giải thích rõ ràng, minh bạch về lý do và mục tiêu của việc sửa đổi thuế lần này. - HUMAN-TRU4]]</f>
        <v>6</v>
      </c>
      <c r="AZ375">
        <f t="shared" si="154"/>
        <v>0.55555555555555558</v>
      </c>
      <c r="BA375" s="32">
        <f t="shared" si="155"/>
        <v>0.80555555555555558</v>
      </c>
      <c r="BB375" s="32">
        <f t="shared" si="156"/>
        <v>0.55555555555555558</v>
      </c>
      <c r="BC375" s="7">
        <f t="shared" si="157"/>
        <v>0.80555555555555569</v>
      </c>
      <c r="BD375" s="7">
        <f t="shared" si="158"/>
        <v>0.59259259259259267</v>
      </c>
      <c r="BE375">
        <f>step3_validation[[#This Row],[AI_OUT1]]</f>
        <v>9</v>
      </c>
      <c r="BF375">
        <f t="shared" si="159"/>
        <v>0.88888888888888884</v>
      </c>
      <c r="BG375">
        <f>survey_responses[[#This Row],[Sau khi xem xét các quyền lợi và nghĩa vụ, bạn có ủng hộ và tuân thủ chính sách mới hiện nay? - HUMAN-OUT1]]</f>
        <v>6</v>
      </c>
      <c r="BH375">
        <f t="shared" si="160"/>
        <v>0.55555555555555558</v>
      </c>
      <c r="BI375" s="32">
        <f t="shared" si="161"/>
        <v>3</v>
      </c>
    </row>
    <row r="376" spans="1:61" x14ac:dyDescent="0.45">
      <c r="A376" s="30">
        <f>step3_validation[[#This Row],[Persona_ID]]</f>
        <v>375</v>
      </c>
      <c r="B376" s="31">
        <f>step3_validation[[#This Row],[Used_Seed]]</f>
        <v>2365</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61.904998155702714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f t="shared" si="135"/>
        <v>0.66666666666666663</v>
      </c>
      <c r="S376">
        <f>survey_responses[[#This Row],[Tôi tin rằng với các quy định quản lý thuế hiện nay, hành vi gian lận hoặc trốn thuế sẽ dễ dàng bị phát hiện và xử lý nghiêm. - HUMAN-ENF1]]</f>
        <v>8</v>
      </c>
      <c r="T376">
        <f t="shared" si="136"/>
        <v>0.77777777777777779</v>
      </c>
      <c r="U376">
        <f>step3_validation[[#This Row],[AI_ENF2]]</f>
        <v>8</v>
      </c>
      <c r="V376">
        <f t="shared" si="137"/>
        <v>0.77777777777777779</v>
      </c>
      <c r="W376">
        <f>survey_responses[[#This Row],[Tôi tin rằng Nhà nước, cơ quan thuế có đủ khả năng và công nghệ để phát hiện, xử lý nghiêm các hành vi trốn thuế. - HUMAN-ENF2]]</f>
        <v>8</v>
      </c>
      <c r="X376">
        <f t="shared" si="138"/>
        <v>0.77777777777777779</v>
      </c>
      <c r="Y376" s="32">
        <f t="shared" si="139"/>
        <v>0.72222222222222221</v>
      </c>
      <c r="Z376" s="32">
        <f t="shared" si="140"/>
        <v>0.77777777777777779</v>
      </c>
      <c r="AA376">
        <f>step3_validation[[#This Row],[AI_FAC1]]</f>
        <v>9</v>
      </c>
      <c r="AB376">
        <f t="shared" si="141"/>
        <v>0.88888888888888884</v>
      </c>
      <c r="AC376">
        <f>survey_responses[[#This Row],[Các thủ tục khai báo thuế VÀ/HOẶC quy trình làm việc với cơ quan thuế đơn giản, tiện lợi, nhanh chóng hơn so với trước đây. - HUMAN-FAC1]]</f>
        <v>8</v>
      </c>
      <c r="AD376">
        <f t="shared" si="142"/>
        <v>0.77777777777777779</v>
      </c>
      <c r="AE376">
        <f>step3_validation[[#This Row],[AI_FAC2]]</f>
        <v>9</v>
      </c>
      <c r="AF376">
        <f t="shared" si="143"/>
        <v>0.88888888888888884</v>
      </c>
      <c r="AG376">
        <f>survey_responses[[#This Row],[So với trước đây, tôi thấy cách tính thuế và các bậc thuế trong phương án mới đơn giản, dễ hiểu và dễ thực hiện hơn. - HUMAN-FAC2]]</f>
        <v>8</v>
      </c>
      <c r="AH376">
        <f t="shared" si="144"/>
        <v>0.77777777777777779</v>
      </c>
      <c r="AI376" s="32">
        <f t="shared" si="145"/>
        <v>0.88888888888888884</v>
      </c>
      <c r="AJ376" s="32">
        <f t="shared" si="146"/>
        <v>0.77777777777777779</v>
      </c>
      <c r="AK376">
        <f>step3_validation[[#This Row],[AI_TRU1]]</f>
        <v>8</v>
      </c>
      <c r="AL376">
        <f t="shared" si="147"/>
        <v>0.77777777777777779</v>
      </c>
      <c r="AM376">
        <f>survey_responses[[#This Row],[Tôi tin rằng Nhà nước, cơ quan thuế sẽ thực thi chính sách mới một cách khách quan, công tâm và đối xử bình đẳng với mọi người nộp thuế.  - HUMAN-TRU1]]</f>
        <v>7</v>
      </c>
      <c r="AN376">
        <f t="shared" si="148"/>
        <v>0.66666666666666663</v>
      </c>
      <c r="AO376">
        <f>step3_validation[[#This Row],[AI_TRU2]]</f>
        <v>9</v>
      </c>
      <c r="AP376">
        <f t="shared" si="149"/>
        <v>0.88888888888888884</v>
      </c>
      <c r="AQ376">
        <f>survey_responses[[#This Row],[Tôi thấy mức thuế tôi phải đóng theo phương án mới là công bằng (người thu nhập như tôi đóng mức này là hợp lý). - HUMAN-TRU2]]</f>
        <v>6</v>
      </c>
      <c r="AR376">
        <f t="shared" si="150"/>
        <v>0.55555555555555558</v>
      </c>
      <c r="AS376">
        <f>step3_validation[[#This Row],[AI_TRU3]]</f>
        <v>8</v>
      </c>
      <c r="AT376">
        <f t="shared" si="151"/>
        <v>0.77777777777777779</v>
      </c>
      <c r="AU376">
        <f>survey_responses[[#This Row],[Tôi tin tưởng số tiền thuế tôi đóng sẽ được Nhà nước sử dụng hiệu quả để cải thiện dịch vụ công (y tế, đường xá...). - HUMAN-TRU3]]</f>
        <v>6</v>
      </c>
      <c r="AV376">
        <f t="shared" si="152"/>
        <v>0.55555555555555558</v>
      </c>
      <c r="AW376">
        <f>step3_validation[[#This Row],[AI_TRU4]]</f>
        <v>7</v>
      </c>
      <c r="AX376">
        <f t="shared" si="153"/>
        <v>0.66666666666666663</v>
      </c>
      <c r="AY376">
        <f>survey_responses[[#This Row],[Tôi thấy Nhà nước đã giải thích rõ ràng, minh bạch về lý do và mục tiêu của việc sửa đổi thuế lần này. - HUMAN-TRU4]]</f>
        <v>5</v>
      </c>
      <c r="AZ376">
        <f t="shared" si="154"/>
        <v>0.44444444444444442</v>
      </c>
      <c r="BA376" s="32">
        <f t="shared" si="155"/>
        <v>0.77777777777777768</v>
      </c>
      <c r="BB376" s="32">
        <f t="shared" si="156"/>
        <v>0.55555555555555558</v>
      </c>
      <c r="BC376" s="7">
        <f t="shared" si="157"/>
        <v>0.79629629629629628</v>
      </c>
      <c r="BD376" s="7">
        <f t="shared" si="158"/>
        <v>0.70370370370370372</v>
      </c>
      <c r="BE376">
        <f>step3_validation[[#This Row],[AI_OUT1]]</f>
        <v>9</v>
      </c>
      <c r="BF376">
        <f t="shared" si="159"/>
        <v>0.88888888888888884</v>
      </c>
      <c r="BG376">
        <f>survey_responses[[#This Row],[Sau khi xem xét các quyền lợi và nghĩa vụ, bạn có ủng hộ và tuân thủ chính sách mới hiện nay? - HUMAN-OUT1]]</f>
        <v>7</v>
      </c>
      <c r="BH376">
        <f t="shared" si="160"/>
        <v>0.66666666666666663</v>
      </c>
      <c r="BI376" s="32">
        <f t="shared" si="161"/>
        <v>2</v>
      </c>
    </row>
    <row r="377" spans="1:61" x14ac:dyDescent="0.45">
      <c r="A377" s="30">
        <f>step3_validation[[#This Row],[Persona_ID]]</f>
        <v>376</v>
      </c>
      <c r="B377" s="31">
        <f>step3_validation[[#This Row],[Used_Seed]]</f>
        <v>2366</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18.071519810931775</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8</v>
      </c>
      <c r="R377">
        <f t="shared" si="135"/>
        <v>0.77777777777777779</v>
      </c>
      <c r="S377">
        <f>survey_responses[[#This Row],[Tôi tin rằng với các quy định quản lý thuế hiện nay, hành vi gian lận hoặc trốn thuế sẽ dễ dàng bị phát hiện và xử lý nghiêm. - HUMAN-ENF1]]</f>
        <v>6</v>
      </c>
      <c r="T377">
        <f t="shared" si="136"/>
        <v>0.55555555555555558</v>
      </c>
      <c r="U377">
        <f>step3_validation[[#This Row],[AI_ENF2]]</f>
        <v>9</v>
      </c>
      <c r="V377">
        <f t="shared" si="137"/>
        <v>0.88888888888888884</v>
      </c>
      <c r="W377">
        <f>survey_responses[[#This Row],[Tôi tin rằng Nhà nước, cơ quan thuế có đủ khả năng và công nghệ để phát hiện, xử lý nghiêm các hành vi trốn thuế. - HUMAN-ENF2]]</f>
        <v>6</v>
      </c>
      <c r="X377">
        <f t="shared" si="138"/>
        <v>0.55555555555555558</v>
      </c>
      <c r="Y377" s="32">
        <f t="shared" si="139"/>
        <v>0.83333333333333326</v>
      </c>
      <c r="Z377" s="32">
        <f t="shared" si="140"/>
        <v>0.55555555555555558</v>
      </c>
      <c r="AA377">
        <f>step3_validation[[#This Row],[AI_FAC1]]</f>
        <v>8</v>
      </c>
      <c r="AB377">
        <f t="shared" si="141"/>
        <v>0.77777777777777779</v>
      </c>
      <c r="AC377">
        <f>survey_responses[[#This Row],[Các thủ tục khai báo thuế VÀ/HOẶC quy trình làm việc với cơ quan thuế đơn giản, tiện lợi, nhanh chóng hơn so với trước đây. - HUMAN-FAC1]]</f>
        <v>5</v>
      </c>
      <c r="AD377">
        <f t="shared" si="142"/>
        <v>0.44444444444444442</v>
      </c>
      <c r="AE377">
        <f>step3_validation[[#This Row],[AI_FAC2]]</f>
        <v>9</v>
      </c>
      <c r="AF377">
        <f t="shared" si="143"/>
        <v>0.88888888888888884</v>
      </c>
      <c r="AG377">
        <f>survey_responses[[#This Row],[So với trước đây, tôi thấy cách tính thuế và các bậc thuế trong phương án mới đơn giản, dễ hiểu và dễ thực hiện hơn. - HUMAN-FAC2]]</f>
        <v>7</v>
      </c>
      <c r="AH377">
        <f t="shared" si="144"/>
        <v>0.66666666666666663</v>
      </c>
      <c r="AI377" s="32">
        <f t="shared" si="145"/>
        <v>0.83333333333333326</v>
      </c>
      <c r="AJ377" s="32">
        <f t="shared" si="146"/>
        <v>0.55555555555555558</v>
      </c>
      <c r="AK377">
        <f>step3_validation[[#This Row],[AI_TRU1]]</f>
        <v>8</v>
      </c>
      <c r="AL377">
        <f t="shared" si="147"/>
        <v>0.77777777777777779</v>
      </c>
      <c r="AM377">
        <f>survey_responses[[#This Row],[Tôi tin rằng Nhà nước, cơ quan thuế sẽ thực thi chính sách mới một cách khách quan, công tâm và đối xử bình đẳng với mọi người nộp thuế.  - HUMAN-TRU1]]</f>
        <v>6</v>
      </c>
      <c r="AN377">
        <f t="shared" si="148"/>
        <v>0.55555555555555558</v>
      </c>
      <c r="AO377">
        <f>step3_validation[[#This Row],[AI_TRU2]]</f>
        <v>9</v>
      </c>
      <c r="AP377">
        <f t="shared" si="149"/>
        <v>0.88888888888888884</v>
      </c>
      <c r="AQ377">
        <f>survey_responses[[#This Row],[Tôi thấy mức thuế tôi phải đóng theo phương án mới là công bằng (người thu nhập như tôi đóng mức này là hợp lý). - HUMAN-TRU2]]</f>
        <v>7</v>
      </c>
      <c r="AR377">
        <f t="shared" si="150"/>
        <v>0.66666666666666663</v>
      </c>
      <c r="AS377">
        <f>step3_validation[[#This Row],[AI_TRU3]]</f>
        <v>8</v>
      </c>
      <c r="AT377">
        <f t="shared" si="151"/>
        <v>0.77777777777777779</v>
      </c>
      <c r="AU377">
        <f>survey_responses[[#This Row],[Tôi tin tưởng số tiền thuế tôi đóng sẽ được Nhà nước sử dụng hiệu quả để cải thiện dịch vụ công (y tế, đường xá...). - HUMAN-TRU3]]</f>
        <v>5</v>
      </c>
      <c r="AV377">
        <f t="shared" si="152"/>
        <v>0.44444444444444442</v>
      </c>
      <c r="AW377">
        <f>step3_validation[[#This Row],[AI_TRU4]]</f>
        <v>8</v>
      </c>
      <c r="AX377">
        <f t="shared" si="153"/>
        <v>0.77777777777777779</v>
      </c>
      <c r="AY377">
        <f>survey_responses[[#This Row],[Tôi thấy Nhà nước đã giải thích rõ ràng, minh bạch về lý do và mục tiêu của việc sửa đổi thuế lần này. - HUMAN-TRU4]]</f>
        <v>6</v>
      </c>
      <c r="AZ377">
        <f t="shared" si="154"/>
        <v>0.55555555555555558</v>
      </c>
      <c r="BA377" s="32">
        <f t="shared" si="155"/>
        <v>0.80555555555555547</v>
      </c>
      <c r="BB377" s="32">
        <f t="shared" si="156"/>
        <v>0.55555555555555558</v>
      </c>
      <c r="BC377" s="7">
        <f t="shared" si="157"/>
        <v>0.82407407407407396</v>
      </c>
      <c r="BD377" s="7">
        <f t="shared" si="158"/>
        <v>0.55555555555555558</v>
      </c>
      <c r="BE377">
        <f>step3_validation[[#This Row],[AI_OUT1]]</f>
        <v>9</v>
      </c>
      <c r="BF377">
        <f t="shared" si="159"/>
        <v>0.88888888888888884</v>
      </c>
      <c r="BG377">
        <f>survey_responses[[#This Row],[Sau khi xem xét các quyền lợi và nghĩa vụ, bạn có ủng hộ và tuân thủ chính sách mới hiện nay? - HUMAN-OUT1]]</f>
        <v>7</v>
      </c>
      <c r="BH377">
        <f t="shared" si="160"/>
        <v>0.66666666666666663</v>
      </c>
      <c r="BI377" s="32">
        <f t="shared" si="161"/>
        <v>2</v>
      </c>
    </row>
    <row r="378" spans="1:61" x14ac:dyDescent="0.45">
      <c r="A378" s="30">
        <f>step3_validation[[#This Row],[Persona_ID]]</f>
        <v>377</v>
      </c>
      <c r="B378" s="31">
        <f>step3_validation[[#This Row],[Used_Seed]]</f>
        <v>2367</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13.102010482953537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8</v>
      </c>
      <c r="R378">
        <f t="shared" si="135"/>
        <v>0.77777777777777779</v>
      </c>
      <c r="S378">
        <f>survey_responses[[#This Row],[Tôi tin rằng với các quy định quản lý thuế hiện nay, hành vi gian lận hoặc trốn thuế sẽ dễ dàng bị phát hiện và xử lý nghiêm. - HUMAN-ENF1]]</f>
        <v>7</v>
      </c>
      <c r="T378">
        <f t="shared" si="136"/>
        <v>0.66666666666666663</v>
      </c>
      <c r="U378">
        <f>step3_validation[[#This Row],[AI_ENF2]]</f>
        <v>9</v>
      </c>
      <c r="V378">
        <f t="shared" si="137"/>
        <v>0.88888888888888884</v>
      </c>
      <c r="W378">
        <f>survey_responses[[#This Row],[Tôi tin rằng Nhà nước, cơ quan thuế có đủ khả năng và công nghệ để phát hiện, xử lý nghiêm các hành vi trốn thuế. - HUMAN-ENF2]]</f>
        <v>8</v>
      </c>
      <c r="X378">
        <f t="shared" si="138"/>
        <v>0.77777777777777779</v>
      </c>
      <c r="Y378" s="32">
        <f t="shared" si="139"/>
        <v>0.83333333333333326</v>
      </c>
      <c r="Z378" s="32">
        <f t="shared" si="140"/>
        <v>0.72222222222222221</v>
      </c>
      <c r="AA378">
        <f>step3_validation[[#This Row],[AI_FAC1]]</f>
        <v>7</v>
      </c>
      <c r="AB378">
        <f t="shared" si="141"/>
        <v>0.66666666666666663</v>
      </c>
      <c r="AC378">
        <f>survey_responses[[#This Row],[Các thủ tục khai báo thuế VÀ/HOẶC quy trình làm việc với cơ quan thuế đơn giản, tiện lợi, nhanh chóng hơn so với trước đây. - HUMAN-FAC1]]</f>
        <v>7</v>
      </c>
      <c r="AD378">
        <f t="shared" si="142"/>
        <v>0.66666666666666663</v>
      </c>
      <c r="AE378">
        <f>step3_validation[[#This Row],[AI_FAC2]]</f>
        <v>9</v>
      </c>
      <c r="AF378">
        <f t="shared" si="143"/>
        <v>0.88888888888888884</v>
      </c>
      <c r="AG378">
        <f>survey_responses[[#This Row],[So với trước đây, tôi thấy cách tính thuế và các bậc thuế trong phương án mới đơn giản, dễ hiểu và dễ thực hiện hơn. - HUMAN-FAC2]]</f>
        <v>7</v>
      </c>
      <c r="AH378">
        <f t="shared" si="144"/>
        <v>0.66666666666666663</v>
      </c>
      <c r="AI378" s="32">
        <f t="shared" si="145"/>
        <v>0.77777777777777768</v>
      </c>
      <c r="AJ378" s="32">
        <f t="shared" si="146"/>
        <v>0.66666666666666663</v>
      </c>
      <c r="AK378">
        <f>step3_validation[[#This Row],[AI_TRU1]]</f>
        <v>8</v>
      </c>
      <c r="AL378">
        <f t="shared" si="147"/>
        <v>0.77777777777777779</v>
      </c>
      <c r="AM378">
        <f>survey_responses[[#This Row],[Tôi tin rằng Nhà nước, cơ quan thuế sẽ thực thi chính sách mới một cách khách quan, công tâm và đối xử bình đẳng với mọi người nộp thuế.  - HUMAN-TRU1]]</f>
        <v>8</v>
      </c>
      <c r="AN378">
        <f t="shared" si="148"/>
        <v>0.77777777777777779</v>
      </c>
      <c r="AO378">
        <f>step3_validation[[#This Row],[AI_TRU2]]</f>
        <v>9</v>
      </c>
      <c r="AP378">
        <f t="shared" si="149"/>
        <v>0.88888888888888884</v>
      </c>
      <c r="AQ378">
        <f>survey_responses[[#This Row],[Tôi thấy mức thuế tôi phải đóng theo phương án mới là công bằng (người thu nhập như tôi đóng mức này là hợp lý). - HUMAN-TRU2]]</f>
        <v>9</v>
      </c>
      <c r="AR378">
        <f t="shared" si="150"/>
        <v>0.88888888888888884</v>
      </c>
      <c r="AS378">
        <f>step3_validation[[#This Row],[AI_TRU3]]</f>
        <v>7</v>
      </c>
      <c r="AT378">
        <f t="shared" si="151"/>
        <v>0.66666666666666663</v>
      </c>
      <c r="AU378">
        <f>survey_responses[[#This Row],[Tôi tin tưởng số tiền thuế tôi đóng sẽ được Nhà nước sử dụng hiệu quả để cải thiện dịch vụ công (y tế, đường xá...). - HUMAN-TRU3]]</f>
        <v>7</v>
      </c>
      <c r="AV378">
        <f t="shared" si="152"/>
        <v>0.66666666666666663</v>
      </c>
      <c r="AW378">
        <f>step3_validation[[#This Row],[AI_TRU4]]</f>
        <v>8</v>
      </c>
      <c r="AX378">
        <f t="shared" si="153"/>
        <v>0.77777777777777779</v>
      </c>
      <c r="AY378">
        <f>survey_responses[[#This Row],[Tôi thấy Nhà nước đã giải thích rõ ràng, minh bạch về lý do và mục tiêu của việc sửa đổi thuế lần này. - HUMAN-TRU4]]</f>
        <v>7</v>
      </c>
      <c r="AZ378">
        <f t="shared" si="154"/>
        <v>0.66666666666666663</v>
      </c>
      <c r="BA378" s="32">
        <f t="shared" si="155"/>
        <v>0.77777777777777768</v>
      </c>
      <c r="BB378" s="32">
        <f t="shared" si="156"/>
        <v>0.74999999999999989</v>
      </c>
      <c r="BC378" s="7">
        <f t="shared" si="157"/>
        <v>0.79629629629629617</v>
      </c>
      <c r="BD378" s="7">
        <f t="shared" si="158"/>
        <v>0.71296296296296291</v>
      </c>
      <c r="BE378">
        <f>step3_validation[[#This Row],[AI_OUT1]]</f>
        <v>9</v>
      </c>
      <c r="BF378">
        <f t="shared" si="159"/>
        <v>0.88888888888888884</v>
      </c>
      <c r="BG378">
        <f>survey_responses[[#This Row],[Sau khi xem xét các quyền lợi và nghĩa vụ, bạn có ủng hộ và tuân thủ chính sách mới hiện nay? - HUMAN-OUT1]]</f>
        <v>8</v>
      </c>
      <c r="BH378">
        <f t="shared" si="160"/>
        <v>0.77777777777777779</v>
      </c>
      <c r="BI378" s="32">
        <f t="shared" si="161"/>
        <v>1</v>
      </c>
    </row>
    <row r="379" spans="1:61" x14ac:dyDescent="0.45">
      <c r="A379" s="30">
        <f>step3_validation[[#This Row],[Persona_ID]]</f>
        <v>378</v>
      </c>
      <c r="B379" s="31">
        <f>step3_validation[[#This Row],[Used_Seed]]</f>
        <v>2368</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21.345968841037703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f t="shared" si="135"/>
        <v>0.66666666666666663</v>
      </c>
      <c r="S379">
        <f>survey_responses[[#This Row],[Tôi tin rằng với các quy định quản lý thuế hiện nay, hành vi gian lận hoặc trốn thuế sẽ dễ dàng bị phát hiện và xử lý nghiêm. - HUMAN-ENF1]]</f>
        <v>6</v>
      </c>
      <c r="T379">
        <f t="shared" si="136"/>
        <v>0.55555555555555558</v>
      </c>
      <c r="U379">
        <f>step3_validation[[#This Row],[AI_ENF2]]</f>
        <v>8</v>
      </c>
      <c r="V379">
        <f t="shared" si="137"/>
        <v>0.77777777777777779</v>
      </c>
      <c r="W379">
        <f>survey_responses[[#This Row],[Tôi tin rằng Nhà nước, cơ quan thuế có đủ khả năng và công nghệ để phát hiện, xử lý nghiêm các hành vi trốn thuế. - HUMAN-ENF2]]</f>
        <v>7</v>
      </c>
      <c r="X379">
        <f t="shared" si="138"/>
        <v>0.66666666666666663</v>
      </c>
      <c r="Y379" s="32">
        <f t="shared" si="139"/>
        <v>0.72222222222222221</v>
      </c>
      <c r="Z379" s="32">
        <f t="shared" si="140"/>
        <v>0.61111111111111116</v>
      </c>
      <c r="AA379">
        <f>step3_validation[[#This Row],[AI_FAC1]]</f>
        <v>7</v>
      </c>
      <c r="AB379">
        <f t="shared" si="141"/>
        <v>0.66666666666666663</v>
      </c>
      <c r="AC379">
        <f>survey_responses[[#This Row],[Các thủ tục khai báo thuế VÀ/HOẶC quy trình làm việc với cơ quan thuế đơn giản, tiện lợi, nhanh chóng hơn so với trước đây. - HUMAN-FAC1]]</f>
        <v>5</v>
      </c>
      <c r="AD379">
        <f t="shared" si="142"/>
        <v>0.44444444444444442</v>
      </c>
      <c r="AE379">
        <f>step3_validation[[#This Row],[AI_FAC2]]</f>
        <v>9</v>
      </c>
      <c r="AF379">
        <f t="shared" si="143"/>
        <v>0.88888888888888884</v>
      </c>
      <c r="AG379">
        <f>survey_responses[[#This Row],[So với trước đây, tôi thấy cách tính thuế và các bậc thuế trong phương án mới đơn giản, dễ hiểu và dễ thực hiện hơn. - HUMAN-FAC2]]</f>
        <v>8</v>
      </c>
      <c r="AH379">
        <f t="shared" si="144"/>
        <v>0.77777777777777779</v>
      </c>
      <c r="AI379" s="32">
        <f t="shared" si="145"/>
        <v>0.77777777777777768</v>
      </c>
      <c r="AJ379" s="32">
        <f t="shared" si="146"/>
        <v>0.61111111111111116</v>
      </c>
      <c r="AK379">
        <f>step3_validation[[#This Row],[AI_TRU1]]</f>
        <v>7</v>
      </c>
      <c r="AL379">
        <f t="shared" si="147"/>
        <v>0.66666666666666663</v>
      </c>
      <c r="AM379">
        <f>survey_responses[[#This Row],[Tôi tin rằng Nhà nước, cơ quan thuế sẽ thực thi chính sách mới một cách khách quan, công tâm và đối xử bình đẳng với mọi người nộp thuế.  - HUMAN-TRU1]]</f>
        <v>7</v>
      </c>
      <c r="AN379">
        <f t="shared" si="148"/>
        <v>0.66666666666666663</v>
      </c>
      <c r="AO379">
        <f>step3_validation[[#This Row],[AI_TRU2]]</f>
        <v>8</v>
      </c>
      <c r="AP379">
        <f t="shared" si="149"/>
        <v>0.77777777777777779</v>
      </c>
      <c r="AQ379">
        <f>survey_responses[[#This Row],[Tôi thấy mức thuế tôi phải đóng theo phương án mới là công bằng (người thu nhập như tôi đóng mức này là hợp lý). - HUMAN-TRU2]]</f>
        <v>7</v>
      </c>
      <c r="AR379">
        <f t="shared" si="150"/>
        <v>0.66666666666666663</v>
      </c>
      <c r="AS379">
        <f>step3_validation[[#This Row],[AI_TRU3]]</f>
        <v>7</v>
      </c>
      <c r="AT379">
        <f t="shared" si="151"/>
        <v>0.66666666666666663</v>
      </c>
      <c r="AU379">
        <f>survey_responses[[#This Row],[Tôi tin tưởng số tiền thuế tôi đóng sẽ được Nhà nước sử dụng hiệu quả để cải thiện dịch vụ công (y tế, đường xá...). - HUMAN-TRU3]]</f>
        <v>7</v>
      </c>
      <c r="AV379">
        <f t="shared" si="152"/>
        <v>0.66666666666666663</v>
      </c>
      <c r="AW379">
        <f>step3_validation[[#This Row],[AI_TRU4]]</f>
        <v>8</v>
      </c>
      <c r="AX379">
        <f t="shared" si="153"/>
        <v>0.77777777777777779</v>
      </c>
      <c r="AY379">
        <f>survey_responses[[#This Row],[Tôi thấy Nhà nước đã giải thích rõ ràng, minh bạch về lý do và mục tiêu của việc sửa đổi thuế lần này. - HUMAN-TRU4]]</f>
        <v>7</v>
      </c>
      <c r="AZ379">
        <f t="shared" si="154"/>
        <v>0.66666666666666663</v>
      </c>
      <c r="BA379" s="32">
        <f t="shared" si="155"/>
        <v>0.72222222222222221</v>
      </c>
      <c r="BB379" s="32">
        <f t="shared" si="156"/>
        <v>0.66666666666666663</v>
      </c>
      <c r="BC379" s="7">
        <f t="shared" si="157"/>
        <v>0.74074074074074081</v>
      </c>
      <c r="BD379" s="7">
        <f t="shared" si="158"/>
        <v>0.62962962962962965</v>
      </c>
      <c r="BE379">
        <f>step3_validation[[#This Row],[AI_OUT1]]</f>
        <v>9</v>
      </c>
      <c r="BF379">
        <f t="shared" si="159"/>
        <v>0.88888888888888884</v>
      </c>
      <c r="BG379">
        <f>survey_responses[[#This Row],[Sau khi xem xét các quyền lợi và nghĩa vụ, bạn có ủng hộ và tuân thủ chính sách mới hiện nay? - HUMAN-OUT1]]</f>
        <v>8</v>
      </c>
      <c r="BH379">
        <f t="shared" si="160"/>
        <v>0.77777777777777779</v>
      </c>
      <c r="BI379" s="32">
        <f t="shared" si="161"/>
        <v>1</v>
      </c>
    </row>
    <row r="380" spans="1:61" x14ac:dyDescent="0.45">
      <c r="A380" s="30">
        <f>step3_validation[[#This Row],[Persona_ID]]</f>
        <v>379</v>
      </c>
      <c r="B380" s="31">
        <f>step3_validation[[#This Row],[Used_Seed]]</f>
        <v>2369</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13.086150560138417</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f t="shared" si="135"/>
        <v>0.55555555555555558</v>
      </c>
      <c r="S380">
        <f>survey_responses[[#This Row],[Tôi tin rằng với các quy định quản lý thuế hiện nay, hành vi gian lận hoặc trốn thuế sẽ dễ dàng bị phát hiện và xử lý nghiêm. - HUMAN-ENF1]]</f>
        <v>8</v>
      </c>
      <c r="T380">
        <f t="shared" si="136"/>
        <v>0.77777777777777779</v>
      </c>
      <c r="U380">
        <f>step3_validation[[#This Row],[AI_ENF2]]</f>
        <v>8</v>
      </c>
      <c r="V380">
        <f t="shared" si="137"/>
        <v>0.77777777777777779</v>
      </c>
      <c r="W380">
        <f>survey_responses[[#This Row],[Tôi tin rằng Nhà nước, cơ quan thuế có đủ khả năng và công nghệ để phát hiện, xử lý nghiêm các hành vi trốn thuế. - HUMAN-ENF2]]</f>
        <v>8</v>
      </c>
      <c r="X380">
        <f t="shared" si="138"/>
        <v>0.77777777777777779</v>
      </c>
      <c r="Y380" s="32">
        <f t="shared" si="139"/>
        <v>0.66666666666666674</v>
      </c>
      <c r="Z380" s="32">
        <f t="shared" si="140"/>
        <v>0.77777777777777779</v>
      </c>
      <c r="AA380">
        <f>step3_validation[[#This Row],[AI_FAC1]]</f>
        <v>9</v>
      </c>
      <c r="AB380">
        <f t="shared" si="141"/>
        <v>0.88888888888888884</v>
      </c>
      <c r="AC380">
        <f>survey_responses[[#This Row],[Các thủ tục khai báo thuế VÀ/HOẶC quy trình làm việc với cơ quan thuế đơn giản, tiện lợi, nhanh chóng hơn so với trước đây. - HUMAN-FAC1]]</f>
        <v>9</v>
      </c>
      <c r="AD380">
        <f t="shared" si="142"/>
        <v>0.88888888888888884</v>
      </c>
      <c r="AE380">
        <f>step3_validation[[#This Row],[AI_FAC2]]</f>
        <v>9</v>
      </c>
      <c r="AF380">
        <f t="shared" si="143"/>
        <v>0.88888888888888884</v>
      </c>
      <c r="AG380">
        <f>survey_responses[[#This Row],[So với trước đây, tôi thấy cách tính thuế và các bậc thuế trong phương án mới đơn giản, dễ hiểu và dễ thực hiện hơn. - HUMAN-FAC2]]</f>
        <v>9</v>
      </c>
      <c r="AH380">
        <f t="shared" si="144"/>
        <v>0.88888888888888884</v>
      </c>
      <c r="AI380" s="32">
        <f t="shared" si="145"/>
        <v>0.88888888888888884</v>
      </c>
      <c r="AJ380" s="32">
        <f t="shared" si="146"/>
        <v>0.88888888888888884</v>
      </c>
      <c r="AK380">
        <f>step3_validation[[#This Row],[AI_TRU1]]</f>
        <v>7</v>
      </c>
      <c r="AL380">
        <f t="shared" si="147"/>
        <v>0.66666666666666663</v>
      </c>
      <c r="AM380">
        <f>survey_responses[[#This Row],[Tôi tin rằng Nhà nước, cơ quan thuế sẽ thực thi chính sách mới một cách khách quan, công tâm và đối xử bình đẳng với mọi người nộp thuế.  - HUMAN-TRU1]]</f>
        <v>7</v>
      </c>
      <c r="AN380">
        <f t="shared" si="148"/>
        <v>0.66666666666666663</v>
      </c>
      <c r="AO380">
        <f>step3_validation[[#This Row],[AI_TRU2]]</f>
        <v>9</v>
      </c>
      <c r="AP380">
        <f t="shared" si="149"/>
        <v>0.88888888888888884</v>
      </c>
      <c r="AQ380">
        <f>survey_responses[[#This Row],[Tôi thấy mức thuế tôi phải đóng theo phương án mới là công bằng (người thu nhập như tôi đóng mức này là hợp lý). - HUMAN-TRU2]]</f>
        <v>9</v>
      </c>
      <c r="AR380">
        <f t="shared" si="150"/>
        <v>0.88888888888888884</v>
      </c>
      <c r="AS380">
        <f>step3_validation[[#This Row],[AI_TRU3]]</f>
        <v>8</v>
      </c>
      <c r="AT380">
        <f t="shared" si="151"/>
        <v>0.77777777777777779</v>
      </c>
      <c r="AU380">
        <f>survey_responses[[#This Row],[Tôi tin tưởng số tiền thuế tôi đóng sẽ được Nhà nước sử dụng hiệu quả để cải thiện dịch vụ công (y tế, đường xá...). - HUMAN-TRU3]]</f>
        <v>7</v>
      </c>
      <c r="AV380">
        <f t="shared" si="152"/>
        <v>0.66666666666666663</v>
      </c>
      <c r="AW380">
        <f>step3_validation[[#This Row],[AI_TRU4]]</f>
        <v>7</v>
      </c>
      <c r="AX380">
        <f t="shared" si="153"/>
        <v>0.66666666666666663</v>
      </c>
      <c r="AY380">
        <f>survey_responses[[#This Row],[Tôi thấy Nhà nước đã giải thích rõ ràng, minh bạch về lý do và mục tiêu của việc sửa đổi thuế lần này. - HUMAN-TRU4]]</f>
        <v>7</v>
      </c>
      <c r="AZ380">
        <f t="shared" si="154"/>
        <v>0.66666666666666663</v>
      </c>
      <c r="BA380" s="32">
        <f t="shared" si="155"/>
        <v>0.74999999999999989</v>
      </c>
      <c r="BB380" s="32">
        <f t="shared" si="156"/>
        <v>0.7222222222222221</v>
      </c>
      <c r="BC380" s="7">
        <f t="shared" si="157"/>
        <v>0.76851851851851849</v>
      </c>
      <c r="BD380" s="7">
        <f t="shared" si="158"/>
        <v>0.79629629629629617</v>
      </c>
      <c r="BE380">
        <f>step3_validation[[#This Row],[AI_OUT1]]</f>
        <v>9</v>
      </c>
      <c r="BF380">
        <f t="shared" si="159"/>
        <v>0.88888888888888884</v>
      </c>
      <c r="BG380">
        <f>survey_responses[[#This Row],[Sau khi xem xét các quyền lợi và nghĩa vụ, bạn có ủng hộ và tuân thủ chính sách mới hiện nay? - HUMAN-OUT1]]</f>
        <v>9</v>
      </c>
      <c r="BH380">
        <f t="shared" si="160"/>
        <v>0.88888888888888884</v>
      </c>
      <c r="BI380" s="32">
        <f t="shared" si="161"/>
        <v>0</v>
      </c>
    </row>
    <row r="381" spans="1:61" x14ac:dyDescent="0.45">
      <c r="A381" s="30">
        <f>step3_validation[[#This Row],[Persona_ID]]</f>
        <v>380</v>
      </c>
      <c r="B381" s="31">
        <f>step3_validation[[#This Row],[Used_Seed]]</f>
        <v>2370</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19.891782772163314</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9</v>
      </c>
      <c r="R381">
        <f t="shared" si="135"/>
        <v>0.88888888888888884</v>
      </c>
      <c r="S381">
        <f>survey_responses[[#This Row],[Tôi tin rằng với các quy định quản lý thuế hiện nay, hành vi gian lận hoặc trốn thuế sẽ dễ dàng bị phát hiện và xử lý nghiêm. - HUMAN-ENF1]]</f>
        <v>8</v>
      </c>
      <c r="T381">
        <f t="shared" si="136"/>
        <v>0.77777777777777779</v>
      </c>
      <c r="U381">
        <f>step3_validation[[#This Row],[AI_ENF2]]</f>
        <v>8</v>
      </c>
      <c r="V381">
        <f t="shared" si="137"/>
        <v>0.77777777777777779</v>
      </c>
      <c r="W381">
        <f>survey_responses[[#This Row],[Tôi tin rằng Nhà nước, cơ quan thuế có đủ khả năng và công nghệ để phát hiện, xử lý nghiêm các hành vi trốn thuế. - HUMAN-ENF2]]</f>
        <v>8</v>
      </c>
      <c r="X381">
        <f t="shared" si="138"/>
        <v>0.77777777777777779</v>
      </c>
      <c r="Y381" s="32">
        <f t="shared" si="139"/>
        <v>0.83333333333333326</v>
      </c>
      <c r="Z381" s="32">
        <f t="shared" si="140"/>
        <v>0.77777777777777779</v>
      </c>
      <c r="AA381">
        <f>step3_validation[[#This Row],[AI_FAC1]]</f>
        <v>8</v>
      </c>
      <c r="AB381">
        <f t="shared" si="141"/>
        <v>0.77777777777777779</v>
      </c>
      <c r="AC381">
        <f>survey_responses[[#This Row],[Các thủ tục khai báo thuế VÀ/HOẶC quy trình làm việc với cơ quan thuế đơn giản, tiện lợi, nhanh chóng hơn so với trước đây. - HUMAN-FAC1]]</f>
        <v>5</v>
      </c>
      <c r="AD381">
        <f t="shared" si="142"/>
        <v>0.44444444444444442</v>
      </c>
      <c r="AE381">
        <f>step3_validation[[#This Row],[AI_FAC2]]</f>
        <v>8</v>
      </c>
      <c r="AF381">
        <f t="shared" si="143"/>
        <v>0.77777777777777779</v>
      </c>
      <c r="AG381">
        <f>survey_responses[[#This Row],[So với trước đây, tôi thấy cách tính thuế và các bậc thuế trong phương án mới đơn giản, dễ hiểu và dễ thực hiện hơn. - HUMAN-FAC2]]</f>
        <v>8</v>
      </c>
      <c r="AH381">
        <f t="shared" si="144"/>
        <v>0.77777777777777779</v>
      </c>
      <c r="AI381" s="32">
        <f t="shared" si="145"/>
        <v>0.77777777777777779</v>
      </c>
      <c r="AJ381" s="32">
        <f t="shared" si="146"/>
        <v>0.61111111111111116</v>
      </c>
      <c r="AK381">
        <f>step3_validation[[#This Row],[AI_TRU1]]</f>
        <v>9</v>
      </c>
      <c r="AL381">
        <f t="shared" si="147"/>
        <v>0.88888888888888884</v>
      </c>
      <c r="AM381">
        <f>survey_responses[[#This Row],[Tôi tin rằng Nhà nước, cơ quan thuế sẽ thực thi chính sách mới một cách khách quan, công tâm và đối xử bình đẳng với mọi người nộp thuế.  - HUMAN-TRU1]]</f>
        <v>6</v>
      </c>
      <c r="AN381">
        <f t="shared" si="148"/>
        <v>0.55555555555555558</v>
      </c>
      <c r="AO381">
        <f>step3_validation[[#This Row],[AI_TRU2]]</f>
        <v>9</v>
      </c>
      <c r="AP381">
        <f t="shared" si="149"/>
        <v>0.88888888888888884</v>
      </c>
      <c r="AQ381">
        <f>survey_responses[[#This Row],[Tôi thấy mức thuế tôi phải đóng theo phương án mới là công bằng (người thu nhập như tôi đóng mức này là hợp lý). - HUMAN-TRU2]]</f>
        <v>9</v>
      </c>
      <c r="AR381">
        <f t="shared" si="150"/>
        <v>0.88888888888888884</v>
      </c>
      <c r="AS381">
        <f>step3_validation[[#This Row],[AI_TRU3]]</f>
        <v>9</v>
      </c>
      <c r="AT381">
        <f t="shared" si="151"/>
        <v>0.88888888888888884</v>
      </c>
      <c r="AU381">
        <f>survey_responses[[#This Row],[Tôi tin tưởng số tiền thuế tôi đóng sẽ được Nhà nước sử dụng hiệu quả để cải thiện dịch vụ công (y tế, đường xá...). - HUMAN-TRU3]]</f>
        <v>5</v>
      </c>
      <c r="AV381">
        <f t="shared" si="152"/>
        <v>0.44444444444444442</v>
      </c>
      <c r="AW381">
        <f>step3_validation[[#This Row],[AI_TRU4]]</f>
        <v>9</v>
      </c>
      <c r="AX381">
        <f t="shared" si="153"/>
        <v>0.88888888888888884</v>
      </c>
      <c r="AY381">
        <f>survey_responses[[#This Row],[Tôi thấy Nhà nước đã giải thích rõ ràng, minh bạch về lý do và mục tiêu của việc sửa đổi thuế lần này. - HUMAN-TRU4]]</f>
        <v>7</v>
      </c>
      <c r="AZ381">
        <f t="shared" si="154"/>
        <v>0.66666666666666663</v>
      </c>
      <c r="BA381" s="32">
        <f t="shared" si="155"/>
        <v>0.88888888888888884</v>
      </c>
      <c r="BB381" s="32">
        <f t="shared" si="156"/>
        <v>0.63888888888888884</v>
      </c>
      <c r="BC381" s="7">
        <f t="shared" si="157"/>
        <v>0.83333333333333337</v>
      </c>
      <c r="BD381" s="7">
        <f t="shared" si="158"/>
        <v>0.67592592592592593</v>
      </c>
      <c r="BE381">
        <f>step3_validation[[#This Row],[AI_OUT1]]</f>
        <v>9</v>
      </c>
      <c r="BF381">
        <f t="shared" si="159"/>
        <v>0.88888888888888884</v>
      </c>
      <c r="BG381">
        <f>survey_responses[[#This Row],[Sau khi xem xét các quyền lợi và nghĩa vụ, bạn có ủng hộ và tuân thủ chính sách mới hiện nay? - HUMAN-OUT1]]</f>
        <v>8</v>
      </c>
      <c r="BH381">
        <f t="shared" si="160"/>
        <v>0.77777777777777779</v>
      </c>
      <c r="BI381" s="32">
        <f t="shared" si="161"/>
        <v>1</v>
      </c>
    </row>
    <row r="382" spans="1:61" x14ac:dyDescent="0.45">
      <c r="A382" s="30">
        <f>step3_validation[[#This Row],[Persona_ID]]</f>
        <v>381</v>
      </c>
      <c r="B382" s="31">
        <f>step3_validation[[#This Row],[Used_Seed]]</f>
        <v>2371</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14.038254947353952</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f t="shared" si="135"/>
        <v>0.77777777777777779</v>
      </c>
      <c r="S382">
        <f>survey_responses[[#This Row],[Tôi tin rằng với các quy định quản lý thuế hiện nay, hành vi gian lận hoặc trốn thuế sẽ dễ dàng bị phát hiện và xử lý nghiêm. - HUMAN-ENF1]]</f>
        <v>9</v>
      </c>
      <c r="T382">
        <f t="shared" si="136"/>
        <v>0.88888888888888884</v>
      </c>
      <c r="U382">
        <f>step3_validation[[#This Row],[AI_ENF2]]</f>
        <v>9</v>
      </c>
      <c r="V382">
        <f t="shared" si="137"/>
        <v>0.88888888888888884</v>
      </c>
      <c r="W382">
        <f>survey_responses[[#This Row],[Tôi tin rằng Nhà nước, cơ quan thuế có đủ khả năng và công nghệ để phát hiện, xử lý nghiêm các hành vi trốn thuế. - HUMAN-ENF2]]</f>
        <v>9</v>
      </c>
      <c r="X382">
        <f t="shared" si="138"/>
        <v>0.88888888888888884</v>
      </c>
      <c r="Y382" s="32">
        <f t="shared" si="139"/>
        <v>0.83333333333333326</v>
      </c>
      <c r="Z382" s="32">
        <f t="shared" si="140"/>
        <v>0.88888888888888884</v>
      </c>
      <c r="AA382">
        <f>step3_validation[[#This Row],[AI_FAC1]]</f>
        <v>9</v>
      </c>
      <c r="AB382">
        <f t="shared" si="141"/>
        <v>0.88888888888888884</v>
      </c>
      <c r="AC382">
        <f>survey_responses[[#This Row],[Các thủ tục khai báo thuế VÀ/HOẶC quy trình làm việc với cơ quan thuế đơn giản, tiện lợi, nhanh chóng hơn so với trước đây. - HUMAN-FAC1]]</f>
        <v>8</v>
      </c>
      <c r="AD382">
        <f t="shared" si="142"/>
        <v>0.77777777777777779</v>
      </c>
      <c r="AE382">
        <f>step3_validation[[#This Row],[AI_FAC2]]</f>
        <v>10</v>
      </c>
      <c r="AF382">
        <f t="shared" si="143"/>
        <v>1</v>
      </c>
      <c r="AG382">
        <f>survey_responses[[#This Row],[So với trước đây, tôi thấy cách tính thuế và các bậc thuế trong phương án mới đơn giản, dễ hiểu và dễ thực hiện hơn. - HUMAN-FAC2]]</f>
        <v>9</v>
      </c>
      <c r="AH382">
        <f t="shared" si="144"/>
        <v>0.88888888888888884</v>
      </c>
      <c r="AI382" s="32">
        <f t="shared" si="145"/>
        <v>0.94444444444444442</v>
      </c>
      <c r="AJ382" s="32">
        <f t="shared" si="146"/>
        <v>0.83333333333333326</v>
      </c>
      <c r="AK382">
        <f>step3_validation[[#This Row],[AI_TRU1]]</f>
        <v>8</v>
      </c>
      <c r="AL382">
        <f t="shared" si="147"/>
        <v>0.77777777777777779</v>
      </c>
      <c r="AM382">
        <f>survey_responses[[#This Row],[Tôi tin rằng Nhà nước, cơ quan thuế sẽ thực thi chính sách mới một cách khách quan, công tâm và đối xử bình đẳng với mọi người nộp thuế.  - HUMAN-TRU1]]</f>
        <v>8</v>
      </c>
      <c r="AN382">
        <f t="shared" si="148"/>
        <v>0.77777777777777779</v>
      </c>
      <c r="AO382">
        <f>step3_validation[[#This Row],[AI_TRU2]]</f>
        <v>9</v>
      </c>
      <c r="AP382">
        <f t="shared" si="149"/>
        <v>0.88888888888888884</v>
      </c>
      <c r="AQ382">
        <f>survey_responses[[#This Row],[Tôi thấy mức thuế tôi phải đóng theo phương án mới là công bằng (người thu nhập như tôi đóng mức này là hợp lý). - HUMAN-TRU2]]</f>
        <v>10</v>
      </c>
      <c r="AR382">
        <f t="shared" si="150"/>
        <v>1</v>
      </c>
      <c r="AS382">
        <f>step3_validation[[#This Row],[AI_TRU3]]</f>
        <v>8</v>
      </c>
      <c r="AT382">
        <f t="shared" si="151"/>
        <v>0.77777777777777779</v>
      </c>
      <c r="AU382">
        <f>survey_responses[[#This Row],[Tôi tin tưởng số tiền thuế tôi đóng sẽ được Nhà nước sử dụng hiệu quả để cải thiện dịch vụ công (y tế, đường xá...). - HUMAN-TRU3]]</f>
        <v>8</v>
      </c>
      <c r="AV382">
        <f t="shared" si="152"/>
        <v>0.77777777777777779</v>
      </c>
      <c r="AW382">
        <f>step3_validation[[#This Row],[AI_TRU4]]</f>
        <v>9</v>
      </c>
      <c r="AX382">
        <f t="shared" si="153"/>
        <v>0.88888888888888884</v>
      </c>
      <c r="AY382">
        <f>survey_responses[[#This Row],[Tôi thấy Nhà nước đã giải thích rõ ràng, minh bạch về lý do và mục tiêu của việc sửa đổi thuế lần này. - HUMAN-TRU4]]</f>
        <v>8</v>
      </c>
      <c r="AZ382">
        <f t="shared" si="154"/>
        <v>0.77777777777777779</v>
      </c>
      <c r="BA382" s="32">
        <f t="shared" si="155"/>
        <v>0.83333333333333326</v>
      </c>
      <c r="BB382" s="32">
        <f t="shared" si="156"/>
        <v>0.83333333333333326</v>
      </c>
      <c r="BC382" s="7">
        <f t="shared" si="157"/>
        <v>0.87037037037037024</v>
      </c>
      <c r="BD382" s="7">
        <f t="shared" si="158"/>
        <v>0.85185185185185175</v>
      </c>
      <c r="BE382">
        <f>step3_validation[[#This Row],[AI_OUT1]]</f>
        <v>9</v>
      </c>
      <c r="BF382">
        <f t="shared" si="159"/>
        <v>0.88888888888888884</v>
      </c>
      <c r="BG382">
        <f>survey_responses[[#This Row],[Sau khi xem xét các quyền lợi và nghĩa vụ, bạn có ủng hộ và tuân thủ chính sách mới hiện nay? - HUMAN-OUT1]]</f>
        <v>10</v>
      </c>
      <c r="BH382">
        <f t="shared" si="160"/>
        <v>1</v>
      </c>
      <c r="BI382" s="32">
        <f t="shared" si="161"/>
        <v>1</v>
      </c>
    </row>
    <row r="383" spans="1:61" x14ac:dyDescent="0.45">
      <c r="A383" s="30">
        <f>step3_validation[[#This Row],[Persona_ID]]</f>
        <v>382</v>
      </c>
      <c r="B383" s="31">
        <f>step3_validation[[#This Row],[Used_Seed]]</f>
        <v>2372</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21.567787991110219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8</v>
      </c>
      <c r="R383">
        <f t="shared" si="135"/>
        <v>0.77777777777777779</v>
      </c>
      <c r="S383">
        <f>survey_responses[[#This Row],[Tôi tin rằng với các quy định quản lý thuế hiện nay, hành vi gian lận hoặc trốn thuế sẽ dễ dàng bị phát hiện và xử lý nghiêm. - HUMAN-ENF1]]</f>
        <v>5</v>
      </c>
      <c r="T383">
        <f t="shared" si="136"/>
        <v>0.44444444444444442</v>
      </c>
      <c r="U383">
        <f>step3_validation[[#This Row],[AI_ENF2]]</f>
        <v>7</v>
      </c>
      <c r="V383">
        <f t="shared" si="137"/>
        <v>0.66666666666666663</v>
      </c>
      <c r="W383">
        <f>survey_responses[[#This Row],[Tôi tin rằng Nhà nước, cơ quan thuế có đủ khả năng và công nghệ để phát hiện, xử lý nghiêm các hành vi trốn thuế. - HUMAN-ENF2]]</f>
        <v>5</v>
      </c>
      <c r="X383">
        <f t="shared" si="138"/>
        <v>0.44444444444444442</v>
      </c>
      <c r="Y383" s="32">
        <f t="shared" si="139"/>
        <v>0.72222222222222221</v>
      </c>
      <c r="Z383" s="32">
        <f t="shared" si="140"/>
        <v>0.44444444444444442</v>
      </c>
      <c r="AA383">
        <f>step3_validation[[#This Row],[AI_FAC1]]</f>
        <v>6</v>
      </c>
      <c r="AB383">
        <f t="shared" si="141"/>
        <v>0.55555555555555558</v>
      </c>
      <c r="AC383">
        <f>survey_responses[[#This Row],[Các thủ tục khai báo thuế VÀ/HOẶC quy trình làm việc với cơ quan thuế đơn giản, tiện lợi, nhanh chóng hơn so với trước đây. - HUMAN-FAC1]]</f>
        <v>4</v>
      </c>
      <c r="AD383">
        <f t="shared" si="142"/>
        <v>0.33333333333333331</v>
      </c>
      <c r="AE383">
        <f>step3_validation[[#This Row],[AI_FAC2]]</f>
        <v>9</v>
      </c>
      <c r="AF383">
        <f t="shared" si="143"/>
        <v>0.88888888888888884</v>
      </c>
      <c r="AG383">
        <f>survey_responses[[#This Row],[So với trước đây, tôi thấy cách tính thuế và các bậc thuế trong phương án mới đơn giản, dễ hiểu và dễ thực hiện hơn. - HUMAN-FAC2]]</f>
        <v>8</v>
      </c>
      <c r="AH383">
        <f t="shared" si="144"/>
        <v>0.77777777777777779</v>
      </c>
      <c r="AI383" s="32">
        <f t="shared" si="145"/>
        <v>0.72222222222222221</v>
      </c>
      <c r="AJ383" s="32">
        <f t="shared" si="146"/>
        <v>0.55555555555555558</v>
      </c>
      <c r="AK383">
        <f>step3_validation[[#This Row],[AI_TRU1]]</f>
        <v>7</v>
      </c>
      <c r="AL383">
        <f t="shared" si="147"/>
        <v>0.66666666666666663</v>
      </c>
      <c r="AM383">
        <f>survey_responses[[#This Row],[Tôi tin rằng Nhà nước, cơ quan thuế sẽ thực thi chính sách mới một cách khách quan, công tâm và đối xử bình đẳng với mọi người nộp thuế.  - HUMAN-TRU1]]</f>
        <v>4</v>
      </c>
      <c r="AN383">
        <f t="shared" si="148"/>
        <v>0.33333333333333331</v>
      </c>
      <c r="AO383">
        <f>step3_validation[[#This Row],[AI_TRU2]]</f>
        <v>9</v>
      </c>
      <c r="AP383">
        <f t="shared" si="149"/>
        <v>0.88888888888888884</v>
      </c>
      <c r="AQ383">
        <f>survey_responses[[#This Row],[Tôi thấy mức thuế tôi phải đóng theo phương án mới là công bằng (người thu nhập như tôi đóng mức này là hợp lý). - HUMAN-TRU2]]</f>
        <v>8</v>
      </c>
      <c r="AR383">
        <f t="shared" si="150"/>
        <v>0.77777777777777779</v>
      </c>
      <c r="AS383">
        <f>step3_validation[[#This Row],[AI_TRU3]]</f>
        <v>6</v>
      </c>
      <c r="AT383">
        <f t="shared" si="151"/>
        <v>0.55555555555555558</v>
      </c>
      <c r="AU383">
        <f>survey_responses[[#This Row],[Tôi tin tưởng số tiền thuế tôi đóng sẽ được Nhà nước sử dụng hiệu quả để cải thiện dịch vụ công (y tế, đường xá...). - HUMAN-TRU3]]</f>
        <v>4</v>
      </c>
      <c r="AV383">
        <f t="shared" si="152"/>
        <v>0.33333333333333331</v>
      </c>
      <c r="AW383">
        <f>step3_validation[[#This Row],[AI_TRU4]]</f>
        <v>7</v>
      </c>
      <c r="AX383">
        <f t="shared" si="153"/>
        <v>0.66666666666666663</v>
      </c>
      <c r="AY383">
        <f>survey_responses[[#This Row],[Tôi thấy Nhà nước đã giải thích rõ ràng, minh bạch về lý do và mục tiêu của việc sửa đổi thuế lần này. - HUMAN-TRU4]]</f>
        <v>5</v>
      </c>
      <c r="AZ383">
        <f t="shared" si="154"/>
        <v>0.44444444444444442</v>
      </c>
      <c r="BA383" s="32">
        <f t="shared" si="155"/>
        <v>0.69444444444444431</v>
      </c>
      <c r="BB383" s="32">
        <f t="shared" si="156"/>
        <v>0.47222222222222221</v>
      </c>
      <c r="BC383" s="7">
        <f t="shared" si="157"/>
        <v>0.71296296296296291</v>
      </c>
      <c r="BD383" s="7">
        <f t="shared" si="158"/>
        <v>0.49074074074074076</v>
      </c>
      <c r="BE383">
        <f>step3_validation[[#This Row],[AI_OUT1]]</f>
        <v>9</v>
      </c>
      <c r="BF383">
        <f t="shared" si="159"/>
        <v>0.88888888888888884</v>
      </c>
      <c r="BG383">
        <f>survey_responses[[#This Row],[Sau khi xem xét các quyền lợi và nghĩa vụ, bạn có ủng hộ và tuân thủ chính sách mới hiện nay? - HUMAN-OUT1]]</f>
        <v>7</v>
      </c>
      <c r="BH383">
        <f t="shared" si="160"/>
        <v>0.66666666666666663</v>
      </c>
      <c r="BI383" s="32">
        <f t="shared" si="161"/>
        <v>2</v>
      </c>
    </row>
    <row r="384" spans="1:61" x14ac:dyDescent="0.45">
      <c r="A384" s="30">
        <f>step3_validation[[#This Row],[Persona_ID]]</f>
        <v>383</v>
      </c>
      <c r="B384" s="31">
        <f>step3_validation[[#This Row],[Used_Seed]]</f>
        <v>2373</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86.583662625862345</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f t="shared" si="135"/>
        <v>0.66666666666666663</v>
      </c>
      <c r="S384">
        <f>survey_responses[[#This Row],[Tôi tin rằng với các quy định quản lý thuế hiện nay, hành vi gian lận hoặc trốn thuế sẽ dễ dàng bị phát hiện và xử lý nghiêm. - HUMAN-ENF1]]</f>
        <v>1</v>
      </c>
      <c r="T384">
        <f t="shared" si="136"/>
        <v>0</v>
      </c>
      <c r="U384">
        <f>step3_validation[[#This Row],[AI_ENF2]]</f>
        <v>6</v>
      </c>
      <c r="V384">
        <f t="shared" si="137"/>
        <v>0.55555555555555558</v>
      </c>
      <c r="W384">
        <f>survey_responses[[#This Row],[Tôi tin rằng Nhà nước, cơ quan thuế có đủ khả năng và công nghệ để phát hiện, xử lý nghiêm các hành vi trốn thuế. - HUMAN-ENF2]]</f>
        <v>1</v>
      </c>
      <c r="X384">
        <f t="shared" si="138"/>
        <v>0</v>
      </c>
      <c r="Y384" s="32">
        <f t="shared" si="139"/>
        <v>0.61111111111111116</v>
      </c>
      <c r="Z384" s="32">
        <f t="shared" si="140"/>
        <v>0</v>
      </c>
      <c r="AA384">
        <f>step3_validation[[#This Row],[AI_FAC1]]</f>
        <v>8</v>
      </c>
      <c r="AB384">
        <f t="shared" si="141"/>
        <v>0.77777777777777779</v>
      </c>
      <c r="AC384">
        <f>survey_responses[[#This Row],[Các thủ tục khai báo thuế VÀ/HOẶC quy trình làm việc với cơ quan thuế đơn giản, tiện lợi, nhanh chóng hơn so với trước đây. - HUMAN-FAC1]]</f>
        <v>4</v>
      </c>
      <c r="AD384">
        <f t="shared" si="142"/>
        <v>0.33333333333333331</v>
      </c>
      <c r="AE384">
        <f>step3_validation[[#This Row],[AI_FAC2]]</f>
        <v>9</v>
      </c>
      <c r="AF384">
        <f t="shared" si="143"/>
        <v>0.88888888888888884</v>
      </c>
      <c r="AG384">
        <f>survey_responses[[#This Row],[So với trước đây, tôi thấy cách tính thuế và các bậc thuế trong phương án mới đơn giản, dễ hiểu và dễ thực hiện hơn. - HUMAN-FAC2]]</f>
        <v>5</v>
      </c>
      <c r="AH384">
        <f t="shared" si="144"/>
        <v>0.44444444444444442</v>
      </c>
      <c r="AI384" s="32">
        <f t="shared" si="145"/>
        <v>0.83333333333333326</v>
      </c>
      <c r="AJ384" s="32">
        <f t="shared" si="146"/>
        <v>0.38888888888888884</v>
      </c>
      <c r="AK384">
        <f>step3_validation[[#This Row],[AI_TRU1]]</f>
        <v>7</v>
      </c>
      <c r="AL384">
        <f t="shared" si="147"/>
        <v>0.66666666666666663</v>
      </c>
      <c r="AM384">
        <f>survey_responses[[#This Row],[Tôi tin rằng Nhà nước, cơ quan thuế sẽ thực thi chính sách mới một cách khách quan, công tâm và đối xử bình đẳng với mọi người nộp thuế.  - HUMAN-TRU1]]</f>
        <v>5</v>
      </c>
      <c r="AN384">
        <f t="shared" si="148"/>
        <v>0.44444444444444442</v>
      </c>
      <c r="AO384">
        <f>step3_validation[[#This Row],[AI_TRU2]]</f>
        <v>8</v>
      </c>
      <c r="AP384">
        <f t="shared" si="149"/>
        <v>0.77777777777777779</v>
      </c>
      <c r="AQ384">
        <f>survey_responses[[#This Row],[Tôi thấy mức thuế tôi phải đóng theo phương án mới là công bằng (người thu nhập như tôi đóng mức này là hợp lý). - HUMAN-TRU2]]</f>
        <v>4</v>
      </c>
      <c r="AR384">
        <f t="shared" si="150"/>
        <v>0.33333333333333331</v>
      </c>
      <c r="AS384">
        <f>step3_validation[[#This Row],[AI_TRU3]]</f>
        <v>7</v>
      </c>
      <c r="AT384">
        <f t="shared" si="151"/>
        <v>0.66666666666666663</v>
      </c>
      <c r="AU384">
        <f>survey_responses[[#This Row],[Tôi tin tưởng số tiền thuế tôi đóng sẽ được Nhà nước sử dụng hiệu quả để cải thiện dịch vụ công (y tế, đường xá...). - HUMAN-TRU3]]</f>
        <v>4</v>
      </c>
      <c r="AV384">
        <f t="shared" si="152"/>
        <v>0.33333333333333331</v>
      </c>
      <c r="AW384">
        <f>step3_validation[[#This Row],[AI_TRU4]]</f>
        <v>6</v>
      </c>
      <c r="AX384">
        <f t="shared" si="153"/>
        <v>0.55555555555555558</v>
      </c>
      <c r="AY384">
        <f>survey_responses[[#This Row],[Tôi thấy Nhà nước đã giải thích rõ ràng, minh bạch về lý do và mục tiêu của việc sửa đổi thuế lần này. - HUMAN-TRU4]]</f>
        <v>5</v>
      </c>
      <c r="AZ384">
        <f t="shared" si="154"/>
        <v>0.44444444444444442</v>
      </c>
      <c r="BA384" s="32">
        <f t="shared" si="155"/>
        <v>0.66666666666666674</v>
      </c>
      <c r="BB384" s="32">
        <f t="shared" si="156"/>
        <v>0.38888888888888884</v>
      </c>
      <c r="BC384" s="7">
        <f t="shared" si="157"/>
        <v>0.70370370370370372</v>
      </c>
      <c r="BD384" s="7">
        <f t="shared" si="158"/>
        <v>0.25925925925925924</v>
      </c>
      <c r="BE384">
        <f>step3_validation[[#This Row],[AI_OUT1]]</f>
        <v>9</v>
      </c>
      <c r="BF384">
        <f t="shared" si="159"/>
        <v>0.88888888888888884</v>
      </c>
      <c r="BG384">
        <f>survey_responses[[#This Row],[Sau khi xem xét các quyền lợi và nghĩa vụ, bạn có ủng hộ và tuân thủ chính sách mới hiện nay? - HUMAN-OUT1]]</f>
        <v>3</v>
      </c>
      <c r="BH384">
        <f t="shared" si="160"/>
        <v>0.22222222222222221</v>
      </c>
      <c r="BI384" s="32">
        <f t="shared" si="161"/>
        <v>6</v>
      </c>
    </row>
    <row r="385" spans="1:61" x14ac:dyDescent="0.45">
      <c r="A385" s="30">
        <f>step3_validation[[#This Row],[Persona_ID]]</f>
        <v>384</v>
      </c>
      <c r="B385" s="31">
        <f>step3_validation[[#This Row],[Used_Seed]]</f>
        <v>2374</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3</v>
      </c>
      <c r="R385">
        <f t="shared" si="135"/>
        <v>0.22222222222222221</v>
      </c>
      <c r="S385">
        <f>survey_responses[[#This Row],[Tôi tin rằng với các quy định quản lý thuế hiện nay, hành vi gian lận hoặc trốn thuế sẽ dễ dàng bị phát hiện và xử lý nghiêm. - HUMAN-ENF1]]</f>
        <v>7</v>
      </c>
      <c r="T385">
        <f t="shared" si="136"/>
        <v>0.66666666666666663</v>
      </c>
      <c r="U385">
        <f>step3_validation[[#This Row],[AI_ENF2]]</f>
        <v>3</v>
      </c>
      <c r="V385">
        <f t="shared" si="137"/>
        <v>0.22222222222222221</v>
      </c>
      <c r="W385">
        <f>survey_responses[[#This Row],[Tôi tin rằng Nhà nước, cơ quan thuế có đủ khả năng và công nghệ để phát hiện, xử lý nghiêm các hành vi trốn thuế. - HUMAN-ENF2]]</f>
        <v>7</v>
      </c>
      <c r="X385">
        <f t="shared" si="138"/>
        <v>0.66666666666666663</v>
      </c>
      <c r="Y385" s="32">
        <f t="shared" si="139"/>
        <v>0.22222222222222221</v>
      </c>
      <c r="Z385" s="32">
        <f t="shared" si="140"/>
        <v>0.66666666666666663</v>
      </c>
      <c r="AA385">
        <f>step3_validation[[#This Row],[AI_FAC1]]</f>
        <v>9</v>
      </c>
      <c r="AB385">
        <f t="shared" si="141"/>
        <v>0.88888888888888884</v>
      </c>
      <c r="AC385">
        <f>survey_responses[[#This Row],[Các thủ tục khai báo thuế VÀ/HOẶC quy trình làm việc với cơ quan thuế đơn giản, tiện lợi, nhanh chóng hơn so với trước đây. - HUMAN-FAC1]]</f>
        <v>7</v>
      </c>
      <c r="AD385">
        <f t="shared" si="142"/>
        <v>0.66666666666666663</v>
      </c>
      <c r="AE385">
        <f>step3_validation[[#This Row],[AI_FAC2]]</f>
        <v>8</v>
      </c>
      <c r="AF385">
        <f t="shared" si="143"/>
        <v>0.77777777777777779</v>
      </c>
      <c r="AG385">
        <f>survey_responses[[#This Row],[So với trước đây, tôi thấy cách tính thuế và các bậc thuế trong phương án mới đơn giản, dễ hiểu và dễ thực hiện hơn. - HUMAN-FAC2]]</f>
        <v>9</v>
      </c>
      <c r="AH385">
        <f t="shared" si="144"/>
        <v>0.88888888888888884</v>
      </c>
      <c r="AI385" s="32">
        <f t="shared" si="145"/>
        <v>0.83333333333333326</v>
      </c>
      <c r="AJ385" s="32">
        <f t="shared" si="146"/>
        <v>0.77777777777777768</v>
      </c>
      <c r="AK385">
        <f>step3_validation[[#This Row],[AI_TRU1]]</f>
        <v>6</v>
      </c>
      <c r="AL385">
        <f t="shared" si="147"/>
        <v>0.55555555555555558</v>
      </c>
      <c r="AM385">
        <f>survey_responses[[#This Row],[Tôi tin rằng Nhà nước, cơ quan thuế sẽ thực thi chính sách mới một cách khách quan, công tâm và đối xử bình đẳng với mọi người nộp thuế.  - HUMAN-TRU1]]</f>
        <v>8</v>
      </c>
      <c r="AN385">
        <f t="shared" si="148"/>
        <v>0.77777777777777779</v>
      </c>
      <c r="AO385">
        <f>step3_validation[[#This Row],[AI_TRU2]]</f>
        <v>7</v>
      </c>
      <c r="AP385">
        <f t="shared" si="149"/>
        <v>0.66666666666666663</v>
      </c>
      <c r="AQ385">
        <f>survey_responses[[#This Row],[Tôi thấy mức thuế tôi phải đóng theo phương án mới là công bằng (người thu nhập như tôi đóng mức này là hợp lý). - HUMAN-TRU2]]</f>
        <v>10</v>
      </c>
      <c r="AR385">
        <f t="shared" si="150"/>
        <v>1</v>
      </c>
      <c r="AS385">
        <f>step3_validation[[#This Row],[AI_TRU3]]</f>
        <v>6</v>
      </c>
      <c r="AT385">
        <f t="shared" si="151"/>
        <v>0.55555555555555558</v>
      </c>
      <c r="AU385">
        <f>survey_responses[[#This Row],[Tôi tin tưởng số tiền thuế tôi đóng sẽ được Nhà nước sử dụng hiệu quả để cải thiện dịch vụ công (y tế, đường xá...). - HUMAN-TRU3]]</f>
        <v>8</v>
      </c>
      <c r="AV385">
        <f t="shared" si="152"/>
        <v>0.77777777777777779</v>
      </c>
      <c r="AW385">
        <f>step3_validation[[#This Row],[AI_TRU4]]</f>
        <v>8</v>
      </c>
      <c r="AX385">
        <f t="shared" si="153"/>
        <v>0.77777777777777779</v>
      </c>
      <c r="AY385">
        <f>survey_responses[[#This Row],[Tôi thấy Nhà nước đã giải thích rõ ràng, minh bạch về lý do và mục tiêu của việc sửa đổi thuế lần này. - HUMAN-TRU4]]</f>
        <v>7</v>
      </c>
      <c r="AZ385">
        <f t="shared" si="154"/>
        <v>0.66666666666666663</v>
      </c>
      <c r="BA385" s="32">
        <f t="shared" si="155"/>
        <v>0.63888888888888895</v>
      </c>
      <c r="BB385" s="32">
        <f t="shared" si="156"/>
        <v>0.80555555555555547</v>
      </c>
      <c r="BC385" s="7">
        <f t="shared" si="157"/>
        <v>0.56481481481481477</v>
      </c>
      <c r="BD385" s="7">
        <f t="shared" si="158"/>
        <v>0.74999999999999989</v>
      </c>
      <c r="BE385">
        <f>step3_validation[[#This Row],[AI_OUT1]]</f>
        <v>7</v>
      </c>
      <c r="BF385">
        <f t="shared" si="159"/>
        <v>0.66666666666666663</v>
      </c>
      <c r="BG385">
        <f>survey_responses[[#This Row],[Sau khi xem xét các quyền lợi và nghĩa vụ, bạn có ủng hộ và tuân thủ chính sách mới hiện nay? - HUMAN-OUT1]]</f>
        <v>10</v>
      </c>
      <c r="BH385">
        <f t="shared" si="160"/>
        <v>1</v>
      </c>
      <c r="BI385" s="32">
        <f t="shared" si="161"/>
        <v>3</v>
      </c>
    </row>
    <row r="386" spans="1:61" x14ac:dyDescent="0.45">
      <c r="A386" s="30">
        <f>step3_validation[[#This Row],[Persona_ID]]</f>
        <v>385</v>
      </c>
      <c r="B386" s="31">
        <f>step3_validation[[#This Row],[Used_Seed]]</f>
        <v>2375</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35.124308822432177</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f t="shared" si="135"/>
        <v>0.55555555555555558</v>
      </c>
      <c r="S386">
        <f>survey_responses[[#This Row],[Tôi tin rằng với các quy định quản lý thuế hiện nay, hành vi gian lận hoặc trốn thuế sẽ dễ dàng bị phát hiện và xử lý nghiêm. - HUMAN-ENF1]]</f>
        <v>3</v>
      </c>
      <c r="T386">
        <f t="shared" si="136"/>
        <v>0.22222222222222221</v>
      </c>
      <c r="U386">
        <f>step3_validation[[#This Row],[AI_ENF2]]</f>
        <v>6</v>
      </c>
      <c r="V386">
        <f t="shared" si="137"/>
        <v>0.55555555555555558</v>
      </c>
      <c r="W386">
        <f>survey_responses[[#This Row],[Tôi tin rằng Nhà nước, cơ quan thuế có đủ khả năng và công nghệ để phát hiện, xử lý nghiêm các hành vi trốn thuế. - HUMAN-ENF2]]</f>
        <v>3</v>
      </c>
      <c r="X386">
        <f t="shared" si="138"/>
        <v>0.22222222222222221</v>
      </c>
      <c r="Y386" s="32">
        <f t="shared" si="139"/>
        <v>0.55555555555555558</v>
      </c>
      <c r="Z386" s="32">
        <f t="shared" si="140"/>
        <v>0.22222222222222221</v>
      </c>
      <c r="AA386">
        <f>step3_validation[[#This Row],[AI_FAC1]]</f>
        <v>8</v>
      </c>
      <c r="AB386">
        <f t="shared" si="141"/>
        <v>0.77777777777777779</v>
      </c>
      <c r="AC386">
        <f>survey_responses[[#This Row],[Các thủ tục khai báo thuế VÀ/HOẶC quy trình làm việc với cơ quan thuế đơn giản, tiện lợi, nhanh chóng hơn so với trước đây. - HUMAN-FAC1]]</f>
        <v>4</v>
      </c>
      <c r="AD386">
        <f t="shared" si="142"/>
        <v>0.33333333333333331</v>
      </c>
      <c r="AE386">
        <f>step3_validation[[#This Row],[AI_FAC2]]</f>
        <v>9</v>
      </c>
      <c r="AF386">
        <f t="shared" si="143"/>
        <v>0.88888888888888884</v>
      </c>
      <c r="AG386">
        <f>survey_responses[[#This Row],[So với trước đây, tôi thấy cách tính thuế và các bậc thuế trong phương án mới đơn giản, dễ hiểu và dễ thực hiện hơn. - HUMAN-FAC2]]</f>
        <v>6</v>
      </c>
      <c r="AH386">
        <f t="shared" si="144"/>
        <v>0.55555555555555558</v>
      </c>
      <c r="AI386" s="32">
        <f t="shared" si="145"/>
        <v>0.83333333333333326</v>
      </c>
      <c r="AJ386" s="32">
        <f t="shared" si="146"/>
        <v>0.44444444444444442</v>
      </c>
      <c r="AK386">
        <f>step3_validation[[#This Row],[AI_TRU1]]</f>
        <v>7</v>
      </c>
      <c r="AL386">
        <f t="shared" si="147"/>
        <v>0.66666666666666663</v>
      </c>
      <c r="AM386">
        <f>survey_responses[[#This Row],[Tôi tin rằng Nhà nước, cơ quan thuế sẽ thực thi chính sách mới một cách khách quan, công tâm và đối xử bình đẳng với mọi người nộp thuế.  - HUMAN-TRU1]]</f>
        <v>4</v>
      </c>
      <c r="AN386">
        <f t="shared" si="148"/>
        <v>0.33333333333333331</v>
      </c>
      <c r="AO386">
        <f>step3_validation[[#This Row],[AI_TRU2]]</f>
        <v>9</v>
      </c>
      <c r="AP386">
        <f t="shared" si="149"/>
        <v>0.88888888888888884</v>
      </c>
      <c r="AQ386">
        <f>survey_responses[[#This Row],[Tôi thấy mức thuế tôi phải đóng theo phương án mới là công bằng (người thu nhập như tôi đóng mức này là hợp lý). - HUMAN-TRU2]]</f>
        <v>5</v>
      </c>
      <c r="AR386">
        <f t="shared" si="150"/>
        <v>0.44444444444444442</v>
      </c>
      <c r="AS386">
        <f>step3_validation[[#This Row],[AI_TRU3]]</f>
        <v>7</v>
      </c>
      <c r="AT386">
        <f t="shared" si="151"/>
        <v>0.66666666666666663</v>
      </c>
      <c r="AU386">
        <f>survey_responses[[#This Row],[Tôi tin tưởng số tiền thuế tôi đóng sẽ được Nhà nước sử dụng hiệu quả để cải thiện dịch vụ công (y tế, đường xá...). - HUMAN-TRU3]]</f>
        <v>4</v>
      </c>
      <c r="AV386">
        <f t="shared" si="152"/>
        <v>0.33333333333333331</v>
      </c>
      <c r="AW386">
        <f>step3_validation[[#This Row],[AI_TRU4]]</f>
        <v>8</v>
      </c>
      <c r="AX386">
        <f t="shared" si="153"/>
        <v>0.77777777777777779</v>
      </c>
      <c r="AY386">
        <f>survey_responses[[#This Row],[Tôi thấy Nhà nước đã giải thích rõ ràng, minh bạch về lý do và mục tiêu của việc sửa đổi thuế lần này. - HUMAN-TRU4]]</f>
        <v>5</v>
      </c>
      <c r="AZ386">
        <f t="shared" si="154"/>
        <v>0.44444444444444442</v>
      </c>
      <c r="BA386" s="32">
        <f t="shared" si="155"/>
        <v>0.74999999999999989</v>
      </c>
      <c r="BB386" s="32">
        <f t="shared" si="156"/>
        <v>0.38888888888888884</v>
      </c>
      <c r="BC386" s="7">
        <f t="shared" si="157"/>
        <v>0.71296296296296291</v>
      </c>
      <c r="BD386" s="7">
        <f t="shared" si="158"/>
        <v>0.3518518518518518</v>
      </c>
      <c r="BE386">
        <f>step3_validation[[#This Row],[AI_OUT1]]</f>
        <v>9</v>
      </c>
      <c r="BF386">
        <f t="shared" si="159"/>
        <v>0.88888888888888884</v>
      </c>
      <c r="BG386">
        <f>survey_responses[[#This Row],[Sau khi xem xét các quyền lợi và nghĩa vụ, bạn có ủng hộ và tuân thủ chính sách mới hiện nay? - HUMAN-OUT1]]</f>
        <v>5</v>
      </c>
      <c r="BH386">
        <f t="shared" si="160"/>
        <v>0.44444444444444442</v>
      </c>
      <c r="BI386" s="32">
        <f t="shared" si="161"/>
        <v>4</v>
      </c>
    </row>
    <row r="387" spans="1:61" x14ac:dyDescent="0.45">
      <c r="A387" s="30">
        <f>step3_validation[[#This Row],[Persona_ID]]</f>
        <v>386</v>
      </c>
      <c r="B387" s="31">
        <f>step3_validation[[#This Row],[Used_Seed]]</f>
        <v>2376</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29.241842720020962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f t="shared" ref="R387:R404" si="162">(Q387-1)/9</f>
        <v>0.66666666666666663</v>
      </c>
      <c r="S387">
        <f>survey_responses[[#This Row],[Tôi tin rằng với các quy định quản lý thuế hiện nay, hành vi gian lận hoặc trốn thuế sẽ dễ dàng bị phát hiện và xử lý nghiêm. - HUMAN-ENF1]]</f>
        <v>8</v>
      </c>
      <c r="T387">
        <f t="shared" ref="T387:T404" si="163">(S387-1)/9</f>
        <v>0.77777777777777779</v>
      </c>
      <c r="U387">
        <f>step3_validation[[#This Row],[AI_ENF2]]</f>
        <v>8</v>
      </c>
      <c r="V387">
        <f t="shared" ref="V387:V404" si="164">(U387-1)/9</f>
        <v>0.77777777777777779</v>
      </c>
      <c r="W387">
        <f>survey_responses[[#This Row],[Tôi tin rằng Nhà nước, cơ quan thuế có đủ khả năng và công nghệ để phát hiện, xử lý nghiêm các hành vi trốn thuế. - HUMAN-ENF2]]</f>
        <v>8</v>
      </c>
      <c r="X387">
        <f t="shared" ref="X387:X404" si="165">(W387-1)/9</f>
        <v>0.77777777777777779</v>
      </c>
      <c r="Y387" s="32">
        <f t="shared" ref="Y387:Y404" si="166">AVERAGE(R387,V387)</f>
        <v>0.72222222222222221</v>
      </c>
      <c r="Z387" s="32">
        <f t="shared" ref="Z387:Z404" si="167">AVERAGE(T387,X387)</f>
        <v>0.77777777777777779</v>
      </c>
      <c r="AA387">
        <f>step3_validation[[#This Row],[AI_FAC1]]</f>
        <v>9</v>
      </c>
      <c r="AB387">
        <f t="shared" ref="AB387:AB404" si="168">(AA387-1)/9</f>
        <v>0.88888888888888884</v>
      </c>
      <c r="AC387">
        <f>survey_responses[[#This Row],[Các thủ tục khai báo thuế VÀ/HOẶC quy trình làm việc với cơ quan thuế đơn giản, tiện lợi, nhanh chóng hơn so với trước đây. - HUMAN-FAC1]]</f>
        <v>9</v>
      </c>
      <c r="AD387">
        <f t="shared" ref="AD387:AD404" si="169">(AC387-1)/9</f>
        <v>0.88888888888888884</v>
      </c>
      <c r="AE387">
        <f>step3_validation[[#This Row],[AI_FAC2]]</f>
        <v>10</v>
      </c>
      <c r="AF387">
        <f t="shared" ref="AF387:AF404" si="170">(AE387-1)/9</f>
        <v>1</v>
      </c>
      <c r="AG387">
        <f>survey_responses[[#This Row],[So với trước đây, tôi thấy cách tính thuế và các bậc thuế trong phương án mới đơn giản, dễ hiểu và dễ thực hiện hơn. - HUMAN-FAC2]]</f>
        <v>8</v>
      </c>
      <c r="AH387">
        <f t="shared" ref="AH387:AH404" si="171">(AG387-1)/9</f>
        <v>0.77777777777777779</v>
      </c>
      <c r="AI387" s="32">
        <f t="shared" ref="AI387:AI404" si="172">AVERAGE(AB387,AF387)</f>
        <v>0.94444444444444442</v>
      </c>
      <c r="AJ387" s="32">
        <f t="shared" ref="AJ387:AJ404" si="173">AVERAGE(AD387,AH387)</f>
        <v>0.83333333333333326</v>
      </c>
      <c r="AK387">
        <f>step3_validation[[#This Row],[AI_TRU1]]</f>
        <v>7</v>
      </c>
      <c r="AL387">
        <f t="shared" ref="AL387:AL404" si="174">(AK387-1)/9</f>
        <v>0.66666666666666663</v>
      </c>
      <c r="AM387">
        <f>survey_responses[[#This Row],[Tôi tin rằng Nhà nước, cơ quan thuế sẽ thực thi chính sách mới một cách khách quan, công tâm và đối xử bình đẳng với mọi người nộp thuế.  - HUMAN-TRU1]]</f>
        <v>7</v>
      </c>
      <c r="AN387">
        <f t="shared" ref="AN387:AN404" si="175">(AM387-1)/9</f>
        <v>0.66666666666666663</v>
      </c>
      <c r="AO387">
        <f>step3_validation[[#This Row],[AI_TRU2]]</f>
        <v>9</v>
      </c>
      <c r="AP387">
        <f t="shared" ref="AP387:AP404" si="176">(AO387-1)/9</f>
        <v>0.88888888888888884</v>
      </c>
      <c r="AQ387">
        <f>survey_responses[[#This Row],[Tôi thấy mức thuế tôi phải đóng theo phương án mới là công bằng (người thu nhập như tôi đóng mức này là hợp lý). - HUMAN-TRU2]]</f>
        <v>8</v>
      </c>
      <c r="AR387">
        <f t="shared" ref="AR387:AR404" si="177">(AQ387-1)/9</f>
        <v>0.77777777777777779</v>
      </c>
      <c r="AS387">
        <f>step3_validation[[#This Row],[AI_TRU3]]</f>
        <v>7</v>
      </c>
      <c r="AT387">
        <f t="shared" ref="AT387:AT404" si="178">(AS387-1)/9</f>
        <v>0.66666666666666663</v>
      </c>
      <c r="AU387">
        <f>survey_responses[[#This Row],[Tôi tin tưởng số tiền thuế tôi đóng sẽ được Nhà nước sử dụng hiệu quả để cải thiện dịch vụ công (y tế, đường xá...). - HUMAN-TRU3]]</f>
        <v>7</v>
      </c>
      <c r="AV387">
        <f t="shared" ref="AV387:AV404" si="179">(AU387-1)/9</f>
        <v>0.66666666666666663</v>
      </c>
      <c r="AW387">
        <f>step3_validation[[#This Row],[AI_TRU4]]</f>
        <v>8</v>
      </c>
      <c r="AX387">
        <f t="shared" ref="AX387:AX404" si="180">(AW387-1)/9</f>
        <v>0.77777777777777779</v>
      </c>
      <c r="AY387">
        <f>survey_responses[[#This Row],[Tôi thấy Nhà nước đã giải thích rõ ràng, minh bạch về lý do và mục tiêu của việc sửa đổi thuế lần này. - HUMAN-TRU4]]</f>
        <v>7</v>
      </c>
      <c r="AZ387">
        <f t="shared" ref="AZ387:AZ404" si="181">(AY387-1)/9</f>
        <v>0.66666666666666663</v>
      </c>
      <c r="BA387" s="32">
        <f t="shared" ref="BA387:BA404" si="182">AVERAGE(AL387,AP387,AT387,AX387)</f>
        <v>0.74999999999999989</v>
      </c>
      <c r="BB387" s="32">
        <f t="shared" ref="BB387:BB404" si="183">AVERAGE(AN387,AR387,AV387,AZ387)</f>
        <v>0.69444444444444442</v>
      </c>
      <c r="BC387" s="7">
        <f t="shared" ref="BC387:BC404" si="184">(Y387+AI387+BA387)/3</f>
        <v>0.80555555555555547</v>
      </c>
      <c r="BD387" s="7">
        <f t="shared" ref="BD387:BD404" si="185">(Z387+AJ387+BB387)/3</f>
        <v>0.76851851851851849</v>
      </c>
      <c r="BE387">
        <f>step3_validation[[#This Row],[AI_OUT1]]</f>
        <v>9</v>
      </c>
      <c r="BF387">
        <f t="shared" ref="BF387:BF404" si="186">(BE387-1)/9</f>
        <v>0.88888888888888884</v>
      </c>
      <c r="BG387">
        <f>survey_responses[[#This Row],[Sau khi xem xét các quyền lợi và nghĩa vụ, bạn có ủng hộ và tuân thủ chính sách mới hiện nay? - HUMAN-OUT1]]</f>
        <v>8</v>
      </c>
      <c r="BH387">
        <f t="shared" ref="BH387:BH404" si="187">(BG387-1)/9</f>
        <v>0.77777777777777779</v>
      </c>
      <c r="BI387" s="32">
        <f t="shared" ref="BI387:BI404" si="188">ABS(BG387-BE387)</f>
        <v>1</v>
      </c>
    </row>
    <row r="388" spans="1:61" x14ac:dyDescent="0.45">
      <c r="A388" s="30">
        <f>step3_validation[[#This Row],[Persona_ID]]</f>
        <v>387</v>
      </c>
      <c r="B388" s="31">
        <f>step3_validation[[#This Row],[Used_Seed]]</f>
        <v>2377</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52.847932292906329</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f t="shared" si="162"/>
        <v>0.66666666666666663</v>
      </c>
      <c r="S388">
        <f>survey_responses[[#This Row],[Tôi tin rằng với các quy định quản lý thuế hiện nay, hành vi gian lận hoặc trốn thuế sẽ dễ dàng bị phát hiện và xử lý nghiêm. - HUMAN-ENF1]]</f>
        <v>5</v>
      </c>
      <c r="T388">
        <f t="shared" si="163"/>
        <v>0.44444444444444442</v>
      </c>
      <c r="U388">
        <f>step3_validation[[#This Row],[AI_ENF2]]</f>
        <v>8</v>
      </c>
      <c r="V388">
        <f t="shared" si="164"/>
        <v>0.77777777777777779</v>
      </c>
      <c r="W388">
        <f>survey_responses[[#This Row],[Tôi tin rằng Nhà nước, cơ quan thuế có đủ khả năng và công nghệ để phát hiện, xử lý nghiêm các hành vi trốn thuế. - HUMAN-ENF2]]</f>
        <v>5</v>
      </c>
      <c r="X388">
        <f t="shared" si="165"/>
        <v>0.44444444444444442</v>
      </c>
      <c r="Y388" s="32">
        <f t="shared" si="166"/>
        <v>0.72222222222222221</v>
      </c>
      <c r="Z388" s="32">
        <f t="shared" si="167"/>
        <v>0.44444444444444442</v>
      </c>
      <c r="AA388">
        <f>step3_validation[[#This Row],[AI_FAC1]]</f>
        <v>9</v>
      </c>
      <c r="AB388">
        <f t="shared" si="168"/>
        <v>0.88888888888888884</v>
      </c>
      <c r="AC388">
        <f>survey_responses[[#This Row],[Các thủ tục khai báo thuế VÀ/HOẶC quy trình làm việc với cơ quan thuế đơn giản, tiện lợi, nhanh chóng hơn so với trước đây. - HUMAN-FAC1]]</f>
        <v>5</v>
      </c>
      <c r="AD388">
        <f t="shared" si="169"/>
        <v>0.44444444444444442</v>
      </c>
      <c r="AE388">
        <f>step3_validation[[#This Row],[AI_FAC2]]</f>
        <v>10</v>
      </c>
      <c r="AF388">
        <f t="shared" si="170"/>
        <v>1</v>
      </c>
      <c r="AG388">
        <f>survey_responses[[#This Row],[So với trước đây, tôi thấy cách tính thuế và các bậc thuế trong phương án mới đơn giản, dễ hiểu và dễ thực hiện hơn. - HUMAN-FAC2]]</f>
        <v>5</v>
      </c>
      <c r="AH388">
        <f t="shared" si="171"/>
        <v>0.44444444444444442</v>
      </c>
      <c r="AI388" s="32">
        <f t="shared" si="172"/>
        <v>0.94444444444444442</v>
      </c>
      <c r="AJ388" s="32">
        <f t="shared" si="173"/>
        <v>0.44444444444444442</v>
      </c>
      <c r="AK388">
        <f>step3_validation[[#This Row],[AI_TRU1]]</f>
        <v>9</v>
      </c>
      <c r="AL388">
        <f t="shared" si="174"/>
        <v>0.88888888888888884</v>
      </c>
      <c r="AM388">
        <f>survey_responses[[#This Row],[Tôi tin rằng Nhà nước, cơ quan thuế sẽ thực thi chính sách mới một cách khách quan, công tâm và đối xử bình đẳng với mọi người nộp thuế.  - HUMAN-TRU1]]</f>
        <v>5</v>
      </c>
      <c r="AN388">
        <f t="shared" si="175"/>
        <v>0.44444444444444442</v>
      </c>
      <c r="AO388">
        <f>step3_validation[[#This Row],[AI_TRU2]]</f>
        <v>9</v>
      </c>
      <c r="AP388">
        <f t="shared" si="176"/>
        <v>0.88888888888888884</v>
      </c>
      <c r="AQ388">
        <f>survey_responses[[#This Row],[Tôi thấy mức thuế tôi phải đóng theo phương án mới là công bằng (người thu nhập như tôi đóng mức này là hợp lý). - HUMAN-TRU2]]</f>
        <v>5</v>
      </c>
      <c r="AR388">
        <f t="shared" si="177"/>
        <v>0.44444444444444442</v>
      </c>
      <c r="AS388">
        <f>step3_validation[[#This Row],[AI_TRU3]]</f>
        <v>9</v>
      </c>
      <c r="AT388">
        <f t="shared" si="178"/>
        <v>0.88888888888888884</v>
      </c>
      <c r="AU388">
        <f>survey_responses[[#This Row],[Tôi tin tưởng số tiền thuế tôi đóng sẽ được Nhà nước sử dụng hiệu quả để cải thiện dịch vụ công (y tế, đường xá...). - HUMAN-TRU3]]</f>
        <v>5</v>
      </c>
      <c r="AV388">
        <f t="shared" si="179"/>
        <v>0.44444444444444442</v>
      </c>
      <c r="AW388">
        <f>step3_validation[[#This Row],[AI_TRU4]]</f>
        <v>8</v>
      </c>
      <c r="AX388">
        <f t="shared" si="180"/>
        <v>0.77777777777777779</v>
      </c>
      <c r="AY388">
        <f>survey_responses[[#This Row],[Tôi thấy Nhà nước đã giải thích rõ ràng, minh bạch về lý do và mục tiêu của việc sửa đổi thuế lần này. - HUMAN-TRU4]]</f>
        <v>5</v>
      </c>
      <c r="AZ388">
        <f t="shared" si="181"/>
        <v>0.44444444444444442</v>
      </c>
      <c r="BA388" s="32">
        <f t="shared" si="182"/>
        <v>0.86111111111111105</v>
      </c>
      <c r="BB388" s="32">
        <f t="shared" si="183"/>
        <v>0.44444444444444442</v>
      </c>
      <c r="BC388" s="7">
        <f t="shared" si="184"/>
        <v>0.84259259259259256</v>
      </c>
      <c r="BD388" s="7">
        <f t="shared" si="185"/>
        <v>0.44444444444444442</v>
      </c>
      <c r="BE388">
        <f>step3_validation[[#This Row],[AI_OUT1]]</f>
        <v>9</v>
      </c>
      <c r="BF388">
        <f t="shared" si="186"/>
        <v>0.88888888888888884</v>
      </c>
      <c r="BG388">
        <f>survey_responses[[#This Row],[Sau khi xem xét các quyền lợi và nghĩa vụ, bạn có ủng hộ và tuân thủ chính sách mới hiện nay? - HUMAN-OUT1]]</f>
        <v>5</v>
      </c>
      <c r="BH388">
        <f t="shared" si="187"/>
        <v>0.44444444444444442</v>
      </c>
      <c r="BI388" s="32">
        <f t="shared" si="188"/>
        <v>4</v>
      </c>
    </row>
    <row r="389" spans="1:61" x14ac:dyDescent="0.45">
      <c r="A389" s="30">
        <f>step3_validation[[#This Row],[Persona_ID]]</f>
        <v>388</v>
      </c>
      <c r="B389" s="31">
        <f>step3_validation[[#This Row],[Used_Seed]]</f>
        <v>2378</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12.676222042255832</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7</v>
      </c>
      <c r="R389">
        <f t="shared" si="162"/>
        <v>0.66666666666666663</v>
      </c>
      <c r="S389">
        <f>survey_responses[[#This Row],[Tôi tin rằng với các quy định quản lý thuế hiện nay, hành vi gian lận hoặc trốn thuế sẽ dễ dàng bị phát hiện và xử lý nghiêm. - HUMAN-ENF1]]</f>
        <v>7</v>
      </c>
      <c r="T389">
        <f t="shared" si="163"/>
        <v>0.66666666666666663</v>
      </c>
      <c r="U389">
        <f>step3_validation[[#This Row],[AI_ENF2]]</f>
        <v>7</v>
      </c>
      <c r="V389">
        <f t="shared" si="164"/>
        <v>0.66666666666666663</v>
      </c>
      <c r="W389">
        <f>survey_responses[[#This Row],[Tôi tin rằng Nhà nước, cơ quan thuế có đủ khả năng và công nghệ để phát hiện, xử lý nghiêm các hành vi trốn thuế. - HUMAN-ENF2]]</f>
        <v>7</v>
      </c>
      <c r="X389">
        <f t="shared" si="165"/>
        <v>0.66666666666666663</v>
      </c>
      <c r="Y389" s="32">
        <f t="shared" si="166"/>
        <v>0.66666666666666663</v>
      </c>
      <c r="Z389" s="32">
        <f t="shared" si="167"/>
        <v>0.66666666666666663</v>
      </c>
      <c r="AA389">
        <f>step3_validation[[#This Row],[AI_FAC1]]</f>
        <v>8</v>
      </c>
      <c r="AB389">
        <f t="shared" si="168"/>
        <v>0.77777777777777779</v>
      </c>
      <c r="AC389">
        <f>survey_responses[[#This Row],[Các thủ tục khai báo thuế VÀ/HOẶC quy trình làm việc với cơ quan thuế đơn giản, tiện lợi, nhanh chóng hơn so với trước đây. - HUMAN-FAC1]]</f>
        <v>5</v>
      </c>
      <c r="AD389">
        <f t="shared" si="169"/>
        <v>0.44444444444444442</v>
      </c>
      <c r="AE389">
        <f>step3_validation[[#This Row],[AI_FAC2]]</f>
        <v>7</v>
      </c>
      <c r="AF389">
        <f t="shared" si="170"/>
        <v>0.66666666666666663</v>
      </c>
      <c r="AG389">
        <f>survey_responses[[#This Row],[So với trước đây, tôi thấy cách tính thuế và các bậc thuế trong phương án mới đơn giản, dễ hiểu và dễ thực hiện hơn. - HUMAN-FAC2]]</f>
        <v>8</v>
      </c>
      <c r="AH389">
        <f t="shared" si="171"/>
        <v>0.77777777777777779</v>
      </c>
      <c r="AI389" s="32">
        <f t="shared" si="172"/>
        <v>0.72222222222222221</v>
      </c>
      <c r="AJ389" s="32">
        <f t="shared" si="173"/>
        <v>0.61111111111111116</v>
      </c>
      <c r="AK389">
        <f>step3_validation[[#This Row],[AI_TRU1]]</f>
        <v>9</v>
      </c>
      <c r="AL389">
        <f t="shared" si="174"/>
        <v>0.88888888888888884</v>
      </c>
      <c r="AM389">
        <f>survey_responses[[#This Row],[Tôi tin rằng Nhà nước, cơ quan thuế sẽ thực thi chính sách mới một cách khách quan, công tâm và đối xử bình đẳng với mọi người nộp thuế.  - HUMAN-TRU1]]</f>
        <v>6</v>
      </c>
      <c r="AN389">
        <f t="shared" si="175"/>
        <v>0.55555555555555558</v>
      </c>
      <c r="AO389">
        <f>step3_validation[[#This Row],[AI_TRU2]]</f>
        <v>8</v>
      </c>
      <c r="AP389">
        <f t="shared" si="176"/>
        <v>0.77777777777777779</v>
      </c>
      <c r="AQ389">
        <f>survey_responses[[#This Row],[Tôi thấy mức thuế tôi phải đóng theo phương án mới là công bằng (người thu nhập như tôi đóng mức này là hợp lý). - HUMAN-TRU2]]</f>
        <v>8</v>
      </c>
      <c r="AR389">
        <f t="shared" si="177"/>
        <v>0.77777777777777779</v>
      </c>
      <c r="AS389">
        <f>step3_validation[[#This Row],[AI_TRU3]]</f>
        <v>9</v>
      </c>
      <c r="AT389">
        <f t="shared" si="178"/>
        <v>0.88888888888888884</v>
      </c>
      <c r="AU389">
        <f>survey_responses[[#This Row],[Tôi tin tưởng số tiền thuế tôi đóng sẽ được Nhà nước sử dụng hiệu quả để cải thiện dịch vụ công (y tế, đường xá...). - HUMAN-TRU3]]</f>
        <v>5</v>
      </c>
      <c r="AV389">
        <f t="shared" si="179"/>
        <v>0.44444444444444442</v>
      </c>
      <c r="AW389">
        <f>step3_validation[[#This Row],[AI_TRU4]]</f>
        <v>8</v>
      </c>
      <c r="AX389">
        <f t="shared" si="180"/>
        <v>0.77777777777777779</v>
      </c>
      <c r="AY389">
        <f>survey_responses[[#This Row],[Tôi thấy Nhà nước đã giải thích rõ ràng, minh bạch về lý do và mục tiêu của việc sửa đổi thuế lần này. - HUMAN-TRU4]]</f>
        <v>5</v>
      </c>
      <c r="AZ389">
        <f t="shared" si="181"/>
        <v>0.44444444444444442</v>
      </c>
      <c r="BA389" s="32">
        <f t="shared" si="182"/>
        <v>0.83333333333333326</v>
      </c>
      <c r="BB389" s="32">
        <f t="shared" si="183"/>
        <v>0.55555555555555558</v>
      </c>
      <c r="BC389" s="7">
        <f t="shared" si="184"/>
        <v>0.74074074074074081</v>
      </c>
      <c r="BD389" s="7">
        <f t="shared" si="185"/>
        <v>0.61111111111111105</v>
      </c>
      <c r="BE389">
        <f>step3_validation[[#This Row],[AI_OUT1]]</f>
        <v>9</v>
      </c>
      <c r="BF389">
        <f t="shared" si="186"/>
        <v>0.88888888888888884</v>
      </c>
      <c r="BG389">
        <f>survey_responses[[#This Row],[Sau khi xem xét các quyền lợi và nghĩa vụ, bạn có ủng hộ và tuân thủ chính sách mới hiện nay? - HUMAN-OUT1]]</f>
        <v>8</v>
      </c>
      <c r="BH389">
        <f t="shared" si="187"/>
        <v>0.77777777777777779</v>
      </c>
      <c r="BI389" s="32">
        <f t="shared" si="188"/>
        <v>1</v>
      </c>
    </row>
    <row r="390" spans="1:61" x14ac:dyDescent="0.45">
      <c r="A390" s="30">
        <f>step3_validation[[#This Row],[Persona_ID]]</f>
        <v>389</v>
      </c>
      <c r="B390" s="31">
        <f>step3_validation[[#This Row],[Used_Seed]]</f>
        <v>2379</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20.136205359719021</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9</v>
      </c>
      <c r="R390">
        <f t="shared" si="162"/>
        <v>0.88888888888888884</v>
      </c>
      <c r="S390">
        <f>survey_responses[[#This Row],[Tôi tin rằng với các quy định quản lý thuế hiện nay, hành vi gian lận hoặc trốn thuế sẽ dễ dàng bị phát hiện và xử lý nghiêm. - HUMAN-ENF1]]</f>
        <v>6</v>
      </c>
      <c r="T390">
        <f t="shared" si="163"/>
        <v>0.55555555555555558</v>
      </c>
      <c r="U390">
        <f>step3_validation[[#This Row],[AI_ENF2]]</f>
        <v>9</v>
      </c>
      <c r="V390">
        <f t="shared" si="164"/>
        <v>0.88888888888888884</v>
      </c>
      <c r="W390">
        <f>survey_responses[[#This Row],[Tôi tin rằng Nhà nước, cơ quan thuế có đủ khả năng và công nghệ để phát hiện, xử lý nghiêm các hành vi trốn thuế. - HUMAN-ENF2]]</f>
        <v>8</v>
      </c>
      <c r="X390">
        <f t="shared" si="165"/>
        <v>0.77777777777777779</v>
      </c>
      <c r="Y390" s="32">
        <f t="shared" si="166"/>
        <v>0.88888888888888884</v>
      </c>
      <c r="Z390" s="32">
        <f t="shared" si="167"/>
        <v>0.66666666666666674</v>
      </c>
      <c r="AA390">
        <f>step3_validation[[#This Row],[AI_FAC1]]</f>
        <v>8</v>
      </c>
      <c r="AB390">
        <f t="shared" si="168"/>
        <v>0.77777777777777779</v>
      </c>
      <c r="AC390">
        <f>survey_responses[[#This Row],[Các thủ tục khai báo thuế VÀ/HOẶC quy trình làm việc với cơ quan thuế đơn giản, tiện lợi, nhanh chóng hơn so với trước đây. - HUMAN-FAC1]]</f>
        <v>7</v>
      </c>
      <c r="AD390">
        <f t="shared" si="169"/>
        <v>0.66666666666666663</v>
      </c>
      <c r="AE390">
        <f>step3_validation[[#This Row],[AI_FAC2]]</f>
        <v>9</v>
      </c>
      <c r="AF390">
        <f t="shared" si="170"/>
        <v>0.88888888888888884</v>
      </c>
      <c r="AG390">
        <f>survey_responses[[#This Row],[So với trước đây, tôi thấy cách tính thuế và các bậc thuế trong phương án mới đơn giản, dễ hiểu và dễ thực hiện hơn. - HUMAN-FAC2]]</f>
        <v>8</v>
      </c>
      <c r="AH390">
        <f t="shared" si="171"/>
        <v>0.77777777777777779</v>
      </c>
      <c r="AI390" s="32">
        <f t="shared" si="172"/>
        <v>0.83333333333333326</v>
      </c>
      <c r="AJ390" s="32">
        <f t="shared" si="173"/>
        <v>0.72222222222222221</v>
      </c>
      <c r="AK390">
        <f>step3_validation[[#This Row],[AI_TRU1]]</f>
        <v>8</v>
      </c>
      <c r="AL390">
        <f t="shared" si="174"/>
        <v>0.77777777777777779</v>
      </c>
      <c r="AM390">
        <f>survey_responses[[#This Row],[Tôi tin rằng Nhà nước, cơ quan thuế sẽ thực thi chính sách mới một cách khách quan, công tâm và đối xử bình đẳng với mọi người nộp thuế.  - HUMAN-TRU1]]</f>
        <v>6</v>
      </c>
      <c r="AN390">
        <f t="shared" si="175"/>
        <v>0.55555555555555558</v>
      </c>
      <c r="AO390">
        <f>step3_validation[[#This Row],[AI_TRU2]]</f>
        <v>9</v>
      </c>
      <c r="AP390">
        <f t="shared" si="176"/>
        <v>0.88888888888888884</v>
      </c>
      <c r="AQ390">
        <f>survey_responses[[#This Row],[Tôi thấy mức thuế tôi phải đóng theo phương án mới là công bằng (người thu nhập như tôi đóng mức này là hợp lý). - HUMAN-TRU2]]</f>
        <v>8</v>
      </c>
      <c r="AR390">
        <f t="shared" si="177"/>
        <v>0.77777777777777779</v>
      </c>
      <c r="AS390">
        <f>step3_validation[[#This Row],[AI_TRU3]]</f>
        <v>8</v>
      </c>
      <c r="AT390">
        <f t="shared" si="178"/>
        <v>0.77777777777777779</v>
      </c>
      <c r="AU390">
        <f>survey_responses[[#This Row],[Tôi tin tưởng số tiền thuế tôi đóng sẽ được Nhà nước sử dụng hiệu quả để cải thiện dịch vụ công (y tế, đường xá...). - HUMAN-TRU3]]</f>
        <v>5</v>
      </c>
      <c r="AV390">
        <f t="shared" si="179"/>
        <v>0.44444444444444442</v>
      </c>
      <c r="AW390">
        <f>step3_validation[[#This Row],[AI_TRU4]]</f>
        <v>9</v>
      </c>
      <c r="AX390">
        <f t="shared" si="180"/>
        <v>0.88888888888888884</v>
      </c>
      <c r="AY390">
        <f>survey_responses[[#This Row],[Tôi thấy Nhà nước đã giải thích rõ ràng, minh bạch về lý do và mục tiêu của việc sửa đổi thuế lần này. - HUMAN-TRU4]]</f>
        <v>5</v>
      </c>
      <c r="AZ390">
        <f t="shared" si="181"/>
        <v>0.44444444444444442</v>
      </c>
      <c r="BA390" s="32">
        <f t="shared" si="182"/>
        <v>0.83333333333333326</v>
      </c>
      <c r="BB390" s="32">
        <f t="shared" si="183"/>
        <v>0.55555555555555558</v>
      </c>
      <c r="BC390" s="7">
        <f t="shared" si="184"/>
        <v>0.85185185185185175</v>
      </c>
      <c r="BD390" s="7">
        <f t="shared" si="185"/>
        <v>0.64814814814814814</v>
      </c>
      <c r="BE390">
        <f>step3_validation[[#This Row],[AI_OUT1]]</f>
        <v>8</v>
      </c>
      <c r="BF390">
        <f t="shared" si="186"/>
        <v>0.77777777777777779</v>
      </c>
      <c r="BG390">
        <f>survey_responses[[#This Row],[Sau khi xem xét các quyền lợi và nghĩa vụ, bạn có ủng hộ và tuân thủ chính sách mới hiện nay? - HUMAN-OUT1]]</f>
        <v>8</v>
      </c>
      <c r="BH390">
        <f t="shared" si="187"/>
        <v>0.77777777777777779</v>
      </c>
      <c r="BI390" s="32">
        <f t="shared" si="188"/>
        <v>0</v>
      </c>
    </row>
    <row r="391" spans="1:61" x14ac:dyDescent="0.45">
      <c r="A391" s="30">
        <f>step3_validation[[#This Row],[Persona_ID]]</f>
        <v>390</v>
      </c>
      <c r="B391" s="31">
        <f>step3_validation[[#This Row],[Used_Seed]]</f>
        <v>2380</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34.459279784677925</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5</v>
      </c>
      <c r="R391">
        <f t="shared" si="162"/>
        <v>0.44444444444444442</v>
      </c>
      <c r="S391">
        <f>survey_responses[[#This Row],[Tôi tin rằng với các quy định quản lý thuế hiện nay, hành vi gian lận hoặc trốn thuế sẽ dễ dàng bị phát hiện và xử lý nghiêm. - HUMAN-ENF1]]</f>
        <v>10</v>
      </c>
      <c r="T391">
        <f t="shared" si="163"/>
        <v>1</v>
      </c>
      <c r="U391">
        <f>step3_validation[[#This Row],[AI_ENF2]]</f>
        <v>7</v>
      </c>
      <c r="V391">
        <f t="shared" si="164"/>
        <v>0.66666666666666663</v>
      </c>
      <c r="W391">
        <f>survey_responses[[#This Row],[Tôi tin rằng Nhà nước, cơ quan thuế có đủ khả năng và công nghệ để phát hiện, xử lý nghiêm các hành vi trốn thuế. - HUMAN-ENF2]]</f>
        <v>10</v>
      </c>
      <c r="X391">
        <f t="shared" si="165"/>
        <v>1</v>
      </c>
      <c r="Y391" s="32">
        <f t="shared" si="166"/>
        <v>0.55555555555555558</v>
      </c>
      <c r="Z391" s="32">
        <f t="shared" si="167"/>
        <v>1</v>
      </c>
      <c r="AA391">
        <f>step3_validation[[#This Row],[AI_FAC1]]</f>
        <v>6</v>
      </c>
      <c r="AB391">
        <f t="shared" si="168"/>
        <v>0.55555555555555558</v>
      </c>
      <c r="AC391">
        <f>survey_responses[[#This Row],[Các thủ tục khai báo thuế VÀ/HOẶC quy trình làm việc với cơ quan thuế đơn giản, tiện lợi, nhanh chóng hơn so với trước đây. - HUMAN-FAC1]]</f>
        <v>5</v>
      </c>
      <c r="AD391">
        <f t="shared" si="169"/>
        <v>0.44444444444444442</v>
      </c>
      <c r="AE391">
        <f>step3_validation[[#This Row],[AI_FAC2]]</f>
        <v>8</v>
      </c>
      <c r="AF391">
        <f t="shared" si="170"/>
        <v>0.77777777777777779</v>
      </c>
      <c r="AG391">
        <f>survey_responses[[#This Row],[So với trước đây, tôi thấy cách tính thuế và các bậc thuế trong phương án mới đơn giản, dễ hiểu và dễ thực hiện hơn. - HUMAN-FAC2]]</f>
        <v>9</v>
      </c>
      <c r="AH391">
        <f t="shared" si="171"/>
        <v>0.88888888888888884</v>
      </c>
      <c r="AI391" s="32">
        <f t="shared" si="172"/>
        <v>0.66666666666666674</v>
      </c>
      <c r="AJ391" s="32">
        <f t="shared" si="173"/>
        <v>0.66666666666666663</v>
      </c>
      <c r="AK391">
        <f>step3_validation[[#This Row],[AI_TRU1]]</f>
        <v>7</v>
      </c>
      <c r="AL391">
        <f t="shared" si="174"/>
        <v>0.66666666666666663</v>
      </c>
      <c r="AM391">
        <f>survey_responses[[#This Row],[Tôi tin rằng Nhà nước, cơ quan thuế sẽ thực thi chính sách mới một cách khách quan, công tâm và đối xử bình đẳng với mọi người nộp thuế.  - HUMAN-TRU1]]</f>
        <v>7</v>
      </c>
      <c r="AN391">
        <f t="shared" si="175"/>
        <v>0.66666666666666663</v>
      </c>
      <c r="AO391">
        <f>step3_validation[[#This Row],[AI_TRU2]]</f>
        <v>8</v>
      </c>
      <c r="AP391">
        <f t="shared" si="176"/>
        <v>0.77777777777777779</v>
      </c>
      <c r="AQ391">
        <f>survey_responses[[#This Row],[Tôi thấy mức thuế tôi phải đóng theo phương án mới là công bằng (người thu nhập như tôi đóng mức này là hợp lý). - HUMAN-TRU2]]</f>
        <v>8</v>
      </c>
      <c r="AR391">
        <f t="shared" si="177"/>
        <v>0.77777777777777779</v>
      </c>
      <c r="AS391">
        <f>step3_validation[[#This Row],[AI_TRU3]]</f>
        <v>7</v>
      </c>
      <c r="AT391">
        <f t="shared" si="178"/>
        <v>0.66666666666666663</v>
      </c>
      <c r="AU391">
        <f>survey_responses[[#This Row],[Tôi tin tưởng số tiền thuế tôi đóng sẽ được Nhà nước sử dụng hiệu quả để cải thiện dịch vụ công (y tế, đường xá...). - HUMAN-TRU3]]</f>
        <v>5</v>
      </c>
      <c r="AV391">
        <f t="shared" si="179"/>
        <v>0.44444444444444442</v>
      </c>
      <c r="AW391">
        <f>step3_validation[[#This Row],[AI_TRU4]]</f>
        <v>6</v>
      </c>
      <c r="AX391">
        <f t="shared" si="180"/>
        <v>0.55555555555555558</v>
      </c>
      <c r="AY391">
        <f>survey_responses[[#This Row],[Tôi thấy Nhà nước đã giải thích rõ ràng, minh bạch về lý do và mục tiêu của việc sửa đổi thuế lần này. - HUMAN-TRU4]]</f>
        <v>5</v>
      </c>
      <c r="AZ391">
        <f t="shared" si="181"/>
        <v>0.44444444444444442</v>
      </c>
      <c r="BA391" s="32">
        <f t="shared" si="182"/>
        <v>0.66666666666666674</v>
      </c>
      <c r="BB391" s="32">
        <f t="shared" si="183"/>
        <v>0.58333333333333326</v>
      </c>
      <c r="BC391" s="7">
        <f t="shared" si="184"/>
        <v>0.62962962962962965</v>
      </c>
      <c r="BD391" s="7">
        <f t="shared" si="185"/>
        <v>0.75</v>
      </c>
      <c r="BE391">
        <f>step3_validation[[#This Row],[AI_OUT1]]</f>
        <v>9</v>
      </c>
      <c r="BF391">
        <f t="shared" si="186"/>
        <v>0.88888888888888884</v>
      </c>
      <c r="BG391">
        <f>survey_responses[[#This Row],[Sau khi xem xét các quyền lợi và nghĩa vụ, bạn có ủng hộ và tuân thủ chính sách mới hiện nay? - HUMAN-OUT1]]</f>
        <v>8</v>
      </c>
      <c r="BH391">
        <f t="shared" si="187"/>
        <v>0.77777777777777779</v>
      </c>
      <c r="BI391" s="32">
        <f t="shared" si="188"/>
        <v>1</v>
      </c>
    </row>
    <row r="392" spans="1:61" x14ac:dyDescent="0.45">
      <c r="A392" s="30">
        <f>step3_validation[[#This Row],[Persona_ID]]</f>
        <v>391</v>
      </c>
      <c r="B392" s="31">
        <f>step3_validation[[#This Row],[Used_Seed]]</f>
        <v>2381</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15.101688341676548</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9</v>
      </c>
      <c r="R392">
        <f t="shared" si="162"/>
        <v>0.88888888888888884</v>
      </c>
      <c r="S392">
        <f>survey_responses[[#This Row],[Tôi tin rằng với các quy định quản lý thuế hiện nay, hành vi gian lận hoặc trốn thuế sẽ dễ dàng bị phát hiện và xử lý nghiêm. - HUMAN-ENF1]]</f>
        <v>4</v>
      </c>
      <c r="T392">
        <f t="shared" si="163"/>
        <v>0.33333333333333331</v>
      </c>
      <c r="U392">
        <f>step3_validation[[#This Row],[AI_ENF2]]</f>
        <v>8</v>
      </c>
      <c r="V392">
        <f t="shared" si="164"/>
        <v>0.77777777777777779</v>
      </c>
      <c r="W392">
        <f>survey_responses[[#This Row],[Tôi tin rằng Nhà nước, cơ quan thuế có đủ khả năng và công nghệ để phát hiện, xử lý nghiêm các hành vi trốn thuế. - HUMAN-ENF2]]</f>
        <v>5</v>
      </c>
      <c r="X392">
        <f t="shared" si="165"/>
        <v>0.44444444444444442</v>
      </c>
      <c r="Y392" s="32">
        <f t="shared" si="166"/>
        <v>0.83333333333333326</v>
      </c>
      <c r="Z392" s="32">
        <f t="shared" si="167"/>
        <v>0.38888888888888884</v>
      </c>
      <c r="AA392">
        <f>step3_validation[[#This Row],[AI_FAC1]]</f>
        <v>9</v>
      </c>
      <c r="AB392">
        <f t="shared" si="168"/>
        <v>0.88888888888888884</v>
      </c>
      <c r="AC392">
        <f>survey_responses[[#This Row],[Các thủ tục khai báo thuế VÀ/HOẶC quy trình làm việc với cơ quan thuế đơn giản, tiện lợi, nhanh chóng hơn so với trước đây. - HUMAN-FAC1]]</f>
        <v>7</v>
      </c>
      <c r="AD392">
        <f t="shared" si="169"/>
        <v>0.66666666666666663</v>
      </c>
      <c r="AE392">
        <f>step3_validation[[#This Row],[AI_FAC2]]</f>
        <v>9</v>
      </c>
      <c r="AF392">
        <f t="shared" si="170"/>
        <v>0.88888888888888884</v>
      </c>
      <c r="AG392">
        <f>survey_responses[[#This Row],[So với trước đây, tôi thấy cách tính thuế và các bậc thuế trong phương án mới đơn giản, dễ hiểu và dễ thực hiện hơn. - HUMAN-FAC2]]</f>
        <v>7</v>
      </c>
      <c r="AH392">
        <f t="shared" si="171"/>
        <v>0.66666666666666663</v>
      </c>
      <c r="AI392" s="32">
        <f t="shared" si="172"/>
        <v>0.88888888888888884</v>
      </c>
      <c r="AJ392" s="32">
        <f t="shared" si="173"/>
        <v>0.66666666666666663</v>
      </c>
      <c r="AK392">
        <f>step3_validation[[#This Row],[AI_TRU1]]</f>
        <v>8</v>
      </c>
      <c r="AL392">
        <f t="shared" si="174"/>
        <v>0.77777777777777779</v>
      </c>
      <c r="AM392">
        <f>survey_responses[[#This Row],[Tôi tin rằng Nhà nước, cơ quan thuế sẽ thực thi chính sách mới một cách khách quan, công tâm và đối xử bình đẳng với mọi người nộp thuế.  - HUMAN-TRU1]]</f>
        <v>5</v>
      </c>
      <c r="AN392">
        <f t="shared" si="175"/>
        <v>0.44444444444444442</v>
      </c>
      <c r="AO392">
        <f>step3_validation[[#This Row],[AI_TRU2]]</f>
        <v>9</v>
      </c>
      <c r="AP392">
        <f t="shared" si="176"/>
        <v>0.88888888888888884</v>
      </c>
      <c r="AQ392">
        <f>survey_responses[[#This Row],[Tôi thấy mức thuế tôi phải đóng theo phương án mới là công bằng (người thu nhập như tôi đóng mức này là hợp lý). - HUMAN-TRU2]]</f>
        <v>7</v>
      </c>
      <c r="AR392">
        <f t="shared" si="177"/>
        <v>0.66666666666666663</v>
      </c>
      <c r="AS392">
        <f>step3_validation[[#This Row],[AI_TRU3]]</f>
        <v>8</v>
      </c>
      <c r="AT392">
        <f t="shared" si="178"/>
        <v>0.77777777777777779</v>
      </c>
      <c r="AU392">
        <f>survey_responses[[#This Row],[Tôi tin tưởng số tiền thuế tôi đóng sẽ được Nhà nước sử dụng hiệu quả để cải thiện dịch vụ công (y tế, đường xá...). - HUMAN-TRU3]]</f>
        <v>5</v>
      </c>
      <c r="AV392">
        <f t="shared" si="179"/>
        <v>0.44444444444444442</v>
      </c>
      <c r="AW392">
        <f>step3_validation[[#This Row],[AI_TRU4]]</f>
        <v>9</v>
      </c>
      <c r="AX392">
        <f t="shared" si="180"/>
        <v>0.88888888888888884</v>
      </c>
      <c r="AY392">
        <f>survey_responses[[#This Row],[Tôi thấy Nhà nước đã giải thích rõ ràng, minh bạch về lý do và mục tiêu của việc sửa đổi thuế lần này. - HUMAN-TRU4]]</f>
        <v>5</v>
      </c>
      <c r="AZ392">
        <f t="shared" si="181"/>
        <v>0.44444444444444442</v>
      </c>
      <c r="BA392" s="32">
        <f t="shared" si="182"/>
        <v>0.83333333333333326</v>
      </c>
      <c r="BB392" s="32">
        <f t="shared" si="183"/>
        <v>0.5</v>
      </c>
      <c r="BC392" s="7">
        <f t="shared" si="184"/>
        <v>0.85185185185185175</v>
      </c>
      <c r="BD392" s="7">
        <f t="shared" si="185"/>
        <v>0.51851851851851849</v>
      </c>
      <c r="BE392">
        <f>step3_validation[[#This Row],[AI_OUT1]]</f>
        <v>10</v>
      </c>
      <c r="BF392">
        <f t="shared" si="186"/>
        <v>1</v>
      </c>
      <c r="BG392">
        <f>survey_responses[[#This Row],[Sau khi xem xét các quyền lợi và nghĩa vụ, bạn có ủng hộ và tuân thủ chính sách mới hiện nay? - HUMAN-OUT1]]</f>
        <v>7</v>
      </c>
      <c r="BH392">
        <f t="shared" si="187"/>
        <v>0.66666666666666663</v>
      </c>
      <c r="BI392" s="32">
        <f t="shared" si="188"/>
        <v>3</v>
      </c>
    </row>
    <row r="393" spans="1:61" x14ac:dyDescent="0.45">
      <c r="A393" s="30">
        <f>step3_validation[[#This Row],[Persona_ID]]</f>
        <v>392</v>
      </c>
      <c r="B393" s="31">
        <f>step3_validation[[#This Row],[Used_Seed]]</f>
        <v>2382</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153.63499539382221</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f t="shared" si="162"/>
        <v>0.66666666666666663</v>
      </c>
      <c r="S393">
        <f>survey_responses[[#This Row],[Tôi tin rằng với các quy định quản lý thuế hiện nay, hành vi gian lận hoặc trốn thuế sẽ dễ dàng bị phát hiện và xử lý nghiêm. - HUMAN-ENF1]]</f>
        <v>2</v>
      </c>
      <c r="T393">
        <f t="shared" si="163"/>
        <v>0.1111111111111111</v>
      </c>
      <c r="U393">
        <f>step3_validation[[#This Row],[AI_ENF2]]</f>
        <v>8</v>
      </c>
      <c r="V393">
        <f t="shared" si="164"/>
        <v>0.77777777777777779</v>
      </c>
      <c r="W393">
        <f>survey_responses[[#This Row],[Tôi tin rằng Nhà nước, cơ quan thuế có đủ khả năng và công nghệ để phát hiện, xử lý nghiêm các hành vi trốn thuế. - HUMAN-ENF2]]</f>
        <v>3</v>
      </c>
      <c r="X393">
        <f t="shared" si="165"/>
        <v>0.22222222222222221</v>
      </c>
      <c r="Y393" s="32">
        <f t="shared" si="166"/>
        <v>0.72222222222222221</v>
      </c>
      <c r="Z393" s="32">
        <f t="shared" si="167"/>
        <v>0.16666666666666666</v>
      </c>
      <c r="AA393">
        <f>step3_validation[[#This Row],[AI_FAC1]]</f>
        <v>6</v>
      </c>
      <c r="AB393">
        <f t="shared" si="168"/>
        <v>0.55555555555555558</v>
      </c>
      <c r="AC393">
        <f>survey_responses[[#This Row],[Các thủ tục khai báo thuế VÀ/HOẶC quy trình làm việc với cơ quan thuế đơn giản, tiện lợi, nhanh chóng hơn so với trước đây. - HUMAN-FAC1]]</f>
        <v>3</v>
      </c>
      <c r="AD393">
        <f t="shared" si="169"/>
        <v>0.22222222222222221</v>
      </c>
      <c r="AE393">
        <f>step3_validation[[#This Row],[AI_FAC2]]</f>
        <v>9</v>
      </c>
      <c r="AF393">
        <f t="shared" si="170"/>
        <v>0.88888888888888884</v>
      </c>
      <c r="AG393">
        <f>survey_responses[[#This Row],[So với trước đây, tôi thấy cách tính thuế và các bậc thuế trong phương án mới đơn giản, dễ hiểu và dễ thực hiện hơn. - HUMAN-FAC2]]</f>
        <v>6</v>
      </c>
      <c r="AH393">
        <f t="shared" si="171"/>
        <v>0.55555555555555558</v>
      </c>
      <c r="AI393" s="32">
        <f t="shared" si="172"/>
        <v>0.72222222222222221</v>
      </c>
      <c r="AJ393" s="32">
        <f t="shared" si="173"/>
        <v>0.3888888888888889</v>
      </c>
      <c r="AK393">
        <f>step3_validation[[#This Row],[AI_TRU1]]</f>
        <v>7</v>
      </c>
      <c r="AL393">
        <f t="shared" si="174"/>
        <v>0.66666666666666663</v>
      </c>
      <c r="AM393">
        <f>survey_responses[[#This Row],[Tôi tin rằng Nhà nước, cơ quan thuế sẽ thực thi chính sách mới một cách khách quan, công tâm và đối xử bình đẳng với mọi người nộp thuế.  - HUMAN-TRU1]]</f>
        <v>5</v>
      </c>
      <c r="AN393">
        <f t="shared" si="175"/>
        <v>0.44444444444444442</v>
      </c>
      <c r="AO393">
        <f>step3_validation[[#This Row],[AI_TRU2]]</f>
        <v>8</v>
      </c>
      <c r="AP393">
        <f t="shared" si="176"/>
        <v>0.77777777777777779</v>
      </c>
      <c r="AQ393">
        <f>survey_responses[[#This Row],[Tôi thấy mức thuế tôi phải đóng theo phương án mới là công bằng (người thu nhập như tôi đóng mức này là hợp lý). - HUMAN-TRU2]]</f>
        <v>5</v>
      </c>
      <c r="AR393">
        <f t="shared" si="177"/>
        <v>0.44444444444444442</v>
      </c>
      <c r="AS393">
        <f>step3_validation[[#This Row],[AI_TRU3]]</f>
        <v>7</v>
      </c>
      <c r="AT393">
        <f t="shared" si="178"/>
        <v>0.66666666666666663</v>
      </c>
      <c r="AU393">
        <f>survey_responses[[#This Row],[Tôi tin tưởng số tiền thuế tôi đóng sẽ được Nhà nước sử dụng hiệu quả để cải thiện dịch vụ công (y tế, đường xá...). - HUMAN-TRU3]]</f>
        <v>5</v>
      </c>
      <c r="AV393">
        <f t="shared" si="179"/>
        <v>0.44444444444444442</v>
      </c>
      <c r="AW393">
        <f>step3_validation[[#This Row],[AI_TRU4]]</f>
        <v>8</v>
      </c>
      <c r="AX393">
        <f t="shared" si="180"/>
        <v>0.77777777777777779</v>
      </c>
      <c r="AY393">
        <f>survey_responses[[#This Row],[Tôi thấy Nhà nước đã giải thích rõ ràng, minh bạch về lý do và mục tiêu của việc sửa đổi thuế lần này. - HUMAN-TRU4]]</f>
        <v>5</v>
      </c>
      <c r="AZ393">
        <f t="shared" si="181"/>
        <v>0.44444444444444442</v>
      </c>
      <c r="BA393" s="32">
        <f t="shared" si="182"/>
        <v>0.72222222222222221</v>
      </c>
      <c r="BB393" s="32">
        <f t="shared" si="183"/>
        <v>0.44444444444444442</v>
      </c>
      <c r="BC393" s="7">
        <f t="shared" si="184"/>
        <v>0.72222222222222221</v>
      </c>
      <c r="BD393" s="7">
        <f t="shared" si="185"/>
        <v>0.33333333333333331</v>
      </c>
      <c r="BE393">
        <f>step3_validation[[#This Row],[AI_OUT1]]</f>
        <v>9</v>
      </c>
      <c r="BF393">
        <f t="shared" si="186"/>
        <v>0.88888888888888884</v>
      </c>
      <c r="BG393">
        <f>survey_responses[[#This Row],[Sau khi xem xét các quyền lợi và nghĩa vụ, bạn có ủng hộ và tuân thủ chính sách mới hiện nay? - HUMAN-OUT1]]</f>
        <v>5</v>
      </c>
      <c r="BH393">
        <f t="shared" si="187"/>
        <v>0.44444444444444442</v>
      </c>
      <c r="BI393" s="32">
        <f t="shared" si="188"/>
        <v>4</v>
      </c>
    </row>
    <row r="394" spans="1:61" x14ac:dyDescent="0.45">
      <c r="A394" s="30">
        <f>step3_validation[[#This Row],[Persona_ID]]</f>
        <v>393</v>
      </c>
      <c r="B394" s="31">
        <f>step3_validation[[#This Row],[Used_Seed]]</f>
        <v>2383</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26.366368373254399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f t="shared" si="162"/>
        <v>0.66666666666666663</v>
      </c>
      <c r="S394">
        <f>survey_responses[[#This Row],[Tôi tin rằng với các quy định quản lý thuế hiện nay, hành vi gian lận hoặc trốn thuế sẽ dễ dàng bị phát hiện và xử lý nghiêm. - HUMAN-ENF1]]</f>
        <v>7</v>
      </c>
      <c r="T394">
        <f t="shared" si="163"/>
        <v>0.66666666666666663</v>
      </c>
      <c r="U394">
        <f>step3_validation[[#This Row],[AI_ENF2]]</f>
        <v>6</v>
      </c>
      <c r="V394">
        <f t="shared" si="164"/>
        <v>0.55555555555555558</v>
      </c>
      <c r="W394">
        <f>survey_responses[[#This Row],[Tôi tin rằng Nhà nước, cơ quan thuế có đủ khả năng và công nghệ để phát hiện, xử lý nghiêm các hành vi trốn thuế. - HUMAN-ENF2]]</f>
        <v>7</v>
      </c>
      <c r="X394">
        <f t="shared" si="165"/>
        <v>0.66666666666666663</v>
      </c>
      <c r="Y394" s="32">
        <f t="shared" si="166"/>
        <v>0.61111111111111116</v>
      </c>
      <c r="Z394" s="32">
        <f t="shared" si="167"/>
        <v>0.66666666666666663</v>
      </c>
      <c r="AA394">
        <f>step3_validation[[#This Row],[AI_FAC1]]</f>
        <v>9</v>
      </c>
      <c r="AB394">
        <f t="shared" si="168"/>
        <v>0.88888888888888884</v>
      </c>
      <c r="AC394">
        <f>survey_responses[[#This Row],[Các thủ tục khai báo thuế VÀ/HOẶC quy trình làm việc với cơ quan thuế đơn giản, tiện lợi, nhanh chóng hơn so với trước đây. - HUMAN-FAC1]]</f>
        <v>5</v>
      </c>
      <c r="AD394">
        <f t="shared" si="169"/>
        <v>0.44444444444444442</v>
      </c>
      <c r="AE394">
        <f>step3_validation[[#This Row],[AI_FAC2]]</f>
        <v>8</v>
      </c>
      <c r="AF394">
        <f t="shared" si="170"/>
        <v>0.77777777777777779</v>
      </c>
      <c r="AG394">
        <f>survey_responses[[#This Row],[So với trước đây, tôi thấy cách tính thuế và các bậc thuế trong phương án mới đơn giản, dễ hiểu và dễ thực hiện hơn. - HUMAN-FAC2]]</f>
        <v>8</v>
      </c>
      <c r="AH394">
        <f t="shared" si="171"/>
        <v>0.77777777777777779</v>
      </c>
      <c r="AI394" s="32">
        <f t="shared" si="172"/>
        <v>0.83333333333333326</v>
      </c>
      <c r="AJ394" s="32">
        <f t="shared" si="173"/>
        <v>0.61111111111111116</v>
      </c>
      <c r="AK394">
        <f>step3_validation[[#This Row],[AI_TRU1]]</f>
        <v>7</v>
      </c>
      <c r="AL394">
        <f t="shared" si="174"/>
        <v>0.66666666666666663</v>
      </c>
      <c r="AM394">
        <f>survey_responses[[#This Row],[Tôi tin rằng Nhà nước, cơ quan thuế sẽ thực thi chính sách mới một cách khách quan, công tâm và đối xử bình đẳng với mọi người nộp thuế.  - HUMAN-TRU1]]</f>
        <v>7</v>
      </c>
      <c r="AN394">
        <f t="shared" si="175"/>
        <v>0.66666666666666663</v>
      </c>
      <c r="AO394">
        <f>step3_validation[[#This Row],[AI_TRU2]]</f>
        <v>9</v>
      </c>
      <c r="AP394">
        <f t="shared" si="176"/>
        <v>0.88888888888888884</v>
      </c>
      <c r="AQ394">
        <f>survey_responses[[#This Row],[Tôi thấy mức thuế tôi phải đóng theo phương án mới là công bằng (người thu nhập như tôi đóng mức này là hợp lý). - HUMAN-TRU2]]</f>
        <v>7</v>
      </c>
      <c r="AR394">
        <f t="shared" si="177"/>
        <v>0.66666666666666663</v>
      </c>
      <c r="AS394">
        <f>step3_validation[[#This Row],[AI_TRU3]]</f>
        <v>6</v>
      </c>
      <c r="AT394">
        <f t="shared" si="178"/>
        <v>0.55555555555555558</v>
      </c>
      <c r="AU394">
        <f>survey_responses[[#This Row],[Tôi tin tưởng số tiền thuế tôi đóng sẽ được Nhà nước sử dụng hiệu quả để cải thiện dịch vụ công (y tế, đường xá...). - HUMAN-TRU3]]</f>
        <v>5</v>
      </c>
      <c r="AV394">
        <f t="shared" si="179"/>
        <v>0.44444444444444442</v>
      </c>
      <c r="AW394">
        <f>step3_validation[[#This Row],[AI_TRU4]]</f>
        <v>7</v>
      </c>
      <c r="AX394">
        <f t="shared" si="180"/>
        <v>0.66666666666666663</v>
      </c>
      <c r="AY394">
        <f>survey_responses[[#This Row],[Tôi thấy Nhà nước đã giải thích rõ ràng, minh bạch về lý do và mục tiêu của việc sửa đổi thuế lần này. - HUMAN-TRU4]]</f>
        <v>6</v>
      </c>
      <c r="AZ394">
        <f t="shared" si="181"/>
        <v>0.55555555555555558</v>
      </c>
      <c r="BA394" s="32">
        <f t="shared" si="182"/>
        <v>0.69444444444444431</v>
      </c>
      <c r="BB394" s="32">
        <f t="shared" si="183"/>
        <v>0.58333333333333326</v>
      </c>
      <c r="BC394" s="7">
        <f t="shared" si="184"/>
        <v>0.71296296296296291</v>
      </c>
      <c r="BD394" s="7">
        <f t="shared" si="185"/>
        <v>0.62037037037037035</v>
      </c>
      <c r="BE394">
        <f>step3_validation[[#This Row],[AI_OUT1]]</f>
        <v>9</v>
      </c>
      <c r="BF394">
        <f t="shared" si="186"/>
        <v>0.88888888888888884</v>
      </c>
      <c r="BG394">
        <f>survey_responses[[#This Row],[Sau khi xem xét các quyền lợi và nghĩa vụ, bạn có ủng hộ và tuân thủ chính sách mới hiện nay? - HUMAN-OUT1]]</f>
        <v>7</v>
      </c>
      <c r="BH394">
        <f t="shared" si="187"/>
        <v>0.66666666666666663</v>
      </c>
      <c r="BI394" s="32">
        <f t="shared" si="188"/>
        <v>2</v>
      </c>
    </row>
    <row r="395" spans="1:61" x14ac:dyDescent="0.45">
      <c r="A395" s="30">
        <f>step3_validation[[#This Row],[Persona_ID]]</f>
        <v>394</v>
      </c>
      <c r="B395" s="31">
        <f>step3_validation[[#This Row],[Used_Seed]]</f>
        <v>2384</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6</v>
      </c>
      <c r="R395">
        <f t="shared" si="162"/>
        <v>0.55555555555555558</v>
      </c>
      <c r="S395">
        <f>survey_responses[[#This Row],[Tôi tin rằng với các quy định quản lý thuế hiện nay, hành vi gian lận hoặc trốn thuế sẽ dễ dàng bị phát hiện và xử lý nghiêm. - HUMAN-ENF1]]</f>
        <v>9</v>
      </c>
      <c r="T395">
        <f t="shared" si="163"/>
        <v>0.88888888888888884</v>
      </c>
      <c r="U395">
        <f>step3_validation[[#This Row],[AI_ENF2]]</f>
        <v>6</v>
      </c>
      <c r="V395">
        <f t="shared" si="164"/>
        <v>0.55555555555555558</v>
      </c>
      <c r="W395">
        <f>survey_responses[[#This Row],[Tôi tin rằng Nhà nước, cơ quan thuế có đủ khả năng và công nghệ để phát hiện, xử lý nghiêm các hành vi trốn thuế. - HUMAN-ENF2]]</f>
        <v>9</v>
      </c>
      <c r="X395">
        <f t="shared" si="165"/>
        <v>0.88888888888888884</v>
      </c>
      <c r="Y395" s="32">
        <f t="shared" si="166"/>
        <v>0.55555555555555558</v>
      </c>
      <c r="Z395" s="32">
        <f t="shared" si="167"/>
        <v>0.88888888888888884</v>
      </c>
      <c r="AA395">
        <f>step3_validation[[#This Row],[AI_FAC1]]</f>
        <v>8</v>
      </c>
      <c r="AB395">
        <f t="shared" si="168"/>
        <v>0.77777777777777779</v>
      </c>
      <c r="AC395">
        <f>survey_responses[[#This Row],[Các thủ tục khai báo thuế VÀ/HOẶC quy trình làm việc với cơ quan thuế đơn giản, tiện lợi, nhanh chóng hơn so với trước đây. - HUMAN-FAC1]]</f>
        <v>9</v>
      </c>
      <c r="AD395">
        <f t="shared" si="169"/>
        <v>0.88888888888888884</v>
      </c>
      <c r="AE395">
        <f>step3_validation[[#This Row],[AI_FAC2]]</f>
        <v>9</v>
      </c>
      <c r="AF395">
        <f t="shared" si="170"/>
        <v>0.88888888888888884</v>
      </c>
      <c r="AG395">
        <f>survey_responses[[#This Row],[So với trước đây, tôi thấy cách tính thuế và các bậc thuế trong phương án mới đơn giản, dễ hiểu và dễ thực hiện hơn. - HUMAN-FAC2]]</f>
        <v>7</v>
      </c>
      <c r="AH395">
        <f t="shared" si="171"/>
        <v>0.66666666666666663</v>
      </c>
      <c r="AI395" s="32">
        <f t="shared" si="172"/>
        <v>0.83333333333333326</v>
      </c>
      <c r="AJ395" s="32">
        <f t="shared" si="173"/>
        <v>0.77777777777777768</v>
      </c>
      <c r="AK395">
        <f>step3_validation[[#This Row],[AI_TRU1]]</f>
        <v>7</v>
      </c>
      <c r="AL395">
        <f t="shared" si="174"/>
        <v>0.66666666666666663</v>
      </c>
      <c r="AM395">
        <f>survey_responses[[#This Row],[Tôi tin rằng Nhà nước, cơ quan thuế sẽ thực thi chính sách mới một cách khách quan, công tâm và đối xử bình đẳng với mọi người nộp thuế.  - HUMAN-TRU1]]</f>
        <v>8</v>
      </c>
      <c r="AN395">
        <f t="shared" si="175"/>
        <v>0.77777777777777779</v>
      </c>
      <c r="AO395">
        <f>step3_validation[[#This Row],[AI_TRU2]]</f>
        <v>8</v>
      </c>
      <c r="AP395">
        <f t="shared" si="176"/>
        <v>0.77777777777777779</v>
      </c>
      <c r="AQ395">
        <f>survey_responses[[#This Row],[Tôi thấy mức thuế tôi phải đóng theo phương án mới là công bằng (người thu nhập như tôi đóng mức này là hợp lý). - HUMAN-TRU2]]</f>
        <v>6</v>
      </c>
      <c r="AR395">
        <f t="shared" si="177"/>
        <v>0.55555555555555558</v>
      </c>
      <c r="AS395">
        <f>step3_validation[[#This Row],[AI_TRU3]]</f>
        <v>7</v>
      </c>
      <c r="AT395">
        <f t="shared" si="178"/>
        <v>0.66666666666666663</v>
      </c>
      <c r="AU395">
        <f>survey_responses[[#This Row],[Tôi tin tưởng số tiền thuế tôi đóng sẽ được Nhà nước sử dụng hiệu quả để cải thiện dịch vụ công (y tế, đường xá...). - HUMAN-TRU3]]</f>
        <v>8</v>
      </c>
      <c r="AV395">
        <f t="shared" si="179"/>
        <v>0.77777777777777779</v>
      </c>
      <c r="AW395">
        <f>step3_validation[[#This Row],[AI_TRU4]]</f>
        <v>6</v>
      </c>
      <c r="AX395">
        <f t="shared" si="180"/>
        <v>0.55555555555555558</v>
      </c>
      <c r="AY395">
        <f>survey_responses[[#This Row],[Tôi thấy Nhà nước đã giải thích rõ ràng, minh bạch về lý do và mục tiêu của việc sửa đổi thuế lần này. - HUMAN-TRU4]]</f>
        <v>10</v>
      </c>
      <c r="AZ395">
        <f t="shared" si="181"/>
        <v>1</v>
      </c>
      <c r="BA395" s="32">
        <f t="shared" si="182"/>
        <v>0.66666666666666674</v>
      </c>
      <c r="BB395" s="32">
        <f t="shared" si="183"/>
        <v>0.77777777777777779</v>
      </c>
      <c r="BC395" s="7">
        <f t="shared" si="184"/>
        <v>0.68518518518518512</v>
      </c>
      <c r="BD395" s="7">
        <f t="shared" si="185"/>
        <v>0.81481481481481477</v>
      </c>
      <c r="BE395">
        <f>step3_validation[[#This Row],[AI_OUT1]]</f>
        <v>9</v>
      </c>
      <c r="BF395">
        <f t="shared" si="186"/>
        <v>0.88888888888888884</v>
      </c>
      <c r="BG395">
        <f>survey_responses[[#This Row],[Sau khi xem xét các quyền lợi và nghĩa vụ, bạn có ủng hộ và tuân thủ chính sách mới hiện nay? - HUMAN-OUT1]]</f>
        <v>10</v>
      </c>
      <c r="BH395">
        <f t="shared" si="187"/>
        <v>1</v>
      </c>
      <c r="BI395" s="32">
        <f t="shared" si="188"/>
        <v>1</v>
      </c>
    </row>
    <row r="396" spans="1:61" x14ac:dyDescent="0.45">
      <c r="A396" s="30">
        <f>step3_validation[[#This Row],[Persona_ID]]</f>
        <v>395</v>
      </c>
      <c r="B396" s="31">
        <f>step3_validation[[#This Row],[Used_Seed]]</f>
        <v>2385</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37.18922022252984</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f t="shared" si="162"/>
        <v>0.66666666666666663</v>
      </c>
      <c r="S396">
        <f>survey_responses[[#This Row],[Tôi tin rằng với các quy định quản lý thuế hiện nay, hành vi gian lận hoặc trốn thuế sẽ dễ dàng bị phát hiện và xử lý nghiêm. - HUMAN-ENF1]]</f>
        <v>7</v>
      </c>
      <c r="T396">
        <f t="shared" si="163"/>
        <v>0.66666666666666663</v>
      </c>
      <c r="U396">
        <f>step3_validation[[#This Row],[AI_ENF2]]</f>
        <v>8</v>
      </c>
      <c r="V396">
        <f t="shared" si="164"/>
        <v>0.77777777777777779</v>
      </c>
      <c r="W396">
        <f>survey_responses[[#This Row],[Tôi tin rằng Nhà nước, cơ quan thuế có đủ khả năng và công nghệ để phát hiện, xử lý nghiêm các hành vi trốn thuế. - HUMAN-ENF2]]</f>
        <v>7</v>
      </c>
      <c r="X396">
        <f t="shared" si="165"/>
        <v>0.66666666666666663</v>
      </c>
      <c r="Y396" s="32">
        <f t="shared" si="166"/>
        <v>0.72222222222222221</v>
      </c>
      <c r="Z396" s="32">
        <f t="shared" si="167"/>
        <v>0.66666666666666663</v>
      </c>
      <c r="AA396">
        <f>step3_validation[[#This Row],[AI_FAC1]]</f>
        <v>9</v>
      </c>
      <c r="AB396">
        <f t="shared" si="168"/>
        <v>0.88888888888888884</v>
      </c>
      <c r="AC396">
        <f>survey_responses[[#This Row],[Các thủ tục khai báo thuế VÀ/HOẶC quy trình làm việc với cơ quan thuế đơn giản, tiện lợi, nhanh chóng hơn so với trước đây. - HUMAN-FAC1]]</f>
        <v>5</v>
      </c>
      <c r="AD396">
        <f t="shared" si="169"/>
        <v>0.44444444444444442</v>
      </c>
      <c r="AE396">
        <f>step3_validation[[#This Row],[AI_FAC2]]</f>
        <v>9</v>
      </c>
      <c r="AF396">
        <f t="shared" si="170"/>
        <v>0.88888888888888884</v>
      </c>
      <c r="AG396">
        <f>survey_responses[[#This Row],[So với trước đây, tôi thấy cách tính thuế và các bậc thuế trong phương án mới đơn giản, dễ hiểu và dễ thực hiện hơn. - HUMAN-FAC2]]</f>
        <v>7</v>
      </c>
      <c r="AH396">
        <f t="shared" si="171"/>
        <v>0.66666666666666663</v>
      </c>
      <c r="AI396" s="32">
        <f t="shared" si="172"/>
        <v>0.88888888888888884</v>
      </c>
      <c r="AJ396" s="32">
        <f t="shared" si="173"/>
        <v>0.55555555555555558</v>
      </c>
      <c r="AK396">
        <f>step3_validation[[#This Row],[AI_TRU1]]</f>
        <v>8</v>
      </c>
      <c r="AL396">
        <f t="shared" si="174"/>
        <v>0.77777777777777779</v>
      </c>
      <c r="AM396">
        <f>survey_responses[[#This Row],[Tôi tin rằng Nhà nước, cơ quan thuế sẽ thực thi chính sách mới một cách khách quan, công tâm và đối xử bình đẳng với mọi người nộp thuế.  - HUMAN-TRU1]]</f>
        <v>5</v>
      </c>
      <c r="AN396">
        <f t="shared" si="175"/>
        <v>0.44444444444444442</v>
      </c>
      <c r="AO396">
        <f>step3_validation[[#This Row],[AI_TRU2]]</f>
        <v>9</v>
      </c>
      <c r="AP396">
        <f t="shared" si="176"/>
        <v>0.88888888888888884</v>
      </c>
      <c r="AQ396">
        <f>survey_responses[[#This Row],[Tôi thấy mức thuế tôi phải đóng theo phương án mới là công bằng (người thu nhập như tôi đóng mức này là hợp lý). - HUMAN-TRU2]]</f>
        <v>6</v>
      </c>
      <c r="AR396">
        <f t="shared" si="177"/>
        <v>0.55555555555555558</v>
      </c>
      <c r="AS396">
        <f>step3_validation[[#This Row],[AI_TRU3]]</f>
        <v>8</v>
      </c>
      <c r="AT396">
        <f t="shared" si="178"/>
        <v>0.77777777777777779</v>
      </c>
      <c r="AU396">
        <f>survey_responses[[#This Row],[Tôi tin tưởng số tiền thuế tôi đóng sẽ được Nhà nước sử dụng hiệu quả để cải thiện dịch vụ công (y tế, đường xá...). - HUMAN-TRU3]]</f>
        <v>5</v>
      </c>
      <c r="AV396">
        <f t="shared" si="179"/>
        <v>0.44444444444444442</v>
      </c>
      <c r="AW396">
        <f>step3_validation[[#This Row],[AI_TRU4]]</f>
        <v>9</v>
      </c>
      <c r="AX396">
        <f t="shared" si="180"/>
        <v>0.88888888888888884</v>
      </c>
      <c r="AY396">
        <f>survey_responses[[#This Row],[Tôi thấy Nhà nước đã giải thích rõ ràng, minh bạch về lý do và mục tiêu của việc sửa đổi thuế lần này. - HUMAN-TRU4]]</f>
        <v>6</v>
      </c>
      <c r="AZ396">
        <f t="shared" si="181"/>
        <v>0.55555555555555558</v>
      </c>
      <c r="BA396" s="32">
        <f t="shared" si="182"/>
        <v>0.83333333333333326</v>
      </c>
      <c r="BB396" s="32">
        <f t="shared" si="183"/>
        <v>0.5</v>
      </c>
      <c r="BC396" s="7">
        <f t="shared" si="184"/>
        <v>0.81481481481481488</v>
      </c>
      <c r="BD396" s="7">
        <f t="shared" si="185"/>
        <v>0.57407407407407407</v>
      </c>
      <c r="BE396">
        <f>step3_validation[[#This Row],[AI_OUT1]]</f>
        <v>9</v>
      </c>
      <c r="BF396">
        <f t="shared" si="186"/>
        <v>0.88888888888888884</v>
      </c>
      <c r="BG396">
        <f>survey_responses[[#This Row],[Sau khi xem xét các quyền lợi và nghĩa vụ, bạn có ủng hộ và tuân thủ chính sách mới hiện nay? - HUMAN-OUT1]]</f>
        <v>6</v>
      </c>
      <c r="BH396">
        <f t="shared" si="187"/>
        <v>0.55555555555555558</v>
      </c>
      <c r="BI396" s="32">
        <f t="shared" si="188"/>
        <v>3</v>
      </c>
    </row>
    <row r="397" spans="1:61" x14ac:dyDescent="0.45">
      <c r="A397" s="30">
        <f>step3_validation[[#This Row],[Persona_ID]]</f>
        <v>396</v>
      </c>
      <c r="B397" s="31">
        <f>step3_validation[[#This Row],[Used_Seed]]</f>
        <v>2386</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25.669016257260886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8</v>
      </c>
      <c r="R397">
        <f t="shared" si="162"/>
        <v>0.77777777777777779</v>
      </c>
      <c r="S397">
        <f>survey_responses[[#This Row],[Tôi tin rằng với các quy định quản lý thuế hiện nay, hành vi gian lận hoặc trốn thuế sẽ dễ dàng bị phát hiện và xử lý nghiêm. - HUMAN-ENF1]]</f>
        <v>2</v>
      </c>
      <c r="T397">
        <f t="shared" si="163"/>
        <v>0.1111111111111111</v>
      </c>
      <c r="U397">
        <f>step3_validation[[#This Row],[AI_ENF2]]</f>
        <v>7</v>
      </c>
      <c r="V397">
        <f t="shared" si="164"/>
        <v>0.66666666666666663</v>
      </c>
      <c r="W397">
        <f>survey_responses[[#This Row],[Tôi tin rằng Nhà nước, cơ quan thuế có đủ khả năng và công nghệ để phát hiện, xử lý nghiêm các hành vi trốn thuế. - HUMAN-ENF2]]</f>
        <v>2</v>
      </c>
      <c r="X397">
        <f t="shared" si="165"/>
        <v>0.1111111111111111</v>
      </c>
      <c r="Y397" s="32">
        <f t="shared" si="166"/>
        <v>0.72222222222222221</v>
      </c>
      <c r="Z397" s="32">
        <f t="shared" si="167"/>
        <v>0.1111111111111111</v>
      </c>
      <c r="AA397">
        <f>step3_validation[[#This Row],[AI_FAC1]]</f>
        <v>8</v>
      </c>
      <c r="AB397">
        <f t="shared" si="168"/>
        <v>0.77777777777777779</v>
      </c>
      <c r="AC397">
        <f>survey_responses[[#This Row],[Các thủ tục khai báo thuế VÀ/HOẶC quy trình làm việc với cơ quan thuế đơn giản, tiện lợi, nhanh chóng hơn so với trước đây. - HUMAN-FAC1]]</f>
        <v>4</v>
      </c>
      <c r="AD397">
        <f t="shared" si="169"/>
        <v>0.33333333333333331</v>
      </c>
      <c r="AE397">
        <f>step3_validation[[#This Row],[AI_FAC2]]</f>
        <v>9</v>
      </c>
      <c r="AF397">
        <f t="shared" si="170"/>
        <v>0.88888888888888884</v>
      </c>
      <c r="AG397">
        <f>survey_responses[[#This Row],[So với trước đây, tôi thấy cách tính thuế và các bậc thuế trong phương án mới đơn giản, dễ hiểu và dễ thực hiện hơn. - HUMAN-FAC2]]</f>
        <v>5</v>
      </c>
      <c r="AH397">
        <f t="shared" si="171"/>
        <v>0.44444444444444442</v>
      </c>
      <c r="AI397" s="32">
        <f t="shared" si="172"/>
        <v>0.83333333333333326</v>
      </c>
      <c r="AJ397" s="32">
        <f t="shared" si="173"/>
        <v>0.38888888888888884</v>
      </c>
      <c r="AK397">
        <f>step3_validation[[#This Row],[AI_TRU1]]</f>
        <v>7</v>
      </c>
      <c r="AL397">
        <f t="shared" si="174"/>
        <v>0.66666666666666663</v>
      </c>
      <c r="AM397">
        <f>survey_responses[[#This Row],[Tôi tin rằng Nhà nước, cơ quan thuế sẽ thực thi chính sách mới một cách khách quan, công tâm và đối xử bình đẳng với mọi người nộp thuế.  - HUMAN-TRU1]]</f>
        <v>5</v>
      </c>
      <c r="AN397">
        <f t="shared" si="175"/>
        <v>0.44444444444444442</v>
      </c>
      <c r="AO397">
        <f>step3_validation[[#This Row],[AI_TRU2]]</f>
        <v>9</v>
      </c>
      <c r="AP397">
        <f t="shared" si="176"/>
        <v>0.88888888888888884</v>
      </c>
      <c r="AQ397">
        <f>survey_responses[[#This Row],[Tôi thấy mức thuế tôi phải đóng theo phương án mới là công bằng (người thu nhập như tôi đóng mức này là hợp lý). - HUMAN-TRU2]]</f>
        <v>3</v>
      </c>
      <c r="AR397">
        <f t="shared" si="177"/>
        <v>0.22222222222222221</v>
      </c>
      <c r="AS397">
        <f>step3_validation[[#This Row],[AI_TRU3]]</f>
        <v>8</v>
      </c>
      <c r="AT397">
        <f t="shared" si="178"/>
        <v>0.77777777777777779</v>
      </c>
      <c r="AU397">
        <f>survey_responses[[#This Row],[Tôi tin tưởng số tiền thuế tôi đóng sẽ được Nhà nước sử dụng hiệu quả để cải thiện dịch vụ công (y tế, đường xá...). - HUMAN-TRU3]]</f>
        <v>5</v>
      </c>
      <c r="AV397">
        <f t="shared" si="179"/>
        <v>0.44444444444444442</v>
      </c>
      <c r="AW397">
        <f>step3_validation[[#This Row],[AI_TRU4]]</f>
        <v>7</v>
      </c>
      <c r="AX397">
        <f t="shared" si="180"/>
        <v>0.66666666666666663</v>
      </c>
      <c r="AY397">
        <f>survey_responses[[#This Row],[Tôi thấy Nhà nước đã giải thích rõ ràng, minh bạch về lý do và mục tiêu của việc sửa đổi thuế lần này. - HUMAN-TRU4]]</f>
        <v>5</v>
      </c>
      <c r="AZ397">
        <f t="shared" si="181"/>
        <v>0.44444444444444442</v>
      </c>
      <c r="BA397" s="32">
        <f t="shared" si="182"/>
        <v>0.74999999999999989</v>
      </c>
      <c r="BB397" s="32">
        <f t="shared" si="183"/>
        <v>0.3888888888888889</v>
      </c>
      <c r="BC397" s="7">
        <f t="shared" si="184"/>
        <v>0.76851851851851849</v>
      </c>
      <c r="BD397" s="7">
        <f t="shared" si="185"/>
        <v>0.29629629629629628</v>
      </c>
      <c r="BE397">
        <f>step3_validation[[#This Row],[AI_OUT1]]</f>
        <v>9</v>
      </c>
      <c r="BF397">
        <f t="shared" si="186"/>
        <v>0.88888888888888884</v>
      </c>
      <c r="BG397">
        <f>survey_responses[[#This Row],[Sau khi xem xét các quyền lợi và nghĩa vụ, bạn có ủng hộ và tuân thủ chính sách mới hiện nay? - HUMAN-OUT1]]</f>
        <v>5</v>
      </c>
      <c r="BH397">
        <f t="shared" si="187"/>
        <v>0.44444444444444442</v>
      </c>
      <c r="BI397" s="32">
        <f t="shared" si="188"/>
        <v>4</v>
      </c>
    </row>
    <row r="398" spans="1:61" x14ac:dyDescent="0.45">
      <c r="A398" s="30">
        <f>step3_validation[[#This Row],[Persona_ID]]</f>
        <v>397</v>
      </c>
      <c r="B398" s="31">
        <f>step3_validation[[#This Row],[Used_Seed]]</f>
        <v>2387</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27.270332931984399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6</v>
      </c>
      <c r="R398">
        <f t="shared" si="162"/>
        <v>0.55555555555555558</v>
      </c>
      <c r="S398">
        <f>survey_responses[[#This Row],[Tôi tin rằng với các quy định quản lý thuế hiện nay, hành vi gian lận hoặc trốn thuế sẽ dễ dàng bị phát hiện và xử lý nghiêm. - HUMAN-ENF1]]</f>
        <v>8</v>
      </c>
      <c r="T398">
        <f t="shared" si="163"/>
        <v>0.77777777777777779</v>
      </c>
      <c r="U398">
        <f>step3_validation[[#This Row],[AI_ENF2]]</f>
        <v>6</v>
      </c>
      <c r="V398">
        <f t="shared" si="164"/>
        <v>0.55555555555555558</v>
      </c>
      <c r="W398">
        <f>survey_responses[[#This Row],[Tôi tin rằng Nhà nước, cơ quan thuế có đủ khả năng và công nghệ để phát hiện, xử lý nghiêm các hành vi trốn thuế. - HUMAN-ENF2]]</f>
        <v>8</v>
      </c>
      <c r="X398">
        <f t="shared" si="165"/>
        <v>0.77777777777777779</v>
      </c>
      <c r="Y398" s="32">
        <f t="shared" si="166"/>
        <v>0.55555555555555558</v>
      </c>
      <c r="Z398" s="32">
        <f t="shared" si="167"/>
        <v>0.77777777777777779</v>
      </c>
      <c r="AA398">
        <f>step3_validation[[#This Row],[AI_FAC1]]</f>
        <v>8</v>
      </c>
      <c r="AB398">
        <f t="shared" si="168"/>
        <v>0.77777777777777779</v>
      </c>
      <c r="AC398">
        <f>survey_responses[[#This Row],[Các thủ tục khai báo thuế VÀ/HOẶC quy trình làm việc với cơ quan thuế đơn giản, tiện lợi, nhanh chóng hơn so với trước đây. - HUMAN-FAC1]]</f>
        <v>7</v>
      </c>
      <c r="AD398">
        <f t="shared" si="169"/>
        <v>0.66666666666666663</v>
      </c>
      <c r="AE398">
        <f>step3_validation[[#This Row],[AI_FAC2]]</f>
        <v>9</v>
      </c>
      <c r="AF398">
        <f t="shared" si="170"/>
        <v>0.88888888888888884</v>
      </c>
      <c r="AG398">
        <f>survey_responses[[#This Row],[So với trước đây, tôi thấy cách tính thuế và các bậc thuế trong phương án mới đơn giản, dễ hiểu và dễ thực hiện hơn. - HUMAN-FAC2]]</f>
        <v>7</v>
      </c>
      <c r="AH398">
        <f t="shared" si="171"/>
        <v>0.66666666666666663</v>
      </c>
      <c r="AI398" s="32">
        <f t="shared" si="172"/>
        <v>0.83333333333333326</v>
      </c>
      <c r="AJ398" s="32">
        <f t="shared" si="173"/>
        <v>0.66666666666666663</v>
      </c>
      <c r="AK398">
        <f>step3_validation[[#This Row],[AI_TRU1]]</f>
        <v>7</v>
      </c>
      <c r="AL398">
        <f t="shared" si="174"/>
        <v>0.66666666666666663</v>
      </c>
      <c r="AM398">
        <f>survey_responses[[#This Row],[Tôi tin rằng Nhà nước, cơ quan thuế sẽ thực thi chính sách mới một cách khách quan, công tâm và đối xử bình đẳng với mọi người nộp thuế.  - HUMAN-TRU1]]</f>
        <v>7</v>
      </c>
      <c r="AN398">
        <f t="shared" si="175"/>
        <v>0.66666666666666663</v>
      </c>
      <c r="AO398">
        <f>step3_validation[[#This Row],[AI_TRU2]]</f>
        <v>9</v>
      </c>
      <c r="AP398">
        <f t="shared" si="176"/>
        <v>0.88888888888888884</v>
      </c>
      <c r="AQ398">
        <f>survey_responses[[#This Row],[Tôi thấy mức thuế tôi phải đóng theo phương án mới là công bằng (người thu nhập như tôi đóng mức này là hợp lý). - HUMAN-TRU2]]</f>
        <v>8</v>
      </c>
      <c r="AR398">
        <f t="shared" si="177"/>
        <v>0.77777777777777779</v>
      </c>
      <c r="AS398">
        <f>step3_validation[[#This Row],[AI_TRU3]]</f>
        <v>8</v>
      </c>
      <c r="AT398">
        <f t="shared" si="178"/>
        <v>0.77777777777777779</v>
      </c>
      <c r="AU398">
        <f>survey_responses[[#This Row],[Tôi tin tưởng số tiền thuế tôi đóng sẽ được Nhà nước sử dụng hiệu quả để cải thiện dịch vụ công (y tế, đường xá...). - HUMAN-TRU3]]</f>
        <v>7</v>
      </c>
      <c r="AV398">
        <f t="shared" si="179"/>
        <v>0.66666666666666663</v>
      </c>
      <c r="AW398">
        <f>step3_validation[[#This Row],[AI_TRU4]]</f>
        <v>7</v>
      </c>
      <c r="AX398">
        <f t="shared" si="180"/>
        <v>0.66666666666666663</v>
      </c>
      <c r="AY398">
        <f>survey_responses[[#This Row],[Tôi thấy Nhà nước đã giải thích rõ ràng, minh bạch về lý do và mục tiêu của việc sửa đổi thuế lần này. - HUMAN-TRU4]]</f>
        <v>8</v>
      </c>
      <c r="AZ398">
        <f t="shared" si="181"/>
        <v>0.77777777777777779</v>
      </c>
      <c r="BA398" s="32">
        <f t="shared" si="182"/>
        <v>0.74999999999999989</v>
      </c>
      <c r="BB398" s="32">
        <f t="shared" si="183"/>
        <v>0.72222222222222221</v>
      </c>
      <c r="BC398" s="7">
        <f t="shared" si="184"/>
        <v>0.71296296296296291</v>
      </c>
      <c r="BD398" s="7">
        <f t="shared" si="185"/>
        <v>0.72222222222222221</v>
      </c>
      <c r="BE398">
        <f>step3_validation[[#This Row],[AI_OUT1]]</f>
        <v>9</v>
      </c>
      <c r="BF398">
        <f t="shared" si="186"/>
        <v>0.88888888888888884</v>
      </c>
      <c r="BG398">
        <f>survey_responses[[#This Row],[Sau khi xem xét các quyền lợi và nghĩa vụ, bạn có ủng hộ và tuân thủ chính sách mới hiện nay? - HUMAN-OUT1]]</f>
        <v>8</v>
      </c>
      <c r="BH398">
        <f t="shared" si="187"/>
        <v>0.77777777777777779</v>
      </c>
      <c r="BI398" s="32">
        <f t="shared" si="188"/>
        <v>1</v>
      </c>
    </row>
    <row r="399" spans="1:61" x14ac:dyDescent="0.45">
      <c r="A399" s="30">
        <f>step3_validation[[#This Row],[Persona_ID]]</f>
        <v>398</v>
      </c>
      <c r="B399" s="31">
        <f>step3_validation[[#This Row],[Used_Seed]]</f>
        <v>2388</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f t="shared" si="162"/>
        <v>0.66666666666666663</v>
      </c>
      <c r="S399">
        <f>survey_responses[[#This Row],[Tôi tin rằng với các quy định quản lý thuế hiện nay, hành vi gian lận hoặc trốn thuế sẽ dễ dàng bị phát hiện và xử lý nghiêm. - HUMAN-ENF1]]</f>
        <v>9</v>
      </c>
      <c r="T399">
        <f t="shared" si="163"/>
        <v>0.88888888888888884</v>
      </c>
      <c r="U399">
        <f>step3_validation[[#This Row],[AI_ENF2]]</f>
        <v>6</v>
      </c>
      <c r="V399">
        <f t="shared" si="164"/>
        <v>0.55555555555555558</v>
      </c>
      <c r="W399">
        <f>survey_responses[[#This Row],[Tôi tin rằng Nhà nước, cơ quan thuế có đủ khả năng và công nghệ để phát hiện, xử lý nghiêm các hành vi trốn thuế. - HUMAN-ENF2]]</f>
        <v>9</v>
      </c>
      <c r="X399">
        <f t="shared" si="165"/>
        <v>0.88888888888888884</v>
      </c>
      <c r="Y399" s="32">
        <f t="shared" si="166"/>
        <v>0.61111111111111116</v>
      </c>
      <c r="Z399" s="32">
        <f t="shared" si="167"/>
        <v>0.88888888888888884</v>
      </c>
      <c r="AA399">
        <f>step3_validation[[#This Row],[AI_FAC1]]</f>
        <v>8</v>
      </c>
      <c r="AB399">
        <f t="shared" si="168"/>
        <v>0.77777777777777779</v>
      </c>
      <c r="AC399">
        <f>survey_responses[[#This Row],[Các thủ tục khai báo thuế VÀ/HOẶC quy trình làm việc với cơ quan thuế đơn giản, tiện lợi, nhanh chóng hơn so với trước đây. - HUMAN-FAC1]]</f>
        <v>8</v>
      </c>
      <c r="AD399">
        <f t="shared" si="169"/>
        <v>0.77777777777777779</v>
      </c>
      <c r="AE399">
        <f>step3_validation[[#This Row],[AI_FAC2]]</f>
        <v>9</v>
      </c>
      <c r="AF399">
        <f t="shared" si="170"/>
        <v>0.88888888888888884</v>
      </c>
      <c r="AG399">
        <f>survey_responses[[#This Row],[So với trước đây, tôi thấy cách tính thuế và các bậc thuế trong phương án mới đơn giản, dễ hiểu và dễ thực hiện hơn. - HUMAN-FAC2]]</f>
        <v>9</v>
      </c>
      <c r="AH399">
        <f t="shared" si="171"/>
        <v>0.88888888888888884</v>
      </c>
      <c r="AI399" s="32">
        <f t="shared" si="172"/>
        <v>0.83333333333333326</v>
      </c>
      <c r="AJ399" s="32">
        <f t="shared" si="173"/>
        <v>0.83333333333333326</v>
      </c>
      <c r="AK399">
        <f>step3_validation[[#This Row],[AI_TRU1]]</f>
        <v>8</v>
      </c>
      <c r="AL399">
        <f t="shared" si="174"/>
        <v>0.77777777777777779</v>
      </c>
      <c r="AM399">
        <f>survey_responses[[#This Row],[Tôi tin rằng Nhà nước, cơ quan thuế sẽ thực thi chính sách mới một cách khách quan, công tâm và đối xử bình đẳng với mọi người nộp thuế.  - HUMAN-TRU1]]</f>
        <v>7</v>
      </c>
      <c r="AN399">
        <f t="shared" si="175"/>
        <v>0.66666666666666663</v>
      </c>
      <c r="AO399">
        <f>step3_validation[[#This Row],[AI_TRU2]]</f>
        <v>9</v>
      </c>
      <c r="AP399">
        <f t="shared" si="176"/>
        <v>0.88888888888888884</v>
      </c>
      <c r="AQ399">
        <f>survey_responses[[#This Row],[Tôi thấy mức thuế tôi phải đóng theo phương án mới là công bằng (người thu nhập như tôi đóng mức này là hợp lý). - HUMAN-TRU2]]</f>
        <v>9</v>
      </c>
      <c r="AR399">
        <f t="shared" si="177"/>
        <v>0.88888888888888884</v>
      </c>
      <c r="AS399">
        <f>step3_validation[[#This Row],[AI_TRU3]]</f>
        <v>8</v>
      </c>
      <c r="AT399">
        <f t="shared" si="178"/>
        <v>0.77777777777777779</v>
      </c>
      <c r="AU399">
        <f>survey_responses[[#This Row],[Tôi tin tưởng số tiền thuế tôi đóng sẽ được Nhà nước sử dụng hiệu quả để cải thiện dịch vụ công (y tế, đường xá...). - HUMAN-TRU3]]</f>
        <v>8</v>
      </c>
      <c r="AV399">
        <f t="shared" si="179"/>
        <v>0.77777777777777779</v>
      </c>
      <c r="AW399">
        <f>step3_validation[[#This Row],[AI_TRU4]]</f>
        <v>9</v>
      </c>
      <c r="AX399">
        <f t="shared" si="180"/>
        <v>0.88888888888888884</v>
      </c>
      <c r="AY399">
        <f>survey_responses[[#This Row],[Tôi thấy Nhà nước đã giải thích rõ ràng, minh bạch về lý do và mục tiêu của việc sửa đổi thuế lần này. - HUMAN-TRU4]]</f>
        <v>8</v>
      </c>
      <c r="AZ399">
        <f t="shared" si="181"/>
        <v>0.77777777777777779</v>
      </c>
      <c r="BA399" s="32">
        <f t="shared" si="182"/>
        <v>0.83333333333333326</v>
      </c>
      <c r="BB399" s="32">
        <f t="shared" si="183"/>
        <v>0.77777777777777768</v>
      </c>
      <c r="BC399" s="7">
        <f t="shared" si="184"/>
        <v>0.75925925925925919</v>
      </c>
      <c r="BD399" s="7">
        <f t="shared" si="185"/>
        <v>0.83333333333333337</v>
      </c>
      <c r="BE399">
        <f>step3_validation[[#This Row],[AI_OUT1]]</f>
        <v>9</v>
      </c>
      <c r="BF399">
        <f t="shared" si="186"/>
        <v>0.88888888888888884</v>
      </c>
      <c r="BG399">
        <f>survey_responses[[#This Row],[Sau khi xem xét các quyền lợi và nghĩa vụ, bạn có ủng hộ và tuân thủ chính sách mới hiện nay? - HUMAN-OUT1]]</f>
        <v>8</v>
      </c>
      <c r="BH399">
        <f t="shared" si="187"/>
        <v>0.77777777777777779</v>
      </c>
      <c r="BI399" s="32">
        <f t="shared" si="188"/>
        <v>1</v>
      </c>
    </row>
    <row r="400" spans="1:61" x14ac:dyDescent="0.45">
      <c r="A400" s="30">
        <f>step3_validation[[#This Row],[Persona_ID]]</f>
        <v>399</v>
      </c>
      <c r="B400" s="31">
        <f>step3_validation[[#This Row],[Used_Seed]]</f>
        <v>2389</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27.74387359222391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f t="shared" si="162"/>
        <v>0.66666666666666663</v>
      </c>
      <c r="S400">
        <f>survey_responses[[#This Row],[Tôi tin rằng với các quy định quản lý thuế hiện nay, hành vi gian lận hoặc trốn thuế sẽ dễ dàng bị phát hiện và xử lý nghiêm. - HUMAN-ENF1]]</f>
        <v>7</v>
      </c>
      <c r="T400">
        <f t="shared" si="163"/>
        <v>0.66666666666666663</v>
      </c>
      <c r="U400">
        <f>step3_validation[[#This Row],[AI_ENF2]]</f>
        <v>8</v>
      </c>
      <c r="V400">
        <f t="shared" si="164"/>
        <v>0.77777777777777779</v>
      </c>
      <c r="W400">
        <f>survey_responses[[#This Row],[Tôi tin rằng Nhà nước, cơ quan thuế có đủ khả năng và công nghệ để phát hiện, xử lý nghiêm các hành vi trốn thuế. - HUMAN-ENF2]]</f>
        <v>7</v>
      </c>
      <c r="X400">
        <f t="shared" si="165"/>
        <v>0.66666666666666663</v>
      </c>
      <c r="Y400" s="32">
        <f t="shared" si="166"/>
        <v>0.72222222222222221</v>
      </c>
      <c r="Z400" s="32">
        <f t="shared" si="167"/>
        <v>0.66666666666666663</v>
      </c>
      <c r="AA400">
        <f>step3_validation[[#This Row],[AI_FAC1]]</f>
        <v>9</v>
      </c>
      <c r="AB400">
        <f t="shared" si="168"/>
        <v>0.88888888888888884</v>
      </c>
      <c r="AC400">
        <f>survey_responses[[#This Row],[Các thủ tục khai báo thuế VÀ/HOẶC quy trình làm việc với cơ quan thuế đơn giản, tiện lợi, nhanh chóng hơn so với trước đây. - HUMAN-FAC1]]</f>
        <v>5</v>
      </c>
      <c r="AD400">
        <f t="shared" si="169"/>
        <v>0.44444444444444442</v>
      </c>
      <c r="AE400">
        <f>step3_validation[[#This Row],[AI_FAC2]]</f>
        <v>8</v>
      </c>
      <c r="AF400">
        <f t="shared" si="170"/>
        <v>0.77777777777777779</v>
      </c>
      <c r="AG400">
        <f>survey_responses[[#This Row],[So với trước đây, tôi thấy cách tính thuế và các bậc thuế trong phương án mới đơn giản, dễ hiểu và dễ thực hiện hơn. - HUMAN-FAC2]]</f>
        <v>8</v>
      </c>
      <c r="AH400">
        <f t="shared" si="171"/>
        <v>0.77777777777777779</v>
      </c>
      <c r="AI400" s="32">
        <f t="shared" si="172"/>
        <v>0.83333333333333326</v>
      </c>
      <c r="AJ400" s="32">
        <f t="shared" si="173"/>
        <v>0.61111111111111116</v>
      </c>
      <c r="AK400">
        <f>step3_validation[[#This Row],[AI_TRU1]]</f>
        <v>7</v>
      </c>
      <c r="AL400">
        <f t="shared" si="174"/>
        <v>0.66666666666666663</v>
      </c>
      <c r="AM400">
        <f>survey_responses[[#This Row],[Tôi tin rằng Nhà nước, cơ quan thuế sẽ thực thi chính sách mới một cách khách quan, công tâm và đối xử bình đẳng với mọi người nộp thuế.  - HUMAN-TRU1]]</f>
        <v>7</v>
      </c>
      <c r="AN400">
        <f t="shared" si="175"/>
        <v>0.66666666666666663</v>
      </c>
      <c r="AO400">
        <f>step3_validation[[#This Row],[AI_TRU2]]</f>
        <v>8</v>
      </c>
      <c r="AP400">
        <f t="shared" si="176"/>
        <v>0.77777777777777779</v>
      </c>
      <c r="AQ400">
        <f>survey_responses[[#This Row],[Tôi thấy mức thuế tôi phải đóng theo phương án mới là công bằng (người thu nhập như tôi đóng mức này là hợp lý). - HUMAN-TRU2]]</f>
        <v>8</v>
      </c>
      <c r="AR400">
        <f t="shared" si="177"/>
        <v>0.77777777777777779</v>
      </c>
      <c r="AS400">
        <f>step3_validation[[#This Row],[AI_TRU3]]</f>
        <v>6</v>
      </c>
      <c r="AT400">
        <f t="shared" si="178"/>
        <v>0.55555555555555558</v>
      </c>
      <c r="AU400">
        <f>survey_responses[[#This Row],[Tôi tin tưởng số tiền thuế tôi đóng sẽ được Nhà nước sử dụng hiệu quả để cải thiện dịch vụ công (y tế, đường xá...). - HUMAN-TRU3]]</f>
        <v>6</v>
      </c>
      <c r="AV400">
        <f t="shared" si="179"/>
        <v>0.55555555555555558</v>
      </c>
      <c r="AW400">
        <f>step3_validation[[#This Row],[AI_TRU4]]</f>
        <v>8</v>
      </c>
      <c r="AX400">
        <f t="shared" si="180"/>
        <v>0.77777777777777779</v>
      </c>
      <c r="AY400">
        <f>survey_responses[[#This Row],[Tôi thấy Nhà nước đã giải thích rõ ràng, minh bạch về lý do và mục tiêu của việc sửa đổi thuế lần này. - HUMAN-TRU4]]</f>
        <v>6</v>
      </c>
      <c r="AZ400">
        <f t="shared" si="181"/>
        <v>0.55555555555555558</v>
      </c>
      <c r="BA400" s="32">
        <f t="shared" si="182"/>
        <v>0.69444444444444442</v>
      </c>
      <c r="BB400" s="32">
        <f t="shared" si="183"/>
        <v>0.63888888888888884</v>
      </c>
      <c r="BC400" s="7">
        <f t="shared" si="184"/>
        <v>0.75</v>
      </c>
      <c r="BD400" s="7">
        <f t="shared" si="185"/>
        <v>0.63888888888888884</v>
      </c>
      <c r="BE400">
        <f>step3_validation[[#This Row],[AI_OUT1]]</f>
        <v>7</v>
      </c>
      <c r="BF400">
        <f t="shared" si="186"/>
        <v>0.66666666666666663</v>
      </c>
      <c r="BG400">
        <f>survey_responses[[#This Row],[Sau khi xem xét các quyền lợi và nghĩa vụ, bạn có ủng hộ và tuân thủ chính sách mới hiện nay? - HUMAN-OUT1]]</f>
        <v>8</v>
      </c>
      <c r="BH400">
        <f t="shared" si="187"/>
        <v>0.77777777777777779</v>
      </c>
      <c r="BI400" s="32">
        <f t="shared" si="188"/>
        <v>1</v>
      </c>
    </row>
    <row r="401" spans="1:61" x14ac:dyDescent="0.45">
      <c r="A401" s="30">
        <f>step3_validation[[#This Row],[Persona_ID]]</f>
        <v>400</v>
      </c>
      <c r="B401" s="31">
        <f>step3_validation[[#This Row],[Used_Seed]]</f>
        <v>2390</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38.514138274483862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f t="shared" si="162"/>
        <v>0.66666666666666663</v>
      </c>
      <c r="S401">
        <f>survey_responses[[#This Row],[Tôi tin rằng với các quy định quản lý thuế hiện nay, hành vi gian lận hoặc trốn thuế sẽ dễ dàng bị phát hiện và xử lý nghiêm. - HUMAN-ENF1]]</f>
        <v>8</v>
      </c>
      <c r="T401">
        <f t="shared" si="163"/>
        <v>0.77777777777777779</v>
      </c>
      <c r="U401">
        <f>step3_validation[[#This Row],[AI_ENF2]]</f>
        <v>6</v>
      </c>
      <c r="V401">
        <f t="shared" si="164"/>
        <v>0.55555555555555558</v>
      </c>
      <c r="W401">
        <f>survey_responses[[#This Row],[Tôi tin rằng Nhà nước, cơ quan thuế có đủ khả năng và công nghệ để phát hiện, xử lý nghiêm các hành vi trốn thuế. - HUMAN-ENF2]]</f>
        <v>9</v>
      </c>
      <c r="X401">
        <f t="shared" si="165"/>
        <v>0.88888888888888884</v>
      </c>
      <c r="Y401" s="32">
        <f t="shared" si="166"/>
        <v>0.61111111111111116</v>
      </c>
      <c r="Z401" s="32">
        <f t="shared" si="167"/>
        <v>0.83333333333333326</v>
      </c>
      <c r="AA401">
        <f>step3_validation[[#This Row],[AI_FAC1]]</f>
        <v>9</v>
      </c>
      <c r="AB401">
        <f t="shared" si="168"/>
        <v>0.88888888888888884</v>
      </c>
      <c r="AC401">
        <f>survey_responses[[#This Row],[Các thủ tục khai báo thuế VÀ/HOẶC quy trình làm việc với cơ quan thuế đơn giản, tiện lợi, nhanh chóng hơn so với trước đây. - HUMAN-FAC1]]</f>
        <v>8</v>
      </c>
      <c r="AD401">
        <f t="shared" si="169"/>
        <v>0.77777777777777779</v>
      </c>
      <c r="AE401">
        <f>step3_validation[[#This Row],[AI_FAC2]]</f>
        <v>8</v>
      </c>
      <c r="AF401">
        <f t="shared" si="170"/>
        <v>0.77777777777777779</v>
      </c>
      <c r="AG401">
        <f>survey_responses[[#This Row],[So với trước đây, tôi thấy cách tính thuế và các bậc thuế trong phương án mới đơn giản, dễ hiểu và dễ thực hiện hơn. - HUMAN-FAC2]]</f>
        <v>8</v>
      </c>
      <c r="AH401">
        <f t="shared" si="171"/>
        <v>0.77777777777777779</v>
      </c>
      <c r="AI401" s="32">
        <f t="shared" si="172"/>
        <v>0.83333333333333326</v>
      </c>
      <c r="AJ401" s="32">
        <f t="shared" si="173"/>
        <v>0.77777777777777779</v>
      </c>
      <c r="AK401">
        <f>step3_validation[[#This Row],[AI_TRU1]]</f>
        <v>7</v>
      </c>
      <c r="AL401">
        <f t="shared" si="174"/>
        <v>0.66666666666666663</v>
      </c>
      <c r="AM401">
        <f>survey_responses[[#This Row],[Tôi tin rằng Nhà nước, cơ quan thuế sẽ thực thi chính sách mới một cách khách quan, công tâm và đối xử bình đẳng với mọi người nộp thuế.  - HUMAN-TRU1]]</f>
        <v>7</v>
      </c>
      <c r="AN401">
        <f t="shared" si="175"/>
        <v>0.66666666666666663</v>
      </c>
      <c r="AO401">
        <f>step3_validation[[#This Row],[AI_TRU2]]</f>
        <v>8</v>
      </c>
      <c r="AP401">
        <f t="shared" si="176"/>
        <v>0.77777777777777779</v>
      </c>
      <c r="AQ401">
        <f>survey_responses[[#This Row],[Tôi thấy mức thuế tôi phải đóng theo phương án mới là công bằng (người thu nhập như tôi đóng mức này là hợp lý). - HUMAN-TRU2]]</f>
        <v>7</v>
      </c>
      <c r="AR401">
        <f t="shared" si="177"/>
        <v>0.66666666666666663</v>
      </c>
      <c r="AS401">
        <f>step3_validation[[#This Row],[AI_TRU3]]</f>
        <v>6</v>
      </c>
      <c r="AT401">
        <f t="shared" si="178"/>
        <v>0.55555555555555558</v>
      </c>
      <c r="AU401">
        <f>survey_responses[[#This Row],[Tôi tin tưởng số tiền thuế tôi đóng sẽ được Nhà nước sử dụng hiệu quả để cải thiện dịch vụ công (y tế, đường xá...). - HUMAN-TRU3]]</f>
        <v>7</v>
      </c>
      <c r="AV401">
        <f t="shared" si="179"/>
        <v>0.66666666666666663</v>
      </c>
      <c r="AW401">
        <f>step3_validation[[#This Row],[AI_TRU4]]</f>
        <v>7</v>
      </c>
      <c r="AX401">
        <f t="shared" si="180"/>
        <v>0.66666666666666663</v>
      </c>
      <c r="AY401">
        <f>survey_responses[[#This Row],[Tôi thấy Nhà nước đã giải thích rõ ràng, minh bạch về lý do và mục tiêu của việc sửa đổi thuế lần này. - HUMAN-TRU4]]</f>
        <v>7</v>
      </c>
      <c r="AZ401">
        <f t="shared" si="181"/>
        <v>0.66666666666666663</v>
      </c>
      <c r="BA401" s="32">
        <f t="shared" si="182"/>
        <v>0.66666666666666663</v>
      </c>
      <c r="BB401" s="32">
        <f t="shared" si="183"/>
        <v>0.66666666666666663</v>
      </c>
      <c r="BC401" s="7">
        <f t="shared" si="184"/>
        <v>0.70370370370370372</v>
      </c>
      <c r="BD401" s="7">
        <f t="shared" si="185"/>
        <v>0.75925925925925919</v>
      </c>
      <c r="BE401">
        <f>step3_validation[[#This Row],[AI_OUT1]]</f>
        <v>8</v>
      </c>
      <c r="BF401">
        <f t="shared" si="186"/>
        <v>0.77777777777777779</v>
      </c>
      <c r="BG401">
        <f>survey_responses[[#This Row],[Sau khi xem xét các quyền lợi và nghĩa vụ, bạn có ủng hộ và tuân thủ chính sách mới hiện nay? - HUMAN-OUT1]]</f>
        <v>8</v>
      </c>
      <c r="BH401">
        <f t="shared" si="187"/>
        <v>0.77777777777777779</v>
      </c>
      <c r="BI401" s="32">
        <f t="shared" si="188"/>
        <v>0</v>
      </c>
    </row>
    <row r="402" spans="1:61" x14ac:dyDescent="0.45">
      <c r="A402" s="30">
        <f>step3_validation[[#This Row],[Persona_ID]]</f>
        <v>401</v>
      </c>
      <c r="B402" s="31">
        <f>step3_validation[[#This Row],[Used_Seed]]</f>
        <v>2391</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16.079860024526425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f t="shared" si="162"/>
        <v>0.66666666666666663</v>
      </c>
      <c r="S402">
        <f>survey_responses[[#This Row],[Tôi tin rằng với các quy định quản lý thuế hiện nay, hành vi gian lận hoặc trốn thuế sẽ dễ dàng bị phát hiện và xử lý nghiêm. - HUMAN-ENF1]]</f>
        <v>4</v>
      </c>
      <c r="T402">
        <f t="shared" si="163"/>
        <v>0.33333333333333331</v>
      </c>
      <c r="U402">
        <f>step3_validation[[#This Row],[AI_ENF2]]</f>
        <v>8</v>
      </c>
      <c r="V402">
        <f t="shared" si="164"/>
        <v>0.77777777777777779</v>
      </c>
      <c r="W402">
        <f>survey_responses[[#This Row],[Tôi tin rằng Nhà nước, cơ quan thuế có đủ khả năng và công nghệ để phát hiện, xử lý nghiêm các hành vi trốn thuế. - HUMAN-ENF2]]</f>
        <v>4</v>
      </c>
      <c r="X402">
        <f t="shared" si="165"/>
        <v>0.33333333333333331</v>
      </c>
      <c r="Y402" s="32">
        <f t="shared" si="166"/>
        <v>0.72222222222222221</v>
      </c>
      <c r="Z402" s="32">
        <f t="shared" si="167"/>
        <v>0.33333333333333331</v>
      </c>
      <c r="AA402">
        <f>step3_validation[[#This Row],[AI_FAC1]]</f>
        <v>9</v>
      </c>
      <c r="AB402">
        <f t="shared" si="168"/>
        <v>0.88888888888888884</v>
      </c>
      <c r="AC402">
        <f>survey_responses[[#This Row],[Các thủ tục khai báo thuế VÀ/HOẶC quy trình làm việc với cơ quan thuế đơn giản, tiện lợi, nhanh chóng hơn so với trước đây. - HUMAN-FAC1]]</f>
        <v>3</v>
      </c>
      <c r="AD402">
        <f t="shared" si="169"/>
        <v>0.22222222222222221</v>
      </c>
      <c r="AE402">
        <f>step3_validation[[#This Row],[AI_FAC2]]</f>
        <v>10</v>
      </c>
      <c r="AF402">
        <f t="shared" si="170"/>
        <v>1</v>
      </c>
      <c r="AG402">
        <f>survey_responses[[#This Row],[So với trước đây, tôi thấy cách tính thuế và các bậc thuế trong phương án mới đơn giản, dễ hiểu và dễ thực hiện hơn. - HUMAN-FAC2]]</f>
        <v>5</v>
      </c>
      <c r="AH402">
        <f t="shared" si="171"/>
        <v>0.44444444444444442</v>
      </c>
      <c r="AI402" s="32">
        <f t="shared" si="172"/>
        <v>0.94444444444444442</v>
      </c>
      <c r="AJ402" s="32">
        <f t="shared" si="173"/>
        <v>0.33333333333333331</v>
      </c>
      <c r="AK402">
        <f>step3_validation[[#This Row],[AI_TRU1]]</f>
        <v>6</v>
      </c>
      <c r="AL402">
        <f t="shared" si="174"/>
        <v>0.55555555555555558</v>
      </c>
      <c r="AM402">
        <f>survey_responses[[#This Row],[Tôi tin rằng Nhà nước, cơ quan thuế sẽ thực thi chính sách mới một cách khách quan, công tâm và đối xử bình đẳng với mọi người nộp thuế.  - HUMAN-TRU1]]</f>
        <v>5</v>
      </c>
      <c r="AN402">
        <f t="shared" si="175"/>
        <v>0.44444444444444442</v>
      </c>
      <c r="AO402">
        <f>step3_validation[[#This Row],[AI_TRU2]]</f>
        <v>9</v>
      </c>
      <c r="AP402">
        <f t="shared" si="176"/>
        <v>0.88888888888888884</v>
      </c>
      <c r="AQ402">
        <f>survey_responses[[#This Row],[Tôi thấy mức thuế tôi phải đóng theo phương án mới là công bằng (người thu nhập như tôi đóng mức này là hợp lý). - HUMAN-TRU2]]</f>
        <v>2</v>
      </c>
      <c r="AR402">
        <f t="shared" si="177"/>
        <v>0.1111111111111111</v>
      </c>
      <c r="AS402">
        <f>step3_validation[[#This Row],[AI_TRU3]]</f>
        <v>7</v>
      </c>
      <c r="AT402">
        <f t="shared" si="178"/>
        <v>0.66666666666666663</v>
      </c>
      <c r="AU402">
        <f>survey_responses[[#This Row],[Tôi tin tưởng số tiền thuế tôi đóng sẽ được Nhà nước sử dụng hiệu quả để cải thiện dịch vụ công (y tế, đường xá...). - HUMAN-TRU3]]</f>
        <v>2</v>
      </c>
      <c r="AV402">
        <f t="shared" si="179"/>
        <v>0.1111111111111111</v>
      </c>
      <c r="AW402">
        <f>step3_validation[[#This Row],[AI_TRU4]]</f>
        <v>8</v>
      </c>
      <c r="AX402">
        <f t="shared" si="180"/>
        <v>0.77777777777777779</v>
      </c>
      <c r="AY402">
        <f>survey_responses[[#This Row],[Tôi thấy Nhà nước đã giải thích rõ ràng, minh bạch về lý do và mục tiêu của việc sửa đổi thuế lần này. - HUMAN-TRU4]]</f>
        <v>5</v>
      </c>
      <c r="AZ402">
        <f t="shared" si="181"/>
        <v>0.44444444444444442</v>
      </c>
      <c r="BA402" s="32">
        <f t="shared" si="182"/>
        <v>0.72222222222222221</v>
      </c>
      <c r="BB402" s="32">
        <f t="shared" si="183"/>
        <v>0.27777777777777779</v>
      </c>
      <c r="BC402" s="7">
        <f t="shared" si="184"/>
        <v>0.79629629629629628</v>
      </c>
      <c r="BD402" s="7">
        <f t="shared" si="185"/>
        <v>0.31481481481481483</v>
      </c>
      <c r="BE402">
        <f>step3_validation[[#This Row],[AI_OUT1]]</f>
        <v>9</v>
      </c>
      <c r="BF402">
        <f t="shared" si="186"/>
        <v>0.88888888888888884</v>
      </c>
      <c r="BG402">
        <f>survey_responses[[#This Row],[Sau khi xem xét các quyền lợi và nghĩa vụ, bạn có ủng hộ và tuân thủ chính sách mới hiện nay? - HUMAN-OUT1]]</f>
        <v>2</v>
      </c>
      <c r="BH402">
        <f t="shared" si="187"/>
        <v>0.1111111111111111</v>
      </c>
      <c r="BI402" s="32">
        <f t="shared" si="188"/>
        <v>7</v>
      </c>
    </row>
    <row r="403" spans="1:61" x14ac:dyDescent="0.45">
      <c r="A403" s="30">
        <f>step3_validation[[#This Row],[Persona_ID]]</f>
        <v>402</v>
      </c>
      <c r="B403" s="31">
        <f>step3_validation[[#This Row],[Used_Seed]]</f>
        <v>2392</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246.83245577454321</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8</v>
      </c>
      <c r="R403">
        <f t="shared" si="162"/>
        <v>0.77777777777777779</v>
      </c>
      <c r="S403">
        <f>survey_responses[[#This Row],[Tôi tin rằng với các quy định quản lý thuế hiện nay, hành vi gian lận hoặc trốn thuế sẽ dễ dàng bị phát hiện và xử lý nghiêm. - HUMAN-ENF1]]</f>
        <v>7</v>
      </c>
      <c r="T403">
        <f t="shared" si="163"/>
        <v>0.66666666666666663</v>
      </c>
      <c r="U403">
        <f>step3_validation[[#This Row],[AI_ENF2]]</f>
        <v>7</v>
      </c>
      <c r="V403">
        <f t="shared" si="164"/>
        <v>0.66666666666666663</v>
      </c>
      <c r="W403">
        <f>survey_responses[[#This Row],[Tôi tin rằng Nhà nước, cơ quan thuế có đủ khả năng và công nghệ để phát hiện, xử lý nghiêm các hành vi trốn thuế. - HUMAN-ENF2]]</f>
        <v>7</v>
      </c>
      <c r="X403">
        <f t="shared" si="165"/>
        <v>0.66666666666666663</v>
      </c>
      <c r="Y403" s="32">
        <f t="shared" si="166"/>
        <v>0.72222222222222221</v>
      </c>
      <c r="Z403" s="32">
        <f t="shared" si="167"/>
        <v>0.66666666666666663</v>
      </c>
      <c r="AA403">
        <f>step3_validation[[#This Row],[AI_FAC1]]</f>
        <v>9</v>
      </c>
      <c r="AB403">
        <f t="shared" si="168"/>
        <v>0.88888888888888884</v>
      </c>
      <c r="AC403">
        <f>survey_responses[[#This Row],[Các thủ tục khai báo thuế VÀ/HOẶC quy trình làm việc với cơ quan thuế đơn giản, tiện lợi, nhanh chóng hơn so với trước đây. - HUMAN-FAC1]]</f>
        <v>4</v>
      </c>
      <c r="AD403">
        <f t="shared" si="169"/>
        <v>0.33333333333333331</v>
      </c>
      <c r="AE403">
        <f>step3_validation[[#This Row],[AI_FAC2]]</f>
        <v>9</v>
      </c>
      <c r="AF403">
        <f t="shared" si="170"/>
        <v>0.88888888888888884</v>
      </c>
      <c r="AG403">
        <f>survey_responses[[#This Row],[So với trước đây, tôi thấy cách tính thuế và các bậc thuế trong phương án mới đơn giản, dễ hiểu và dễ thực hiện hơn. - HUMAN-FAC2]]</f>
        <v>6</v>
      </c>
      <c r="AH403">
        <f t="shared" si="171"/>
        <v>0.55555555555555558</v>
      </c>
      <c r="AI403" s="32">
        <f t="shared" si="172"/>
        <v>0.88888888888888884</v>
      </c>
      <c r="AJ403" s="32">
        <f t="shared" si="173"/>
        <v>0.44444444444444442</v>
      </c>
      <c r="AK403">
        <f>step3_validation[[#This Row],[AI_TRU1]]</f>
        <v>8</v>
      </c>
      <c r="AL403">
        <f t="shared" si="174"/>
        <v>0.77777777777777779</v>
      </c>
      <c r="AM403">
        <f>survey_responses[[#This Row],[Tôi tin rằng Nhà nước, cơ quan thuế sẽ thực thi chính sách mới một cách khách quan, công tâm và đối xử bình đẳng với mọi người nộp thuế.  - HUMAN-TRU1]]</f>
        <v>5</v>
      </c>
      <c r="AN403">
        <f t="shared" si="175"/>
        <v>0.44444444444444442</v>
      </c>
      <c r="AO403">
        <f>step3_validation[[#This Row],[AI_TRU2]]</f>
        <v>9</v>
      </c>
      <c r="AP403">
        <f t="shared" si="176"/>
        <v>0.88888888888888884</v>
      </c>
      <c r="AQ403">
        <f>survey_responses[[#This Row],[Tôi thấy mức thuế tôi phải đóng theo phương án mới là công bằng (người thu nhập như tôi đóng mức này là hợp lý). - HUMAN-TRU2]]</f>
        <v>4</v>
      </c>
      <c r="AR403">
        <f t="shared" si="177"/>
        <v>0.33333333333333331</v>
      </c>
      <c r="AS403">
        <f>step3_validation[[#This Row],[AI_TRU3]]</f>
        <v>8</v>
      </c>
      <c r="AT403">
        <f t="shared" si="178"/>
        <v>0.77777777777777779</v>
      </c>
      <c r="AU403">
        <f>survey_responses[[#This Row],[Tôi tin tưởng số tiền thuế tôi đóng sẽ được Nhà nước sử dụng hiệu quả để cải thiện dịch vụ công (y tế, đường xá...). - HUMAN-TRU3]]</f>
        <v>5</v>
      </c>
      <c r="AV403">
        <f t="shared" si="179"/>
        <v>0.44444444444444442</v>
      </c>
      <c r="AW403">
        <f>step3_validation[[#This Row],[AI_TRU4]]</f>
        <v>7</v>
      </c>
      <c r="AX403">
        <f t="shared" si="180"/>
        <v>0.66666666666666663</v>
      </c>
      <c r="AY403">
        <f>survey_responses[[#This Row],[Tôi thấy Nhà nước đã giải thích rõ ràng, minh bạch về lý do và mục tiêu của việc sửa đổi thuế lần này. - HUMAN-TRU4]]</f>
        <v>5</v>
      </c>
      <c r="AZ403">
        <f t="shared" si="181"/>
        <v>0.44444444444444442</v>
      </c>
      <c r="BA403" s="32">
        <f t="shared" si="182"/>
        <v>0.77777777777777768</v>
      </c>
      <c r="BB403" s="32">
        <f t="shared" si="183"/>
        <v>0.41666666666666663</v>
      </c>
      <c r="BC403" s="7">
        <f t="shared" si="184"/>
        <v>0.79629629629629628</v>
      </c>
      <c r="BD403" s="7">
        <f t="shared" si="185"/>
        <v>0.50925925925925919</v>
      </c>
      <c r="BE403">
        <f>step3_validation[[#This Row],[AI_OUT1]]</f>
        <v>9</v>
      </c>
      <c r="BF403">
        <f t="shared" si="186"/>
        <v>0.88888888888888884</v>
      </c>
      <c r="BG403">
        <f>survey_responses[[#This Row],[Sau khi xem xét các quyền lợi và nghĩa vụ, bạn có ủng hộ và tuân thủ chính sách mới hiện nay? - HUMAN-OUT1]]</f>
        <v>5</v>
      </c>
      <c r="BH403">
        <f t="shared" si="187"/>
        <v>0.44444444444444442</v>
      </c>
      <c r="BI403" s="32">
        <f t="shared" si="188"/>
        <v>4</v>
      </c>
    </row>
    <row r="404" spans="1:61" x14ac:dyDescent="0.45">
      <c r="A404" s="30">
        <f>step3_validation[[#This Row],[Persona_ID]]</f>
        <v>403</v>
      </c>
      <c r="B404" s="31">
        <f>step3_validation[[#This Row],[Used_Seed]]</f>
        <v>2393</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23.605855353203044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8</v>
      </c>
      <c r="R404">
        <f t="shared" si="162"/>
        <v>0.77777777777777779</v>
      </c>
      <c r="S404">
        <f>survey_responses[[#This Row],[Tôi tin rằng với các quy định quản lý thuế hiện nay, hành vi gian lận hoặc trốn thuế sẽ dễ dàng bị phát hiện và xử lý nghiêm. - HUMAN-ENF1]]</f>
        <v>7</v>
      </c>
      <c r="T404">
        <f t="shared" si="163"/>
        <v>0.66666666666666663</v>
      </c>
      <c r="U404">
        <f>step3_validation[[#This Row],[AI_ENF2]]</f>
        <v>9</v>
      </c>
      <c r="V404">
        <f t="shared" si="164"/>
        <v>0.88888888888888884</v>
      </c>
      <c r="W404">
        <f>survey_responses[[#This Row],[Tôi tin rằng Nhà nước, cơ quan thuế có đủ khả năng và công nghệ để phát hiện, xử lý nghiêm các hành vi trốn thuế. - HUMAN-ENF2]]</f>
        <v>7</v>
      </c>
      <c r="X404">
        <f t="shared" si="165"/>
        <v>0.66666666666666663</v>
      </c>
      <c r="Y404" s="32">
        <f t="shared" si="166"/>
        <v>0.83333333333333326</v>
      </c>
      <c r="Z404" s="32">
        <f t="shared" si="167"/>
        <v>0.66666666666666663</v>
      </c>
      <c r="AA404">
        <f>step3_validation[[#This Row],[AI_FAC1]]</f>
        <v>7</v>
      </c>
      <c r="AB404">
        <f t="shared" si="168"/>
        <v>0.66666666666666663</v>
      </c>
      <c r="AC404">
        <f>survey_responses[[#This Row],[Các thủ tục khai báo thuế VÀ/HOẶC quy trình làm việc với cơ quan thuế đơn giản, tiện lợi, nhanh chóng hơn so với trước đây. - HUMAN-FAC1]]</f>
        <v>7</v>
      </c>
      <c r="AD404">
        <f t="shared" si="169"/>
        <v>0.66666666666666663</v>
      </c>
      <c r="AE404">
        <f>step3_validation[[#This Row],[AI_FAC2]]</f>
        <v>9</v>
      </c>
      <c r="AF404">
        <f t="shared" si="170"/>
        <v>0.88888888888888884</v>
      </c>
      <c r="AG404">
        <f>survey_responses[[#This Row],[So với trước đây, tôi thấy cách tính thuế và các bậc thuế trong phương án mới đơn giản, dễ hiểu và dễ thực hiện hơn. - HUMAN-FAC2]]</f>
        <v>7</v>
      </c>
      <c r="AH404">
        <f t="shared" si="171"/>
        <v>0.66666666666666663</v>
      </c>
      <c r="AI404" s="32">
        <f t="shared" si="172"/>
        <v>0.77777777777777768</v>
      </c>
      <c r="AJ404" s="32">
        <f t="shared" si="173"/>
        <v>0.66666666666666663</v>
      </c>
      <c r="AK404">
        <f>step3_validation[[#This Row],[AI_TRU1]]</f>
        <v>8</v>
      </c>
      <c r="AL404">
        <f t="shared" si="174"/>
        <v>0.77777777777777779</v>
      </c>
      <c r="AM404">
        <f>survey_responses[[#This Row],[Tôi tin rằng Nhà nước, cơ quan thuế sẽ thực thi chính sách mới một cách khách quan, công tâm và đối xử bình đẳng với mọi người nộp thuế.  - HUMAN-TRU1]]</f>
        <v>7</v>
      </c>
      <c r="AN404">
        <f t="shared" si="175"/>
        <v>0.66666666666666663</v>
      </c>
      <c r="AO404">
        <f>step3_validation[[#This Row],[AI_TRU2]]</f>
        <v>9</v>
      </c>
      <c r="AP404">
        <f t="shared" si="176"/>
        <v>0.88888888888888884</v>
      </c>
      <c r="AQ404">
        <f>survey_responses[[#This Row],[Tôi thấy mức thuế tôi phải đóng theo phương án mới là công bằng (người thu nhập như tôi đóng mức này là hợp lý). - HUMAN-TRU2]]</f>
        <v>7</v>
      </c>
      <c r="AR404">
        <f t="shared" si="177"/>
        <v>0.66666666666666663</v>
      </c>
      <c r="AS404">
        <f>step3_validation[[#This Row],[AI_TRU3]]</f>
        <v>8</v>
      </c>
      <c r="AT404">
        <f t="shared" si="178"/>
        <v>0.77777777777777779</v>
      </c>
      <c r="AU404">
        <f>survey_responses[[#This Row],[Tôi tin tưởng số tiền thuế tôi đóng sẽ được Nhà nước sử dụng hiệu quả để cải thiện dịch vụ công (y tế, đường xá...). - HUMAN-TRU3]]</f>
        <v>7</v>
      </c>
      <c r="AV404">
        <f t="shared" si="179"/>
        <v>0.66666666666666663</v>
      </c>
      <c r="AW404">
        <f>step3_validation[[#This Row],[AI_TRU4]]</f>
        <v>9</v>
      </c>
      <c r="AX404">
        <f t="shared" si="180"/>
        <v>0.88888888888888884</v>
      </c>
      <c r="AY404">
        <f>survey_responses[[#This Row],[Tôi thấy Nhà nước đã giải thích rõ ràng, minh bạch về lý do và mục tiêu của việc sửa đổi thuế lần này. - HUMAN-TRU4]]</f>
        <v>7</v>
      </c>
      <c r="AZ404">
        <f t="shared" si="181"/>
        <v>0.66666666666666663</v>
      </c>
      <c r="BA404" s="32">
        <f t="shared" si="182"/>
        <v>0.83333333333333326</v>
      </c>
      <c r="BB404" s="32">
        <f t="shared" si="183"/>
        <v>0.66666666666666663</v>
      </c>
      <c r="BC404" s="7">
        <f t="shared" si="184"/>
        <v>0.81481481481481477</v>
      </c>
      <c r="BD404" s="7">
        <f t="shared" si="185"/>
        <v>0.66666666666666663</v>
      </c>
      <c r="BE404">
        <f>step3_validation[[#This Row],[AI_OUT1]]</f>
        <v>9</v>
      </c>
      <c r="BF404">
        <f t="shared" si="186"/>
        <v>0.88888888888888884</v>
      </c>
      <c r="BG404">
        <f>survey_responses[[#This Row],[Sau khi xem xét các quyền lợi và nghĩa vụ, bạn có ủng hộ và tuân thủ chính sách mới hiện nay? - HUMAN-OUT1]]</f>
        <v>7</v>
      </c>
      <c r="BH404">
        <f t="shared" si="187"/>
        <v>0.66666666666666663</v>
      </c>
      <c r="BI404" s="32">
        <f t="shared" si="188"/>
        <v>2</v>
      </c>
    </row>
    <row r="405" spans="1:61" x14ac:dyDescent="0.45">
      <c r="BC405" s="7">
        <f>AVERAGE(BC2:BC404)</f>
        <v>0.75771987868762158</v>
      </c>
      <c r="BD405" s="7">
        <f>AVERAGE(BD2:BD404)</f>
        <v>0.62937689550592735</v>
      </c>
      <c r="BF405" s="7">
        <f>AVERAGE(BF2:BF404)</f>
        <v>0.86131789357596089</v>
      </c>
      <c r="BH405" s="7">
        <f>AVERAGE(BH2:BH404)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8DB1-5F17-452B-AEDD-450A18DE9DDB}">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5</v>
      </c>
      <c r="C2" s="4">
        <f>COUNTIFS(step3_combined_data!$R$2:$R$404,"Neutral", step3_combined_data!$K$2:$K$404,"Chính thức")</f>
        <v>246</v>
      </c>
      <c r="D2" s="4">
        <f>COUNTIFS(step3_combined_data!$R$2:$R$404,"Support", step3_combined_data!$K$2:$K$404,"Chính thức")</f>
        <v>126</v>
      </c>
      <c r="E2" s="4">
        <f>SUM(B2:D2)</f>
        <v>377</v>
      </c>
      <c r="G2" s="4" t="s">
        <v>76</v>
      </c>
      <c r="H2" s="42">
        <f>B2/E2</f>
        <v>1.3262599469496022E-2</v>
      </c>
      <c r="I2" s="42">
        <f>C2/E2</f>
        <v>0.65251989389920428</v>
      </c>
      <c r="J2" s="42">
        <f>D2/E2</f>
        <v>0.33421750663129973</v>
      </c>
    </row>
    <row r="3" spans="1:10" x14ac:dyDescent="0.45">
      <c r="A3" s="4" t="s">
        <v>162</v>
      </c>
      <c r="B3" s="4">
        <f>COUNTIFS(step3_combined_data!$R$2:$R$404,"Oppose", step3_combined_data!$K$2:$K$404,"Phi chính thức")</f>
        <v>1</v>
      </c>
      <c r="C3" s="4">
        <f>COUNTIFS(step3_combined_data!$R$2:$R$404,"Neutral", step3_combined_data!$K$2:$K$404,"Phi chính thức")</f>
        <v>20</v>
      </c>
      <c r="D3" s="4">
        <f>COUNTIFS(step3_combined_data!$R$2:$R$404,"Support", step3_combined_data!$K$2:$K$404,"Phi chính thức")</f>
        <v>5</v>
      </c>
      <c r="E3" s="4">
        <f>SUM(B3:D3)</f>
        <v>26</v>
      </c>
      <c r="G3" s="4" t="s">
        <v>162</v>
      </c>
      <c r="H3" s="42">
        <f>B3/E3</f>
        <v>3.8461538461538464E-2</v>
      </c>
      <c r="I3" s="42">
        <f>C3/E3</f>
        <v>0.76923076923076927</v>
      </c>
      <c r="J3" s="42">
        <f>D3/E3</f>
        <v>0.19230769230769232</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4</v>
      </c>
      <c r="C6" s="4">
        <f>COUNTIFS(step3_combined_data!$W$2:$W$404,"Neutral", step3_combined_data!$K$2:$K$404,"Chính thức")</f>
        <v>194</v>
      </c>
      <c r="D6" s="4">
        <f>COUNTIFS(step3_combined_data!$W$2:$W$404,"Support", step3_combined_data!$K$2:$K$404,"Chính thức")</f>
        <v>179</v>
      </c>
      <c r="E6" s="4">
        <f>SUM(B6:D6)</f>
        <v>377</v>
      </c>
      <c r="G6" s="4" t="s">
        <v>76</v>
      </c>
      <c r="H6" s="42">
        <f>B6/E6</f>
        <v>1.0610079575596816E-2</v>
      </c>
      <c r="I6" s="42">
        <f>C6/E6</f>
        <v>0.51458885941644561</v>
      </c>
      <c r="J6" s="42">
        <f>D6/E6</f>
        <v>0.47480106100795755</v>
      </c>
    </row>
    <row r="7" spans="1:10" x14ac:dyDescent="0.45">
      <c r="A7" s="4" t="s">
        <v>162</v>
      </c>
      <c r="B7" s="4">
        <f>COUNTIFS(step3_combined_data!$W$2:$W$404,"Oppose", step3_combined_data!$K$2:$K$404,"Phi chính thức")</f>
        <v>1</v>
      </c>
      <c r="C7" s="4">
        <f>COUNTIFS(step3_combined_data!$W$2:$W$404,"Neutral", step3_combined_data!$K$2:$K$404,"Phi chính thức")</f>
        <v>20</v>
      </c>
      <c r="D7" s="4">
        <f>COUNTIFS(step3_combined_data!$W$2:$W$404,"Support", step3_combined_data!$K$2:$K$404,"Phi chính thức")</f>
        <v>5</v>
      </c>
      <c r="E7" s="4">
        <f>SUM(B7:D7)</f>
        <v>26</v>
      </c>
      <c r="G7" s="4" t="s">
        <v>162</v>
      </c>
      <c r="H7" s="42">
        <f>B7/E7</f>
        <v>3.8461538461538464E-2</v>
      </c>
      <c r="I7" s="42">
        <f>C7/E7</f>
        <v>0.76923076923076927</v>
      </c>
      <c r="J7" s="42">
        <f>D7/E7</f>
        <v>0.19230769230769232</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0</v>
      </c>
      <c r="C10" s="4">
        <f>COUNTIFS(step3_combined_data!$AB$2:$AB$404,"Neutral", step3_combined_data!$K$2:$K$404,"Chính thức")</f>
        <v>68</v>
      </c>
      <c r="D10" s="4">
        <f>COUNTIFS(step3_combined_data!$AB$2:$AB$404,"Support", step3_combined_data!$K$2:$K$404,"Chính thức")</f>
        <v>309</v>
      </c>
      <c r="E10" s="4">
        <f>SUM(B10:D10)</f>
        <v>377</v>
      </c>
      <c r="G10" s="4" t="s">
        <v>76</v>
      </c>
      <c r="H10" s="42">
        <f>B10/E10</f>
        <v>0</v>
      </c>
      <c r="I10" s="42">
        <f>C10/E10</f>
        <v>0.18037135278514588</v>
      </c>
      <c r="J10" s="42">
        <f>D10/E10</f>
        <v>0.81962864721485407</v>
      </c>
    </row>
    <row r="11" spans="1:10" x14ac:dyDescent="0.45">
      <c r="A11" s="4" t="s">
        <v>162</v>
      </c>
      <c r="B11" s="4">
        <f>COUNTIFS(step3_combined_data!$AB$2:$AB$404,"Oppose", step3_combined_data!$K$2:$K$404,"Phi chính thức")</f>
        <v>0</v>
      </c>
      <c r="C11" s="4">
        <f>COUNTIFS(step3_combined_data!$AB$2:$AB$404,"Neutral", step3_combined_data!$K$2:$K$404,"Phi chính thức")</f>
        <v>6</v>
      </c>
      <c r="D11" s="4">
        <f>COUNTIFS(step3_combined_data!$AB$2:$AB$404,"Support", step3_combined_data!$K$2:$K$404,"Phi chính thức")</f>
        <v>20</v>
      </c>
      <c r="E11" s="4">
        <f>SUM(B11:D11)</f>
        <v>26</v>
      </c>
      <c r="G11" s="4" t="s">
        <v>162</v>
      </c>
      <c r="H11" s="42">
        <f>B11/E11</f>
        <v>0</v>
      </c>
      <c r="I11" s="42">
        <f>C11/E11</f>
        <v>0.23076923076923078</v>
      </c>
      <c r="J11" s="42">
        <f>D11/E11</f>
        <v>0.76923076923076927</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189</v>
      </c>
      <c r="B14" s="4">
        <f>COUNTIFS(step3_combined_data!$AG$2:$AG$404,"Oppose", step3_combined_data!$E$2:$E$404,"18 - 24")</f>
        <v>0</v>
      </c>
      <c r="C14" s="4">
        <f>COUNTIFS(step3_combined_data!$AG$2:$AG$404,"Neutral", step3_combined_data!$E$2:$E$404,"18 - 24")</f>
        <v>3</v>
      </c>
      <c r="D14" s="4">
        <f>COUNTIFS(step3_combined_data!$AG$2:$AG$404,"Support", step3_combined_data!$E$2:$E$404,"18 - 24")</f>
        <v>52</v>
      </c>
      <c r="E14" s="4">
        <f>SUM(B14:D14)</f>
        <v>55</v>
      </c>
      <c r="G14" s="4" t="s">
        <v>189</v>
      </c>
      <c r="H14" s="43">
        <f t="shared" ref="H14:H19" si="0">B14/E14</f>
        <v>0</v>
      </c>
      <c r="I14" s="43">
        <f t="shared" ref="I14:I19" si="1">C14/E14</f>
        <v>5.4545454545454543E-2</v>
      </c>
      <c r="J14" s="43">
        <f t="shared" ref="J14:J19" si="2">D14/E14</f>
        <v>0.94545454545454544</v>
      </c>
    </row>
    <row r="15" spans="1:10" x14ac:dyDescent="0.45">
      <c r="A15" s="4" t="s">
        <v>81</v>
      </c>
      <c r="B15" s="4">
        <f>COUNTIFS(step3_combined_data!$AG$2:$AG$404,"Oppose", step3_combined_data!$E$2:$E$404,"25 - 29")</f>
        <v>0</v>
      </c>
      <c r="C15" s="4">
        <f>COUNTIFS(step3_combined_data!$AG$2:$AG$404,"Neutral", step3_combined_data!$E$2:$E$404,"25 - 29")</f>
        <v>5</v>
      </c>
      <c r="D15" s="4">
        <f>COUNTIFS(step3_combined_data!$AG$2:$AG$404,"Support", step3_combined_data!$E$2:$E$404,"25 - 29")</f>
        <v>74</v>
      </c>
      <c r="E15" s="4">
        <f t="shared" ref="E15:E19" si="3">SUM(B15:D15)</f>
        <v>79</v>
      </c>
      <c r="G15" s="4" t="s">
        <v>81</v>
      </c>
      <c r="H15" s="43">
        <f t="shared" si="0"/>
        <v>0</v>
      </c>
      <c r="I15" s="43">
        <f t="shared" si="1"/>
        <v>6.3291139240506333E-2</v>
      </c>
      <c r="J15" s="43">
        <f t="shared" si="2"/>
        <v>0.93670886075949367</v>
      </c>
    </row>
    <row r="16" spans="1:10" x14ac:dyDescent="0.45">
      <c r="A16" s="4" t="s">
        <v>73</v>
      </c>
      <c r="B16" s="4">
        <f>COUNTIFS(step3_combined_data!$AG$2:$AG$404,"Oppose", step3_combined_data!$E$2:$E$404,"30 - 39")</f>
        <v>0</v>
      </c>
      <c r="C16" s="4">
        <f>COUNTIFS(step3_combined_data!$AG$2:$AG$404,"Neutral", step3_combined_data!$E$2:$E$404,"30 - 39")</f>
        <v>4</v>
      </c>
      <c r="D16" s="4">
        <f>COUNTIFS(step3_combined_data!$AG$2:$AG$404,"Support", step3_combined_data!$E$2:$E$404,"30 - 39")</f>
        <v>128</v>
      </c>
      <c r="E16" s="4">
        <f t="shared" si="3"/>
        <v>132</v>
      </c>
      <c r="G16" s="4" t="s">
        <v>73</v>
      </c>
      <c r="H16" s="43">
        <f t="shared" si="0"/>
        <v>0</v>
      </c>
      <c r="I16" s="43">
        <f t="shared" si="1"/>
        <v>3.0303030303030304E-2</v>
      </c>
      <c r="J16" s="43">
        <f t="shared" si="2"/>
        <v>0.96969696969696972</v>
      </c>
    </row>
    <row r="17" spans="1:10" x14ac:dyDescent="0.45">
      <c r="A17" s="4" t="s">
        <v>79</v>
      </c>
      <c r="B17" s="4">
        <f>COUNTIFS(step3_combined_data!$AG$2:$AG$404,"Oppose", step3_combined_data!$E$2:$E$404,"40 - 49")</f>
        <v>0</v>
      </c>
      <c r="C17" s="4">
        <f>COUNTIFS(step3_combined_data!$AG$2:$AG$404,"Neutral", step3_combined_data!$E$2:$E$404,"40 - 49")</f>
        <v>3</v>
      </c>
      <c r="D17" s="4">
        <f>COUNTIFS(step3_combined_data!$AG$2:$AG$404,"Support", step3_combined_data!$E$2:$E$404,"40 - 49")</f>
        <v>76</v>
      </c>
      <c r="E17" s="4">
        <f t="shared" si="3"/>
        <v>79</v>
      </c>
      <c r="G17" s="4" t="s">
        <v>79</v>
      </c>
      <c r="H17" s="43">
        <f t="shared" si="0"/>
        <v>0</v>
      </c>
      <c r="I17" s="43">
        <f t="shared" si="1"/>
        <v>3.7974683544303799E-2</v>
      </c>
      <c r="J17" s="43">
        <f t="shared" si="2"/>
        <v>0.96202531645569622</v>
      </c>
    </row>
    <row r="18" spans="1:10" x14ac:dyDescent="0.45">
      <c r="A18" s="4" t="s">
        <v>191</v>
      </c>
      <c r="B18" s="4">
        <f>COUNTIFS(step3_combined_data!$AG$2:$AG$404,"Oppose", step3_combined_data!$E$2:$E$404,"50 - 54")</f>
        <v>0</v>
      </c>
      <c r="C18" s="4">
        <f>COUNTIFS(step3_combined_data!$AG$2:$AG$404,"Neutral", step3_combined_data!$E$2:$E$404,"50 - 54")</f>
        <v>1</v>
      </c>
      <c r="D18" s="4">
        <f>COUNTIFS(step3_combined_data!$AG$2:$AG$404,"Support", step3_combined_data!$E$2:$E$404,"50 - 54")</f>
        <v>30</v>
      </c>
      <c r="E18" s="4">
        <f t="shared" si="3"/>
        <v>31</v>
      </c>
      <c r="G18" s="4" t="s">
        <v>191</v>
      </c>
      <c r="H18" s="43">
        <f t="shared" si="0"/>
        <v>0</v>
      </c>
      <c r="I18" s="43">
        <f t="shared" si="1"/>
        <v>3.2258064516129031E-2</v>
      </c>
      <c r="J18" s="43">
        <f t="shared" si="2"/>
        <v>0.967741935483871</v>
      </c>
    </row>
    <row r="19" spans="1:10" x14ac:dyDescent="0.45">
      <c r="A19" s="4" t="s">
        <v>193</v>
      </c>
      <c r="B19" s="4">
        <f>COUNTIFS(step3_combined_data!$AG$2:$AG$404,"Oppose", step3_combined_data!$E$2:$E$404,"55 - 64")</f>
        <v>0</v>
      </c>
      <c r="C19" s="4">
        <f>COUNTIFS(step3_combined_data!$AG$2:$AG$404,"Neutral", step3_combined_data!$E$2:$E$404,"55 - 64")</f>
        <v>1</v>
      </c>
      <c r="D19" s="4">
        <f>COUNTIFS(step3_combined_data!$AG$2:$AG$404,"Support", step3_combined_data!$E$2:$E$404,"55 - 64")</f>
        <v>26</v>
      </c>
      <c r="E19" s="4">
        <f t="shared" si="3"/>
        <v>27</v>
      </c>
      <c r="G19" s="4" t="s">
        <v>193</v>
      </c>
      <c r="H19" s="43">
        <f t="shared" si="0"/>
        <v>0</v>
      </c>
      <c r="I19" s="43">
        <f t="shared" si="1"/>
        <v>3.7037037037037035E-2</v>
      </c>
      <c r="J19" s="43">
        <f t="shared" si="2"/>
        <v>0.96296296296296291</v>
      </c>
    </row>
    <row r="21" spans="1:10" x14ac:dyDescent="0.45">
      <c r="A21" s="41" t="s">
        <v>17</v>
      </c>
      <c r="B21" s="41" t="s">
        <v>1</v>
      </c>
      <c r="C21" s="41" t="s">
        <v>2</v>
      </c>
      <c r="D21" s="41" t="s">
        <v>3</v>
      </c>
      <c r="E21" s="41">
        <f>SUM(E22:E27)</f>
        <v>402</v>
      </c>
      <c r="G21" s="41" t="s">
        <v>17</v>
      </c>
      <c r="H21" s="41" t="s">
        <v>1</v>
      </c>
      <c r="I21" s="41" t="s">
        <v>2</v>
      </c>
      <c r="J21" s="41" t="s">
        <v>3</v>
      </c>
    </row>
    <row r="22" spans="1:10" x14ac:dyDescent="0.45">
      <c r="A22" s="4" t="s">
        <v>189</v>
      </c>
      <c r="B22" s="4">
        <f>COUNTIFS(step3_combined_data!$AL$2:$AL$404,"Oppose", step3_combined_data!$E$2:$E$404,"18 - 24")</f>
        <v>1</v>
      </c>
      <c r="C22" s="4">
        <f>COUNTIFS(step3_combined_data!$AL$2:$AL$404,"Neutral", step3_combined_data!$E$2:$E$404,"18 - 24")</f>
        <v>17</v>
      </c>
      <c r="D22" s="4">
        <f>COUNTIFS(step3_combined_data!$AL$2:$AL$404,"Support", step3_combined_data!$E$2:$E$404,"18 - 24")</f>
        <v>36</v>
      </c>
      <c r="E22" s="4">
        <f>SUM(B22:D22)</f>
        <v>54</v>
      </c>
      <c r="G22" s="4" t="s">
        <v>189</v>
      </c>
      <c r="H22" s="43">
        <f t="shared" ref="H22:H27" si="4">B22/E22</f>
        <v>1.8518518518518517E-2</v>
      </c>
      <c r="I22" s="43">
        <f t="shared" ref="I22:I27" si="5">C22/E22</f>
        <v>0.31481481481481483</v>
      </c>
      <c r="J22" s="43">
        <f t="shared" ref="J22:J27" si="6">D22/E22</f>
        <v>0.66666666666666663</v>
      </c>
    </row>
    <row r="23" spans="1:10" x14ac:dyDescent="0.45">
      <c r="A23" s="4" t="s">
        <v>81</v>
      </c>
      <c r="B23" s="4">
        <f>COUNTIFS(step3_combined_data!$AL$2:$AL$404,"Oppose", step3_combined_data!$E$2:$E$404,"25 - 29")</f>
        <v>0</v>
      </c>
      <c r="C23" s="4">
        <f>COUNTIFS(step3_combined_data!$AL$2:$AL$404,"Neutral", step3_combined_data!$E$2:$E$404,"25 - 29")</f>
        <v>38</v>
      </c>
      <c r="D23" s="4">
        <f>COUNTIFS(step3_combined_data!$AL$2:$AL$404,"Support", step3_combined_data!$E$2:$E$404,"25 - 29")</f>
        <v>41</v>
      </c>
      <c r="E23" s="4">
        <f t="shared" ref="E23:E27" si="7">SUM(B23:D23)</f>
        <v>79</v>
      </c>
      <c r="G23" s="4" t="s">
        <v>81</v>
      </c>
      <c r="H23" s="43">
        <f t="shared" si="4"/>
        <v>0</v>
      </c>
      <c r="I23" s="43">
        <f t="shared" si="5"/>
        <v>0.48101265822784811</v>
      </c>
      <c r="J23" s="43">
        <f t="shared" si="6"/>
        <v>0.51898734177215189</v>
      </c>
    </row>
    <row r="24" spans="1:10" x14ac:dyDescent="0.45">
      <c r="A24" s="4" t="s">
        <v>73</v>
      </c>
      <c r="B24" s="4">
        <f>COUNTIFS(step3_combined_data!$AL$2:$AL$404,"Oppose", step3_combined_data!$E$2:$E$404,"30 - 39")</f>
        <v>0</v>
      </c>
      <c r="C24" s="4">
        <f>COUNTIFS(step3_combined_data!$AL$2:$AL$404,"Neutral", step3_combined_data!$E$2:$E$404,"30 - 39")</f>
        <v>53</v>
      </c>
      <c r="D24" s="4">
        <f>COUNTIFS(step3_combined_data!$AL$2:$AL$404,"Support", step3_combined_data!$E$2:$E$404,"30 - 39")</f>
        <v>79</v>
      </c>
      <c r="E24" s="4">
        <f t="shared" si="7"/>
        <v>132</v>
      </c>
      <c r="G24" s="4" t="s">
        <v>73</v>
      </c>
      <c r="H24" s="43">
        <f t="shared" si="4"/>
        <v>0</v>
      </c>
      <c r="I24" s="43">
        <f t="shared" si="5"/>
        <v>0.40151515151515149</v>
      </c>
      <c r="J24" s="43">
        <f t="shared" si="6"/>
        <v>0.59848484848484851</v>
      </c>
    </row>
    <row r="25" spans="1:10" x14ac:dyDescent="0.45">
      <c r="A25" s="4" t="s">
        <v>79</v>
      </c>
      <c r="B25" s="4">
        <f>COUNTIFS(step3_combined_data!$AL$2:$AL$404,"Oppose", step3_combined_data!$E$2:$E$404,"40 - 49")</f>
        <v>0</v>
      </c>
      <c r="C25" s="4">
        <f>COUNTIFS(step3_combined_data!$AL$2:$AL$404,"Neutral", step3_combined_data!$E$2:$E$404,"40 - 49")</f>
        <v>37</v>
      </c>
      <c r="D25" s="4">
        <f>COUNTIFS(step3_combined_data!$AL$2:$AL$404,"Support", step3_combined_data!$E$2:$E$404,"40 - 49")</f>
        <v>42</v>
      </c>
      <c r="E25" s="4">
        <f t="shared" si="7"/>
        <v>79</v>
      </c>
      <c r="G25" s="4" t="s">
        <v>79</v>
      </c>
      <c r="H25" s="43">
        <f t="shared" si="4"/>
        <v>0</v>
      </c>
      <c r="I25" s="43">
        <f t="shared" si="5"/>
        <v>0.46835443037974683</v>
      </c>
      <c r="J25" s="43">
        <f t="shared" si="6"/>
        <v>0.53164556962025311</v>
      </c>
    </row>
    <row r="26" spans="1:10" x14ac:dyDescent="0.45">
      <c r="A26" s="4" t="s">
        <v>191</v>
      </c>
      <c r="B26" s="4">
        <f>COUNTIFS(step3_combined_data!$AL$2:$AL$404,"Oppose", step3_combined_data!$E$2:$E$404,"50 - 54")</f>
        <v>0</v>
      </c>
      <c r="C26" s="4">
        <f>COUNTIFS(step3_combined_data!$AL$2:$AL$404,"Neutral", step3_combined_data!$E$2:$E$404,"50 - 54")</f>
        <v>14</v>
      </c>
      <c r="D26" s="4">
        <f>COUNTIFS(step3_combined_data!$AL$2:$AL$404,"Support", step3_combined_data!$E$2:$E$404,"50 - 54")</f>
        <v>17</v>
      </c>
      <c r="E26" s="4">
        <f t="shared" si="7"/>
        <v>31</v>
      </c>
      <c r="G26" s="4" t="s">
        <v>191</v>
      </c>
      <c r="H26" s="43">
        <f t="shared" si="4"/>
        <v>0</v>
      </c>
      <c r="I26" s="43">
        <f t="shared" si="5"/>
        <v>0.45161290322580644</v>
      </c>
      <c r="J26" s="43">
        <f t="shared" si="6"/>
        <v>0.54838709677419351</v>
      </c>
    </row>
    <row r="27" spans="1:10" x14ac:dyDescent="0.45">
      <c r="A27" s="4" t="s">
        <v>193</v>
      </c>
      <c r="B27" s="4">
        <f>COUNTIFS(step3_combined_data!$AL$2:$AL$404,"Oppose", step3_combined_data!$E$2:$E$404,"55 - 64")</f>
        <v>0</v>
      </c>
      <c r="C27" s="4">
        <f>COUNTIFS(step3_combined_data!$AL$2:$AL$404,"Neutral", step3_combined_data!$E$2:$E$404,"55 - 64")</f>
        <v>17</v>
      </c>
      <c r="D27" s="4">
        <f>COUNTIFS(step3_combined_data!$AL$2:$AL$404,"Support", step3_combined_data!$E$2:$E$404,"55 - 64")</f>
        <v>10</v>
      </c>
      <c r="E27" s="4">
        <f t="shared" si="7"/>
        <v>27</v>
      </c>
      <c r="G27" s="4" t="s">
        <v>193</v>
      </c>
      <c r="H27" s="43">
        <f t="shared" si="4"/>
        <v>0</v>
      </c>
      <c r="I27" s="43">
        <f t="shared" si="5"/>
        <v>0.62962962962962965</v>
      </c>
      <c r="J27" s="43">
        <f t="shared" si="6"/>
        <v>0.37037037037037035</v>
      </c>
    </row>
    <row r="29" spans="1:10" x14ac:dyDescent="0.45">
      <c r="A29" s="41" t="s">
        <v>18</v>
      </c>
      <c r="B29" s="41" t="s">
        <v>1</v>
      </c>
      <c r="C29" s="41" t="s">
        <v>2</v>
      </c>
      <c r="D29" s="41" t="s">
        <v>3</v>
      </c>
      <c r="E29" s="41">
        <f>SUM(E30:E35)</f>
        <v>402</v>
      </c>
      <c r="G29" s="41" t="s">
        <v>18</v>
      </c>
      <c r="H29" s="41" t="s">
        <v>1</v>
      </c>
      <c r="I29" s="41" t="s">
        <v>2</v>
      </c>
      <c r="J29" s="41" t="s">
        <v>3</v>
      </c>
    </row>
    <row r="30" spans="1:10" x14ac:dyDescent="0.45">
      <c r="A30" s="4" t="s">
        <v>189</v>
      </c>
      <c r="B30" s="4">
        <f>COUNTIFS(step3_combined_data!$AQ$2:$AQ$404,"Oppose", step3_combined_data!$E$2:$E$404,"18 - 24")</f>
        <v>0</v>
      </c>
      <c r="C30" s="4">
        <f>COUNTIFS(step3_combined_data!$AQ$2:$AQ$404,"Neutral", step3_combined_data!$E$2:$E$404,"18 - 24")</f>
        <v>4</v>
      </c>
      <c r="D30" s="4">
        <f>COUNTIFS(step3_combined_data!$AQ$2:$AQ$404,"Support", step3_combined_data!$E$2:$E$404,"18 - 24")</f>
        <v>50</v>
      </c>
      <c r="E30" s="4">
        <f>SUM(B30:D30)</f>
        <v>54</v>
      </c>
      <c r="G30" s="4" t="s">
        <v>189</v>
      </c>
      <c r="H30" s="43">
        <f t="shared" ref="H30:H35" si="8">B30/E30</f>
        <v>0</v>
      </c>
      <c r="I30" s="43">
        <f t="shared" ref="I30:I35" si="9">C30/E30</f>
        <v>7.407407407407407E-2</v>
      </c>
      <c r="J30" s="43">
        <f t="shared" ref="J30:J35" si="10">D30/E30</f>
        <v>0.92592592592592593</v>
      </c>
    </row>
    <row r="31" spans="1:10" x14ac:dyDescent="0.45">
      <c r="A31" s="4" t="s">
        <v>81</v>
      </c>
      <c r="B31" s="4">
        <f>COUNTIFS(step3_combined_data!$AQ$2:$AQ$404,"Oppose", step3_combined_data!$E$2:$E$404,"25 - 29")</f>
        <v>0</v>
      </c>
      <c r="C31" s="4">
        <f>COUNTIFS(step3_combined_data!$AQ$2:$AQ$404,"Neutral", step3_combined_data!$E$2:$E$404,"25 - 29")</f>
        <v>1</v>
      </c>
      <c r="D31" s="4">
        <f>COUNTIFS(step3_combined_data!$AQ$2:$AQ$404,"Support", step3_combined_data!$E$2:$E$404,"25 - 29")</f>
        <v>78</v>
      </c>
      <c r="E31" s="4">
        <f t="shared" ref="E31:E35" si="11">SUM(B31:D31)</f>
        <v>79</v>
      </c>
      <c r="G31" s="4" t="s">
        <v>81</v>
      </c>
      <c r="H31" s="43">
        <f t="shared" si="8"/>
        <v>0</v>
      </c>
      <c r="I31" s="43">
        <f t="shared" si="9"/>
        <v>1.2658227848101266E-2</v>
      </c>
      <c r="J31" s="43">
        <f t="shared" si="10"/>
        <v>0.98734177215189878</v>
      </c>
    </row>
    <row r="32" spans="1:10" x14ac:dyDescent="0.45">
      <c r="A32" s="4" t="s">
        <v>73</v>
      </c>
      <c r="B32" s="4">
        <f>COUNTIFS(step3_combined_data!$AQ$2:$AQ$404,"Oppose", step3_combined_data!$E$2:$E$404,"30 - 39")</f>
        <v>0</v>
      </c>
      <c r="C32" s="4">
        <f>COUNTIFS(step3_combined_data!$AQ$2:$AQ$404,"Neutral", step3_combined_data!$E$2:$E$404,"30 - 39")</f>
        <v>5</v>
      </c>
      <c r="D32" s="4">
        <f>COUNTIFS(step3_combined_data!$AQ$2:$AQ$404,"Support", step3_combined_data!$E$2:$E$404,"30 - 39")</f>
        <v>127</v>
      </c>
      <c r="E32" s="4">
        <f t="shared" si="11"/>
        <v>132</v>
      </c>
      <c r="G32" s="4" t="s">
        <v>73</v>
      </c>
      <c r="H32" s="43">
        <f t="shared" si="8"/>
        <v>0</v>
      </c>
      <c r="I32" s="43">
        <f t="shared" si="9"/>
        <v>3.787878787878788E-2</v>
      </c>
      <c r="J32" s="43">
        <f t="shared" si="10"/>
        <v>0.96212121212121215</v>
      </c>
    </row>
    <row r="33" spans="1:10" x14ac:dyDescent="0.45">
      <c r="A33" s="4" t="s">
        <v>79</v>
      </c>
      <c r="B33" s="4">
        <f>COUNTIFS(step3_combined_data!$AQ$2:$AQ$404,"Oppose", step3_combined_data!$E$2:$E$404,"40 - 49")</f>
        <v>0</v>
      </c>
      <c r="C33" s="4">
        <f>COUNTIFS(step3_combined_data!$AQ$2:$AQ$404,"Neutral", step3_combined_data!$E$2:$E$404,"40 - 49")</f>
        <v>5</v>
      </c>
      <c r="D33" s="4">
        <f>COUNTIFS(step3_combined_data!$AQ$2:$AQ$404,"Support", step3_combined_data!$E$2:$E$404,"40 - 49")</f>
        <v>74</v>
      </c>
      <c r="E33" s="4">
        <f t="shared" si="11"/>
        <v>79</v>
      </c>
      <c r="G33" s="4" t="s">
        <v>79</v>
      </c>
      <c r="H33" s="43">
        <f t="shared" si="8"/>
        <v>0</v>
      </c>
      <c r="I33" s="43">
        <f t="shared" si="9"/>
        <v>6.3291139240506333E-2</v>
      </c>
      <c r="J33" s="43">
        <f t="shared" si="10"/>
        <v>0.93670886075949367</v>
      </c>
    </row>
    <row r="34" spans="1:10" x14ac:dyDescent="0.45">
      <c r="A34" s="4" t="s">
        <v>191</v>
      </c>
      <c r="B34" s="4">
        <f>COUNTIFS(step3_combined_data!$AQ$2:$AQ$404,"Oppose", step3_combined_data!$E$2:$E$404,"50 - 54")</f>
        <v>0</v>
      </c>
      <c r="C34" s="4">
        <f>COUNTIFS(step3_combined_data!$AQ$2:$AQ$404,"Neutral", step3_combined_data!$E$2:$E$404,"50 - 54")</f>
        <v>2</v>
      </c>
      <c r="D34" s="4">
        <f>COUNTIFS(step3_combined_data!$AQ$2:$AQ$404,"Support", step3_combined_data!$E$2:$E$404,"50 - 54")</f>
        <v>29</v>
      </c>
      <c r="E34" s="4">
        <f t="shared" si="11"/>
        <v>31</v>
      </c>
      <c r="G34" s="4" t="s">
        <v>191</v>
      </c>
      <c r="H34" s="43">
        <f t="shared" si="8"/>
        <v>0</v>
      </c>
      <c r="I34" s="43">
        <f t="shared" si="9"/>
        <v>6.4516129032258063E-2</v>
      </c>
      <c r="J34" s="43">
        <f t="shared" si="10"/>
        <v>0.93548387096774188</v>
      </c>
    </row>
    <row r="35" spans="1:10" x14ac:dyDescent="0.45">
      <c r="A35" s="4" t="s">
        <v>193</v>
      </c>
      <c r="B35" s="4">
        <f>COUNTIFS(step3_combined_data!$AQ$2:$AQ$404,"Oppose", step3_combined_data!$E$2:$E$404,"55 - 64")</f>
        <v>0</v>
      </c>
      <c r="C35" s="4">
        <f>COUNTIFS(step3_combined_data!$AQ$2:$AQ$404,"Neutral", step3_combined_data!$E$2:$E$404,"55 - 64")</f>
        <v>0</v>
      </c>
      <c r="D35" s="4">
        <f>COUNTIFS(step3_combined_data!$AQ$2:$AQ$404,"Support", step3_combined_data!$E$2:$E$404,"55 - 64")</f>
        <v>27</v>
      </c>
      <c r="E35" s="4">
        <f t="shared" si="11"/>
        <v>27</v>
      </c>
      <c r="G35" s="4" t="s">
        <v>193</v>
      </c>
      <c r="H35" s="43">
        <f t="shared" si="8"/>
        <v>0</v>
      </c>
      <c r="I35" s="43">
        <f t="shared" si="9"/>
        <v>0</v>
      </c>
      <c r="J35" s="43">
        <f t="shared" si="10"/>
        <v>1</v>
      </c>
    </row>
    <row r="37" spans="1:10" x14ac:dyDescent="0.45">
      <c r="A37" s="41" t="s">
        <v>19</v>
      </c>
      <c r="B37" s="41" t="s">
        <v>1</v>
      </c>
      <c r="C37" s="41" t="s">
        <v>2</v>
      </c>
      <c r="D37" s="41" t="s">
        <v>3</v>
      </c>
      <c r="E37" s="41">
        <f>SUM(E38:E43)</f>
        <v>402</v>
      </c>
      <c r="G37" s="41" t="s">
        <v>19</v>
      </c>
      <c r="H37" s="41" t="s">
        <v>1</v>
      </c>
      <c r="I37" s="41" t="s">
        <v>2</v>
      </c>
      <c r="J37" s="41" t="s">
        <v>3</v>
      </c>
    </row>
    <row r="38" spans="1:10" x14ac:dyDescent="0.45">
      <c r="A38" s="4" t="s">
        <v>189</v>
      </c>
      <c r="B38" s="4">
        <f>COUNTIFS(step3_combined_data!$AV$2:$AV$404,"Oppose", step3_combined_data!$E$2:$E$404,"18 - 24")</f>
        <v>0</v>
      </c>
      <c r="C38" s="4">
        <f>COUNTIFS(step3_combined_data!$AV$2:$AV$404,"Neutral", step3_combined_data!$E$2:$E$404,"18 - 24")</f>
        <v>15</v>
      </c>
      <c r="D38" s="4">
        <f>COUNTIFS(step3_combined_data!$AV$2:$AV$404,"Support", step3_combined_data!$E$2:$E$404,"18 - 24")</f>
        <v>39</v>
      </c>
      <c r="E38" s="4">
        <f>SUM(B38:D38)</f>
        <v>54</v>
      </c>
      <c r="G38" s="4" t="s">
        <v>189</v>
      </c>
      <c r="H38" s="43">
        <f t="shared" ref="H38:H43" si="12">B38/E38</f>
        <v>0</v>
      </c>
      <c r="I38" s="43">
        <f t="shared" ref="I38:I43" si="13">C38/E38</f>
        <v>0.27777777777777779</v>
      </c>
      <c r="J38" s="43">
        <f t="shared" ref="J38:J43" si="14">D38/E38</f>
        <v>0.72222222222222221</v>
      </c>
    </row>
    <row r="39" spans="1:10" x14ac:dyDescent="0.45">
      <c r="A39" s="4" t="s">
        <v>81</v>
      </c>
      <c r="B39" s="4">
        <f>COUNTIFS(step3_combined_data!$AV$2:$AV$404,"Oppose", step3_combined_data!$E$2:$E$404,"25 - 29")</f>
        <v>0</v>
      </c>
      <c r="C39" s="4">
        <f>COUNTIFS(step3_combined_data!$AV$2:$AV$404,"Neutral", step3_combined_data!$E$2:$E$404,"25 - 29")</f>
        <v>35</v>
      </c>
      <c r="D39" s="4">
        <f>COUNTIFS(step3_combined_data!$AV$2:$AV$404,"Support", step3_combined_data!$E$2:$E$404,"25 - 29")</f>
        <v>44</v>
      </c>
      <c r="E39" s="4">
        <f t="shared" ref="E39:E43" si="15">SUM(B39:D39)</f>
        <v>79</v>
      </c>
      <c r="G39" s="4" t="s">
        <v>81</v>
      </c>
      <c r="H39" s="43">
        <f t="shared" si="12"/>
        <v>0</v>
      </c>
      <c r="I39" s="43">
        <f t="shared" si="13"/>
        <v>0.44303797468354428</v>
      </c>
      <c r="J39" s="43">
        <f t="shared" si="14"/>
        <v>0.55696202531645567</v>
      </c>
    </row>
    <row r="40" spans="1:10" x14ac:dyDescent="0.45">
      <c r="A40" s="4" t="s">
        <v>73</v>
      </c>
      <c r="B40" s="4">
        <f>COUNTIFS(step3_combined_data!$AV$2:$AV$404,"Oppose", step3_combined_data!$E$2:$E$404,"30 - 39")</f>
        <v>0</v>
      </c>
      <c r="C40" s="4">
        <f>COUNTIFS(step3_combined_data!$AV$2:$AV$404,"Neutral", step3_combined_data!$E$2:$E$404,"30 - 39")</f>
        <v>48</v>
      </c>
      <c r="D40" s="4">
        <f>COUNTIFS(step3_combined_data!$AV$2:$AV$404,"Support", step3_combined_data!$E$2:$E$404,"30 - 39")</f>
        <v>84</v>
      </c>
      <c r="E40" s="4">
        <f t="shared" si="15"/>
        <v>132</v>
      </c>
      <c r="G40" s="4" t="s">
        <v>73</v>
      </c>
      <c r="H40" s="43">
        <f t="shared" si="12"/>
        <v>0</v>
      </c>
      <c r="I40" s="43">
        <f t="shared" si="13"/>
        <v>0.36363636363636365</v>
      </c>
      <c r="J40" s="43">
        <f t="shared" si="14"/>
        <v>0.63636363636363635</v>
      </c>
    </row>
    <row r="41" spans="1:10" x14ac:dyDescent="0.45">
      <c r="A41" s="4" t="s">
        <v>79</v>
      </c>
      <c r="B41" s="4">
        <f>COUNTIFS(step3_combined_data!$AV$2:$AV$404,"Oppose", step3_combined_data!$E$2:$E$404,"40 - 49")</f>
        <v>0</v>
      </c>
      <c r="C41" s="4">
        <f>COUNTIFS(step3_combined_data!$AV$2:$AV$404,"Neutral", step3_combined_data!$E$2:$E$404,"40 - 49")</f>
        <v>37</v>
      </c>
      <c r="D41" s="4">
        <f>COUNTIFS(step3_combined_data!$AV$2:$AV$404,"Support", step3_combined_data!$E$2:$E$404,"40 - 49")</f>
        <v>42</v>
      </c>
      <c r="E41" s="4">
        <f t="shared" si="15"/>
        <v>79</v>
      </c>
      <c r="G41" s="4" t="s">
        <v>79</v>
      </c>
      <c r="H41" s="43">
        <f t="shared" si="12"/>
        <v>0</v>
      </c>
      <c r="I41" s="43">
        <f t="shared" si="13"/>
        <v>0.46835443037974683</v>
      </c>
      <c r="J41" s="43">
        <f t="shared" si="14"/>
        <v>0.53164556962025311</v>
      </c>
    </row>
    <row r="42" spans="1:10" x14ac:dyDescent="0.45">
      <c r="A42" s="4" t="s">
        <v>191</v>
      </c>
      <c r="B42" s="4">
        <f>COUNTIFS(step3_combined_data!$AV$2:$AV$404,"Oppose", step3_combined_data!$E$2:$E$404,"50 - 54")</f>
        <v>0</v>
      </c>
      <c r="C42" s="4">
        <f>COUNTIFS(step3_combined_data!$AV$2:$AV$404,"Neutral", step3_combined_data!$E$2:$E$404,"50 - 54")</f>
        <v>14</v>
      </c>
      <c r="D42" s="4">
        <f>COUNTIFS(step3_combined_data!$AV$2:$AV$404,"Support", step3_combined_data!$E$2:$E$404,"50 - 54")</f>
        <v>17</v>
      </c>
      <c r="E42" s="4">
        <f t="shared" si="15"/>
        <v>31</v>
      </c>
      <c r="G42" s="4" t="s">
        <v>191</v>
      </c>
      <c r="H42" s="43">
        <f t="shared" si="12"/>
        <v>0</v>
      </c>
      <c r="I42" s="43">
        <f t="shared" si="13"/>
        <v>0.45161290322580644</v>
      </c>
      <c r="J42" s="43">
        <f t="shared" si="14"/>
        <v>0.54838709677419351</v>
      </c>
    </row>
    <row r="43" spans="1:10" x14ac:dyDescent="0.45">
      <c r="A43" s="4" t="s">
        <v>193</v>
      </c>
      <c r="B43" s="4">
        <f>COUNTIFS(step3_combined_data!$AV$2:$AV$404,"Oppose", step3_combined_data!$E$2:$E$404,"55 - 64")</f>
        <v>0</v>
      </c>
      <c r="C43" s="4">
        <f>COUNTIFS(step3_combined_data!$AV$2:$AV$404,"Neutral", step3_combined_data!$E$2:$E$404,"55 - 64")</f>
        <v>14</v>
      </c>
      <c r="D43" s="4">
        <f>COUNTIFS(step3_combined_data!$AV$2:$AV$404,"Support", step3_combined_data!$E$2:$E$404,"55 - 64")</f>
        <v>13</v>
      </c>
      <c r="E43" s="4">
        <f t="shared" si="15"/>
        <v>27</v>
      </c>
      <c r="G43" s="4" t="s">
        <v>193</v>
      </c>
      <c r="H43" s="43">
        <f t="shared" si="12"/>
        <v>0</v>
      </c>
      <c r="I43" s="43">
        <f t="shared" si="13"/>
        <v>0.51851851851851849</v>
      </c>
      <c r="J43" s="43">
        <f t="shared" si="14"/>
        <v>0.48148148148148145</v>
      </c>
    </row>
    <row r="45" spans="1:10" x14ac:dyDescent="0.45">
      <c r="A45" s="41" t="s">
        <v>20</v>
      </c>
      <c r="B45" s="41" t="s">
        <v>1</v>
      </c>
      <c r="C45" s="41" t="s">
        <v>2</v>
      </c>
      <c r="D45" s="41" t="s">
        <v>3</v>
      </c>
      <c r="E45" s="41">
        <f>SUM(E46:E51)</f>
        <v>402</v>
      </c>
      <c r="G45" s="41" t="s">
        <v>20</v>
      </c>
      <c r="H45" s="41" t="s">
        <v>1</v>
      </c>
      <c r="I45" s="41" t="s">
        <v>2</v>
      </c>
      <c r="J45" s="41" t="s">
        <v>3</v>
      </c>
    </row>
    <row r="46" spans="1:10" x14ac:dyDescent="0.45">
      <c r="A46" s="4" t="s">
        <v>189</v>
      </c>
      <c r="B46" s="4">
        <f>COUNTIFS(step3_combined_data!$BA$2:$BA$404,"Oppose", step3_combined_data!$E$2:$E$404,"18 - 24")</f>
        <v>0</v>
      </c>
      <c r="C46" s="4">
        <f>COUNTIFS(step3_combined_data!$BA$2:$BA$404,"Neutral", step3_combined_data!$E$2:$E$404,"18 - 24")</f>
        <v>20</v>
      </c>
      <c r="D46" s="4">
        <f>COUNTIFS(step3_combined_data!$BA$2:$BA$404,"Support", step3_combined_data!$E$2:$E$404,"18 - 24")</f>
        <v>34</v>
      </c>
      <c r="E46" s="4">
        <f>SUM(B46:D46)</f>
        <v>54</v>
      </c>
      <c r="G46" s="4" t="s">
        <v>189</v>
      </c>
      <c r="H46" s="43">
        <f t="shared" ref="H46:H51" si="16">B46/E46</f>
        <v>0</v>
      </c>
      <c r="I46" s="43">
        <f t="shared" ref="I46:I51" si="17">C46/E46</f>
        <v>0.37037037037037035</v>
      </c>
      <c r="J46" s="43">
        <f t="shared" ref="J46:J51" si="18">D46/E46</f>
        <v>0.62962962962962965</v>
      </c>
    </row>
    <row r="47" spans="1:10" x14ac:dyDescent="0.45">
      <c r="A47" s="4" t="s">
        <v>81</v>
      </c>
      <c r="B47" s="4">
        <f>COUNTIFS(step3_combined_data!$BA$2:$BA$404,"Oppose", step3_combined_data!$E$2:$E$404,"25 - 29")</f>
        <v>0</v>
      </c>
      <c r="C47" s="4">
        <f>COUNTIFS(step3_combined_data!$BA$2:$BA$404,"Neutral", step3_combined_data!$E$2:$E$404,"25 - 29")</f>
        <v>38</v>
      </c>
      <c r="D47" s="4">
        <f>COUNTIFS(step3_combined_data!$BA$2:$BA$404,"Support", step3_combined_data!$E$2:$E$404,"25 - 29")</f>
        <v>41</v>
      </c>
      <c r="E47" s="4">
        <f t="shared" ref="E47:E51" si="19">SUM(B47:D47)</f>
        <v>79</v>
      </c>
      <c r="G47" s="4" t="s">
        <v>81</v>
      </c>
      <c r="H47" s="43">
        <f t="shared" si="16"/>
        <v>0</v>
      </c>
      <c r="I47" s="43">
        <f t="shared" si="17"/>
        <v>0.48101265822784811</v>
      </c>
      <c r="J47" s="43">
        <f t="shared" si="18"/>
        <v>0.51898734177215189</v>
      </c>
    </row>
    <row r="48" spans="1:10" x14ac:dyDescent="0.45">
      <c r="A48" s="4" t="s">
        <v>73</v>
      </c>
      <c r="B48" s="4">
        <f>COUNTIFS(step3_combined_data!$BA$2:$BA$404,"Oppose", step3_combined_data!$E$2:$E$404,"30 - 39")</f>
        <v>0</v>
      </c>
      <c r="C48" s="4">
        <f>COUNTIFS(step3_combined_data!$BA$2:$BA$404,"Neutral", step3_combined_data!$E$2:$E$404,"30 - 39")</f>
        <v>59</v>
      </c>
      <c r="D48" s="4">
        <f>COUNTIFS(step3_combined_data!$BA$2:$BA$404,"Support", step3_combined_data!$E$2:$E$404,"30 - 39")</f>
        <v>73</v>
      </c>
      <c r="E48" s="4">
        <f t="shared" si="19"/>
        <v>132</v>
      </c>
      <c r="G48" s="4" t="s">
        <v>73</v>
      </c>
      <c r="H48" s="43">
        <f t="shared" si="16"/>
        <v>0</v>
      </c>
      <c r="I48" s="43">
        <f t="shared" si="17"/>
        <v>0.44696969696969696</v>
      </c>
      <c r="J48" s="43">
        <f t="shared" si="18"/>
        <v>0.55303030303030298</v>
      </c>
    </row>
    <row r="49" spans="1:10" x14ac:dyDescent="0.45">
      <c r="A49" s="4" t="s">
        <v>79</v>
      </c>
      <c r="B49" s="4">
        <f>COUNTIFS(step3_combined_data!$BA$2:$BA$404,"Oppose", step3_combined_data!$E$2:$E$404,"40 - 49")</f>
        <v>0</v>
      </c>
      <c r="C49" s="4">
        <f>COUNTIFS(step3_combined_data!$BA$2:$BA$404,"Neutral", step3_combined_data!$E$2:$E$404,"40 - 49")</f>
        <v>41</v>
      </c>
      <c r="D49" s="4">
        <f>COUNTIFS(step3_combined_data!$BA$2:$BA$404,"Support", step3_combined_data!$E$2:$E$404,"40 - 49")</f>
        <v>38</v>
      </c>
      <c r="E49" s="4">
        <f t="shared" si="19"/>
        <v>79</v>
      </c>
      <c r="G49" s="4" t="s">
        <v>79</v>
      </c>
      <c r="H49" s="43">
        <f t="shared" si="16"/>
        <v>0</v>
      </c>
      <c r="I49" s="43">
        <f t="shared" si="17"/>
        <v>0.51898734177215189</v>
      </c>
      <c r="J49" s="43">
        <f t="shared" si="18"/>
        <v>0.48101265822784811</v>
      </c>
    </row>
    <row r="50" spans="1:10" x14ac:dyDescent="0.45">
      <c r="A50" s="4" t="s">
        <v>191</v>
      </c>
      <c r="B50" s="4">
        <f>COUNTIFS(step3_combined_data!$BA$2:$BA$404,"Oppose", step3_combined_data!$E$2:$E$404,"50 - 54")</f>
        <v>0</v>
      </c>
      <c r="C50" s="4">
        <f>COUNTIFS(step3_combined_data!$BA$2:$BA$404,"Neutral", step3_combined_data!$E$2:$E$404,"50 - 54")</f>
        <v>15</v>
      </c>
      <c r="D50" s="4">
        <f>COUNTIFS(step3_combined_data!$BA$2:$BA$404,"Support", step3_combined_data!$E$2:$E$404,"50 - 54")</f>
        <v>16</v>
      </c>
      <c r="E50" s="4">
        <f t="shared" si="19"/>
        <v>31</v>
      </c>
      <c r="G50" s="4" t="s">
        <v>191</v>
      </c>
      <c r="H50" s="43">
        <f t="shared" si="16"/>
        <v>0</v>
      </c>
      <c r="I50" s="43">
        <f t="shared" si="17"/>
        <v>0.4838709677419355</v>
      </c>
      <c r="J50" s="43">
        <f t="shared" si="18"/>
        <v>0.5161290322580645</v>
      </c>
    </row>
    <row r="51" spans="1:10" x14ac:dyDescent="0.45">
      <c r="A51" s="4" t="s">
        <v>193</v>
      </c>
      <c r="B51" s="4">
        <f>COUNTIFS(step3_combined_data!$BA$2:$BA$404,"Oppose", step3_combined_data!$E$2:$E$404,"55 - 64")</f>
        <v>0</v>
      </c>
      <c r="C51" s="4">
        <f>COUNTIFS(step3_combined_data!$BA$2:$BA$404,"Neutral", step3_combined_data!$E$2:$E$404,"55 - 64")</f>
        <v>15</v>
      </c>
      <c r="D51" s="4">
        <f>COUNTIFS(step3_combined_data!$BA$2:$BA$404,"Support", step3_combined_data!$E$2:$E$404,"55 - 64")</f>
        <v>12</v>
      </c>
      <c r="E51" s="4">
        <f t="shared" si="19"/>
        <v>27</v>
      </c>
      <c r="G51" s="4" t="s">
        <v>193</v>
      </c>
      <c r="H51" s="43">
        <f t="shared" si="16"/>
        <v>0</v>
      </c>
      <c r="I51" s="43">
        <f t="shared" si="17"/>
        <v>0.55555555555555558</v>
      </c>
      <c r="J51" s="43">
        <f t="shared" si="18"/>
        <v>0.44444444444444442</v>
      </c>
    </row>
    <row r="53" spans="1:10" x14ac:dyDescent="0.45">
      <c r="A53" s="41" t="s">
        <v>18</v>
      </c>
      <c r="B53" s="41" t="s">
        <v>1</v>
      </c>
      <c r="C53" s="41" t="s">
        <v>2</v>
      </c>
      <c r="D53" s="41" t="s">
        <v>3</v>
      </c>
      <c r="E53" s="41">
        <f>SUM(E54:E61)</f>
        <v>402</v>
      </c>
      <c r="G53" s="41" t="s">
        <v>18</v>
      </c>
      <c r="H53" s="41" t="s">
        <v>1</v>
      </c>
      <c r="I53" s="41" t="s">
        <v>2</v>
      </c>
      <c r="J53" s="41" t="s">
        <v>3</v>
      </c>
    </row>
    <row r="54" spans="1:10" x14ac:dyDescent="0.45">
      <c r="A54" s="4" t="s">
        <v>194</v>
      </c>
      <c r="B54" s="4">
        <f>COUNTIFS(step3_combined_data!$AQ$2:$AQ$404,"Oppose", step3_combined_data!$N$2:$N$404,"Dưới 12 triệu VNĐ")</f>
        <v>0</v>
      </c>
      <c r="C54" s="4">
        <f>COUNTIFS(step3_combined_data!$AQ$2:$AQ$404,"Neutral", step3_combined_data!$N$2:$N$404,"Dưới 12 triệu VNĐ")</f>
        <v>2</v>
      </c>
      <c r="D54" s="4">
        <f>COUNTIFS(step3_combined_data!$AQ$2:$AQ$404,"Support", step3_combined_data!$N$2:$N$404,"Dưới 12 triệu VNĐ")</f>
        <v>39</v>
      </c>
      <c r="E54" s="4">
        <f>SUM(B54:D54)</f>
        <v>41</v>
      </c>
      <c r="G54" s="4" t="s">
        <v>194</v>
      </c>
      <c r="H54" s="43">
        <f t="shared" ref="H54:H61" si="20">B54/E54</f>
        <v>0</v>
      </c>
      <c r="I54" s="43">
        <f t="shared" ref="I54:I61" si="21">C54/E54</f>
        <v>4.878048780487805E-2</v>
      </c>
      <c r="J54" s="43">
        <f t="shared" ref="J54:J61" si="22">D54/E54</f>
        <v>0.95121951219512191</v>
      </c>
    </row>
    <row r="55" spans="1:10" x14ac:dyDescent="0.45">
      <c r="A55" s="4" t="s">
        <v>104</v>
      </c>
      <c r="B55" s="4">
        <f>COUNTIFS(step3_combined_data!$AQ$2:$AQ$404,"Oppose", step3_combined_data!$N$2:$N$404,"Từ 12 - 18 triệu VNĐ")</f>
        <v>0</v>
      </c>
      <c r="C55" s="4">
        <f>COUNTIFS(step3_combined_data!$AQ$2:$AQ$404,"Neutral", step3_combined_data!$N$2:$N$404,"Từ 12 - 18 triệu VNĐ")</f>
        <v>2</v>
      </c>
      <c r="D55" s="4">
        <f>COUNTIFS(step3_combined_data!$AQ$2:$AQ$404,"Support", step3_combined_data!$N$2:$N$404,"Từ 12 - 18 triệu VNĐ")</f>
        <v>77</v>
      </c>
      <c r="E55" s="4">
        <f t="shared" ref="E55:E61" si="23">SUM(B55:D55)</f>
        <v>79</v>
      </c>
      <c r="G55" s="4" t="s">
        <v>104</v>
      </c>
      <c r="H55" s="43">
        <f t="shared" si="20"/>
        <v>0</v>
      </c>
      <c r="I55" s="43">
        <f t="shared" si="21"/>
        <v>2.5316455696202531E-2</v>
      </c>
      <c r="J55" s="43">
        <f t="shared" si="22"/>
        <v>0.97468354430379744</v>
      </c>
    </row>
    <row r="56" spans="1:10" x14ac:dyDescent="0.45">
      <c r="A56" s="4" t="s">
        <v>196</v>
      </c>
      <c r="B56" s="4">
        <f>COUNTIFS(step3_combined_data!$AQ$2:$AQ$404,"Oppose", step3_combined_data!$N$2:$N$404,"Từ 18 - 23 triệu VNĐ")</f>
        <v>0</v>
      </c>
      <c r="C56" s="4">
        <f>COUNTIFS(step3_combined_data!$AQ$2:$AQ$404,"Neutral", step3_combined_data!$N$2:$N$404,"Từ 18 - 23 triệu VNĐ")</f>
        <v>1</v>
      </c>
      <c r="D56" s="4">
        <f>COUNTIFS(step3_combined_data!$AQ$2:$AQ$404,"Support", step3_combined_data!$N$2:$N$404,"Từ 18 - 23 triệu VNĐ")</f>
        <v>39</v>
      </c>
      <c r="E56" s="4">
        <f t="shared" si="23"/>
        <v>40</v>
      </c>
      <c r="G56" s="4" t="s">
        <v>196</v>
      </c>
      <c r="H56" s="43">
        <f t="shared" si="20"/>
        <v>0</v>
      </c>
      <c r="I56" s="43">
        <f t="shared" si="21"/>
        <v>2.5000000000000001E-2</v>
      </c>
      <c r="J56" s="43">
        <f t="shared" si="22"/>
        <v>0.97499999999999998</v>
      </c>
    </row>
    <row r="57" spans="1:10" x14ac:dyDescent="0.45">
      <c r="A57" s="4" t="s">
        <v>101</v>
      </c>
      <c r="B57" s="4">
        <f>COUNTIFS(step3_combined_data!$AQ$2:$AQ$404,"Oppose", step3_combined_data!$N$2:$N$404,"Từ 23 - 32 triệu VNĐ")</f>
        <v>0</v>
      </c>
      <c r="C57" s="4">
        <f>COUNTIFS(step3_combined_data!$AQ$2:$AQ$404,"Neutral", step3_combined_data!$N$2:$N$404,"Từ 23 - 32 triệu VNĐ")</f>
        <v>2</v>
      </c>
      <c r="D57" s="4">
        <f>COUNTIFS(step3_combined_data!$AQ$2:$AQ$404,"Support", step3_combined_data!$N$2:$N$404,"Từ 23 - 32 triệu VNĐ")</f>
        <v>51</v>
      </c>
      <c r="E57" s="4">
        <f t="shared" si="23"/>
        <v>53</v>
      </c>
      <c r="G57" s="4" t="s">
        <v>101</v>
      </c>
      <c r="H57" s="43">
        <f t="shared" si="20"/>
        <v>0</v>
      </c>
      <c r="I57" s="43">
        <f t="shared" si="21"/>
        <v>3.7735849056603772E-2</v>
      </c>
      <c r="J57" s="43">
        <f t="shared" si="22"/>
        <v>0.96226415094339623</v>
      </c>
    </row>
    <row r="58" spans="1:10" x14ac:dyDescent="0.45">
      <c r="A58" s="4" t="s">
        <v>109</v>
      </c>
      <c r="B58" s="4">
        <f>COUNTIFS(step3_combined_data!$AQ$2:$AQ$404,"Oppose", step3_combined_data!$N$2:$N$404,"Từ 32 - 48 triệu VNĐ")</f>
        <v>0</v>
      </c>
      <c r="C58" s="4">
        <f>COUNTIFS(step3_combined_data!$AQ$2:$AQ$404,"Neutral", step3_combined_data!$N$2:$N$404,"Từ 32 - 48 triệu VNĐ")</f>
        <v>2</v>
      </c>
      <c r="D58" s="4">
        <f>COUNTIFS(step3_combined_data!$AQ$2:$AQ$404,"Support", step3_combined_data!$N$2:$N$404,"Từ 32 - 48 triệu VNĐ")</f>
        <v>51</v>
      </c>
      <c r="E58" s="4">
        <f t="shared" si="23"/>
        <v>53</v>
      </c>
      <c r="G58" s="4" t="s">
        <v>109</v>
      </c>
      <c r="H58" s="43">
        <f t="shared" si="20"/>
        <v>0</v>
      </c>
      <c r="I58" s="43">
        <f t="shared" si="21"/>
        <v>3.7735849056603772E-2</v>
      </c>
      <c r="J58" s="43">
        <f t="shared" si="22"/>
        <v>0.96226415094339623</v>
      </c>
    </row>
    <row r="59" spans="1:10" x14ac:dyDescent="0.45">
      <c r="A59" s="4" t="s">
        <v>111</v>
      </c>
      <c r="B59" s="4">
        <f>COUNTIFS(step3_combined_data!$AQ$2:$AQ$404,"Oppose", step3_combined_data!$N$2:$N$404,"Từ 48 - 70 triệu VNĐĐ")</f>
        <v>0</v>
      </c>
      <c r="C59" s="4">
        <f>COUNTIFS(step3_combined_data!$AQ$2:$AQ$404,"Neutral", step3_combined_data!$N$2:$N$404,"Từ 48 - 70 triệu VNĐ")</f>
        <v>1</v>
      </c>
      <c r="D59" s="4">
        <f>COUNTIFS(step3_combined_data!$AQ$2:$AQ$404,"Support", step3_combined_data!$N$2:$N$404,"Từ 48 - 70 triệu VNĐ")</f>
        <v>61</v>
      </c>
      <c r="E59" s="4">
        <f t="shared" si="23"/>
        <v>62</v>
      </c>
      <c r="G59" s="4" t="s">
        <v>111</v>
      </c>
      <c r="H59" s="43">
        <f t="shared" si="20"/>
        <v>0</v>
      </c>
      <c r="I59" s="43">
        <f t="shared" si="21"/>
        <v>1.6129032258064516E-2</v>
      </c>
      <c r="J59" s="43">
        <f t="shared" si="22"/>
        <v>0.9838709677419355</v>
      </c>
    </row>
    <row r="60" spans="1:10" x14ac:dyDescent="0.45">
      <c r="A60" s="4" t="s">
        <v>107</v>
      </c>
      <c r="B60" s="4">
        <f>COUNTIFS(step3_combined_data!$AQ$2:$AQ$404,"Oppose", step3_combined_data!$N$2:$N$404,"Từ 70 - 102 triệu VNĐ")</f>
        <v>0</v>
      </c>
      <c r="C60" s="4">
        <f>COUNTIFS(step3_combined_data!$AQ$2:$AQ$404,"Neutral", step3_combined_data!$N$2:$N$404,"Từ 70 - 102 triệu VNĐ")</f>
        <v>4</v>
      </c>
      <c r="D60" s="4">
        <f>COUNTIFS(step3_combined_data!$AQ$2:$AQ$404,"Support", step3_combined_data!$N$2:$N$404,"Từ 70 - 102 triệu VNĐ")</f>
        <v>35</v>
      </c>
      <c r="E60" s="4">
        <f t="shared" si="23"/>
        <v>39</v>
      </c>
      <c r="G60" s="4" t="s">
        <v>107</v>
      </c>
      <c r="H60" s="43">
        <f t="shared" si="20"/>
        <v>0</v>
      </c>
      <c r="I60" s="43">
        <f t="shared" si="21"/>
        <v>0.10256410256410256</v>
      </c>
      <c r="J60" s="43">
        <f t="shared" si="22"/>
        <v>0.89743589743589747</v>
      </c>
    </row>
    <row r="61" spans="1:10" x14ac:dyDescent="0.45">
      <c r="A61" s="4" t="s">
        <v>108</v>
      </c>
      <c r="B61" s="4">
        <f>COUNTIFS(step3_combined_data!$AQ$2:$AQ$404,"Oppose", step3_combined_data!$N$2:$N$404,"Trên 102 triệu VNĐ")</f>
        <v>0</v>
      </c>
      <c r="C61" s="4">
        <f>COUNTIFS(step3_combined_data!$AQ$2:$AQ$404,"Neutral", step3_combined_data!$N$2:$N$404,"Trên 102 triệu VNĐ")</f>
        <v>3</v>
      </c>
      <c r="D61" s="4">
        <f>COUNTIFS(step3_combined_data!$AQ$2:$AQ$404,"Support", step3_combined_data!$N$2:$N$404,"Trên 102 triệu VNĐ")</f>
        <v>32</v>
      </c>
      <c r="E61" s="4">
        <f t="shared" si="23"/>
        <v>35</v>
      </c>
      <c r="G61" s="4" t="s">
        <v>108</v>
      </c>
      <c r="H61" s="43">
        <f t="shared" si="20"/>
        <v>0</v>
      </c>
      <c r="I61" s="43">
        <f t="shared" si="21"/>
        <v>8.5714285714285715E-2</v>
      </c>
      <c r="J61" s="43">
        <f t="shared" si="22"/>
        <v>0.91428571428571426</v>
      </c>
    </row>
    <row r="63" spans="1:10" x14ac:dyDescent="0.45">
      <c r="A63" s="41" t="s">
        <v>19</v>
      </c>
      <c r="B63" s="41" t="s">
        <v>1</v>
      </c>
      <c r="C63" s="41" t="s">
        <v>2</v>
      </c>
      <c r="D63" s="41" t="s">
        <v>3</v>
      </c>
      <c r="E63" s="41">
        <f>SUM(E64:E71)</f>
        <v>402</v>
      </c>
      <c r="G63" s="41" t="s">
        <v>19</v>
      </c>
      <c r="H63" s="41" t="s">
        <v>1</v>
      </c>
      <c r="I63" s="41" t="s">
        <v>2</v>
      </c>
      <c r="J63" s="41" t="s">
        <v>3</v>
      </c>
    </row>
    <row r="64" spans="1:10" x14ac:dyDescent="0.45">
      <c r="A64" s="4" t="s">
        <v>194</v>
      </c>
      <c r="B64" s="4">
        <f>COUNTIFS(step3_combined_data!$AV$2:$AV$404,"Oppose", step3_combined_data!$N$2:$N$404,"Dưới 12 triệu VNĐ")</f>
        <v>0</v>
      </c>
      <c r="C64" s="4">
        <f>COUNTIFS(step3_combined_data!$AV$2:$AV$404,"Neutral", step3_combined_data!$N$2:$N$404,"Dưới 12 triệu VNĐ")</f>
        <v>12</v>
      </c>
      <c r="D64" s="4">
        <f>COUNTIFS(step3_combined_data!$AV$2:$AV$404,"Support", step3_combined_data!$N$2:$N$404,"Dưới 12 triệu VNĐ")</f>
        <v>29</v>
      </c>
      <c r="E64" s="4">
        <f>SUM(B64:D64)</f>
        <v>41</v>
      </c>
      <c r="G64" s="4" t="s">
        <v>194</v>
      </c>
      <c r="H64" s="43">
        <f t="shared" ref="H64:H71" si="24">B64/E64</f>
        <v>0</v>
      </c>
      <c r="I64" s="43">
        <f t="shared" ref="I64:I71" si="25">C64/E64</f>
        <v>0.29268292682926828</v>
      </c>
      <c r="J64" s="43">
        <f t="shared" ref="J64:J71" si="26">D64/E64</f>
        <v>0.70731707317073167</v>
      </c>
    </row>
    <row r="65" spans="1:10" x14ac:dyDescent="0.45">
      <c r="A65" s="4" t="s">
        <v>104</v>
      </c>
      <c r="B65" s="4">
        <f>COUNTIFS(step3_combined_data!$AV$2:$AV$404,"Oppose", step3_combined_data!$N$2:$N$404,"Từ 12 - 18 triệu VNĐ")</f>
        <v>0</v>
      </c>
      <c r="C65" s="4">
        <f>COUNTIFS(step3_combined_data!$AV$2:$AV$404,"Neutral", step3_combined_data!$N$2:$N$404,"Từ 12 - 18 triệu VNĐ")</f>
        <v>26</v>
      </c>
      <c r="D65" s="4">
        <f>COUNTIFS(step3_combined_data!$AV$2:$AV$404,"Support", step3_combined_data!$N$2:$N$404,"Từ 12 - 18 triệu VNĐ")</f>
        <v>53</v>
      </c>
      <c r="E65" s="4">
        <f t="shared" ref="E65:E71" si="27">SUM(B65:D65)</f>
        <v>79</v>
      </c>
      <c r="G65" s="4" t="s">
        <v>104</v>
      </c>
      <c r="H65" s="43">
        <f t="shared" si="24"/>
        <v>0</v>
      </c>
      <c r="I65" s="43">
        <f t="shared" si="25"/>
        <v>0.32911392405063289</v>
      </c>
      <c r="J65" s="43">
        <f t="shared" si="26"/>
        <v>0.67088607594936711</v>
      </c>
    </row>
    <row r="66" spans="1:10" x14ac:dyDescent="0.45">
      <c r="A66" s="4" t="s">
        <v>196</v>
      </c>
      <c r="B66" s="4">
        <f>COUNTIFS(step3_combined_data!$AV$2:$AV$404,"Oppose", step3_combined_data!$N$2:$N$404,"Từ 18 - 23 triệu VNĐ")</f>
        <v>0</v>
      </c>
      <c r="C66" s="4">
        <f>COUNTIFS(step3_combined_data!$AV$2:$AV$404,"Neutral", step3_combined_data!$N$2:$N$404,"Từ 18 - 23 triệu VNĐ")</f>
        <v>15</v>
      </c>
      <c r="D66" s="4">
        <f>COUNTIFS(step3_combined_data!$AV$2:$AV$404,"Support", step3_combined_data!$N$2:$N$404,"Từ 18 - 23 triệu VNĐ")</f>
        <v>25</v>
      </c>
      <c r="E66" s="4">
        <f t="shared" si="27"/>
        <v>40</v>
      </c>
      <c r="G66" s="4" t="s">
        <v>196</v>
      </c>
      <c r="H66" s="43">
        <f t="shared" si="24"/>
        <v>0</v>
      </c>
      <c r="I66" s="43">
        <f t="shared" si="25"/>
        <v>0.375</v>
      </c>
      <c r="J66" s="43">
        <f t="shared" si="26"/>
        <v>0.625</v>
      </c>
    </row>
    <row r="67" spans="1:10" x14ac:dyDescent="0.45">
      <c r="A67" s="4" t="s">
        <v>101</v>
      </c>
      <c r="B67" s="4">
        <f>COUNTIFS(step3_combined_data!$AV$2:$AV$404,"Oppose", step3_combined_data!$N$2:$N$404,"Từ 23 - 32 triệu VNĐ")</f>
        <v>0</v>
      </c>
      <c r="C67" s="4">
        <f>COUNTIFS(step3_combined_data!$AV$2:$AV$404,"Neutral", step3_combined_data!$N$2:$N$404,"Từ 23 - 32 triệu VNĐ")</f>
        <v>29</v>
      </c>
      <c r="D67" s="4">
        <f>COUNTIFS(step3_combined_data!$AV$2:$AV$404,"Support", step3_combined_data!$N$2:$N$404,"Từ 23 - 32 triệu VNĐ")</f>
        <v>24</v>
      </c>
      <c r="E67" s="4">
        <f t="shared" si="27"/>
        <v>53</v>
      </c>
      <c r="G67" s="4" t="s">
        <v>101</v>
      </c>
      <c r="H67" s="43">
        <f t="shared" si="24"/>
        <v>0</v>
      </c>
      <c r="I67" s="43">
        <f t="shared" si="25"/>
        <v>0.54716981132075471</v>
      </c>
      <c r="J67" s="43">
        <f t="shared" si="26"/>
        <v>0.45283018867924529</v>
      </c>
    </row>
    <row r="68" spans="1:10" x14ac:dyDescent="0.45">
      <c r="A68" s="4" t="s">
        <v>109</v>
      </c>
      <c r="B68" s="4">
        <f>COUNTIFS(step3_combined_data!$AV$2:$AV$404,"Oppose", step3_combined_data!$N$2:$N$404,"Từ 32 - 48 triệu VNĐ")</f>
        <v>0</v>
      </c>
      <c r="C68" s="4">
        <f>COUNTIFS(step3_combined_data!$AV$2:$AV$404,"Neutral", step3_combined_data!$N$2:$N$404,"Từ 32 - 48 triệu VNĐ")</f>
        <v>26</v>
      </c>
      <c r="D68" s="4">
        <f>COUNTIFS(step3_combined_data!$AV$2:$AV$404,"Support", step3_combined_data!$N$2:$N$404,"Từ 32 - 48 triệu VNĐ")</f>
        <v>27</v>
      </c>
      <c r="E68" s="4">
        <f t="shared" si="27"/>
        <v>53</v>
      </c>
      <c r="G68" s="4" t="s">
        <v>109</v>
      </c>
      <c r="H68" s="43">
        <f t="shared" si="24"/>
        <v>0</v>
      </c>
      <c r="I68" s="43">
        <f t="shared" si="25"/>
        <v>0.49056603773584906</v>
      </c>
      <c r="J68" s="43">
        <f t="shared" si="26"/>
        <v>0.50943396226415094</v>
      </c>
    </row>
    <row r="69" spans="1:10" x14ac:dyDescent="0.45">
      <c r="A69" s="4" t="s">
        <v>111</v>
      </c>
      <c r="B69" s="4">
        <f>COUNTIFS(step3_combined_data!$AV$2:$AV$404,"Oppose", step3_combined_data!$N$2:$N$404,"Từ 48 - 70 triệu VNĐĐ")</f>
        <v>0</v>
      </c>
      <c r="C69" s="4">
        <f>COUNTIFS(step3_combined_data!$AV$2:$AV$404,"Neutral", step3_combined_data!$N$2:$N$404,"Từ 48 - 70 triệu VNĐ")</f>
        <v>24</v>
      </c>
      <c r="D69" s="4">
        <f>COUNTIFS(step3_combined_data!$AV$2:$AV$404,"Support", step3_combined_data!$N$2:$N$404,"Từ 48 - 70 triệu VNĐ")</f>
        <v>38</v>
      </c>
      <c r="E69" s="4">
        <f t="shared" si="27"/>
        <v>62</v>
      </c>
      <c r="G69" s="4" t="s">
        <v>111</v>
      </c>
      <c r="H69" s="43">
        <f t="shared" si="24"/>
        <v>0</v>
      </c>
      <c r="I69" s="43">
        <f t="shared" si="25"/>
        <v>0.38709677419354838</v>
      </c>
      <c r="J69" s="43">
        <f t="shared" si="26"/>
        <v>0.61290322580645162</v>
      </c>
    </row>
    <row r="70" spans="1:10" x14ac:dyDescent="0.45">
      <c r="A70" s="4" t="s">
        <v>107</v>
      </c>
      <c r="B70" s="4">
        <f>COUNTIFS(step3_combined_data!$AV$2:$AV$404,"Oppose", step3_combined_data!$N$2:$N$404,"Từ 70 - 102 triệu VNĐ")</f>
        <v>0</v>
      </c>
      <c r="C70" s="4">
        <f>COUNTIFS(step3_combined_data!$AV$2:$AV$404,"Neutral", step3_combined_data!$N$2:$N$404,"Từ 70 - 102 triệu VNĐ")</f>
        <v>18</v>
      </c>
      <c r="D70" s="4">
        <f>COUNTIFS(step3_combined_data!$AV$2:$AV$404,"Support", step3_combined_data!$N$2:$N$404,"Từ 70 - 102 triệu VNĐ")</f>
        <v>21</v>
      </c>
      <c r="E70" s="4">
        <f t="shared" si="27"/>
        <v>39</v>
      </c>
      <c r="G70" s="4" t="s">
        <v>107</v>
      </c>
      <c r="H70" s="43">
        <f t="shared" si="24"/>
        <v>0</v>
      </c>
      <c r="I70" s="43">
        <f t="shared" si="25"/>
        <v>0.46153846153846156</v>
      </c>
      <c r="J70" s="43">
        <f t="shared" si="26"/>
        <v>0.53846153846153844</v>
      </c>
    </row>
    <row r="71" spans="1:10" x14ac:dyDescent="0.45">
      <c r="A71" s="4" t="s">
        <v>108</v>
      </c>
      <c r="B71" s="4">
        <f>COUNTIFS(step3_combined_data!$AV$2:$AV$404,"Oppose", step3_combined_data!$N$2:$N$404,"Trên 102 triệu VNĐ")</f>
        <v>0</v>
      </c>
      <c r="C71" s="4">
        <f>COUNTIFS(step3_combined_data!$AV$2:$AV$404,"Neutral", step3_combined_data!$N$2:$N$404,"Trên 102 triệu VNĐ")</f>
        <v>13</v>
      </c>
      <c r="D71" s="4">
        <f>COUNTIFS(step3_combined_data!$AV$2:$AV$404,"Support", step3_combined_data!$N$2:$N$404,"Trên 102 triệu VNĐ")</f>
        <v>22</v>
      </c>
      <c r="E71" s="4">
        <f t="shared" si="27"/>
        <v>35</v>
      </c>
      <c r="G71" s="4" t="s">
        <v>108</v>
      </c>
      <c r="H71" s="43">
        <f t="shared" si="24"/>
        <v>0</v>
      </c>
      <c r="I71" s="43">
        <f t="shared" si="25"/>
        <v>0.37142857142857144</v>
      </c>
      <c r="J71" s="43">
        <f t="shared" si="26"/>
        <v>0.62857142857142856</v>
      </c>
    </row>
    <row r="73" spans="1:10" x14ac:dyDescent="0.45">
      <c r="A73" s="41" t="s">
        <v>3812</v>
      </c>
      <c r="B73" s="41" t="s">
        <v>1</v>
      </c>
      <c r="C73" s="41" t="s">
        <v>2</v>
      </c>
      <c r="D73" s="41" t="s">
        <v>3</v>
      </c>
      <c r="E73" s="41">
        <f>SUM(E74:E79)</f>
        <v>402</v>
      </c>
      <c r="G73" s="41" t="s">
        <v>3812</v>
      </c>
      <c r="H73" s="41" t="s">
        <v>1</v>
      </c>
      <c r="I73" s="41" t="s">
        <v>2</v>
      </c>
      <c r="J73" s="41" t="s">
        <v>3</v>
      </c>
    </row>
    <row r="74" spans="1:10" x14ac:dyDescent="0.45">
      <c r="A74" s="4" t="s">
        <v>189</v>
      </c>
      <c r="B74" s="4">
        <f>COUNTIFS(step3_combined_data!$BF$2:$BF$404,"Oppose", step3_combined_data!$E$2:$E$404,"18 - 24")</f>
        <v>0</v>
      </c>
      <c r="C74" s="4">
        <f>COUNTIFS(step3_combined_data!$BF$2:$BF$404,"Neutral", step3_combined_data!$E$2:$E$404,"18 - 24")</f>
        <v>2</v>
      </c>
      <c r="D74" s="4">
        <f>COUNTIFS(step3_combined_data!$BF$2:$BF$404,"Support", step3_combined_data!$E$2:$E$404,"18 - 24")</f>
        <v>52</v>
      </c>
      <c r="E74" s="4">
        <f>SUM(B74:D74)</f>
        <v>54</v>
      </c>
      <c r="G74" s="4" t="s">
        <v>189</v>
      </c>
      <c r="H74" s="43">
        <f t="shared" ref="H74:H79" si="28">B74/E74</f>
        <v>0</v>
      </c>
      <c r="I74" s="43">
        <f t="shared" ref="I74:I79" si="29">C74/E74</f>
        <v>3.7037037037037035E-2</v>
      </c>
      <c r="J74" s="43">
        <f t="shared" ref="J74:J79" si="30">D74/E74</f>
        <v>0.96296296296296291</v>
      </c>
    </row>
    <row r="75" spans="1:10" x14ac:dyDescent="0.45">
      <c r="A75" s="4" t="s">
        <v>81</v>
      </c>
      <c r="B75" s="4">
        <f>COUNTIFS(step3_combined_data!$BF$2:$BF$404,"Oppose", step3_combined_data!$E$2:$E$404,"25 - 29")</f>
        <v>0</v>
      </c>
      <c r="C75" s="4">
        <f>COUNTIFS(step3_combined_data!$BF$2:$BF$404,"Neutral", step3_combined_data!$E$2:$E$404,"25 - 29")</f>
        <v>4</v>
      </c>
      <c r="D75" s="4">
        <f>COUNTIFS(step3_combined_data!$BF$2:$BF$404,"Support", step3_combined_data!$E$2:$E$404,"25 - 29")</f>
        <v>75</v>
      </c>
      <c r="E75" s="4">
        <f t="shared" ref="E75:E79" si="31">SUM(B75:D75)</f>
        <v>79</v>
      </c>
      <c r="G75" s="4" t="s">
        <v>81</v>
      </c>
      <c r="H75" s="43">
        <f t="shared" si="28"/>
        <v>0</v>
      </c>
      <c r="I75" s="43">
        <f t="shared" si="29"/>
        <v>5.0632911392405063E-2</v>
      </c>
      <c r="J75" s="43">
        <f t="shared" si="30"/>
        <v>0.94936708860759489</v>
      </c>
    </row>
    <row r="76" spans="1:10" x14ac:dyDescent="0.45">
      <c r="A76" s="4" t="s">
        <v>73</v>
      </c>
      <c r="B76" s="4">
        <f>COUNTIFS(step3_combined_data!$BF$2:$BF$404,"Oppose", step3_combined_data!$E$2:$E$404,"30 - 39")</f>
        <v>0</v>
      </c>
      <c r="C76" s="4">
        <f>COUNTIFS(step3_combined_data!$BF$2:$BF$404,"Neutral", step3_combined_data!$E$2:$E$404,"30 - 39")</f>
        <v>2</v>
      </c>
      <c r="D76" s="4">
        <f>COUNTIFS(step3_combined_data!$BF$2:$BF$404,"Support", step3_combined_data!$E$2:$E$404,"30 - 39")</f>
        <v>130</v>
      </c>
      <c r="E76" s="4">
        <f t="shared" si="31"/>
        <v>132</v>
      </c>
      <c r="G76" s="4" t="s">
        <v>73</v>
      </c>
      <c r="H76" s="43">
        <f t="shared" si="28"/>
        <v>0</v>
      </c>
      <c r="I76" s="43">
        <f t="shared" si="29"/>
        <v>1.5151515151515152E-2</v>
      </c>
      <c r="J76" s="43">
        <f t="shared" si="30"/>
        <v>0.98484848484848486</v>
      </c>
    </row>
    <row r="77" spans="1:10" x14ac:dyDescent="0.45">
      <c r="A77" s="4" t="s">
        <v>79</v>
      </c>
      <c r="B77" s="4">
        <f>COUNTIFS(step3_combined_data!$BF$2:$BF$404,"Oppose", step3_combined_data!$E$2:$E$404,"40 - 49")</f>
        <v>0</v>
      </c>
      <c r="C77" s="4">
        <f>COUNTIFS(step3_combined_data!$BF$2:$BF$404,"Neutral", step3_combined_data!$E$2:$E$404,"40 - 49")</f>
        <v>4</v>
      </c>
      <c r="D77" s="4">
        <f>COUNTIFS(step3_combined_data!$BF$2:$BF$404,"Support", step3_combined_data!$E$2:$E$404,"40 - 49")</f>
        <v>75</v>
      </c>
      <c r="E77" s="4">
        <f t="shared" si="31"/>
        <v>79</v>
      </c>
      <c r="G77" s="4" t="s">
        <v>79</v>
      </c>
      <c r="H77" s="43">
        <f t="shared" si="28"/>
        <v>0</v>
      </c>
      <c r="I77" s="43">
        <f t="shared" si="29"/>
        <v>5.0632911392405063E-2</v>
      </c>
      <c r="J77" s="43">
        <f t="shared" si="30"/>
        <v>0.94936708860759489</v>
      </c>
    </row>
    <row r="78" spans="1:10" x14ac:dyDescent="0.45">
      <c r="A78" s="4" t="s">
        <v>191</v>
      </c>
      <c r="B78" s="4">
        <f>COUNTIFS(step3_combined_data!$BF$2:$BF$404,"Oppose", step3_combined_data!$E$2:$E$404,"50 - 54")</f>
        <v>0</v>
      </c>
      <c r="C78" s="4">
        <f>COUNTIFS(step3_combined_data!$BF$2:$BF$404,"Neutral", step3_combined_data!$E$2:$E$404,"50 - 54")</f>
        <v>1</v>
      </c>
      <c r="D78" s="4">
        <f>COUNTIFS(step3_combined_data!$BF$2:$BF$404,"Support", step3_combined_data!$E$2:$E$404,"50 - 54")</f>
        <v>30</v>
      </c>
      <c r="E78" s="4">
        <f t="shared" si="31"/>
        <v>31</v>
      </c>
      <c r="G78" s="4" t="s">
        <v>191</v>
      </c>
      <c r="H78" s="43">
        <f t="shared" si="28"/>
        <v>0</v>
      </c>
      <c r="I78" s="43">
        <f t="shared" si="29"/>
        <v>3.2258064516129031E-2</v>
      </c>
      <c r="J78" s="43">
        <f t="shared" si="30"/>
        <v>0.967741935483871</v>
      </c>
    </row>
    <row r="79" spans="1:10" x14ac:dyDescent="0.45">
      <c r="A79" s="4" t="s">
        <v>193</v>
      </c>
      <c r="B79" s="4">
        <f>COUNTIFS(step3_combined_data!$BF$2:$BF$404,"Oppose", step3_combined_data!$E$2:$E$404,"55 - 64")</f>
        <v>0</v>
      </c>
      <c r="C79" s="4">
        <f>COUNTIFS(step3_combined_data!$BF$2:$BF$404,"Neutral", step3_combined_data!$E$2:$E$404,"55 - 64")</f>
        <v>0</v>
      </c>
      <c r="D79" s="4">
        <f>COUNTIFS(step3_combined_data!$BF$2:$BF$404,"Support", step3_combined_data!$E$2:$E$404,"55 - 64")</f>
        <v>27</v>
      </c>
      <c r="E79" s="4">
        <f t="shared" si="31"/>
        <v>27</v>
      </c>
      <c r="G79" s="4" t="s">
        <v>193</v>
      </c>
      <c r="H79" s="43">
        <f t="shared" si="28"/>
        <v>0</v>
      </c>
      <c r="I79" s="43">
        <f t="shared" si="29"/>
        <v>0</v>
      </c>
      <c r="J79" s="43">
        <f t="shared" si="3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G1" workbookViewId="0">
      <selection activeCell="Y2" sqref="Y2:Y404"/>
    </sheetView>
  </sheetViews>
  <sheetFormatPr defaultRowHeight="14.25" x14ac:dyDescent="0.45"/>
  <sheetData>
    <row r="1" spans="1:27" x14ac:dyDescent="0.45">
      <c r="A1" s="8" t="s">
        <v>45</v>
      </c>
      <c r="B1" s="35" t="s">
        <v>126</v>
      </c>
      <c r="C1" s="8" t="s">
        <v>205</v>
      </c>
      <c r="D1" s="8" t="s">
        <v>48</v>
      </c>
      <c r="E1" s="8" t="s">
        <v>131</v>
      </c>
      <c r="F1" s="8" t="s">
        <v>206</v>
      </c>
      <c r="G1" s="8" t="s">
        <v>51</v>
      </c>
      <c r="H1" s="8" t="s">
        <v>135</v>
      </c>
      <c r="I1" s="8" t="s">
        <v>207</v>
      </c>
      <c r="J1" s="8" t="s">
        <v>54</v>
      </c>
      <c r="K1" s="8" t="s">
        <v>139</v>
      </c>
      <c r="L1" s="8" t="s">
        <v>208</v>
      </c>
      <c r="M1" t="s">
        <v>57</v>
      </c>
      <c r="N1" t="s">
        <v>143</v>
      </c>
      <c r="O1" s="8" t="s">
        <v>209</v>
      </c>
      <c r="P1" t="s">
        <v>60</v>
      </c>
      <c r="Q1" t="s">
        <v>147</v>
      </c>
      <c r="R1" s="8" t="s">
        <v>210</v>
      </c>
      <c r="S1" t="s">
        <v>63</v>
      </c>
      <c r="T1" t="s">
        <v>151</v>
      </c>
      <c r="U1" s="8" t="s">
        <v>211</v>
      </c>
      <c r="V1" t="s">
        <v>66</v>
      </c>
      <c r="W1" t="s">
        <v>155</v>
      </c>
      <c r="X1" s="8" t="s">
        <v>212</v>
      </c>
      <c r="Y1" t="s">
        <v>69</v>
      </c>
      <c r="Z1" t="s">
        <v>159</v>
      </c>
      <c r="AA1" s="8" t="s">
        <v>213</v>
      </c>
    </row>
    <row r="2" spans="1:27" x14ac:dyDescent="0.45">
      <c r="A2">
        <v>2</v>
      </c>
      <c r="B2" s="36">
        <v>1</v>
      </c>
      <c r="C2" s="32">
        <f>ABS(B2-A2)</f>
        <v>1</v>
      </c>
      <c r="D2">
        <v>2</v>
      </c>
      <c r="E2" s="36">
        <v>1</v>
      </c>
      <c r="F2" s="32">
        <f>ABS(E2-D2)</f>
        <v>1</v>
      </c>
      <c r="G2">
        <v>5</v>
      </c>
      <c r="H2" s="36">
        <v>1</v>
      </c>
      <c r="I2" s="32">
        <f>ABS(H2-G2)</f>
        <v>4</v>
      </c>
      <c r="J2">
        <v>6</v>
      </c>
      <c r="K2" s="36">
        <v>1</v>
      </c>
      <c r="L2" s="32">
        <f>ABS(K2-J2)</f>
        <v>5</v>
      </c>
      <c r="M2">
        <v>0</v>
      </c>
      <c r="N2" s="36">
        <v>1</v>
      </c>
      <c r="O2" s="32">
        <f>ABS(N2-M2)</f>
        <v>1</v>
      </c>
      <c r="P2">
        <v>0</v>
      </c>
      <c r="Q2" s="36">
        <v>1</v>
      </c>
      <c r="R2" s="32">
        <f>ABS(Q2-P2)</f>
        <v>1</v>
      </c>
      <c r="S2">
        <v>0</v>
      </c>
      <c r="T2" s="36">
        <v>1</v>
      </c>
      <c r="U2" s="32">
        <f>ABS(T2-S2)</f>
        <v>1</v>
      </c>
      <c r="V2">
        <v>0</v>
      </c>
      <c r="W2" s="36">
        <v>1</v>
      </c>
      <c r="X2" s="32">
        <f>ABS(W2-V2)</f>
        <v>1</v>
      </c>
      <c r="Y2">
        <v>0</v>
      </c>
      <c r="Z2" s="36">
        <v>1</v>
      </c>
      <c r="AA2" s="32">
        <f>ABS(Z2-Y2)</f>
        <v>1</v>
      </c>
    </row>
    <row r="3" spans="1:27" x14ac:dyDescent="0.45">
      <c r="A3">
        <v>3</v>
      </c>
      <c r="B3" s="36">
        <v>1</v>
      </c>
      <c r="C3" s="32">
        <f t="shared" ref="C3:C66" si="0">ABS(B3-A3)</f>
        <v>2</v>
      </c>
      <c r="D3">
        <v>3</v>
      </c>
      <c r="E3" s="36">
        <v>1</v>
      </c>
      <c r="F3" s="32">
        <f t="shared" ref="F3:F66" si="1">ABS(E3-D3)</f>
        <v>2</v>
      </c>
      <c r="G3">
        <v>5</v>
      </c>
      <c r="H3" s="36">
        <v>1</v>
      </c>
      <c r="I3" s="32">
        <f t="shared" ref="I3:I66" si="2">ABS(H3-G3)</f>
        <v>4</v>
      </c>
      <c r="J3">
        <v>7</v>
      </c>
      <c r="K3" s="36">
        <v>1</v>
      </c>
      <c r="L3" s="32">
        <f t="shared" ref="L3:L66" si="3">ABS(K3-J3)</f>
        <v>6</v>
      </c>
      <c r="M3">
        <v>0</v>
      </c>
      <c r="N3" s="36">
        <v>1</v>
      </c>
      <c r="O3" s="32">
        <f t="shared" ref="O3:O66" si="4">ABS(N3-M3)</f>
        <v>1</v>
      </c>
      <c r="P3">
        <v>0</v>
      </c>
      <c r="Q3" s="36">
        <v>1</v>
      </c>
      <c r="R3" s="32">
        <f t="shared" ref="R3:R66" si="5">ABS(Q3-P3)</f>
        <v>1</v>
      </c>
      <c r="S3">
        <v>0</v>
      </c>
      <c r="T3" s="36">
        <v>1</v>
      </c>
      <c r="U3" s="32">
        <f t="shared" ref="U3:U66" si="6">ABS(T3-S3)</f>
        <v>1</v>
      </c>
      <c r="V3">
        <v>0</v>
      </c>
      <c r="W3" s="36">
        <v>1</v>
      </c>
      <c r="X3" s="32">
        <f t="shared" ref="X3:X66" si="7">ABS(W3-V3)</f>
        <v>1</v>
      </c>
      <c r="Y3">
        <v>0</v>
      </c>
      <c r="Z3" s="36">
        <v>1</v>
      </c>
      <c r="AA3" s="32">
        <f t="shared" ref="AA3:AA66" si="8">ABS(Z3-Y3)</f>
        <v>1</v>
      </c>
    </row>
    <row r="4" spans="1:27" x14ac:dyDescent="0.45">
      <c r="A4">
        <v>4</v>
      </c>
      <c r="B4" s="36">
        <v>1</v>
      </c>
      <c r="C4" s="32">
        <f t="shared" si="0"/>
        <v>3</v>
      </c>
      <c r="D4">
        <v>3</v>
      </c>
      <c r="E4" s="36">
        <v>1</v>
      </c>
      <c r="F4" s="32">
        <f t="shared" si="1"/>
        <v>2</v>
      </c>
      <c r="G4">
        <v>5</v>
      </c>
      <c r="H4" s="36">
        <v>1</v>
      </c>
      <c r="I4" s="32">
        <f t="shared" si="2"/>
        <v>4</v>
      </c>
      <c r="J4">
        <v>7</v>
      </c>
      <c r="K4" s="36">
        <v>1</v>
      </c>
      <c r="L4" s="32">
        <f t="shared" si="3"/>
        <v>6</v>
      </c>
      <c r="M4">
        <v>4</v>
      </c>
      <c r="N4" s="36">
        <v>1</v>
      </c>
      <c r="O4" s="32">
        <f t="shared" si="4"/>
        <v>3</v>
      </c>
      <c r="P4">
        <v>0</v>
      </c>
      <c r="Q4" s="36">
        <v>1</v>
      </c>
      <c r="R4" s="32">
        <f t="shared" si="5"/>
        <v>1</v>
      </c>
      <c r="S4">
        <v>0</v>
      </c>
      <c r="T4" s="36">
        <v>1</v>
      </c>
      <c r="U4" s="32">
        <f t="shared" si="6"/>
        <v>1</v>
      </c>
      <c r="V4">
        <v>0</v>
      </c>
      <c r="W4" s="36">
        <v>1</v>
      </c>
      <c r="X4" s="32">
        <f t="shared" si="7"/>
        <v>1</v>
      </c>
      <c r="Y4">
        <v>0</v>
      </c>
      <c r="Z4" s="36">
        <v>1</v>
      </c>
      <c r="AA4" s="32">
        <f t="shared" si="8"/>
        <v>1</v>
      </c>
    </row>
    <row r="5" spans="1:27" x14ac:dyDescent="0.45">
      <c r="A5">
        <v>4</v>
      </c>
      <c r="B5" s="36">
        <v>1</v>
      </c>
      <c r="C5" s="32">
        <f t="shared" si="0"/>
        <v>3</v>
      </c>
      <c r="D5">
        <v>5</v>
      </c>
      <c r="E5" s="36">
        <v>1</v>
      </c>
      <c r="F5" s="32">
        <f t="shared" si="1"/>
        <v>4</v>
      </c>
      <c r="G5">
        <v>5</v>
      </c>
      <c r="H5" s="36">
        <v>1</v>
      </c>
      <c r="I5" s="32">
        <f t="shared" si="2"/>
        <v>4</v>
      </c>
      <c r="J5">
        <v>7</v>
      </c>
      <c r="K5" s="36">
        <v>1</v>
      </c>
      <c r="L5" s="32">
        <f t="shared" si="3"/>
        <v>6</v>
      </c>
      <c r="M5">
        <v>5</v>
      </c>
      <c r="N5" s="36">
        <v>1</v>
      </c>
      <c r="O5" s="32">
        <f t="shared" si="4"/>
        <v>4</v>
      </c>
      <c r="P5">
        <v>5</v>
      </c>
      <c r="Q5" s="36">
        <v>1</v>
      </c>
      <c r="R5" s="32">
        <f t="shared" si="5"/>
        <v>4</v>
      </c>
      <c r="S5">
        <v>5</v>
      </c>
      <c r="T5" s="36">
        <v>1</v>
      </c>
      <c r="U5" s="32">
        <f t="shared" si="6"/>
        <v>4</v>
      </c>
      <c r="V5">
        <v>5</v>
      </c>
      <c r="W5" s="36">
        <v>1</v>
      </c>
      <c r="X5" s="32">
        <f t="shared" si="7"/>
        <v>4</v>
      </c>
      <c r="Y5">
        <v>6</v>
      </c>
      <c r="Z5" s="36">
        <v>1</v>
      </c>
      <c r="AA5" s="32">
        <f t="shared" si="8"/>
        <v>5</v>
      </c>
    </row>
    <row r="6" spans="1:27" x14ac:dyDescent="0.45">
      <c r="A6">
        <v>5</v>
      </c>
      <c r="B6" s="36">
        <v>1</v>
      </c>
      <c r="C6" s="32">
        <f t="shared" si="0"/>
        <v>4</v>
      </c>
      <c r="D6">
        <v>5</v>
      </c>
      <c r="E6" s="36">
        <v>1</v>
      </c>
      <c r="F6" s="32">
        <f t="shared" si="1"/>
        <v>4</v>
      </c>
      <c r="G6">
        <v>6</v>
      </c>
      <c r="H6" s="36">
        <v>1</v>
      </c>
      <c r="I6" s="32">
        <f t="shared" si="2"/>
        <v>5</v>
      </c>
      <c r="J6">
        <v>7</v>
      </c>
      <c r="K6" s="36">
        <v>1</v>
      </c>
      <c r="L6" s="32">
        <f t="shared" si="3"/>
        <v>6</v>
      </c>
      <c r="M6">
        <v>5</v>
      </c>
      <c r="N6" s="36">
        <v>1</v>
      </c>
      <c r="O6" s="32">
        <f t="shared" si="4"/>
        <v>4</v>
      </c>
      <c r="P6">
        <v>6</v>
      </c>
      <c r="Q6" s="36">
        <v>1</v>
      </c>
      <c r="R6" s="32">
        <f t="shared" si="5"/>
        <v>5</v>
      </c>
      <c r="S6">
        <v>5</v>
      </c>
      <c r="T6" s="36">
        <v>1</v>
      </c>
      <c r="U6" s="32">
        <f t="shared" si="6"/>
        <v>4</v>
      </c>
      <c r="V6">
        <v>5</v>
      </c>
      <c r="W6" s="36">
        <v>1</v>
      </c>
      <c r="X6" s="32">
        <f t="shared" si="7"/>
        <v>4</v>
      </c>
      <c r="Y6">
        <v>6</v>
      </c>
      <c r="Z6" s="36">
        <v>1</v>
      </c>
      <c r="AA6" s="32">
        <f t="shared" si="8"/>
        <v>5</v>
      </c>
    </row>
    <row r="7" spans="1:27" x14ac:dyDescent="0.45">
      <c r="A7">
        <v>5</v>
      </c>
      <c r="B7" s="36">
        <v>1</v>
      </c>
      <c r="C7" s="32">
        <f t="shared" si="0"/>
        <v>4</v>
      </c>
      <c r="D7">
        <v>5</v>
      </c>
      <c r="E7" s="36">
        <v>1</v>
      </c>
      <c r="F7" s="32">
        <f t="shared" si="1"/>
        <v>4</v>
      </c>
      <c r="G7">
        <v>6</v>
      </c>
      <c r="H7" s="36">
        <v>1</v>
      </c>
      <c r="I7" s="32">
        <f t="shared" si="2"/>
        <v>5</v>
      </c>
      <c r="J7">
        <v>7</v>
      </c>
      <c r="K7" s="36">
        <v>1</v>
      </c>
      <c r="L7" s="32">
        <f t="shared" si="3"/>
        <v>6</v>
      </c>
      <c r="M7">
        <v>5</v>
      </c>
      <c r="N7" s="36">
        <v>1</v>
      </c>
      <c r="O7" s="32">
        <f t="shared" si="4"/>
        <v>4</v>
      </c>
      <c r="P7">
        <v>6</v>
      </c>
      <c r="Q7" s="36">
        <v>1</v>
      </c>
      <c r="R7" s="32">
        <f t="shared" si="5"/>
        <v>5</v>
      </c>
      <c r="S7">
        <v>6</v>
      </c>
      <c r="T7" s="36">
        <v>1</v>
      </c>
      <c r="U7" s="32">
        <f t="shared" si="6"/>
        <v>5</v>
      </c>
      <c r="V7">
        <v>5</v>
      </c>
      <c r="W7" s="36">
        <v>1</v>
      </c>
      <c r="X7" s="32">
        <f t="shared" si="7"/>
        <v>4</v>
      </c>
      <c r="Y7">
        <v>6</v>
      </c>
      <c r="Z7" s="36">
        <v>1</v>
      </c>
      <c r="AA7" s="32">
        <f t="shared" si="8"/>
        <v>5</v>
      </c>
    </row>
    <row r="8" spans="1:27" x14ac:dyDescent="0.45">
      <c r="A8">
        <v>5</v>
      </c>
      <c r="B8" s="36">
        <v>1</v>
      </c>
      <c r="C8" s="32">
        <f t="shared" si="0"/>
        <v>4</v>
      </c>
      <c r="D8">
        <v>5</v>
      </c>
      <c r="E8" s="36">
        <v>1</v>
      </c>
      <c r="F8" s="32">
        <f t="shared" si="1"/>
        <v>4</v>
      </c>
      <c r="G8">
        <v>6</v>
      </c>
      <c r="H8" s="36">
        <v>1</v>
      </c>
      <c r="I8" s="32">
        <f t="shared" si="2"/>
        <v>5</v>
      </c>
      <c r="J8">
        <v>7</v>
      </c>
      <c r="K8" s="36">
        <v>2</v>
      </c>
      <c r="L8" s="32">
        <f t="shared" si="3"/>
        <v>5</v>
      </c>
      <c r="M8">
        <v>6</v>
      </c>
      <c r="N8" s="36">
        <v>1</v>
      </c>
      <c r="O8" s="32">
        <f t="shared" si="4"/>
        <v>5</v>
      </c>
      <c r="P8">
        <v>7</v>
      </c>
      <c r="Q8" s="36">
        <v>1</v>
      </c>
      <c r="R8" s="32">
        <f t="shared" si="5"/>
        <v>6</v>
      </c>
      <c r="S8">
        <v>6</v>
      </c>
      <c r="T8" s="36">
        <v>1</v>
      </c>
      <c r="U8" s="32">
        <f t="shared" si="6"/>
        <v>5</v>
      </c>
      <c r="V8">
        <v>5</v>
      </c>
      <c r="W8" s="36">
        <v>1</v>
      </c>
      <c r="X8" s="32">
        <f t="shared" si="7"/>
        <v>4</v>
      </c>
      <c r="Y8">
        <v>7</v>
      </c>
      <c r="Z8" s="36">
        <v>1</v>
      </c>
      <c r="AA8" s="32">
        <f t="shared" si="8"/>
        <v>6</v>
      </c>
    </row>
    <row r="9" spans="1:27" x14ac:dyDescent="0.45">
      <c r="A9">
        <v>5</v>
      </c>
      <c r="B9" s="36">
        <v>1</v>
      </c>
      <c r="C9" s="32">
        <f t="shared" si="0"/>
        <v>4</v>
      </c>
      <c r="D9">
        <v>5</v>
      </c>
      <c r="E9" s="36">
        <v>1</v>
      </c>
      <c r="F9" s="32">
        <f t="shared" si="1"/>
        <v>4</v>
      </c>
      <c r="G9">
        <v>6</v>
      </c>
      <c r="H9" s="36">
        <v>1</v>
      </c>
      <c r="I9" s="32">
        <f t="shared" si="2"/>
        <v>5</v>
      </c>
      <c r="J9">
        <v>7</v>
      </c>
      <c r="K9" s="36">
        <v>2</v>
      </c>
      <c r="L9" s="32">
        <f t="shared" si="3"/>
        <v>5</v>
      </c>
      <c r="M9">
        <v>6</v>
      </c>
      <c r="N9" s="36">
        <v>1</v>
      </c>
      <c r="O9" s="32">
        <f t="shared" si="4"/>
        <v>5</v>
      </c>
      <c r="P9">
        <v>7</v>
      </c>
      <c r="Q9" s="36">
        <v>1</v>
      </c>
      <c r="R9" s="32">
        <f t="shared" si="5"/>
        <v>6</v>
      </c>
      <c r="S9">
        <v>6</v>
      </c>
      <c r="T9" s="36">
        <v>1</v>
      </c>
      <c r="U9" s="32">
        <f t="shared" si="6"/>
        <v>5</v>
      </c>
      <c r="V9">
        <v>5</v>
      </c>
      <c r="W9" s="36">
        <v>1</v>
      </c>
      <c r="X9" s="32">
        <f t="shared" si="7"/>
        <v>4</v>
      </c>
      <c r="Y9">
        <v>7</v>
      </c>
      <c r="Z9" s="36">
        <v>1</v>
      </c>
      <c r="AA9" s="32">
        <f t="shared" si="8"/>
        <v>6</v>
      </c>
    </row>
    <row r="10" spans="1:27" x14ac:dyDescent="0.45">
      <c r="A10">
        <v>5</v>
      </c>
      <c r="B10" s="36">
        <v>1</v>
      </c>
      <c r="C10" s="32">
        <f t="shared" si="0"/>
        <v>4</v>
      </c>
      <c r="D10">
        <v>5</v>
      </c>
      <c r="E10" s="36">
        <v>1</v>
      </c>
      <c r="F10" s="32">
        <f t="shared" si="1"/>
        <v>4</v>
      </c>
      <c r="G10">
        <v>6</v>
      </c>
      <c r="H10" s="36">
        <v>1</v>
      </c>
      <c r="I10" s="32">
        <f t="shared" si="2"/>
        <v>5</v>
      </c>
      <c r="J10">
        <v>7</v>
      </c>
      <c r="K10" s="36">
        <v>2</v>
      </c>
      <c r="L10" s="32">
        <f t="shared" si="3"/>
        <v>5</v>
      </c>
      <c r="M10">
        <v>6</v>
      </c>
      <c r="N10" s="36">
        <v>1</v>
      </c>
      <c r="O10" s="32">
        <f t="shared" si="4"/>
        <v>5</v>
      </c>
      <c r="P10">
        <v>7</v>
      </c>
      <c r="Q10" s="36">
        <v>1</v>
      </c>
      <c r="R10" s="32">
        <f t="shared" si="5"/>
        <v>6</v>
      </c>
      <c r="S10">
        <v>6</v>
      </c>
      <c r="T10" s="36">
        <v>1</v>
      </c>
      <c r="U10" s="32">
        <f t="shared" si="6"/>
        <v>5</v>
      </c>
      <c r="V10">
        <v>5</v>
      </c>
      <c r="W10" s="36">
        <v>1</v>
      </c>
      <c r="X10" s="32">
        <f t="shared" si="7"/>
        <v>4</v>
      </c>
      <c r="Y10">
        <v>7</v>
      </c>
      <c r="Z10" s="36">
        <v>1</v>
      </c>
      <c r="AA10" s="32">
        <f t="shared" si="8"/>
        <v>6</v>
      </c>
    </row>
    <row r="11" spans="1:27" x14ac:dyDescent="0.45">
      <c r="A11">
        <v>5</v>
      </c>
      <c r="B11" s="36">
        <v>1</v>
      </c>
      <c r="C11" s="32">
        <f t="shared" si="0"/>
        <v>4</v>
      </c>
      <c r="D11">
        <v>5</v>
      </c>
      <c r="E11" s="36">
        <v>1</v>
      </c>
      <c r="F11" s="32">
        <f t="shared" si="1"/>
        <v>4</v>
      </c>
      <c r="G11">
        <v>6</v>
      </c>
      <c r="H11" s="36">
        <v>1</v>
      </c>
      <c r="I11" s="32">
        <f t="shared" si="2"/>
        <v>5</v>
      </c>
      <c r="J11">
        <v>7</v>
      </c>
      <c r="K11" s="36">
        <v>2</v>
      </c>
      <c r="L11" s="32">
        <f t="shared" si="3"/>
        <v>5</v>
      </c>
      <c r="M11">
        <v>6</v>
      </c>
      <c r="N11" s="36">
        <v>1</v>
      </c>
      <c r="O11" s="32">
        <f t="shared" si="4"/>
        <v>5</v>
      </c>
      <c r="P11">
        <v>7</v>
      </c>
      <c r="Q11" s="36">
        <v>1</v>
      </c>
      <c r="R11" s="32">
        <f t="shared" si="5"/>
        <v>6</v>
      </c>
      <c r="S11">
        <v>6</v>
      </c>
      <c r="T11" s="36">
        <v>1</v>
      </c>
      <c r="U11" s="32">
        <f t="shared" si="6"/>
        <v>5</v>
      </c>
      <c r="V11">
        <v>6</v>
      </c>
      <c r="W11" s="36">
        <v>1</v>
      </c>
      <c r="X11" s="32">
        <f t="shared" si="7"/>
        <v>5</v>
      </c>
      <c r="Y11">
        <v>7</v>
      </c>
      <c r="Z11" s="36">
        <v>1</v>
      </c>
      <c r="AA11" s="32">
        <f t="shared" si="8"/>
        <v>6</v>
      </c>
    </row>
    <row r="12" spans="1:27" x14ac:dyDescent="0.45">
      <c r="A12">
        <v>5</v>
      </c>
      <c r="B12" s="36">
        <v>1</v>
      </c>
      <c r="C12" s="32">
        <f t="shared" si="0"/>
        <v>4</v>
      </c>
      <c r="D12">
        <v>5</v>
      </c>
      <c r="E12" s="36">
        <v>1</v>
      </c>
      <c r="F12" s="32">
        <f t="shared" si="1"/>
        <v>4</v>
      </c>
      <c r="G12">
        <v>6</v>
      </c>
      <c r="H12" s="36">
        <v>1</v>
      </c>
      <c r="I12" s="32">
        <f t="shared" si="2"/>
        <v>5</v>
      </c>
      <c r="J12">
        <v>7</v>
      </c>
      <c r="K12" s="36">
        <v>2</v>
      </c>
      <c r="L12" s="32">
        <f t="shared" si="3"/>
        <v>5</v>
      </c>
      <c r="M12">
        <v>6</v>
      </c>
      <c r="N12" s="36">
        <v>1</v>
      </c>
      <c r="O12" s="32">
        <f t="shared" si="4"/>
        <v>5</v>
      </c>
      <c r="P12">
        <v>7</v>
      </c>
      <c r="Q12" s="36">
        <v>1</v>
      </c>
      <c r="R12" s="32">
        <f t="shared" si="5"/>
        <v>6</v>
      </c>
      <c r="S12">
        <v>6</v>
      </c>
      <c r="T12" s="36">
        <v>1</v>
      </c>
      <c r="U12" s="32">
        <f t="shared" si="6"/>
        <v>5</v>
      </c>
      <c r="V12">
        <v>6</v>
      </c>
      <c r="W12" s="36">
        <v>1</v>
      </c>
      <c r="X12" s="32">
        <f t="shared" si="7"/>
        <v>5</v>
      </c>
      <c r="Y12">
        <v>7</v>
      </c>
      <c r="Z12" s="36">
        <v>1</v>
      </c>
      <c r="AA12" s="32">
        <f t="shared" si="8"/>
        <v>6</v>
      </c>
    </row>
    <row r="13" spans="1:27" x14ac:dyDescent="0.45">
      <c r="A13">
        <v>5</v>
      </c>
      <c r="B13" s="36">
        <v>2</v>
      </c>
      <c r="C13" s="32">
        <f t="shared" si="0"/>
        <v>3</v>
      </c>
      <c r="D13">
        <v>6</v>
      </c>
      <c r="E13" s="36">
        <v>1</v>
      </c>
      <c r="F13" s="32">
        <f t="shared" si="1"/>
        <v>5</v>
      </c>
      <c r="G13">
        <v>6</v>
      </c>
      <c r="H13" s="36">
        <v>1</v>
      </c>
      <c r="I13" s="32">
        <f t="shared" si="2"/>
        <v>5</v>
      </c>
      <c r="J13">
        <v>8</v>
      </c>
      <c r="K13" s="36">
        <v>3</v>
      </c>
      <c r="L13" s="32">
        <f t="shared" si="3"/>
        <v>5</v>
      </c>
      <c r="M13">
        <v>6</v>
      </c>
      <c r="N13" s="36">
        <v>1</v>
      </c>
      <c r="O13" s="32">
        <f t="shared" si="4"/>
        <v>5</v>
      </c>
      <c r="P13">
        <v>7</v>
      </c>
      <c r="Q13" s="36">
        <v>1</v>
      </c>
      <c r="R13" s="32">
        <f t="shared" si="5"/>
        <v>6</v>
      </c>
      <c r="S13">
        <v>6</v>
      </c>
      <c r="T13" s="36">
        <v>1</v>
      </c>
      <c r="U13" s="32">
        <f t="shared" si="6"/>
        <v>5</v>
      </c>
      <c r="V13">
        <v>6</v>
      </c>
      <c r="W13" s="36">
        <v>1</v>
      </c>
      <c r="X13" s="32">
        <f t="shared" si="7"/>
        <v>5</v>
      </c>
      <c r="Y13">
        <v>7</v>
      </c>
      <c r="Z13" s="36">
        <v>1</v>
      </c>
      <c r="AA13" s="32">
        <f t="shared" si="8"/>
        <v>6</v>
      </c>
    </row>
    <row r="14" spans="1:27" x14ac:dyDescent="0.45">
      <c r="A14">
        <v>5</v>
      </c>
      <c r="B14" s="36">
        <v>2</v>
      </c>
      <c r="C14" s="32">
        <f t="shared" si="0"/>
        <v>3</v>
      </c>
      <c r="D14">
        <v>6</v>
      </c>
      <c r="E14" s="36">
        <v>1</v>
      </c>
      <c r="F14" s="32">
        <f t="shared" si="1"/>
        <v>5</v>
      </c>
      <c r="G14">
        <v>6</v>
      </c>
      <c r="H14" s="36">
        <v>1</v>
      </c>
      <c r="I14" s="32">
        <f t="shared" si="2"/>
        <v>5</v>
      </c>
      <c r="J14">
        <v>8</v>
      </c>
      <c r="K14" s="36">
        <v>4</v>
      </c>
      <c r="L14" s="32">
        <f t="shared" si="3"/>
        <v>4</v>
      </c>
      <c r="M14">
        <v>6</v>
      </c>
      <c r="N14" s="36">
        <v>1</v>
      </c>
      <c r="O14" s="32">
        <f t="shared" si="4"/>
        <v>5</v>
      </c>
      <c r="P14">
        <v>7</v>
      </c>
      <c r="Q14" s="36">
        <v>1</v>
      </c>
      <c r="R14" s="32">
        <f t="shared" si="5"/>
        <v>6</v>
      </c>
      <c r="S14">
        <v>6</v>
      </c>
      <c r="T14" s="36">
        <v>1</v>
      </c>
      <c r="U14" s="32">
        <f t="shared" si="6"/>
        <v>5</v>
      </c>
      <c r="V14">
        <v>6</v>
      </c>
      <c r="W14" s="36">
        <v>1</v>
      </c>
      <c r="X14" s="32">
        <f t="shared" si="7"/>
        <v>5</v>
      </c>
      <c r="Y14">
        <v>7</v>
      </c>
      <c r="Z14" s="36">
        <v>1</v>
      </c>
      <c r="AA14" s="32">
        <f t="shared" si="8"/>
        <v>6</v>
      </c>
    </row>
    <row r="15" spans="1:27" x14ac:dyDescent="0.45">
      <c r="A15">
        <v>5</v>
      </c>
      <c r="B15" s="36">
        <v>2</v>
      </c>
      <c r="C15" s="32">
        <f t="shared" si="0"/>
        <v>3</v>
      </c>
      <c r="D15">
        <v>6</v>
      </c>
      <c r="E15" s="36">
        <v>1</v>
      </c>
      <c r="F15" s="32">
        <f t="shared" si="1"/>
        <v>5</v>
      </c>
      <c r="G15">
        <v>6</v>
      </c>
      <c r="H15" s="36">
        <v>1</v>
      </c>
      <c r="I15" s="32">
        <f t="shared" si="2"/>
        <v>5</v>
      </c>
      <c r="J15">
        <v>8</v>
      </c>
      <c r="K15" s="36">
        <v>4</v>
      </c>
      <c r="L15" s="32">
        <f t="shared" si="3"/>
        <v>4</v>
      </c>
      <c r="M15">
        <v>6</v>
      </c>
      <c r="N15" s="36">
        <v>1</v>
      </c>
      <c r="O15" s="32">
        <f t="shared" si="4"/>
        <v>5</v>
      </c>
      <c r="P15">
        <v>7</v>
      </c>
      <c r="Q15" s="36">
        <v>1</v>
      </c>
      <c r="R15" s="32">
        <f t="shared" si="5"/>
        <v>6</v>
      </c>
      <c r="S15">
        <v>6</v>
      </c>
      <c r="T15" s="36">
        <v>1</v>
      </c>
      <c r="U15" s="32">
        <f t="shared" si="6"/>
        <v>5</v>
      </c>
      <c r="V15">
        <v>6</v>
      </c>
      <c r="W15" s="36">
        <v>1</v>
      </c>
      <c r="X15" s="32">
        <f t="shared" si="7"/>
        <v>5</v>
      </c>
      <c r="Y15">
        <v>7</v>
      </c>
      <c r="Z15" s="36">
        <v>2</v>
      </c>
      <c r="AA15" s="32">
        <f t="shared" si="8"/>
        <v>5</v>
      </c>
    </row>
    <row r="16" spans="1:27" x14ac:dyDescent="0.45">
      <c r="A16">
        <v>5</v>
      </c>
      <c r="B16" s="36">
        <v>2</v>
      </c>
      <c r="C16" s="32">
        <f t="shared" si="0"/>
        <v>3</v>
      </c>
      <c r="D16">
        <v>6</v>
      </c>
      <c r="E16" s="36">
        <v>2</v>
      </c>
      <c r="F16" s="32">
        <f t="shared" si="1"/>
        <v>4</v>
      </c>
      <c r="G16">
        <v>6</v>
      </c>
      <c r="H16" s="36">
        <v>1</v>
      </c>
      <c r="I16" s="32">
        <f t="shared" si="2"/>
        <v>5</v>
      </c>
      <c r="J16">
        <v>8</v>
      </c>
      <c r="K16" s="36">
        <v>4</v>
      </c>
      <c r="L16" s="32">
        <f t="shared" si="3"/>
        <v>4</v>
      </c>
      <c r="M16">
        <v>6</v>
      </c>
      <c r="N16" s="36">
        <v>1</v>
      </c>
      <c r="O16" s="32">
        <f t="shared" si="4"/>
        <v>5</v>
      </c>
      <c r="P16">
        <v>7</v>
      </c>
      <c r="Q16" s="36">
        <v>1</v>
      </c>
      <c r="R16" s="32">
        <f t="shared" si="5"/>
        <v>6</v>
      </c>
      <c r="S16">
        <v>6</v>
      </c>
      <c r="T16" s="36">
        <v>1</v>
      </c>
      <c r="U16" s="32">
        <f t="shared" si="6"/>
        <v>5</v>
      </c>
      <c r="V16">
        <v>6</v>
      </c>
      <c r="W16" s="36">
        <v>2</v>
      </c>
      <c r="X16" s="32">
        <f t="shared" si="7"/>
        <v>4</v>
      </c>
      <c r="Y16">
        <v>7</v>
      </c>
      <c r="Z16" s="36">
        <v>2</v>
      </c>
      <c r="AA16" s="32">
        <f t="shared" si="8"/>
        <v>5</v>
      </c>
    </row>
    <row r="17" spans="1:27" x14ac:dyDescent="0.45">
      <c r="A17">
        <v>5</v>
      </c>
      <c r="B17" s="36">
        <v>2</v>
      </c>
      <c r="C17" s="32">
        <f t="shared" si="0"/>
        <v>3</v>
      </c>
      <c r="D17">
        <v>6</v>
      </c>
      <c r="E17" s="36">
        <v>2</v>
      </c>
      <c r="F17" s="32">
        <f t="shared" si="1"/>
        <v>4</v>
      </c>
      <c r="G17">
        <v>6</v>
      </c>
      <c r="H17" s="36">
        <v>1</v>
      </c>
      <c r="I17" s="32">
        <f t="shared" si="2"/>
        <v>5</v>
      </c>
      <c r="J17">
        <v>8</v>
      </c>
      <c r="K17" s="36">
        <v>4</v>
      </c>
      <c r="L17" s="32">
        <f t="shared" si="3"/>
        <v>4</v>
      </c>
      <c r="M17">
        <v>6</v>
      </c>
      <c r="N17" s="36">
        <v>1</v>
      </c>
      <c r="O17" s="32">
        <f t="shared" si="4"/>
        <v>5</v>
      </c>
      <c r="P17">
        <v>7</v>
      </c>
      <c r="Q17" s="36">
        <v>1</v>
      </c>
      <c r="R17" s="32">
        <f t="shared" si="5"/>
        <v>6</v>
      </c>
      <c r="S17">
        <v>6</v>
      </c>
      <c r="T17" s="36">
        <v>1</v>
      </c>
      <c r="U17" s="32">
        <f t="shared" si="6"/>
        <v>5</v>
      </c>
      <c r="V17">
        <v>6</v>
      </c>
      <c r="W17" s="36">
        <v>2</v>
      </c>
      <c r="X17" s="32">
        <f t="shared" si="7"/>
        <v>4</v>
      </c>
      <c r="Y17">
        <v>7</v>
      </c>
      <c r="Z17" s="36">
        <v>2</v>
      </c>
      <c r="AA17" s="32">
        <f t="shared" si="8"/>
        <v>5</v>
      </c>
    </row>
    <row r="18" spans="1:27" x14ac:dyDescent="0.45">
      <c r="A18">
        <v>6</v>
      </c>
      <c r="B18" s="36">
        <v>2</v>
      </c>
      <c r="C18" s="32">
        <f t="shared" si="0"/>
        <v>4</v>
      </c>
      <c r="D18">
        <v>6</v>
      </c>
      <c r="E18" s="36">
        <v>2</v>
      </c>
      <c r="F18" s="32">
        <f t="shared" si="1"/>
        <v>4</v>
      </c>
      <c r="G18">
        <v>6</v>
      </c>
      <c r="H18" s="36">
        <v>1</v>
      </c>
      <c r="I18" s="32">
        <f t="shared" si="2"/>
        <v>5</v>
      </c>
      <c r="J18">
        <v>8</v>
      </c>
      <c r="K18" s="36">
        <v>4</v>
      </c>
      <c r="L18" s="32">
        <f t="shared" si="3"/>
        <v>4</v>
      </c>
      <c r="M18">
        <v>6</v>
      </c>
      <c r="N18" s="36">
        <v>1</v>
      </c>
      <c r="O18" s="32">
        <f t="shared" si="4"/>
        <v>5</v>
      </c>
      <c r="P18">
        <v>7</v>
      </c>
      <c r="Q18" s="36">
        <v>1</v>
      </c>
      <c r="R18" s="32">
        <f t="shared" si="5"/>
        <v>6</v>
      </c>
      <c r="S18">
        <v>6</v>
      </c>
      <c r="T18" s="36">
        <v>1</v>
      </c>
      <c r="U18" s="32">
        <f t="shared" si="6"/>
        <v>5</v>
      </c>
      <c r="V18">
        <v>6</v>
      </c>
      <c r="W18" s="36">
        <v>3</v>
      </c>
      <c r="X18" s="32">
        <f t="shared" si="7"/>
        <v>3</v>
      </c>
      <c r="Y18">
        <v>7</v>
      </c>
      <c r="Z18" s="36">
        <v>3</v>
      </c>
      <c r="AA18" s="32">
        <f t="shared" si="8"/>
        <v>4</v>
      </c>
    </row>
    <row r="19" spans="1:27" x14ac:dyDescent="0.45">
      <c r="A19">
        <v>6</v>
      </c>
      <c r="B19" s="36">
        <v>2</v>
      </c>
      <c r="C19" s="32">
        <f t="shared" si="0"/>
        <v>4</v>
      </c>
      <c r="D19">
        <v>6</v>
      </c>
      <c r="E19" s="36">
        <v>2</v>
      </c>
      <c r="F19" s="32">
        <f t="shared" si="1"/>
        <v>4</v>
      </c>
      <c r="G19">
        <v>6</v>
      </c>
      <c r="H19" s="36">
        <v>1</v>
      </c>
      <c r="I19" s="32">
        <f t="shared" si="2"/>
        <v>5</v>
      </c>
      <c r="J19">
        <v>8</v>
      </c>
      <c r="K19" s="36">
        <v>4</v>
      </c>
      <c r="L19" s="32">
        <f t="shared" si="3"/>
        <v>4</v>
      </c>
      <c r="M19">
        <v>6</v>
      </c>
      <c r="N19" s="36">
        <v>1</v>
      </c>
      <c r="O19" s="32">
        <f t="shared" si="4"/>
        <v>5</v>
      </c>
      <c r="P19">
        <v>8</v>
      </c>
      <c r="Q19" s="36">
        <v>1</v>
      </c>
      <c r="R19" s="32">
        <f t="shared" si="5"/>
        <v>7</v>
      </c>
      <c r="S19">
        <v>6</v>
      </c>
      <c r="T19" s="36">
        <v>1</v>
      </c>
      <c r="U19" s="32">
        <f t="shared" si="6"/>
        <v>5</v>
      </c>
      <c r="V19">
        <v>6</v>
      </c>
      <c r="W19" s="36">
        <v>3</v>
      </c>
      <c r="X19" s="32">
        <f t="shared" si="7"/>
        <v>3</v>
      </c>
      <c r="Y19">
        <v>7</v>
      </c>
      <c r="Z19" s="36">
        <v>3</v>
      </c>
      <c r="AA19" s="32">
        <f t="shared" si="8"/>
        <v>4</v>
      </c>
    </row>
    <row r="20" spans="1:27" x14ac:dyDescent="0.45">
      <c r="A20">
        <v>6</v>
      </c>
      <c r="B20" s="36">
        <v>2</v>
      </c>
      <c r="C20" s="32">
        <f t="shared" si="0"/>
        <v>4</v>
      </c>
      <c r="D20">
        <v>6</v>
      </c>
      <c r="E20" s="36">
        <v>2</v>
      </c>
      <c r="F20" s="32">
        <f t="shared" si="1"/>
        <v>4</v>
      </c>
      <c r="G20">
        <v>6</v>
      </c>
      <c r="H20" s="36">
        <v>1</v>
      </c>
      <c r="I20" s="32">
        <f t="shared" si="2"/>
        <v>5</v>
      </c>
      <c r="J20">
        <v>8</v>
      </c>
      <c r="K20" s="36">
        <v>4</v>
      </c>
      <c r="L20" s="32">
        <f t="shared" si="3"/>
        <v>4</v>
      </c>
      <c r="M20">
        <v>6</v>
      </c>
      <c r="N20" s="36">
        <v>2</v>
      </c>
      <c r="O20" s="32">
        <f t="shared" si="4"/>
        <v>4</v>
      </c>
      <c r="P20">
        <v>8</v>
      </c>
      <c r="Q20" s="36">
        <v>1</v>
      </c>
      <c r="R20" s="32">
        <f t="shared" si="5"/>
        <v>7</v>
      </c>
      <c r="S20">
        <v>6</v>
      </c>
      <c r="T20" s="36">
        <v>1</v>
      </c>
      <c r="U20" s="32">
        <f t="shared" si="6"/>
        <v>5</v>
      </c>
      <c r="V20">
        <v>6</v>
      </c>
      <c r="W20" s="36">
        <v>3</v>
      </c>
      <c r="X20" s="32">
        <f t="shared" si="7"/>
        <v>3</v>
      </c>
      <c r="Y20">
        <v>7</v>
      </c>
      <c r="Z20" s="36">
        <v>3</v>
      </c>
      <c r="AA20" s="32">
        <f t="shared" si="8"/>
        <v>4</v>
      </c>
    </row>
    <row r="21" spans="1:27" x14ac:dyDescent="0.45">
      <c r="A21">
        <v>6</v>
      </c>
      <c r="B21" s="36">
        <v>2</v>
      </c>
      <c r="C21" s="32">
        <f t="shared" si="0"/>
        <v>4</v>
      </c>
      <c r="D21">
        <v>6</v>
      </c>
      <c r="E21" s="36">
        <v>3</v>
      </c>
      <c r="F21" s="32">
        <f t="shared" si="1"/>
        <v>3</v>
      </c>
      <c r="G21">
        <v>6</v>
      </c>
      <c r="H21" s="36">
        <v>1</v>
      </c>
      <c r="I21" s="32">
        <f t="shared" si="2"/>
        <v>5</v>
      </c>
      <c r="J21">
        <v>8</v>
      </c>
      <c r="K21" s="36">
        <v>4</v>
      </c>
      <c r="L21" s="32">
        <f t="shared" si="3"/>
        <v>4</v>
      </c>
      <c r="M21">
        <v>6</v>
      </c>
      <c r="N21" s="36">
        <v>2</v>
      </c>
      <c r="O21" s="32">
        <f t="shared" si="4"/>
        <v>4</v>
      </c>
      <c r="P21">
        <v>8</v>
      </c>
      <c r="Q21" s="36">
        <v>1</v>
      </c>
      <c r="R21" s="32">
        <f t="shared" si="5"/>
        <v>7</v>
      </c>
      <c r="S21">
        <v>6</v>
      </c>
      <c r="T21" s="36">
        <v>1</v>
      </c>
      <c r="U21" s="32">
        <f t="shared" si="6"/>
        <v>5</v>
      </c>
      <c r="V21">
        <v>6</v>
      </c>
      <c r="W21" s="36">
        <v>3</v>
      </c>
      <c r="X21" s="32">
        <f t="shared" si="7"/>
        <v>3</v>
      </c>
      <c r="Y21">
        <v>7</v>
      </c>
      <c r="Z21" s="36">
        <v>3</v>
      </c>
      <c r="AA21" s="32">
        <f t="shared" si="8"/>
        <v>4</v>
      </c>
    </row>
    <row r="22" spans="1:27" x14ac:dyDescent="0.45">
      <c r="A22">
        <v>6</v>
      </c>
      <c r="B22" s="36">
        <v>3</v>
      </c>
      <c r="C22" s="32">
        <f t="shared" si="0"/>
        <v>3</v>
      </c>
      <c r="D22">
        <v>6</v>
      </c>
      <c r="E22" s="36">
        <v>3</v>
      </c>
      <c r="F22" s="32">
        <f t="shared" si="1"/>
        <v>3</v>
      </c>
      <c r="G22">
        <v>6</v>
      </c>
      <c r="H22" s="36">
        <v>1</v>
      </c>
      <c r="I22" s="32">
        <f t="shared" si="2"/>
        <v>5</v>
      </c>
      <c r="J22">
        <v>8</v>
      </c>
      <c r="K22" s="36">
        <v>4</v>
      </c>
      <c r="L22" s="32">
        <f t="shared" si="3"/>
        <v>4</v>
      </c>
      <c r="M22">
        <v>6</v>
      </c>
      <c r="N22" s="36">
        <v>2</v>
      </c>
      <c r="O22" s="32">
        <f t="shared" si="4"/>
        <v>4</v>
      </c>
      <c r="P22">
        <v>8</v>
      </c>
      <c r="Q22" s="36">
        <v>1</v>
      </c>
      <c r="R22" s="32">
        <f t="shared" si="5"/>
        <v>7</v>
      </c>
      <c r="S22">
        <v>6</v>
      </c>
      <c r="T22" s="36">
        <v>1</v>
      </c>
      <c r="U22" s="32">
        <f t="shared" si="6"/>
        <v>5</v>
      </c>
      <c r="V22">
        <v>6</v>
      </c>
      <c r="W22" s="36">
        <v>3</v>
      </c>
      <c r="X22" s="32">
        <f t="shared" si="7"/>
        <v>3</v>
      </c>
      <c r="Y22">
        <v>7</v>
      </c>
      <c r="Z22" s="36">
        <v>3</v>
      </c>
      <c r="AA22" s="32">
        <f t="shared" si="8"/>
        <v>4</v>
      </c>
    </row>
    <row r="23" spans="1:27" x14ac:dyDescent="0.45">
      <c r="A23">
        <v>6</v>
      </c>
      <c r="B23" s="36">
        <v>3</v>
      </c>
      <c r="C23" s="32">
        <f t="shared" si="0"/>
        <v>3</v>
      </c>
      <c r="D23">
        <v>6</v>
      </c>
      <c r="E23" s="36">
        <v>3</v>
      </c>
      <c r="F23" s="32">
        <f t="shared" si="1"/>
        <v>3</v>
      </c>
      <c r="G23">
        <v>6</v>
      </c>
      <c r="H23" s="36">
        <v>1</v>
      </c>
      <c r="I23" s="32">
        <f t="shared" si="2"/>
        <v>5</v>
      </c>
      <c r="J23">
        <v>8</v>
      </c>
      <c r="K23" s="36">
        <v>5</v>
      </c>
      <c r="L23" s="32">
        <f t="shared" si="3"/>
        <v>3</v>
      </c>
      <c r="M23">
        <v>6</v>
      </c>
      <c r="N23" s="36">
        <v>2</v>
      </c>
      <c r="O23" s="32">
        <f t="shared" si="4"/>
        <v>4</v>
      </c>
      <c r="P23">
        <v>8</v>
      </c>
      <c r="Q23" s="36">
        <v>1</v>
      </c>
      <c r="R23" s="32">
        <f t="shared" si="5"/>
        <v>7</v>
      </c>
      <c r="S23">
        <v>6</v>
      </c>
      <c r="T23" s="36">
        <v>1</v>
      </c>
      <c r="U23" s="32">
        <f t="shared" si="6"/>
        <v>5</v>
      </c>
      <c r="V23">
        <v>6</v>
      </c>
      <c r="W23" s="36">
        <v>3</v>
      </c>
      <c r="X23" s="32">
        <f t="shared" si="7"/>
        <v>3</v>
      </c>
      <c r="Y23">
        <v>8</v>
      </c>
      <c r="Z23" s="36">
        <v>3</v>
      </c>
      <c r="AA23" s="32">
        <f t="shared" si="8"/>
        <v>5</v>
      </c>
    </row>
    <row r="24" spans="1:27" x14ac:dyDescent="0.45">
      <c r="A24">
        <v>6</v>
      </c>
      <c r="B24" s="36">
        <v>3</v>
      </c>
      <c r="C24" s="32">
        <f t="shared" si="0"/>
        <v>3</v>
      </c>
      <c r="D24">
        <v>6</v>
      </c>
      <c r="E24" s="36">
        <v>3</v>
      </c>
      <c r="F24" s="32">
        <f t="shared" si="1"/>
        <v>3</v>
      </c>
      <c r="G24">
        <v>6</v>
      </c>
      <c r="H24" s="36">
        <v>1</v>
      </c>
      <c r="I24" s="32">
        <f t="shared" si="2"/>
        <v>5</v>
      </c>
      <c r="J24">
        <v>8</v>
      </c>
      <c r="K24" s="36">
        <v>5</v>
      </c>
      <c r="L24" s="32">
        <f t="shared" si="3"/>
        <v>3</v>
      </c>
      <c r="M24">
        <v>6</v>
      </c>
      <c r="N24" s="36">
        <v>2</v>
      </c>
      <c r="O24" s="32">
        <f t="shared" si="4"/>
        <v>4</v>
      </c>
      <c r="P24">
        <v>8</v>
      </c>
      <c r="Q24" s="36">
        <v>1</v>
      </c>
      <c r="R24" s="32">
        <f t="shared" si="5"/>
        <v>7</v>
      </c>
      <c r="S24">
        <v>6</v>
      </c>
      <c r="T24" s="36">
        <v>1</v>
      </c>
      <c r="U24" s="32">
        <f t="shared" si="6"/>
        <v>5</v>
      </c>
      <c r="V24">
        <v>6</v>
      </c>
      <c r="W24" s="36">
        <v>3</v>
      </c>
      <c r="X24" s="32">
        <f t="shared" si="7"/>
        <v>3</v>
      </c>
      <c r="Y24">
        <v>8</v>
      </c>
      <c r="Z24" s="36">
        <v>3</v>
      </c>
      <c r="AA24" s="32">
        <f t="shared" si="8"/>
        <v>5</v>
      </c>
    </row>
    <row r="25" spans="1:27" x14ac:dyDescent="0.45">
      <c r="A25">
        <v>6</v>
      </c>
      <c r="B25" s="36">
        <v>3</v>
      </c>
      <c r="C25" s="32">
        <f t="shared" si="0"/>
        <v>3</v>
      </c>
      <c r="D25">
        <v>6</v>
      </c>
      <c r="E25" s="36">
        <v>3</v>
      </c>
      <c r="F25" s="32">
        <f t="shared" si="1"/>
        <v>3</v>
      </c>
      <c r="G25">
        <v>6</v>
      </c>
      <c r="H25" s="36">
        <v>1</v>
      </c>
      <c r="I25" s="32">
        <f t="shared" si="2"/>
        <v>5</v>
      </c>
      <c r="J25">
        <v>8</v>
      </c>
      <c r="K25" s="36">
        <v>5</v>
      </c>
      <c r="L25" s="32">
        <f t="shared" si="3"/>
        <v>3</v>
      </c>
      <c r="M25">
        <v>6</v>
      </c>
      <c r="N25" s="36">
        <v>2</v>
      </c>
      <c r="O25" s="32">
        <f t="shared" si="4"/>
        <v>4</v>
      </c>
      <c r="P25">
        <v>8</v>
      </c>
      <c r="Q25" s="36">
        <v>2</v>
      </c>
      <c r="R25" s="32">
        <f t="shared" si="5"/>
        <v>6</v>
      </c>
      <c r="S25">
        <v>6</v>
      </c>
      <c r="T25" s="36">
        <v>1</v>
      </c>
      <c r="U25" s="32">
        <f t="shared" si="6"/>
        <v>5</v>
      </c>
      <c r="V25">
        <v>6</v>
      </c>
      <c r="W25" s="36">
        <v>3</v>
      </c>
      <c r="X25" s="32">
        <f t="shared" si="7"/>
        <v>3</v>
      </c>
      <c r="Y25">
        <v>8</v>
      </c>
      <c r="Z25" s="36">
        <v>4</v>
      </c>
      <c r="AA25" s="32">
        <f t="shared" si="8"/>
        <v>4</v>
      </c>
    </row>
    <row r="26" spans="1:27" x14ac:dyDescent="0.45">
      <c r="A26">
        <v>6</v>
      </c>
      <c r="B26">
        <v>3</v>
      </c>
      <c r="C26" s="32">
        <f t="shared" si="0"/>
        <v>3</v>
      </c>
      <c r="D26">
        <v>6</v>
      </c>
      <c r="E26" s="36">
        <v>3</v>
      </c>
      <c r="F26" s="32">
        <f t="shared" si="1"/>
        <v>3</v>
      </c>
      <c r="G26">
        <v>6</v>
      </c>
      <c r="H26" s="36">
        <v>1</v>
      </c>
      <c r="I26" s="32">
        <f t="shared" si="2"/>
        <v>5</v>
      </c>
      <c r="J26">
        <v>8</v>
      </c>
      <c r="K26" s="36">
        <v>5</v>
      </c>
      <c r="L26" s="32">
        <f t="shared" si="3"/>
        <v>3</v>
      </c>
      <c r="M26">
        <v>6</v>
      </c>
      <c r="N26" s="36">
        <v>3</v>
      </c>
      <c r="O26" s="32">
        <f t="shared" si="4"/>
        <v>3</v>
      </c>
      <c r="P26">
        <v>8</v>
      </c>
      <c r="Q26" s="36">
        <v>2</v>
      </c>
      <c r="R26" s="32">
        <f t="shared" si="5"/>
        <v>6</v>
      </c>
      <c r="S26">
        <v>6</v>
      </c>
      <c r="T26" s="36">
        <v>1</v>
      </c>
      <c r="U26" s="32">
        <f t="shared" si="6"/>
        <v>5</v>
      </c>
      <c r="V26">
        <v>6</v>
      </c>
      <c r="W26" s="36">
        <v>3</v>
      </c>
      <c r="X26" s="32">
        <f t="shared" si="7"/>
        <v>3</v>
      </c>
      <c r="Y26">
        <v>8</v>
      </c>
      <c r="Z26" s="36">
        <v>4</v>
      </c>
      <c r="AA26" s="32">
        <f t="shared" si="8"/>
        <v>4</v>
      </c>
    </row>
    <row r="27" spans="1:27" x14ac:dyDescent="0.45">
      <c r="A27">
        <v>6</v>
      </c>
      <c r="B27">
        <v>3</v>
      </c>
      <c r="C27" s="32">
        <f t="shared" si="0"/>
        <v>3</v>
      </c>
      <c r="D27">
        <v>6</v>
      </c>
      <c r="E27">
        <v>3</v>
      </c>
      <c r="F27" s="32">
        <f t="shared" si="1"/>
        <v>3</v>
      </c>
      <c r="G27">
        <v>6</v>
      </c>
      <c r="H27">
        <v>1</v>
      </c>
      <c r="I27" s="32">
        <f t="shared" si="2"/>
        <v>5</v>
      </c>
      <c r="J27">
        <v>8</v>
      </c>
      <c r="K27">
        <v>5</v>
      </c>
      <c r="L27" s="32">
        <f t="shared" si="3"/>
        <v>3</v>
      </c>
      <c r="M27">
        <v>6</v>
      </c>
      <c r="N27">
        <v>3</v>
      </c>
      <c r="O27" s="32">
        <f t="shared" si="4"/>
        <v>3</v>
      </c>
      <c r="P27">
        <v>8</v>
      </c>
      <c r="Q27">
        <v>2</v>
      </c>
      <c r="R27" s="32">
        <f t="shared" si="5"/>
        <v>6</v>
      </c>
      <c r="S27">
        <v>6</v>
      </c>
      <c r="T27">
        <v>1</v>
      </c>
      <c r="U27" s="32">
        <f t="shared" si="6"/>
        <v>5</v>
      </c>
      <c r="V27">
        <v>6</v>
      </c>
      <c r="W27">
        <v>3</v>
      </c>
      <c r="X27" s="32">
        <f t="shared" si="7"/>
        <v>3</v>
      </c>
      <c r="Y27">
        <v>8</v>
      </c>
      <c r="Z27">
        <v>4</v>
      </c>
      <c r="AA27" s="32">
        <f t="shared" si="8"/>
        <v>4</v>
      </c>
    </row>
    <row r="28" spans="1:27" x14ac:dyDescent="0.45">
      <c r="A28">
        <v>6</v>
      </c>
      <c r="B28">
        <v>3</v>
      </c>
      <c r="C28" s="32">
        <f t="shared" si="0"/>
        <v>3</v>
      </c>
      <c r="D28">
        <v>6</v>
      </c>
      <c r="E28">
        <v>3</v>
      </c>
      <c r="F28" s="32">
        <f t="shared" si="1"/>
        <v>3</v>
      </c>
      <c r="G28">
        <v>6</v>
      </c>
      <c r="H28">
        <v>1</v>
      </c>
      <c r="I28" s="32">
        <f t="shared" si="2"/>
        <v>5</v>
      </c>
      <c r="J28">
        <v>8</v>
      </c>
      <c r="K28">
        <v>5</v>
      </c>
      <c r="L28" s="32">
        <f t="shared" si="3"/>
        <v>3</v>
      </c>
      <c r="M28">
        <v>6</v>
      </c>
      <c r="N28">
        <v>3</v>
      </c>
      <c r="O28" s="32">
        <f t="shared" si="4"/>
        <v>3</v>
      </c>
      <c r="P28">
        <v>8</v>
      </c>
      <c r="Q28">
        <v>2</v>
      </c>
      <c r="R28" s="32">
        <f t="shared" si="5"/>
        <v>6</v>
      </c>
      <c r="S28">
        <v>6</v>
      </c>
      <c r="T28">
        <v>1</v>
      </c>
      <c r="U28" s="32">
        <f t="shared" si="6"/>
        <v>5</v>
      </c>
      <c r="V28">
        <v>6</v>
      </c>
      <c r="W28">
        <v>3</v>
      </c>
      <c r="X28" s="32">
        <f t="shared" si="7"/>
        <v>3</v>
      </c>
      <c r="Y28">
        <v>8</v>
      </c>
      <c r="Z28">
        <v>4</v>
      </c>
      <c r="AA28" s="32">
        <f t="shared" si="8"/>
        <v>4</v>
      </c>
    </row>
    <row r="29" spans="1:27" x14ac:dyDescent="0.45">
      <c r="A29">
        <v>6</v>
      </c>
      <c r="B29">
        <v>3</v>
      </c>
      <c r="C29" s="32">
        <f t="shared" si="0"/>
        <v>3</v>
      </c>
      <c r="D29">
        <v>6</v>
      </c>
      <c r="E29">
        <v>3</v>
      </c>
      <c r="F29" s="32">
        <f t="shared" si="1"/>
        <v>3</v>
      </c>
      <c r="G29">
        <v>6</v>
      </c>
      <c r="H29">
        <v>1</v>
      </c>
      <c r="I29" s="32">
        <f t="shared" si="2"/>
        <v>5</v>
      </c>
      <c r="J29">
        <v>8</v>
      </c>
      <c r="K29">
        <v>5</v>
      </c>
      <c r="L29" s="32">
        <f t="shared" si="3"/>
        <v>3</v>
      </c>
      <c r="M29">
        <v>6</v>
      </c>
      <c r="N29">
        <v>3</v>
      </c>
      <c r="O29" s="32">
        <f t="shared" si="4"/>
        <v>3</v>
      </c>
      <c r="P29">
        <v>8</v>
      </c>
      <c r="Q29">
        <v>2</v>
      </c>
      <c r="R29" s="32">
        <f t="shared" si="5"/>
        <v>6</v>
      </c>
      <c r="S29">
        <v>6</v>
      </c>
      <c r="T29">
        <v>1</v>
      </c>
      <c r="U29" s="32">
        <f t="shared" si="6"/>
        <v>5</v>
      </c>
      <c r="V29">
        <v>6</v>
      </c>
      <c r="W29">
        <v>3</v>
      </c>
      <c r="X29" s="32">
        <f t="shared" si="7"/>
        <v>3</v>
      </c>
      <c r="Y29">
        <v>8</v>
      </c>
      <c r="Z29">
        <v>4</v>
      </c>
      <c r="AA29" s="32">
        <f t="shared" si="8"/>
        <v>4</v>
      </c>
    </row>
    <row r="30" spans="1:27" x14ac:dyDescent="0.45">
      <c r="A30">
        <v>6</v>
      </c>
      <c r="B30">
        <v>4</v>
      </c>
      <c r="C30" s="32">
        <f t="shared" si="0"/>
        <v>2</v>
      </c>
      <c r="D30">
        <v>6</v>
      </c>
      <c r="E30">
        <v>3</v>
      </c>
      <c r="F30" s="32">
        <f t="shared" si="1"/>
        <v>3</v>
      </c>
      <c r="G30">
        <v>6</v>
      </c>
      <c r="H30">
        <v>1</v>
      </c>
      <c r="I30" s="32">
        <f t="shared" si="2"/>
        <v>5</v>
      </c>
      <c r="J30">
        <v>8</v>
      </c>
      <c r="K30">
        <v>5</v>
      </c>
      <c r="L30" s="32">
        <f t="shared" si="3"/>
        <v>3</v>
      </c>
      <c r="M30">
        <v>6</v>
      </c>
      <c r="N30">
        <v>3</v>
      </c>
      <c r="O30" s="32">
        <f t="shared" si="4"/>
        <v>3</v>
      </c>
      <c r="P30">
        <v>8</v>
      </c>
      <c r="Q30">
        <v>2</v>
      </c>
      <c r="R30" s="32">
        <f t="shared" si="5"/>
        <v>6</v>
      </c>
      <c r="S30">
        <v>6</v>
      </c>
      <c r="T30">
        <v>1</v>
      </c>
      <c r="U30" s="32">
        <f t="shared" si="6"/>
        <v>5</v>
      </c>
      <c r="V30">
        <v>6</v>
      </c>
      <c r="W30">
        <v>3</v>
      </c>
      <c r="X30" s="32">
        <f t="shared" si="7"/>
        <v>3</v>
      </c>
      <c r="Y30">
        <v>8</v>
      </c>
      <c r="Z30">
        <v>4</v>
      </c>
      <c r="AA30" s="32">
        <f t="shared" si="8"/>
        <v>4</v>
      </c>
    </row>
    <row r="31" spans="1:27" x14ac:dyDescent="0.45">
      <c r="A31">
        <v>6</v>
      </c>
      <c r="B31">
        <v>4</v>
      </c>
      <c r="C31" s="32">
        <f t="shared" si="0"/>
        <v>2</v>
      </c>
      <c r="D31">
        <v>6</v>
      </c>
      <c r="E31">
        <v>4</v>
      </c>
      <c r="F31" s="32">
        <f t="shared" si="1"/>
        <v>2</v>
      </c>
      <c r="G31">
        <v>6</v>
      </c>
      <c r="H31">
        <v>2</v>
      </c>
      <c r="I31" s="32">
        <f t="shared" si="2"/>
        <v>4</v>
      </c>
      <c r="J31">
        <v>8</v>
      </c>
      <c r="K31">
        <v>5</v>
      </c>
      <c r="L31" s="32">
        <f t="shared" si="3"/>
        <v>3</v>
      </c>
      <c r="M31">
        <v>6</v>
      </c>
      <c r="N31">
        <v>3</v>
      </c>
      <c r="O31" s="32">
        <f t="shared" si="4"/>
        <v>3</v>
      </c>
      <c r="P31">
        <v>8</v>
      </c>
      <c r="Q31">
        <v>2</v>
      </c>
      <c r="R31" s="32">
        <f t="shared" si="5"/>
        <v>6</v>
      </c>
      <c r="S31">
        <v>6</v>
      </c>
      <c r="T31">
        <v>1</v>
      </c>
      <c r="U31" s="32">
        <f t="shared" si="6"/>
        <v>5</v>
      </c>
      <c r="V31">
        <v>6</v>
      </c>
      <c r="W31">
        <v>3</v>
      </c>
      <c r="X31" s="32">
        <f t="shared" si="7"/>
        <v>3</v>
      </c>
      <c r="Y31">
        <v>8</v>
      </c>
      <c r="Z31">
        <v>4</v>
      </c>
      <c r="AA31" s="32">
        <f t="shared" si="8"/>
        <v>4</v>
      </c>
    </row>
    <row r="32" spans="1:27" x14ac:dyDescent="0.45">
      <c r="A32">
        <v>6</v>
      </c>
      <c r="B32">
        <v>4</v>
      </c>
      <c r="C32" s="32">
        <f t="shared" si="0"/>
        <v>2</v>
      </c>
      <c r="D32">
        <v>6</v>
      </c>
      <c r="E32">
        <v>4</v>
      </c>
      <c r="F32" s="32">
        <f t="shared" si="1"/>
        <v>2</v>
      </c>
      <c r="G32">
        <v>6</v>
      </c>
      <c r="H32">
        <v>2</v>
      </c>
      <c r="I32" s="32">
        <f t="shared" si="2"/>
        <v>4</v>
      </c>
      <c r="J32">
        <v>8</v>
      </c>
      <c r="K32">
        <v>5</v>
      </c>
      <c r="L32" s="32">
        <f t="shared" si="3"/>
        <v>3</v>
      </c>
      <c r="M32">
        <v>6</v>
      </c>
      <c r="N32">
        <v>3</v>
      </c>
      <c r="O32" s="32">
        <f t="shared" si="4"/>
        <v>3</v>
      </c>
      <c r="P32">
        <v>8</v>
      </c>
      <c r="Q32">
        <v>2</v>
      </c>
      <c r="R32" s="32">
        <f t="shared" si="5"/>
        <v>6</v>
      </c>
      <c r="S32">
        <v>7</v>
      </c>
      <c r="T32">
        <v>1</v>
      </c>
      <c r="U32" s="32">
        <f t="shared" si="6"/>
        <v>6</v>
      </c>
      <c r="V32">
        <v>6</v>
      </c>
      <c r="W32">
        <v>3</v>
      </c>
      <c r="X32" s="32">
        <f t="shared" si="7"/>
        <v>3</v>
      </c>
      <c r="Y32">
        <v>8</v>
      </c>
      <c r="Z32">
        <v>4</v>
      </c>
      <c r="AA32" s="32">
        <f t="shared" si="8"/>
        <v>4</v>
      </c>
    </row>
    <row r="33" spans="1:27" x14ac:dyDescent="0.45">
      <c r="A33">
        <v>6</v>
      </c>
      <c r="B33">
        <v>4</v>
      </c>
      <c r="C33" s="32">
        <f t="shared" si="0"/>
        <v>2</v>
      </c>
      <c r="D33">
        <v>6</v>
      </c>
      <c r="E33">
        <v>4</v>
      </c>
      <c r="F33" s="32">
        <f t="shared" si="1"/>
        <v>2</v>
      </c>
      <c r="G33">
        <v>6</v>
      </c>
      <c r="H33">
        <v>2</v>
      </c>
      <c r="I33" s="32">
        <f t="shared" si="2"/>
        <v>4</v>
      </c>
      <c r="J33">
        <v>8</v>
      </c>
      <c r="K33">
        <v>5</v>
      </c>
      <c r="L33" s="32">
        <f t="shared" si="3"/>
        <v>3</v>
      </c>
      <c r="M33">
        <v>6</v>
      </c>
      <c r="N33">
        <v>3</v>
      </c>
      <c r="O33" s="32">
        <f t="shared" si="4"/>
        <v>3</v>
      </c>
      <c r="P33">
        <v>8</v>
      </c>
      <c r="Q33">
        <v>3</v>
      </c>
      <c r="R33" s="32">
        <f t="shared" si="5"/>
        <v>5</v>
      </c>
      <c r="S33">
        <v>7</v>
      </c>
      <c r="T33">
        <v>1</v>
      </c>
      <c r="U33" s="32">
        <f t="shared" si="6"/>
        <v>6</v>
      </c>
      <c r="V33">
        <v>6</v>
      </c>
      <c r="W33">
        <v>4</v>
      </c>
      <c r="X33" s="32">
        <f t="shared" si="7"/>
        <v>2</v>
      </c>
      <c r="Y33">
        <v>8</v>
      </c>
      <c r="Z33">
        <v>4</v>
      </c>
      <c r="AA33" s="32">
        <f t="shared" si="8"/>
        <v>4</v>
      </c>
    </row>
    <row r="34" spans="1:27" x14ac:dyDescent="0.45">
      <c r="A34">
        <v>6</v>
      </c>
      <c r="B34">
        <v>4</v>
      </c>
      <c r="C34" s="32">
        <f t="shared" si="0"/>
        <v>2</v>
      </c>
      <c r="D34">
        <v>6</v>
      </c>
      <c r="E34">
        <v>4</v>
      </c>
      <c r="F34" s="32">
        <f t="shared" si="1"/>
        <v>2</v>
      </c>
      <c r="G34">
        <v>6</v>
      </c>
      <c r="H34">
        <v>2</v>
      </c>
      <c r="I34" s="32">
        <f t="shared" si="2"/>
        <v>4</v>
      </c>
      <c r="J34">
        <v>8</v>
      </c>
      <c r="K34">
        <v>5</v>
      </c>
      <c r="L34" s="32">
        <f t="shared" si="3"/>
        <v>3</v>
      </c>
      <c r="M34">
        <v>6</v>
      </c>
      <c r="N34">
        <v>3</v>
      </c>
      <c r="O34" s="32">
        <f t="shared" si="4"/>
        <v>3</v>
      </c>
      <c r="P34">
        <v>8</v>
      </c>
      <c r="Q34">
        <v>3</v>
      </c>
      <c r="R34" s="32">
        <f t="shared" si="5"/>
        <v>5</v>
      </c>
      <c r="S34">
        <v>7</v>
      </c>
      <c r="T34">
        <v>1</v>
      </c>
      <c r="U34" s="32">
        <f t="shared" si="6"/>
        <v>6</v>
      </c>
      <c r="V34">
        <v>6</v>
      </c>
      <c r="W34">
        <v>4</v>
      </c>
      <c r="X34" s="32">
        <f t="shared" si="7"/>
        <v>2</v>
      </c>
      <c r="Y34">
        <v>8</v>
      </c>
      <c r="Z34">
        <v>4</v>
      </c>
      <c r="AA34" s="32">
        <f t="shared" si="8"/>
        <v>4</v>
      </c>
    </row>
    <row r="35" spans="1:27" x14ac:dyDescent="0.45">
      <c r="A35">
        <v>6</v>
      </c>
      <c r="B35">
        <v>4</v>
      </c>
      <c r="C35" s="32">
        <f t="shared" si="0"/>
        <v>2</v>
      </c>
      <c r="D35">
        <v>6</v>
      </c>
      <c r="E35">
        <v>4</v>
      </c>
      <c r="F35" s="32">
        <f t="shared" si="1"/>
        <v>2</v>
      </c>
      <c r="G35">
        <v>6</v>
      </c>
      <c r="H35">
        <v>2</v>
      </c>
      <c r="I35" s="32">
        <f t="shared" si="2"/>
        <v>4</v>
      </c>
      <c r="J35">
        <v>8</v>
      </c>
      <c r="K35">
        <v>5</v>
      </c>
      <c r="L35" s="32">
        <f t="shared" si="3"/>
        <v>3</v>
      </c>
      <c r="M35">
        <v>6</v>
      </c>
      <c r="N35">
        <v>3</v>
      </c>
      <c r="O35" s="32">
        <f t="shared" si="4"/>
        <v>3</v>
      </c>
      <c r="P35">
        <v>8</v>
      </c>
      <c r="Q35">
        <v>3</v>
      </c>
      <c r="R35" s="32">
        <f t="shared" si="5"/>
        <v>5</v>
      </c>
      <c r="S35">
        <v>7</v>
      </c>
      <c r="T35">
        <v>1</v>
      </c>
      <c r="U35" s="32">
        <f t="shared" si="6"/>
        <v>6</v>
      </c>
      <c r="V35">
        <v>6</v>
      </c>
      <c r="W35">
        <v>4</v>
      </c>
      <c r="X35" s="32">
        <f t="shared" si="7"/>
        <v>2</v>
      </c>
      <c r="Y35">
        <v>8</v>
      </c>
      <c r="Z35">
        <v>4</v>
      </c>
      <c r="AA35" s="32">
        <f t="shared" si="8"/>
        <v>4</v>
      </c>
    </row>
    <row r="36" spans="1:27" x14ac:dyDescent="0.45">
      <c r="A36">
        <v>6</v>
      </c>
      <c r="B36">
        <v>4</v>
      </c>
      <c r="C36" s="32">
        <f t="shared" si="0"/>
        <v>2</v>
      </c>
      <c r="D36">
        <v>6</v>
      </c>
      <c r="E36">
        <v>4</v>
      </c>
      <c r="F36" s="32">
        <f t="shared" si="1"/>
        <v>2</v>
      </c>
      <c r="G36">
        <v>7</v>
      </c>
      <c r="H36">
        <v>2</v>
      </c>
      <c r="I36" s="32">
        <f t="shared" si="2"/>
        <v>5</v>
      </c>
      <c r="J36">
        <v>8</v>
      </c>
      <c r="K36">
        <v>5</v>
      </c>
      <c r="L36" s="32">
        <f t="shared" si="3"/>
        <v>3</v>
      </c>
      <c r="M36">
        <v>6</v>
      </c>
      <c r="N36">
        <v>3</v>
      </c>
      <c r="O36" s="32">
        <f t="shared" si="4"/>
        <v>3</v>
      </c>
      <c r="P36">
        <v>8</v>
      </c>
      <c r="Q36">
        <v>3</v>
      </c>
      <c r="R36" s="32">
        <f t="shared" si="5"/>
        <v>5</v>
      </c>
      <c r="S36">
        <v>7</v>
      </c>
      <c r="T36">
        <v>1</v>
      </c>
      <c r="U36" s="32">
        <f t="shared" si="6"/>
        <v>6</v>
      </c>
      <c r="V36">
        <v>6</v>
      </c>
      <c r="W36">
        <v>4</v>
      </c>
      <c r="X36" s="32">
        <f t="shared" si="7"/>
        <v>2</v>
      </c>
      <c r="Y36">
        <v>8</v>
      </c>
      <c r="Z36">
        <v>4</v>
      </c>
      <c r="AA36" s="32">
        <f t="shared" si="8"/>
        <v>4</v>
      </c>
    </row>
    <row r="37" spans="1:27" x14ac:dyDescent="0.45">
      <c r="A37">
        <v>6</v>
      </c>
      <c r="B37">
        <v>4</v>
      </c>
      <c r="C37" s="32">
        <f t="shared" si="0"/>
        <v>2</v>
      </c>
      <c r="D37">
        <v>6</v>
      </c>
      <c r="E37">
        <v>4</v>
      </c>
      <c r="F37" s="32">
        <f t="shared" si="1"/>
        <v>2</v>
      </c>
      <c r="G37">
        <v>7</v>
      </c>
      <c r="H37">
        <v>2</v>
      </c>
      <c r="I37" s="32">
        <f t="shared" si="2"/>
        <v>5</v>
      </c>
      <c r="J37">
        <v>8</v>
      </c>
      <c r="K37">
        <v>5</v>
      </c>
      <c r="L37" s="32">
        <f t="shared" si="3"/>
        <v>3</v>
      </c>
      <c r="M37">
        <v>6</v>
      </c>
      <c r="N37">
        <v>3</v>
      </c>
      <c r="O37" s="32">
        <f t="shared" si="4"/>
        <v>3</v>
      </c>
      <c r="P37">
        <v>8</v>
      </c>
      <c r="Q37">
        <v>3</v>
      </c>
      <c r="R37" s="32">
        <f t="shared" si="5"/>
        <v>5</v>
      </c>
      <c r="S37">
        <v>7</v>
      </c>
      <c r="T37">
        <v>2</v>
      </c>
      <c r="U37" s="32">
        <f t="shared" si="6"/>
        <v>5</v>
      </c>
      <c r="V37">
        <v>6</v>
      </c>
      <c r="W37">
        <v>4</v>
      </c>
      <c r="X37" s="32">
        <f t="shared" si="7"/>
        <v>2</v>
      </c>
      <c r="Y37">
        <v>8</v>
      </c>
      <c r="Z37">
        <v>5</v>
      </c>
      <c r="AA37" s="32">
        <f t="shared" si="8"/>
        <v>3</v>
      </c>
    </row>
    <row r="38" spans="1:27" x14ac:dyDescent="0.45">
      <c r="A38">
        <v>6</v>
      </c>
      <c r="B38">
        <v>4</v>
      </c>
      <c r="C38" s="32">
        <f t="shared" si="0"/>
        <v>2</v>
      </c>
      <c r="D38">
        <v>6</v>
      </c>
      <c r="E38">
        <v>4</v>
      </c>
      <c r="F38" s="32">
        <f t="shared" si="1"/>
        <v>2</v>
      </c>
      <c r="G38">
        <v>7</v>
      </c>
      <c r="H38">
        <v>2</v>
      </c>
      <c r="I38" s="32">
        <f t="shared" si="2"/>
        <v>5</v>
      </c>
      <c r="J38">
        <v>8</v>
      </c>
      <c r="K38">
        <v>5</v>
      </c>
      <c r="L38" s="32">
        <f t="shared" si="3"/>
        <v>3</v>
      </c>
      <c r="M38">
        <v>6</v>
      </c>
      <c r="N38">
        <v>3</v>
      </c>
      <c r="O38" s="32">
        <f t="shared" si="4"/>
        <v>3</v>
      </c>
      <c r="P38">
        <v>8</v>
      </c>
      <c r="Q38">
        <v>3</v>
      </c>
      <c r="R38" s="32">
        <f t="shared" si="5"/>
        <v>5</v>
      </c>
      <c r="S38">
        <v>7</v>
      </c>
      <c r="T38">
        <v>2</v>
      </c>
      <c r="U38" s="32">
        <f t="shared" si="6"/>
        <v>5</v>
      </c>
      <c r="V38">
        <v>6</v>
      </c>
      <c r="W38">
        <v>4</v>
      </c>
      <c r="X38" s="32">
        <f t="shared" si="7"/>
        <v>2</v>
      </c>
      <c r="Y38">
        <v>8</v>
      </c>
      <c r="Z38">
        <v>5</v>
      </c>
      <c r="AA38" s="32">
        <f t="shared" si="8"/>
        <v>3</v>
      </c>
    </row>
    <row r="39" spans="1:27" x14ac:dyDescent="0.45">
      <c r="A39">
        <v>6</v>
      </c>
      <c r="B39">
        <v>4</v>
      </c>
      <c r="C39" s="32">
        <f t="shared" si="0"/>
        <v>2</v>
      </c>
      <c r="D39">
        <v>6</v>
      </c>
      <c r="E39">
        <v>4</v>
      </c>
      <c r="F39" s="32">
        <f t="shared" si="1"/>
        <v>2</v>
      </c>
      <c r="G39">
        <v>7</v>
      </c>
      <c r="H39">
        <v>2</v>
      </c>
      <c r="I39" s="32">
        <f t="shared" si="2"/>
        <v>5</v>
      </c>
      <c r="J39">
        <v>8</v>
      </c>
      <c r="K39">
        <v>5</v>
      </c>
      <c r="L39" s="32">
        <f t="shared" si="3"/>
        <v>3</v>
      </c>
      <c r="M39">
        <v>6</v>
      </c>
      <c r="N39">
        <v>3</v>
      </c>
      <c r="O39" s="32">
        <f t="shared" si="4"/>
        <v>3</v>
      </c>
      <c r="P39">
        <v>8</v>
      </c>
      <c r="Q39">
        <v>3</v>
      </c>
      <c r="R39" s="32">
        <f t="shared" si="5"/>
        <v>5</v>
      </c>
      <c r="S39">
        <v>7</v>
      </c>
      <c r="T39">
        <v>2</v>
      </c>
      <c r="U39" s="32">
        <f t="shared" si="6"/>
        <v>5</v>
      </c>
      <c r="V39">
        <v>6</v>
      </c>
      <c r="W39">
        <v>4</v>
      </c>
      <c r="X39" s="32">
        <f t="shared" si="7"/>
        <v>2</v>
      </c>
      <c r="Y39">
        <v>8</v>
      </c>
      <c r="Z39">
        <v>5</v>
      </c>
      <c r="AA39" s="32">
        <f t="shared" si="8"/>
        <v>3</v>
      </c>
    </row>
    <row r="40" spans="1:27" x14ac:dyDescent="0.45">
      <c r="A40">
        <v>6</v>
      </c>
      <c r="B40">
        <v>4</v>
      </c>
      <c r="C40" s="32">
        <f t="shared" si="0"/>
        <v>2</v>
      </c>
      <c r="D40">
        <v>6</v>
      </c>
      <c r="E40">
        <v>4</v>
      </c>
      <c r="F40" s="32">
        <f t="shared" si="1"/>
        <v>2</v>
      </c>
      <c r="G40">
        <v>7</v>
      </c>
      <c r="H40">
        <v>2</v>
      </c>
      <c r="I40" s="32">
        <f t="shared" si="2"/>
        <v>5</v>
      </c>
      <c r="J40">
        <v>8</v>
      </c>
      <c r="K40">
        <v>5</v>
      </c>
      <c r="L40" s="32">
        <f t="shared" si="3"/>
        <v>3</v>
      </c>
      <c r="M40">
        <v>6</v>
      </c>
      <c r="N40">
        <v>3</v>
      </c>
      <c r="O40" s="32">
        <f t="shared" si="4"/>
        <v>3</v>
      </c>
      <c r="P40">
        <v>8</v>
      </c>
      <c r="Q40">
        <v>3</v>
      </c>
      <c r="R40" s="32">
        <f t="shared" si="5"/>
        <v>5</v>
      </c>
      <c r="S40">
        <v>7</v>
      </c>
      <c r="T40">
        <v>2</v>
      </c>
      <c r="U40" s="32">
        <f t="shared" si="6"/>
        <v>5</v>
      </c>
      <c r="V40">
        <v>6</v>
      </c>
      <c r="W40">
        <v>4</v>
      </c>
      <c r="X40" s="32">
        <f t="shared" si="7"/>
        <v>2</v>
      </c>
      <c r="Y40">
        <v>8</v>
      </c>
      <c r="Z40">
        <v>5</v>
      </c>
      <c r="AA40" s="32">
        <f t="shared" si="8"/>
        <v>3</v>
      </c>
    </row>
    <row r="41" spans="1:27" x14ac:dyDescent="0.45">
      <c r="A41">
        <v>6</v>
      </c>
      <c r="B41">
        <v>4</v>
      </c>
      <c r="C41" s="32">
        <f t="shared" si="0"/>
        <v>2</v>
      </c>
      <c r="D41">
        <v>6</v>
      </c>
      <c r="E41">
        <v>4</v>
      </c>
      <c r="F41" s="32">
        <f t="shared" si="1"/>
        <v>2</v>
      </c>
      <c r="G41">
        <v>7</v>
      </c>
      <c r="H41">
        <v>2</v>
      </c>
      <c r="I41" s="32">
        <f t="shared" si="2"/>
        <v>5</v>
      </c>
      <c r="J41">
        <v>8</v>
      </c>
      <c r="K41">
        <v>5</v>
      </c>
      <c r="L41" s="32">
        <f t="shared" si="3"/>
        <v>3</v>
      </c>
      <c r="M41">
        <v>6</v>
      </c>
      <c r="N41">
        <v>3</v>
      </c>
      <c r="O41" s="32">
        <f t="shared" si="4"/>
        <v>3</v>
      </c>
      <c r="P41">
        <v>8</v>
      </c>
      <c r="Q41">
        <v>3</v>
      </c>
      <c r="R41" s="32">
        <f t="shared" si="5"/>
        <v>5</v>
      </c>
      <c r="S41">
        <v>7</v>
      </c>
      <c r="T41">
        <v>2</v>
      </c>
      <c r="U41" s="32">
        <f t="shared" si="6"/>
        <v>5</v>
      </c>
      <c r="V41">
        <v>6</v>
      </c>
      <c r="W41">
        <v>4</v>
      </c>
      <c r="X41" s="32">
        <f t="shared" si="7"/>
        <v>2</v>
      </c>
      <c r="Y41">
        <v>8</v>
      </c>
      <c r="Z41">
        <v>5</v>
      </c>
      <c r="AA41" s="32">
        <f t="shared" si="8"/>
        <v>3</v>
      </c>
    </row>
    <row r="42" spans="1:27" x14ac:dyDescent="0.45">
      <c r="A42">
        <v>6</v>
      </c>
      <c r="B42">
        <v>4</v>
      </c>
      <c r="C42" s="32">
        <f t="shared" si="0"/>
        <v>2</v>
      </c>
      <c r="D42">
        <v>6</v>
      </c>
      <c r="E42">
        <v>4</v>
      </c>
      <c r="F42" s="32">
        <f t="shared" si="1"/>
        <v>2</v>
      </c>
      <c r="G42">
        <v>7</v>
      </c>
      <c r="H42">
        <v>3</v>
      </c>
      <c r="I42" s="32">
        <f t="shared" si="2"/>
        <v>4</v>
      </c>
      <c r="J42">
        <v>8</v>
      </c>
      <c r="K42">
        <v>5</v>
      </c>
      <c r="L42" s="32">
        <f t="shared" si="3"/>
        <v>3</v>
      </c>
      <c r="M42">
        <v>7</v>
      </c>
      <c r="N42">
        <v>4</v>
      </c>
      <c r="O42" s="32">
        <f t="shared" si="4"/>
        <v>3</v>
      </c>
      <c r="P42">
        <v>8</v>
      </c>
      <c r="Q42">
        <v>3</v>
      </c>
      <c r="R42" s="32">
        <f t="shared" si="5"/>
        <v>5</v>
      </c>
      <c r="S42">
        <v>7</v>
      </c>
      <c r="T42">
        <v>2</v>
      </c>
      <c r="U42" s="32">
        <f t="shared" si="6"/>
        <v>5</v>
      </c>
      <c r="V42">
        <v>6</v>
      </c>
      <c r="W42">
        <v>4</v>
      </c>
      <c r="X42" s="32">
        <f t="shared" si="7"/>
        <v>2</v>
      </c>
      <c r="Y42">
        <v>8</v>
      </c>
      <c r="Z42">
        <v>5</v>
      </c>
      <c r="AA42" s="32">
        <f t="shared" si="8"/>
        <v>3</v>
      </c>
    </row>
    <row r="43" spans="1:27" x14ac:dyDescent="0.45">
      <c r="A43">
        <v>6</v>
      </c>
      <c r="B43">
        <v>4</v>
      </c>
      <c r="C43" s="32">
        <f t="shared" si="0"/>
        <v>2</v>
      </c>
      <c r="D43">
        <v>6</v>
      </c>
      <c r="E43">
        <v>4</v>
      </c>
      <c r="F43" s="32">
        <f t="shared" si="1"/>
        <v>2</v>
      </c>
      <c r="G43">
        <v>7</v>
      </c>
      <c r="H43">
        <v>3</v>
      </c>
      <c r="I43" s="32">
        <f t="shared" si="2"/>
        <v>4</v>
      </c>
      <c r="J43">
        <v>8</v>
      </c>
      <c r="K43">
        <v>5</v>
      </c>
      <c r="L43" s="32">
        <f t="shared" si="3"/>
        <v>3</v>
      </c>
      <c r="M43">
        <v>7</v>
      </c>
      <c r="N43">
        <v>4</v>
      </c>
      <c r="O43" s="32">
        <f t="shared" si="4"/>
        <v>3</v>
      </c>
      <c r="P43">
        <v>8</v>
      </c>
      <c r="Q43">
        <v>3</v>
      </c>
      <c r="R43" s="32">
        <f t="shared" si="5"/>
        <v>5</v>
      </c>
      <c r="S43">
        <v>7</v>
      </c>
      <c r="T43">
        <v>2</v>
      </c>
      <c r="U43" s="32">
        <f t="shared" si="6"/>
        <v>5</v>
      </c>
      <c r="V43">
        <v>6</v>
      </c>
      <c r="W43">
        <v>4</v>
      </c>
      <c r="X43" s="32">
        <f t="shared" si="7"/>
        <v>2</v>
      </c>
      <c r="Y43">
        <v>8</v>
      </c>
      <c r="Z43">
        <v>5</v>
      </c>
      <c r="AA43" s="32">
        <f t="shared" si="8"/>
        <v>3</v>
      </c>
    </row>
    <row r="44" spans="1:27" x14ac:dyDescent="0.45">
      <c r="A44">
        <v>6</v>
      </c>
      <c r="B44">
        <v>4</v>
      </c>
      <c r="C44" s="32">
        <f t="shared" si="0"/>
        <v>2</v>
      </c>
      <c r="D44">
        <v>6</v>
      </c>
      <c r="E44">
        <v>4</v>
      </c>
      <c r="F44" s="32">
        <f t="shared" si="1"/>
        <v>2</v>
      </c>
      <c r="G44">
        <v>7</v>
      </c>
      <c r="H44">
        <v>3</v>
      </c>
      <c r="I44" s="32">
        <f t="shared" si="2"/>
        <v>4</v>
      </c>
      <c r="J44">
        <v>8</v>
      </c>
      <c r="K44">
        <v>5</v>
      </c>
      <c r="L44" s="32">
        <f t="shared" si="3"/>
        <v>3</v>
      </c>
      <c r="M44">
        <v>7</v>
      </c>
      <c r="N44">
        <v>4</v>
      </c>
      <c r="O44" s="32">
        <f t="shared" si="4"/>
        <v>3</v>
      </c>
      <c r="P44">
        <v>8</v>
      </c>
      <c r="Q44">
        <v>3</v>
      </c>
      <c r="R44" s="32">
        <f t="shared" si="5"/>
        <v>5</v>
      </c>
      <c r="S44">
        <v>7</v>
      </c>
      <c r="T44">
        <v>2</v>
      </c>
      <c r="U44" s="32">
        <f t="shared" si="6"/>
        <v>5</v>
      </c>
      <c r="V44">
        <v>6</v>
      </c>
      <c r="W44">
        <v>4</v>
      </c>
      <c r="X44" s="32">
        <f t="shared" si="7"/>
        <v>2</v>
      </c>
      <c r="Y44">
        <v>8</v>
      </c>
      <c r="Z44">
        <v>5</v>
      </c>
      <c r="AA44" s="32">
        <f t="shared" si="8"/>
        <v>3</v>
      </c>
    </row>
    <row r="45" spans="1:27" x14ac:dyDescent="0.45">
      <c r="A45">
        <v>6</v>
      </c>
      <c r="B45">
        <v>4</v>
      </c>
      <c r="C45" s="32">
        <f t="shared" si="0"/>
        <v>2</v>
      </c>
      <c r="D45">
        <v>6</v>
      </c>
      <c r="E45">
        <v>4</v>
      </c>
      <c r="F45" s="32">
        <f t="shared" si="1"/>
        <v>2</v>
      </c>
      <c r="G45">
        <v>7</v>
      </c>
      <c r="H45">
        <v>3</v>
      </c>
      <c r="I45" s="32">
        <f t="shared" si="2"/>
        <v>4</v>
      </c>
      <c r="J45">
        <v>8</v>
      </c>
      <c r="K45">
        <v>5</v>
      </c>
      <c r="L45" s="32">
        <f t="shared" si="3"/>
        <v>3</v>
      </c>
      <c r="M45">
        <v>7</v>
      </c>
      <c r="N45">
        <v>4</v>
      </c>
      <c r="O45" s="32">
        <f t="shared" si="4"/>
        <v>3</v>
      </c>
      <c r="P45">
        <v>8</v>
      </c>
      <c r="Q45">
        <v>3</v>
      </c>
      <c r="R45" s="32">
        <f t="shared" si="5"/>
        <v>5</v>
      </c>
      <c r="S45">
        <v>7</v>
      </c>
      <c r="T45">
        <v>2</v>
      </c>
      <c r="U45" s="32">
        <f t="shared" si="6"/>
        <v>5</v>
      </c>
      <c r="V45">
        <v>6</v>
      </c>
      <c r="W45">
        <v>4</v>
      </c>
      <c r="X45" s="32">
        <f t="shared" si="7"/>
        <v>2</v>
      </c>
      <c r="Y45">
        <v>8</v>
      </c>
      <c r="Z45">
        <v>5</v>
      </c>
      <c r="AA45" s="32">
        <f t="shared" si="8"/>
        <v>3</v>
      </c>
    </row>
    <row r="46" spans="1:27" x14ac:dyDescent="0.45">
      <c r="A46">
        <v>6</v>
      </c>
      <c r="B46">
        <v>4</v>
      </c>
      <c r="C46" s="32">
        <f t="shared" si="0"/>
        <v>2</v>
      </c>
      <c r="D46">
        <v>6</v>
      </c>
      <c r="E46">
        <v>4</v>
      </c>
      <c r="F46" s="32">
        <f t="shared" si="1"/>
        <v>2</v>
      </c>
      <c r="G46">
        <v>7</v>
      </c>
      <c r="H46">
        <v>3</v>
      </c>
      <c r="I46" s="32">
        <f t="shared" si="2"/>
        <v>4</v>
      </c>
      <c r="J46">
        <v>8</v>
      </c>
      <c r="K46">
        <v>5</v>
      </c>
      <c r="L46" s="32">
        <f t="shared" si="3"/>
        <v>3</v>
      </c>
      <c r="M46">
        <v>7</v>
      </c>
      <c r="N46">
        <v>4</v>
      </c>
      <c r="O46" s="32">
        <f t="shared" si="4"/>
        <v>3</v>
      </c>
      <c r="P46">
        <v>8</v>
      </c>
      <c r="Q46">
        <v>3</v>
      </c>
      <c r="R46" s="32">
        <f t="shared" si="5"/>
        <v>5</v>
      </c>
      <c r="S46">
        <v>7</v>
      </c>
      <c r="T46">
        <v>2</v>
      </c>
      <c r="U46" s="32">
        <f t="shared" si="6"/>
        <v>5</v>
      </c>
      <c r="V46">
        <v>6</v>
      </c>
      <c r="W46">
        <v>4</v>
      </c>
      <c r="X46" s="32">
        <f t="shared" si="7"/>
        <v>2</v>
      </c>
      <c r="Y46">
        <v>8</v>
      </c>
      <c r="Z46">
        <v>5</v>
      </c>
      <c r="AA46" s="32">
        <f t="shared" si="8"/>
        <v>3</v>
      </c>
    </row>
    <row r="47" spans="1:27" x14ac:dyDescent="0.45">
      <c r="A47">
        <v>6</v>
      </c>
      <c r="B47">
        <v>4</v>
      </c>
      <c r="C47" s="32">
        <f t="shared" si="0"/>
        <v>2</v>
      </c>
      <c r="D47">
        <v>6</v>
      </c>
      <c r="E47">
        <v>5</v>
      </c>
      <c r="F47" s="32">
        <f t="shared" si="1"/>
        <v>1</v>
      </c>
      <c r="G47">
        <v>7</v>
      </c>
      <c r="H47">
        <v>3</v>
      </c>
      <c r="I47" s="32">
        <f t="shared" si="2"/>
        <v>4</v>
      </c>
      <c r="J47">
        <v>8</v>
      </c>
      <c r="K47">
        <v>5</v>
      </c>
      <c r="L47" s="32">
        <f t="shared" si="3"/>
        <v>3</v>
      </c>
      <c r="M47">
        <v>7</v>
      </c>
      <c r="N47">
        <v>4</v>
      </c>
      <c r="O47" s="32">
        <f t="shared" si="4"/>
        <v>3</v>
      </c>
      <c r="P47">
        <v>8</v>
      </c>
      <c r="Q47">
        <v>3</v>
      </c>
      <c r="R47" s="32">
        <f t="shared" si="5"/>
        <v>5</v>
      </c>
      <c r="S47">
        <v>7</v>
      </c>
      <c r="T47">
        <v>2</v>
      </c>
      <c r="U47" s="32">
        <f t="shared" si="6"/>
        <v>5</v>
      </c>
      <c r="V47">
        <v>6</v>
      </c>
      <c r="W47">
        <v>4</v>
      </c>
      <c r="X47" s="32">
        <f t="shared" si="7"/>
        <v>2</v>
      </c>
      <c r="Y47">
        <v>8</v>
      </c>
      <c r="Z47">
        <v>5</v>
      </c>
      <c r="AA47" s="32">
        <f t="shared" si="8"/>
        <v>3</v>
      </c>
    </row>
    <row r="48" spans="1:27" x14ac:dyDescent="0.45">
      <c r="A48">
        <v>6</v>
      </c>
      <c r="B48">
        <v>4</v>
      </c>
      <c r="C48" s="32">
        <f t="shared" si="0"/>
        <v>2</v>
      </c>
      <c r="D48">
        <v>6</v>
      </c>
      <c r="E48">
        <v>5</v>
      </c>
      <c r="F48" s="32">
        <f t="shared" si="1"/>
        <v>1</v>
      </c>
      <c r="G48">
        <v>7</v>
      </c>
      <c r="H48">
        <v>3</v>
      </c>
      <c r="I48" s="32">
        <f t="shared" si="2"/>
        <v>4</v>
      </c>
      <c r="J48">
        <v>8</v>
      </c>
      <c r="K48">
        <v>5</v>
      </c>
      <c r="L48" s="32">
        <f t="shared" si="3"/>
        <v>3</v>
      </c>
      <c r="M48">
        <v>7</v>
      </c>
      <c r="N48">
        <v>4</v>
      </c>
      <c r="O48" s="32">
        <f t="shared" si="4"/>
        <v>3</v>
      </c>
      <c r="P48">
        <v>8</v>
      </c>
      <c r="Q48">
        <v>3</v>
      </c>
      <c r="R48" s="32">
        <f t="shared" si="5"/>
        <v>5</v>
      </c>
      <c r="S48">
        <v>7</v>
      </c>
      <c r="T48">
        <v>2</v>
      </c>
      <c r="U48" s="32">
        <f t="shared" si="6"/>
        <v>5</v>
      </c>
      <c r="V48">
        <v>6</v>
      </c>
      <c r="W48">
        <v>5</v>
      </c>
      <c r="X48" s="32">
        <f t="shared" si="7"/>
        <v>1</v>
      </c>
      <c r="Y48">
        <v>8</v>
      </c>
      <c r="Z48">
        <v>5</v>
      </c>
      <c r="AA48" s="32">
        <f t="shared" si="8"/>
        <v>3</v>
      </c>
    </row>
    <row r="49" spans="1:27" x14ac:dyDescent="0.45">
      <c r="A49">
        <v>6</v>
      </c>
      <c r="B49">
        <v>4</v>
      </c>
      <c r="C49" s="32">
        <f t="shared" si="0"/>
        <v>2</v>
      </c>
      <c r="D49">
        <v>6</v>
      </c>
      <c r="E49">
        <v>5</v>
      </c>
      <c r="F49" s="32">
        <f t="shared" si="1"/>
        <v>1</v>
      </c>
      <c r="G49">
        <v>7</v>
      </c>
      <c r="H49">
        <v>3</v>
      </c>
      <c r="I49" s="32">
        <f t="shared" si="2"/>
        <v>4</v>
      </c>
      <c r="J49">
        <v>8</v>
      </c>
      <c r="K49">
        <v>5</v>
      </c>
      <c r="L49" s="32">
        <f t="shared" si="3"/>
        <v>3</v>
      </c>
      <c r="M49">
        <v>7</v>
      </c>
      <c r="N49">
        <v>4</v>
      </c>
      <c r="O49" s="32">
        <f t="shared" si="4"/>
        <v>3</v>
      </c>
      <c r="P49">
        <v>8</v>
      </c>
      <c r="Q49">
        <v>3</v>
      </c>
      <c r="R49" s="32">
        <f t="shared" si="5"/>
        <v>5</v>
      </c>
      <c r="S49">
        <v>7</v>
      </c>
      <c r="T49">
        <v>2</v>
      </c>
      <c r="U49" s="32">
        <f t="shared" si="6"/>
        <v>5</v>
      </c>
      <c r="V49">
        <v>6</v>
      </c>
      <c r="W49">
        <v>5</v>
      </c>
      <c r="X49" s="32">
        <f t="shared" si="7"/>
        <v>1</v>
      </c>
      <c r="Y49">
        <v>8</v>
      </c>
      <c r="Z49">
        <v>5</v>
      </c>
      <c r="AA49" s="32">
        <f t="shared" si="8"/>
        <v>3</v>
      </c>
    </row>
    <row r="50" spans="1:27" x14ac:dyDescent="0.45">
      <c r="A50">
        <v>6</v>
      </c>
      <c r="B50">
        <v>4</v>
      </c>
      <c r="C50" s="32">
        <f t="shared" si="0"/>
        <v>2</v>
      </c>
      <c r="D50">
        <v>6</v>
      </c>
      <c r="E50">
        <v>5</v>
      </c>
      <c r="F50" s="32">
        <f t="shared" si="1"/>
        <v>1</v>
      </c>
      <c r="G50">
        <v>7</v>
      </c>
      <c r="H50">
        <v>3</v>
      </c>
      <c r="I50" s="32">
        <f t="shared" si="2"/>
        <v>4</v>
      </c>
      <c r="J50">
        <v>8</v>
      </c>
      <c r="K50">
        <v>5</v>
      </c>
      <c r="L50" s="32">
        <f t="shared" si="3"/>
        <v>3</v>
      </c>
      <c r="M50">
        <v>7</v>
      </c>
      <c r="N50">
        <v>4</v>
      </c>
      <c r="O50" s="32">
        <f t="shared" si="4"/>
        <v>3</v>
      </c>
      <c r="P50">
        <v>8</v>
      </c>
      <c r="Q50">
        <v>3</v>
      </c>
      <c r="R50" s="32">
        <f t="shared" si="5"/>
        <v>5</v>
      </c>
      <c r="S50">
        <v>7</v>
      </c>
      <c r="T50">
        <v>3</v>
      </c>
      <c r="U50" s="32">
        <f t="shared" si="6"/>
        <v>4</v>
      </c>
      <c r="V50">
        <v>6</v>
      </c>
      <c r="W50">
        <v>5</v>
      </c>
      <c r="X50" s="32">
        <f t="shared" si="7"/>
        <v>1</v>
      </c>
      <c r="Y50">
        <v>8</v>
      </c>
      <c r="Z50">
        <v>5</v>
      </c>
      <c r="AA50" s="32">
        <f t="shared" si="8"/>
        <v>3</v>
      </c>
    </row>
    <row r="51" spans="1:27" x14ac:dyDescent="0.45">
      <c r="A51">
        <v>6</v>
      </c>
      <c r="B51">
        <v>4</v>
      </c>
      <c r="C51" s="32">
        <f t="shared" si="0"/>
        <v>2</v>
      </c>
      <c r="D51">
        <v>6</v>
      </c>
      <c r="E51">
        <v>5</v>
      </c>
      <c r="F51" s="32">
        <f t="shared" si="1"/>
        <v>1</v>
      </c>
      <c r="G51">
        <v>7</v>
      </c>
      <c r="H51">
        <v>3</v>
      </c>
      <c r="I51" s="32">
        <f t="shared" si="2"/>
        <v>4</v>
      </c>
      <c r="J51">
        <v>8</v>
      </c>
      <c r="K51">
        <v>5</v>
      </c>
      <c r="L51" s="32">
        <f t="shared" si="3"/>
        <v>3</v>
      </c>
      <c r="M51">
        <v>7</v>
      </c>
      <c r="N51">
        <v>4</v>
      </c>
      <c r="O51" s="32">
        <f t="shared" si="4"/>
        <v>3</v>
      </c>
      <c r="P51">
        <v>8</v>
      </c>
      <c r="Q51">
        <v>3</v>
      </c>
      <c r="R51" s="32">
        <f t="shared" si="5"/>
        <v>5</v>
      </c>
      <c r="S51">
        <v>7</v>
      </c>
      <c r="T51">
        <v>3</v>
      </c>
      <c r="U51" s="32">
        <f t="shared" si="6"/>
        <v>4</v>
      </c>
      <c r="V51">
        <v>6</v>
      </c>
      <c r="W51">
        <v>5</v>
      </c>
      <c r="X51" s="32">
        <f t="shared" si="7"/>
        <v>1</v>
      </c>
      <c r="Y51">
        <v>8</v>
      </c>
      <c r="Z51">
        <v>5</v>
      </c>
      <c r="AA51" s="32">
        <f t="shared" si="8"/>
        <v>3</v>
      </c>
    </row>
    <row r="52" spans="1:27" x14ac:dyDescent="0.45">
      <c r="A52">
        <v>6</v>
      </c>
      <c r="B52">
        <v>4</v>
      </c>
      <c r="C52" s="32">
        <f t="shared" si="0"/>
        <v>2</v>
      </c>
      <c r="D52">
        <v>6</v>
      </c>
      <c r="E52">
        <v>5</v>
      </c>
      <c r="F52" s="32">
        <f t="shared" si="1"/>
        <v>1</v>
      </c>
      <c r="G52">
        <v>7</v>
      </c>
      <c r="H52">
        <v>3</v>
      </c>
      <c r="I52" s="32">
        <f t="shared" si="2"/>
        <v>4</v>
      </c>
      <c r="J52">
        <v>8</v>
      </c>
      <c r="K52">
        <v>5</v>
      </c>
      <c r="L52" s="32">
        <f t="shared" si="3"/>
        <v>3</v>
      </c>
      <c r="M52">
        <v>7</v>
      </c>
      <c r="N52">
        <v>4</v>
      </c>
      <c r="O52" s="32">
        <f t="shared" si="4"/>
        <v>3</v>
      </c>
      <c r="P52">
        <v>8</v>
      </c>
      <c r="Q52">
        <v>3</v>
      </c>
      <c r="R52" s="32">
        <f t="shared" si="5"/>
        <v>5</v>
      </c>
      <c r="S52">
        <v>7</v>
      </c>
      <c r="T52">
        <v>3</v>
      </c>
      <c r="U52" s="32">
        <f t="shared" si="6"/>
        <v>4</v>
      </c>
      <c r="V52">
        <v>6</v>
      </c>
      <c r="W52">
        <v>5</v>
      </c>
      <c r="X52" s="32">
        <f t="shared" si="7"/>
        <v>1</v>
      </c>
      <c r="Y52">
        <v>8</v>
      </c>
      <c r="Z52">
        <v>5</v>
      </c>
      <c r="AA52" s="32">
        <f t="shared" si="8"/>
        <v>3</v>
      </c>
    </row>
    <row r="53" spans="1:27" x14ac:dyDescent="0.45">
      <c r="A53">
        <v>6</v>
      </c>
      <c r="B53">
        <v>4</v>
      </c>
      <c r="C53" s="32">
        <f t="shared" si="0"/>
        <v>2</v>
      </c>
      <c r="D53">
        <v>6</v>
      </c>
      <c r="E53">
        <v>5</v>
      </c>
      <c r="F53" s="32">
        <f t="shared" si="1"/>
        <v>1</v>
      </c>
      <c r="G53">
        <v>7</v>
      </c>
      <c r="H53">
        <v>3</v>
      </c>
      <c r="I53" s="32">
        <f t="shared" si="2"/>
        <v>4</v>
      </c>
      <c r="J53">
        <v>8</v>
      </c>
      <c r="K53">
        <v>5</v>
      </c>
      <c r="L53" s="32">
        <f t="shared" si="3"/>
        <v>3</v>
      </c>
      <c r="M53">
        <v>7</v>
      </c>
      <c r="N53">
        <v>4</v>
      </c>
      <c r="O53" s="32">
        <f t="shared" si="4"/>
        <v>3</v>
      </c>
      <c r="P53">
        <v>8</v>
      </c>
      <c r="Q53">
        <v>3</v>
      </c>
      <c r="R53" s="32">
        <f t="shared" si="5"/>
        <v>5</v>
      </c>
      <c r="S53">
        <v>7</v>
      </c>
      <c r="T53">
        <v>3</v>
      </c>
      <c r="U53" s="32">
        <f t="shared" si="6"/>
        <v>4</v>
      </c>
      <c r="V53">
        <v>6</v>
      </c>
      <c r="W53">
        <v>5</v>
      </c>
      <c r="X53" s="32">
        <f t="shared" si="7"/>
        <v>1</v>
      </c>
      <c r="Y53">
        <v>8</v>
      </c>
      <c r="Z53">
        <v>5</v>
      </c>
      <c r="AA53" s="32">
        <f t="shared" si="8"/>
        <v>3</v>
      </c>
    </row>
    <row r="54" spans="1:27" x14ac:dyDescent="0.45">
      <c r="A54">
        <v>6</v>
      </c>
      <c r="B54">
        <v>4</v>
      </c>
      <c r="C54" s="32">
        <f t="shared" si="0"/>
        <v>2</v>
      </c>
      <c r="D54">
        <v>6</v>
      </c>
      <c r="E54">
        <v>5</v>
      </c>
      <c r="F54" s="32">
        <f t="shared" si="1"/>
        <v>1</v>
      </c>
      <c r="G54">
        <v>7</v>
      </c>
      <c r="H54">
        <v>3</v>
      </c>
      <c r="I54" s="32">
        <f t="shared" si="2"/>
        <v>4</v>
      </c>
      <c r="J54">
        <v>8</v>
      </c>
      <c r="K54">
        <v>5</v>
      </c>
      <c r="L54" s="32">
        <f t="shared" si="3"/>
        <v>3</v>
      </c>
      <c r="M54">
        <v>7</v>
      </c>
      <c r="N54">
        <v>4</v>
      </c>
      <c r="O54" s="32">
        <f t="shared" si="4"/>
        <v>3</v>
      </c>
      <c r="P54">
        <v>8</v>
      </c>
      <c r="Q54">
        <v>3</v>
      </c>
      <c r="R54" s="32">
        <f t="shared" si="5"/>
        <v>5</v>
      </c>
      <c r="S54">
        <v>7</v>
      </c>
      <c r="T54">
        <v>3</v>
      </c>
      <c r="U54" s="32">
        <f t="shared" si="6"/>
        <v>4</v>
      </c>
      <c r="V54">
        <v>6</v>
      </c>
      <c r="W54">
        <v>5</v>
      </c>
      <c r="X54" s="32">
        <f t="shared" si="7"/>
        <v>1</v>
      </c>
      <c r="Y54">
        <v>8</v>
      </c>
      <c r="Z54">
        <v>5</v>
      </c>
      <c r="AA54" s="32">
        <f t="shared" si="8"/>
        <v>3</v>
      </c>
    </row>
    <row r="55" spans="1:27" x14ac:dyDescent="0.45">
      <c r="A55">
        <v>6</v>
      </c>
      <c r="B55">
        <v>4</v>
      </c>
      <c r="C55" s="32">
        <f t="shared" si="0"/>
        <v>2</v>
      </c>
      <c r="D55">
        <v>6</v>
      </c>
      <c r="E55">
        <v>5</v>
      </c>
      <c r="F55" s="32">
        <f t="shared" si="1"/>
        <v>1</v>
      </c>
      <c r="G55">
        <v>7</v>
      </c>
      <c r="H55">
        <v>3</v>
      </c>
      <c r="I55" s="32">
        <f t="shared" si="2"/>
        <v>4</v>
      </c>
      <c r="J55">
        <v>8</v>
      </c>
      <c r="K55">
        <v>5</v>
      </c>
      <c r="L55" s="32">
        <f t="shared" si="3"/>
        <v>3</v>
      </c>
      <c r="M55">
        <v>7</v>
      </c>
      <c r="N55">
        <v>4</v>
      </c>
      <c r="O55" s="32">
        <f t="shared" si="4"/>
        <v>3</v>
      </c>
      <c r="P55">
        <v>8</v>
      </c>
      <c r="Q55">
        <v>4</v>
      </c>
      <c r="R55" s="32">
        <f t="shared" si="5"/>
        <v>4</v>
      </c>
      <c r="S55">
        <v>7</v>
      </c>
      <c r="T55">
        <v>3</v>
      </c>
      <c r="U55" s="32">
        <f t="shared" si="6"/>
        <v>4</v>
      </c>
      <c r="V55">
        <v>6</v>
      </c>
      <c r="W55">
        <v>5</v>
      </c>
      <c r="X55" s="32">
        <f t="shared" si="7"/>
        <v>1</v>
      </c>
      <c r="Y55">
        <v>8</v>
      </c>
      <c r="Z55">
        <v>5</v>
      </c>
      <c r="AA55" s="32">
        <f t="shared" si="8"/>
        <v>3</v>
      </c>
    </row>
    <row r="56" spans="1:27" x14ac:dyDescent="0.45">
      <c r="A56">
        <v>6</v>
      </c>
      <c r="B56">
        <v>4</v>
      </c>
      <c r="C56" s="32">
        <f t="shared" si="0"/>
        <v>2</v>
      </c>
      <c r="D56">
        <v>6</v>
      </c>
      <c r="E56">
        <v>5</v>
      </c>
      <c r="F56" s="32">
        <f t="shared" si="1"/>
        <v>1</v>
      </c>
      <c r="G56">
        <v>7</v>
      </c>
      <c r="H56">
        <v>3</v>
      </c>
      <c r="I56" s="32">
        <f t="shared" si="2"/>
        <v>4</v>
      </c>
      <c r="J56">
        <v>8</v>
      </c>
      <c r="K56">
        <v>5</v>
      </c>
      <c r="L56" s="32">
        <f t="shared" si="3"/>
        <v>3</v>
      </c>
      <c r="M56">
        <v>7</v>
      </c>
      <c r="N56">
        <v>4</v>
      </c>
      <c r="O56" s="32">
        <f t="shared" si="4"/>
        <v>3</v>
      </c>
      <c r="P56">
        <v>8</v>
      </c>
      <c r="Q56">
        <v>4</v>
      </c>
      <c r="R56" s="32">
        <f t="shared" si="5"/>
        <v>4</v>
      </c>
      <c r="S56">
        <v>7</v>
      </c>
      <c r="T56">
        <v>3</v>
      </c>
      <c r="U56" s="32">
        <f t="shared" si="6"/>
        <v>4</v>
      </c>
      <c r="V56">
        <v>6</v>
      </c>
      <c r="W56">
        <v>5</v>
      </c>
      <c r="X56" s="32">
        <f t="shared" si="7"/>
        <v>1</v>
      </c>
      <c r="Y56">
        <v>8</v>
      </c>
      <c r="Z56">
        <v>5</v>
      </c>
      <c r="AA56" s="32">
        <f t="shared" si="8"/>
        <v>3</v>
      </c>
    </row>
    <row r="57" spans="1:27" x14ac:dyDescent="0.45">
      <c r="A57">
        <v>6</v>
      </c>
      <c r="B57">
        <v>5</v>
      </c>
      <c r="C57" s="32">
        <f t="shared" si="0"/>
        <v>1</v>
      </c>
      <c r="D57">
        <v>6</v>
      </c>
      <c r="E57">
        <v>5</v>
      </c>
      <c r="F57" s="32">
        <f t="shared" si="1"/>
        <v>1</v>
      </c>
      <c r="G57">
        <v>7</v>
      </c>
      <c r="H57">
        <v>3</v>
      </c>
      <c r="I57" s="32">
        <f t="shared" si="2"/>
        <v>4</v>
      </c>
      <c r="J57">
        <v>8</v>
      </c>
      <c r="K57">
        <v>5</v>
      </c>
      <c r="L57" s="32">
        <f t="shared" si="3"/>
        <v>3</v>
      </c>
      <c r="M57">
        <v>7</v>
      </c>
      <c r="N57">
        <v>4</v>
      </c>
      <c r="O57" s="32">
        <f t="shared" si="4"/>
        <v>3</v>
      </c>
      <c r="P57">
        <v>8</v>
      </c>
      <c r="Q57">
        <v>4</v>
      </c>
      <c r="R57" s="32">
        <f t="shared" si="5"/>
        <v>4</v>
      </c>
      <c r="S57">
        <v>7</v>
      </c>
      <c r="T57">
        <v>3</v>
      </c>
      <c r="U57" s="32">
        <f t="shared" si="6"/>
        <v>4</v>
      </c>
      <c r="V57">
        <v>6</v>
      </c>
      <c r="W57">
        <v>5</v>
      </c>
      <c r="X57" s="32">
        <f t="shared" si="7"/>
        <v>1</v>
      </c>
      <c r="Y57">
        <v>8</v>
      </c>
      <c r="Z57">
        <v>5</v>
      </c>
      <c r="AA57" s="32">
        <f t="shared" si="8"/>
        <v>3</v>
      </c>
    </row>
    <row r="58" spans="1:27" x14ac:dyDescent="0.45">
      <c r="A58">
        <v>6</v>
      </c>
      <c r="B58">
        <v>5</v>
      </c>
      <c r="C58" s="32">
        <f t="shared" si="0"/>
        <v>1</v>
      </c>
      <c r="D58">
        <v>6</v>
      </c>
      <c r="E58">
        <v>5</v>
      </c>
      <c r="F58" s="32">
        <f t="shared" si="1"/>
        <v>1</v>
      </c>
      <c r="G58">
        <v>7</v>
      </c>
      <c r="H58">
        <v>3</v>
      </c>
      <c r="I58" s="32">
        <f t="shared" si="2"/>
        <v>4</v>
      </c>
      <c r="J58">
        <v>8</v>
      </c>
      <c r="K58">
        <v>5</v>
      </c>
      <c r="L58" s="32">
        <f t="shared" si="3"/>
        <v>3</v>
      </c>
      <c r="M58">
        <v>7</v>
      </c>
      <c r="N58">
        <v>4</v>
      </c>
      <c r="O58" s="32">
        <f t="shared" si="4"/>
        <v>3</v>
      </c>
      <c r="P58">
        <v>8</v>
      </c>
      <c r="Q58">
        <v>4</v>
      </c>
      <c r="R58" s="32">
        <f t="shared" si="5"/>
        <v>4</v>
      </c>
      <c r="S58">
        <v>7</v>
      </c>
      <c r="T58">
        <v>3</v>
      </c>
      <c r="U58" s="32">
        <f t="shared" si="6"/>
        <v>4</v>
      </c>
      <c r="V58">
        <v>6</v>
      </c>
      <c r="W58">
        <v>5</v>
      </c>
      <c r="X58" s="32">
        <f t="shared" si="7"/>
        <v>1</v>
      </c>
      <c r="Y58">
        <v>8</v>
      </c>
      <c r="Z58">
        <v>5</v>
      </c>
      <c r="AA58" s="32">
        <f t="shared" si="8"/>
        <v>3</v>
      </c>
    </row>
    <row r="59" spans="1:27" x14ac:dyDescent="0.45">
      <c r="A59">
        <v>6</v>
      </c>
      <c r="B59">
        <v>5</v>
      </c>
      <c r="C59" s="32">
        <f t="shared" si="0"/>
        <v>1</v>
      </c>
      <c r="D59">
        <v>6</v>
      </c>
      <c r="E59">
        <v>5</v>
      </c>
      <c r="F59" s="32">
        <f t="shared" si="1"/>
        <v>1</v>
      </c>
      <c r="G59">
        <v>7</v>
      </c>
      <c r="H59">
        <v>3</v>
      </c>
      <c r="I59" s="32">
        <f t="shared" si="2"/>
        <v>4</v>
      </c>
      <c r="J59">
        <v>8</v>
      </c>
      <c r="K59">
        <v>5</v>
      </c>
      <c r="L59" s="32">
        <f t="shared" si="3"/>
        <v>3</v>
      </c>
      <c r="M59">
        <v>7</v>
      </c>
      <c r="N59">
        <v>5</v>
      </c>
      <c r="O59" s="32">
        <f t="shared" si="4"/>
        <v>2</v>
      </c>
      <c r="P59">
        <v>8</v>
      </c>
      <c r="Q59">
        <v>4</v>
      </c>
      <c r="R59" s="32">
        <f t="shared" si="5"/>
        <v>4</v>
      </c>
      <c r="S59">
        <v>7</v>
      </c>
      <c r="T59">
        <v>4</v>
      </c>
      <c r="U59" s="32">
        <f t="shared" si="6"/>
        <v>3</v>
      </c>
      <c r="V59">
        <v>6</v>
      </c>
      <c r="W59">
        <v>5</v>
      </c>
      <c r="X59" s="32">
        <f t="shared" si="7"/>
        <v>1</v>
      </c>
      <c r="Y59">
        <v>8</v>
      </c>
      <c r="Z59">
        <v>5</v>
      </c>
      <c r="AA59" s="32">
        <f t="shared" si="8"/>
        <v>3</v>
      </c>
    </row>
    <row r="60" spans="1:27" x14ac:dyDescent="0.45">
      <c r="A60">
        <v>6</v>
      </c>
      <c r="B60">
        <v>5</v>
      </c>
      <c r="C60" s="32">
        <f t="shared" si="0"/>
        <v>1</v>
      </c>
      <c r="D60">
        <v>6</v>
      </c>
      <c r="E60">
        <v>5</v>
      </c>
      <c r="F60" s="32">
        <f t="shared" si="1"/>
        <v>1</v>
      </c>
      <c r="G60">
        <v>7</v>
      </c>
      <c r="H60">
        <v>4</v>
      </c>
      <c r="I60" s="32">
        <f t="shared" si="2"/>
        <v>3</v>
      </c>
      <c r="J60">
        <v>8</v>
      </c>
      <c r="K60">
        <v>5</v>
      </c>
      <c r="L60" s="32">
        <f t="shared" si="3"/>
        <v>3</v>
      </c>
      <c r="M60">
        <v>7</v>
      </c>
      <c r="N60">
        <v>5</v>
      </c>
      <c r="O60" s="32">
        <f t="shared" si="4"/>
        <v>2</v>
      </c>
      <c r="P60">
        <v>8</v>
      </c>
      <c r="Q60">
        <v>4</v>
      </c>
      <c r="R60" s="32">
        <f t="shared" si="5"/>
        <v>4</v>
      </c>
      <c r="S60">
        <v>7</v>
      </c>
      <c r="T60">
        <v>4</v>
      </c>
      <c r="U60" s="32">
        <f t="shared" si="6"/>
        <v>3</v>
      </c>
      <c r="V60">
        <v>6</v>
      </c>
      <c r="W60">
        <v>5</v>
      </c>
      <c r="X60" s="32">
        <f t="shared" si="7"/>
        <v>1</v>
      </c>
      <c r="Y60">
        <v>8</v>
      </c>
      <c r="Z60">
        <v>5</v>
      </c>
      <c r="AA60" s="32">
        <f t="shared" si="8"/>
        <v>3</v>
      </c>
    </row>
    <row r="61" spans="1:27" x14ac:dyDescent="0.45">
      <c r="A61">
        <v>6</v>
      </c>
      <c r="B61">
        <v>5</v>
      </c>
      <c r="C61" s="32">
        <f t="shared" si="0"/>
        <v>1</v>
      </c>
      <c r="D61">
        <v>6</v>
      </c>
      <c r="E61">
        <v>5</v>
      </c>
      <c r="F61" s="32">
        <f t="shared" si="1"/>
        <v>1</v>
      </c>
      <c r="G61">
        <v>7</v>
      </c>
      <c r="H61">
        <v>4</v>
      </c>
      <c r="I61" s="32">
        <f t="shared" si="2"/>
        <v>3</v>
      </c>
      <c r="J61">
        <v>8</v>
      </c>
      <c r="K61">
        <v>5</v>
      </c>
      <c r="L61" s="32">
        <f t="shared" si="3"/>
        <v>3</v>
      </c>
      <c r="M61">
        <v>7</v>
      </c>
      <c r="N61">
        <v>5</v>
      </c>
      <c r="O61" s="32">
        <f t="shared" si="4"/>
        <v>2</v>
      </c>
      <c r="P61">
        <v>8</v>
      </c>
      <c r="Q61">
        <v>4</v>
      </c>
      <c r="R61" s="32">
        <f t="shared" si="5"/>
        <v>4</v>
      </c>
      <c r="S61">
        <v>7</v>
      </c>
      <c r="T61">
        <v>4</v>
      </c>
      <c r="U61" s="32">
        <f t="shared" si="6"/>
        <v>3</v>
      </c>
      <c r="V61">
        <v>6</v>
      </c>
      <c r="W61">
        <v>5</v>
      </c>
      <c r="X61" s="32">
        <f t="shared" si="7"/>
        <v>1</v>
      </c>
      <c r="Y61">
        <v>8</v>
      </c>
      <c r="Z61">
        <v>5</v>
      </c>
      <c r="AA61" s="32">
        <f t="shared" si="8"/>
        <v>3</v>
      </c>
    </row>
    <row r="62" spans="1:27" x14ac:dyDescent="0.45">
      <c r="A62">
        <v>6</v>
      </c>
      <c r="B62">
        <v>5</v>
      </c>
      <c r="C62" s="32">
        <f t="shared" si="0"/>
        <v>1</v>
      </c>
      <c r="D62">
        <v>6</v>
      </c>
      <c r="E62">
        <v>5</v>
      </c>
      <c r="F62" s="32">
        <f t="shared" si="1"/>
        <v>1</v>
      </c>
      <c r="G62">
        <v>7</v>
      </c>
      <c r="H62">
        <v>4</v>
      </c>
      <c r="I62" s="32">
        <f t="shared" si="2"/>
        <v>3</v>
      </c>
      <c r="J62">
        <v>8</v>
      </c>
      <c r="K62">
        <v>5</v>
      </c>
      <c r="L62" s="32">
        <f t="shared" si="3"/>
        <v>3</v>
      </c>
      <c r="M62">
        <v>7</v>
      </c>
      <c r="N62">
        <v>5</v>
      </c>
      <c r="O62" s="32">
        <f t="shared" si="4"/>
        <v>2</v>
      </c>
      <c r="P62">
        <v>8</v>
      </c>
      <c r="Q62">
        <v>4</v>
      </c>
      <c r="R62" s="32">
        <f t="shared" si="5"/>
        <v>4</v>
      </c>
      <c r="S62">
        <v>7</v>
      </c>
      <c r="T62">
        <v>4</v>
      </c>
      <c r="U62" s="32">
        <f t="shared" si="6"/>
        <v>3</v>
      </c>
      <c r="V62">
        <v>6</v>
      </c>
      <c r="W62">
        <v>5</v>
      </c>
      <c r="X62" s="32">
        <f t="shared" si="7"/>
        <v>1</v>
      </c>
      <c r="Y62">
        <v>8</v>
      </c>
      <c r="Z62">
        <v>5</v>
      </c>
      <c r="AA62" s="32">
        <f t="shared" si="8"/>
        <v>3</v>
      </c>
    </row>
    <row r="63" spans="1:27" x14ac:dyDescent="0.45">
      <c r="A63">
        <v>6</v>
      </c>
      <c r="B63">
        <v>5</v>
      </c>
      <c r="C63" s="32">
        <f t="shared" si="0"/>
        <v>1</v>
      </c>
      <c r="D63">
        <v>6</v>
      </c>
      <c r="E63">
        <v>5</v>
      </c>
      <c r="F63" s="32">
        <f t="shared" si="1"/>
        <v>1</v>
      </c>
      <c r="G63">
        <v>7</v>
      </c>
      <c r="H63">
        <v>4</v>
      </c>
      <c r="I63" s="32">
        <f t="shared" si="2"/>
        <v>3</v>
      </c>
      <c r="J63">
        <v>8</v>
      </c>
      <c r="K63">
        <v>5</v>
      </c>
      <c r="L63" s="32">
        <f t="shared" si="3"/>
        <v>3</v>
      </c>
      <c r="M63">
        <v>7</v>
      </c>
      <c r="N63">
        <v>5</v>
      </c>
      <c r="O63" s="32">
        <f t="shared" si="4"/>
        <v>2</v>
      </c>
      <c r="P63">
        <v>8</v>
      </c>
      <c r="Q63">
        <v>4</v>
      </c>
      <c r="R63" s="32">
        <f t="shared" si="5"/>
        <v>4</v>
      </c>
      <c r="S63">
        <v>7</v>
      </c>
      <c r="T63">
        <v>4</v>
      </c>
      <c r="U63" s="32">
        <f t="shared" si="6"/>
        <v>3</v>
      </c>
      <c r="V63">
        <v>6</v>
      </c>
      <c r="W63">
        <v>5</v>
      </c>
      <c r="X63" s="32">
        <f t="shared" si="7"/>
        <v>1</v>
      </c>
      <c r="Y63">
        <v>8</v>
      </c>
      <c r="Z63">
        <v>5</v>
      </c>
      <c r="AA63" s="32">
        <f t="shared" si="8"/>
        <v>3</v>
      </c>
    </row>
    <row r="64" spans="1:27" x14ac:dyDescent="0.45">
      <c r="A64">
        <v>6</v>
      </c>
      <c r="B64">
        <v>5</v>
      </c>
      <c r="C64" s="32">
        <f t="shared" si="0"/>
        <v>1</v>
      </c>
      <c r="D64">
        <v>6</v>
      </c>
      <c r="E64">
        <v>5</v>
      </c>
      <c r="F64" s="32">
        <f t="shared" si="1"/>
        <v>1</v>
      </c>
      <c r="G64">
        <v>7</v>
      </c>
      <c r="H64">
        <v>4</v>
      </c>
      <c r="I64" s="32">
        <f t="shared" si="2"/>
        <v>3</v>
      </c>
      <c r="J64">
        <v>8</v>
      </c>
      <c r="K64">
        <v>5</v>
      </c>
      <c r="L64" s="32">
        <f t="shared" si="3"/>
        <v>3</v>
      </c>
      <c r="M64">
        <v>7</v>
      </c>
      <c r="N64">
        <v>5</v>
      </c>
      <c r="O64" s="32">
        <f t="shared" si="4"/>
        <v>2</v>
      </c>
      <c r="P64">
        <v>8</v>
      </c>
      <c r="Q64">
        <v>4</v>
      </c>
      <c r="R64" s="32">
        <f t="shared" si="5"/>
        <v>4</v>
      </c>
      <c r="S64">
        <v>7</v>
      </c>
      <c r="T64">
        <v>4</v>
      </c>
      <c r="U64" s="32">
        <f t="shared" si="6"/>
        <v>3</v>
      </c>
      <c r="V64">
        <v>6</v>
      </c>
      <c r="W64">
        <v>5</v>
      </c>
      <c r="X64" s="32">
        <f t="shared" si="7"/>
        <v>1</v>
      </c>
      <c r="Y64">
        <v>8</v>
      </c>
      <c r="Z64">
        <v>5</v>
      </c>
      <c r="AA64" s="32">
        <f t="shared" si="8"/>
        <v>3</v>
      </c>
    </row>
    <row r="65" spans="1:27" x14ac:dyDescent="0.45">
      <c r="A65">
        <v>6</v>
      </c>
      <c r="B65">
        <v>5</v>
      </c>
      <c r="C65" s="32">
        <f t="shared" si="0"/>
        <v>1</v>
      </c>
      <c r="D65">
        <v>6</v>
      </c>
      <c r="E65">
        <v>5</v>
      </c>
      <c r="F65" s="32">
        <f t="shared" si="1"/>
        <v>1</v>
      </c>
      <c r="G65">
        <v>7</v>
      </c>
      <c r="H65">
        <v>4</v>
      </c>
      <c r="I65" s="32">
        <f t="shared" si="2"/>
        <v>3</v>
      </c>
      <c r="J65">
        <v>8</v>
      </c>
      <c r="K65">
        <v>5</v>
      </c>
      <c r="L65" s="32">
        <f t="shared" si="3"/>
        <v>3</v>
      </c>
      <c r="M65">
        <v>7</v>
      </c>
      <c r="N65">
        <v>5</v>
      </c>
      <c r="O65" s="32">
        <f t="shared" si="4"/>
        <v>2</v>
      </c>
      <c r="P65">
        <v>8</v>
      </c>
      <c r="Q65">
        <v>4</v>
      </c>
      <c r="R65" s="32">
        <f t="shared" si="5"/>
        <v>4</v>
      </c>
      <c r="S65">
        <v>7</v>
      </c>
      <c r="T65">
        <v>4</v>
      </c>
      <c r="U65" s="32">
        <f t="shared" si="6"/>
        <v>3</v>
      </c>
      <c r="V65">
        <v>6</v>
      </c>
      <c r="W65">
        <v>5</v>
      </c>
      <c r="X65" s="32">
        <f t="shared" si="7"/>
        <v>1</v>
      </c>
      <c r="Y65">
        <v>8</v>
      </c>
      <c r="Z65">
        <v>5</v>
      </c>
      <c r="AA65" s="32">
        <f t="shared" si="8"/>
        <v>3</v>
      </c>
    </row>
    <row r="66" spans="1:27" x14ac:dyDescent="0.45">
      <c r="A66">
        <v>6</v>
      </c>
      <c r="B66">
        <v>5</v>
      </c>
      <c r="C66" s="32">
        <f t="shared" si="0"/>
        <v>1</v>
      </c>
      <c r="D66">
        <v>6</v>
      </c>
      <c r="E66">
        <v>5</v>
      </c>
      <c r="F66" s="32">
        <f t="shared" si="1"/>
        <v>1</v>
      </c>
      <c r="G66">
        <v>7</v>
      </c>
      <c r="H66">
        <v>4</v>
      </c>
      <c r="I66" s="32">
        <f t="shared" si="2"/>
        <v>3</v>
      </c>
      <c r="J66">
        <v>8</v>
      </c>
      <c r="K66">
        <v>5</v>
      </c>
      <c r="L66" s="32">
        <f t="shared" si="3"/>
        <v>3</v>
      </c>
      <c r="M66">
        <v>7</v>
      </c>
      <c r="N66">
        <v>5</v>
      </c>
      <c r="O66" s="32">
        <f t="shared" si="4"/>
        <v>2</v>
      </c>
      <c r="P66">
        <v>8</v>
      </c>
      <c r="Q66">
        <v>4</v>
      </c>
      <c r="R66" s="32">
        <f t="shared" si="5"/>
        <v>4</v>
      </c>
      <c r="S66">
        <v>7</v>
      </c>
      <c r="T66">
        <v>4</v>
      </c>
      <c r="U66" s="32">
        <f t="shared" si="6"/>
        <v>3</v>
      </c>
      <c r="V66">
        <v>6</v>
      </c>
      <c r="W66">
        <v>5</v>
      </c>
      <c r="X66" s="32">
        <f t="shared" si="7"/>
        <v>1</v>
      </c>
      <c r="Y66">
        <v>8</v>
      </c>
      <c r="Z66">
        <v>5</v>
      </c>
      <c r="AA66" s="32">
        <f t="shared" si="8"/>
        <v>3</v>
      </c>
    </row>
    <row r="67" spans="1:27" x14ac:dyDescent="0.45">
      <c r="A67">
        <v>6</v>
      </c>
      <c r="B67">
        <v>5</v>
      </c>
      <c r="C67" s="32">
        <f t="shared" ref="C67:C130" si="9">ABS(B67-A67)</f>
        <v>1</v>
      </c>
      <c r="D67">
        <v>6</v>
      </c>
      <c r="E67">
        <v>5</v>
      </c>
      <c r="F67" s="32">
        <f t="shared" ref="F67:F130" si="10">ABS(E67-D67)</f>
        <v>1</v>
      </c>
      <c r="G67">
        <v>7</v>
      </c>
      <c r="H67">
        <v>4</v>
      </c>
      <c r="I67" s="32">
        <f t="shared" ref="I67:I130" si="11">ABS(H67-G67)</f>
        <v>3</v>
      </c>
      <c r="J67">
        <v>8</v>
      </c>
      <c r="K67">
        <v>5</v>
      </c>
      <c r="L67" s="32">
        <f t="shared" ref="L67:L130" si="12">ABS(K67-J67)</f>
        <v>3</v>
      </c>
      <c r="M67">
        <v>7</v>
      </c>
      <c r="N67">
        <v>5</v>
      </c>
      <c r="O67" s="32">
        <f t="shared" ref="O67:O130" si="13">ABS(N67-M67)</f>
        <v>2</v>
      </c>
      <c r="P67">
        <v>8</v>
      </c>
      <c r="Q67">
        <v>4</v>
      </c>
      <c r="R67" s="32">
        <f t="shared" ref="R67:R130" si="14">ABS(Q67-P67)</f>
        <v>4</v>
      </c>
      <c r="S67">
        <v>7</v>
      </c>
      <c r="T67">
        <v>4</v>
      </c>
      <c r="U67" s="32">
        <f t="shared" ref="U67:U130" si="15">ABS(T67-S67)</f>
        <v>3</v>
      </c>
      <c r="V67">
        <v>6</v>
      </c>
      <c r="W67">
        <v>5</v>
      </c>
      <c r="X67" s="32">
        <f t="shared" ref="X67:X130" si="16">ABS(W67-V67)</f>
        <v>1</v>
      </c>
      <c r="Y67">
        <v>8</v>
      </c>
      <c r="Z67">
        <v>5</v>
      </c>
      <c r="AA67" s="32">
        <f t="shared" ref="AA67:AA130" si="17">ABS(Z67-Y67)</f>
        <v>3</v>
      </c>
    </row>
    <row r="68" spans="1:27" x14ac:dyDescent="0.45">
      <c r="A68">
        <v>6</v>
      </c>
      <c r="B68">
        <v>5</v>
      </c>
      <c r="C68" s="32">
        <f t="shared" si="9"/>
        <v>1</v>
      </c>
      <c r="D68">
        <v>6</v>
      </c>
      <c r="E68">
        <v>5</v>
      </c>
      <c r="F68" s="32">
        <f t="shared" si="10"/>
        <v>1</v>
      </c>
      <c r="G68">
        <v>7</v>
      </c>
      <c r="H68">
        <v>4</v>
      </c>
      <c r="I68" s="32">
        <f t="shared" si="11"/>
        <v>3</v>
      </c>
      <c r="J68">
        <v>8</v>
      </c>
      <c r="K68">
        <v>5</v>
      </c>
      <c r="L68" s="32">
        <f t="shared" si="12"/>
        <v>3</v>
      </c>
      <c r="M68">
        <v>7</v>
      </c>
      <c r="N68">
        <v>5</v>
      </c>
      <c r="O68" s="32">
        <f t="shared" si="13"/>
        <v>2</v>
      </c>
      <c r="P68">
        <v>8</v>
      </c>
      <c r="Q68">
        <v>4</v>
      </c>
      <c r="R68" s="32">
        <f t="shared" si="14"/>
        <v>4</v>
      </c>
      <c r="S68">
        <v>7</v>
      </c>
      <c r="T68">
        <v>4</v>
      </c>
      <c r="U68" s="32">
        <f t="shared" si="15"/>
        <v>3</v>
      </c>
      <c r="V68">
        <v>6</v>
      </c>
      <c r="W68">
        <v>5</v>
      </c>
      <c r="X68" s="32">
        <f t="shared" si="16"/>
        <v>1</v>
      </c>
      <c r="Y68">
        <v>8</v>
      </c>
      <c r="Z68">
        <v>5</v>
      </c>
      <c r="AA68" s="32">
        <f t="shared" si="17"/>
        <v>3</v>
      </c>
    </row>
    <row r="69" spans="1:27" x14ac:dyDescent="0.45">
      <c r="A69">
        <v>6</v>
      </c>
      <c r="B69">
        <v>5</v>
      </c>
      <c r="C69" s="32">
        <f t="shared" si="9"/>
        <v>1</v>
      </c>
      <c r="D69">
        <v>6</v>
      </c>
      <c r="E69">
        <v>5</v>
      </c>
      <c r="F69" s="32">
        <f t="shared" si="10"/>
        <v>1</v>
      </c>
      <c r="G69">
        <v>7</v>
      </c>
      <c r="H69">
        <v>4</v>
      </c>
      <c r="I69" s="32">
        <f t="shared" si="11"/>
        <v>3</v>
      </c>
      <c r="J69">
        <v>8</v>
      </c>
      <c r="K69">
        <v>5</v>
      </c>
      <c r="L69" s="32">
        <f t="shared" si="12"/>
        <v>3</v>
      </c>
      <c r="M69">
        <v>7</v>
      </c>
      <c r="N69">
        <v>5</v>
      </c>
      <c r="O69" s="32">
        <f t="shared" si="13"/>
        <v>2</v>
      </c>
      <c r="P69">
        <v>8</v>
      </c>
      <c r="Q69">
        <v>4</v>
      </c>
      <c r="R69" s="32">
        <f t="shared" si="14"/>
        <v>4</v>
      </c>
      <c r="S69">
        <v>7</v>
      </c>
      <c r="T69">
        <v>4</v>
      </c>
      <c r="U69" s="32">
        <f t="shared" si="15"/>
        <v>3</v>
      </c>
      <c r="V69">
        <v>6</v>
      </c>
      <c r="W69">
        <v>5</v>
      </c>
      <c r="X69" s="32">
        <f t="shared" si="16"/>
        <v>1</v>
      </c>
      <c r="Y69">
        <v>8</v>
      </c>
      <c r="Z69">
        <v>5</v>
      </c>
      <c r="AA69" s="32">
        <f t="shared" si="17"/>
        <v>3</v>
      </c>
    </row>
    <row r="70" spans="1:27" x14ac:dyDescent="0.45">
      <c r="A70">
        <v>6</v>
      </c>
      <c r="B70">
        <v>5</v>
      </c>
      <c r="C70" s="32">
        <f t="shared" si="9"/>
        <v>1</v>
      </c>
      <c r="D70">
        <v>6</v>
      </c>
      <c r="E70">
        <v>5</v>
      </c>
      <c r="F70" s="32">
        <f t="shared" si="10"/>
        <v>1</v>
      </c>
      <c r="G70">
        <v>7</v>
      </c>
      <c r="H70">
        <v>4</v>
      </c>
      <c r="I70" s="32">
        <f t="shared" si="11"/>
        <v>3</v>
      </c>
      <c r="J70">
        <v>8</v>
      </c>
      <c r="K70">
        <v>5</v>
      </c>
      <c r="L70" s="32">
        <f t="shared" si="12"/>
        <v>3</v>
      </c>
      <c r="M70">
        <v>7</v>
      </c>
      <c r="N70">
        <v>5</v>
      </c>
      <c r="O70" s="32">
        <f t="shared" si="13"/>
        <v>2</v>
      </c>
      <c r="P70">
        <v>8</v>
      </c>
      <c r="Q70">
        <v>4</v>
      </c>
      <c r="R70" s="32">
        <f t="shared" si="14"/>
        <v>4</v>
      </c>
      <c r="S70">
        <v>7</v>
      </c>
      <c r="T70">
        <v>4</v>
      </c>
      <c r="U70" s="32">
        <f t="shared" si="15"/>
        <v>3</v>
      </c>
      <c r="V70">
        <v>6</v>
      </c>
      <c r="W70">
        <v>5</v>
      </c>
      <c r="X70" s="32">
        <f t="shared" si="16"/>
        <v>1</v>
      </c>
      <c r="Y70">
        <v>8</v>
      </c>
      <c r="Z70">
        <v>5</v>
      </c>
      <c r="AA70" s="32">
        <f t="shared" si="17"/>
        <v>3</v>
      </c>
    </row>
    <row r="71" spans="1:27" x14ac:dyDescent="0.45">
      <c r="A71">
        <v>6</v>
      </c>
      <c r="B71">
        <v>5</v>
      </c>
      <c r="C71" s="32">
        <f t="shared" si="9"/>
        <v>1</v>
      </c>
      <c r="D71">
        <v>6</v>
      </c>
      <c r="E71">
        <v>5</v>
      </c>
      <c r="F71" s="32">
        <f t="shared" si="10"/>
        <v>1</v>
      </c>
      <c r="G71">
        <v>7</v>
      </c>
      <c r="H71">
        <v>4</v>
      </c>
      <c r="I71" s="32">
        <f t="shared" si="11"/>
        <v>3</v>
      </c>
      <c r="J71">
        <v>8</v>
      </c>
      <c r="K71">
        <v>5</v>
      </c>
      <c r="L71" s="32">
        <f t="shared" si="12"/>
        <v>3</v>
      </c>
      <c r="M71">
        <v>7</v>
      </c>
      <c r="N71">
        <v>5</v>
      </c>
      <c r="O71" s="32">
        <f t="shared" si="13"/>
        <v>2</v>
      </c>
      <c r="P71">
        <v>8</v>
      </c>
      <c r="Q71">
        <v>4</v>
      </c>
      <c r="R71" s="32">
        <f t="shared" si="14"/>
        <v>4</v>
      </c>
      <c r="S71">
        <v>7</v>
      </c>
      <c r="T71">
        <v>4</v>
      </c>
      <c r="U71" s="32">
        <f t="shared" si="15"/>
        <v>3</v>
      </c>
      <c r="V71">
        <v>6</v>
      </c>
      <c r="W71">
        <v>5</v>
      </c>
      <c r="X71" s="32">
        <f t="shared" si="16"/>
        <v>1</v>
      </c>
      <c r="Y71">
        <v>8</v>
      </c>
      <c r="Z71">
        <v>5</v>
      </c>
      <c r="AA71" s="32">
        <f t="shared" si="17"/>
        <v>3</v>
      </c>
    </row>
    <row r="72" spans="1:27" x14ac:dyDescent="0.45">
      <c r="A72">
        <v>6</v>
      </c>
      <c r="B72">
        <v>5</v>
      </c>
      <c r="C72" s="32">
        <f t="shared" si="9"/>
        <v>1</v>
      </c>
      <c r="D72">
        <v>6</v>
      </c>
      <c r="E72">
        <v>5</v>
      </c>
      <c r="F72" s="32">
        <f t="shared" si="10"/>
        <v>1</v>
      </c>
      <c r="G72">
        <v>7</v>
      </c>
      <c r="H72">
        <v>4</v>
      </c>
      <c r="I72" s="32">
        <f t="shared" si="11"/>
        <v>3</v>
      </c>
      <c r="J72">
        <v>8</v>
      </c>
      <c r="K72">
        <v>5</v>
      </c>
      <c r="L72" s="32">
        <f t="shared" si="12"/>
        <v>3</v>
      </c>
      <c r="M72">
        <v>7</v>
      </c>
      <c r="N72">
        <v>5</v>
      </c>
      <c r="O72" s="32">
        <f t="shared" si="13"/>
        <v>2</v>
      </c>
      <c r="P72">
        <v>8</v>
      </c>
      <c r="Q72">
        <v>5</v>
      </c>
      <c r="R72" s="32">
        <f t="shared" si="14"/>
        <v>3</v>
      </c>
      <c r="S72">
        <v>7</v>
      </c>
      <c r="T72">
        <v>4</v>
      </c>
      <c r="U72" s="32">
        <f t="shared" si="15"/>
        <v>3</v>
      </c>
      <c r="V72">
        <v>6</v>
      </c>
      <c r="W72">
        <v>5</v>
      </c>
      <c r="X72" s="32">
        <f t="shared" si="16"/>
        <v>1</v>
      </c>
      <c r="Y72">
        <v>8</v>
      </c>
      <c r="Z72">
        <v>5</v>
      </c>
      <c r="AA72" s="32">
        <f t="shared" si="17"/>
        <v>3</v>
      </c>
    </row>
    <row r="73" spans="1:27" x14ac:dyDescent="0.45">
      <c r="A73">
        <v>6</v>
      </c>
      <c r="B73">
        <v>5</v>
      </c>
      <c r="C73" s="32">
        <f t="shared" si="9"/>
        <v>1</v>
      </c>
      <c r="D73">
        <v>6</v>
      </c>
      <c r="E73">
        <v>5</v>
      </c>
      <c r="F73" s="32">
        <f t="shared" si="10"/>
        <v>1</v>
      </c>
      <c r="G73">
        <v>7</v>
      </c>
      <c r="H73">
        <v>4</v>
      </c>
      <c r="I73" s="32">
        <f t="shared" si="11"/>
        <v>3</v>
      </c>
      <c r="J73">
        <v>8</v>
      </c>
      <c r="K73">
        <v>5</v>
      </c>
      <c r="L73" s="32">
        <f t="shared" si="12"/>
        <v>3</v>
      </c>
      <c r="M73">
        <v>7</v>
      </c>
      <c r="N73">
        <v>5</v>
      </c>
      <c r="O73" s="32">
        <f t="shared" si="13"/>
        <v>2</v>
      </c>
      <c r="P73">
        <v>8</v>
      </c>
      <c r="Q73">
        <v>5</v>
      </c>
      <c r="R73" s="32">
        <f t="shared" si="14"/>
        <v>3</v>
      </c>
      <c r="S73">
        <v>7</v>
      </c>
      <c r="T73">
        <v>4</v>
      </c>
      <c r="U73" s="32">
        <f t="shared" si="15"/>
        <v>3</v>
      </c>
      <c r="V73">
        <v>6</v>
      </c>
      <c r="W73">
        <v>5</v>
      </c>
      <c r="X73" s="32">
        <f t="shared" si="16"/>
        <v>1</v>
      </c>
      <c r="Y73">
        <v>8</v>
      </c>
      <c r="Z73">
        <v>5</v>
      </c>
      <c r="AA73" s="32">
        <f t="shared" si="17"/>
        <v>3</v>
      </c>
    </row>
    <row r="74" spans="1:27" x14ac:dyDescent="0.45">
      <c r="A74">
        <v>6</v>
      </c>
      <c r="B74">
        <v>5</v>
      </c>
      <c r="C74" s="32">
        <f t="shared" si="9"/>
        <v>1</v>
      </c>
      <c r="D74">
        <v>6</v>
      </c>
      <c r="E74">
        <v>5</v>
      </c>
      <c r="F74" s="32">
        <f t="shared" si="10"/>
        <v>1</v>
      </c>
      <c r="G74">
        <v>7</v>
      </c>
      <c r="H74">
        <v>4</v>
      </c>
      <c r="I74" s="32">
        <f t="shared" si="11"/>
        <v>3</v>
      </c>
      <c r="J74">
        <v>8</v>
      </c>
      <c r="K74">
        <v>5</v>
      </c>
      <c r="L74" s="32">
        <f t="shared" si="12"/>
        <v>3</v>
      </c>
      <c r="M74">
        <v>7</v>
      </c>
      <c r="N74">
        <v>5</v>
      </c>
      <c r="O74" s="32">
        <f t="shared" si="13"/>
        <v>2</v>
      </c>
      <c r="P74">
        <v>8</v>
      </c>
      <c r="Q74">
        <v>5</v>
      </c>
      <c r="R74" s="32">
        <f t="shared" si="14"/>
        <v>3</v>
      </c>
      <c r="S74">
        <v>7</v>
      </c>
      <c r="T74">
        <v>5</v>
      </c>
      <c r="U74" s="32">
        <f t="shared" si="15"/>
        <v>2</v>
      </c>
      <c r="V74">
        <v>6</v>
      </c>
      <c r="W74">
        <v>5</v>
      </c>
      <c r="X74" s="32">
        <f t="shared" si="16"/>
        <v>1</v>
      </c>
      <c r="Y74">
        <v>8</v>
      </c>
      <c r="Z74">
        <v>5</v>
      </c>
      <c r="AA74" s="32">
        <f t="shared" si="17"/>
        <v>3</v>
      </c>
    </row>
    <row r="75" spans="1:27" x14ac:dyDescent="0.45">
      <c r="A75">
        <v>6</v>
      </c>
      <c r="B75">
        <v>5</v>
      </c>
      <c r="C75" s="32">
        <f t="shared" si="9"/>
        <v>1</v>
      </c>
      <c r="D75">
        <v>6</v>
      </c>
      <c r="E75">
        <v>5</v>
      </c>
      <c r="F75" s="32">
        <f t="shared" si="10"/>
        <v>1</v>
      </c>
      <c r="G75">
        <v>7</v>
      </c>
      <c r="H75">
        <v>4</v>
      </c>
      <c r="I75" s="32">
        <f t="shared" si="11"/>
        <v>3</v>
      </c>
      <c r="J75">
        <v>8</v>
      </c>
      <c r="K75">
        <v>5</v>
      </c>
      <c r="L75" s="32">
        <f t="shared" si="12"/>
        <v>3</v>
      </c>
      <c r="M75">
        <v>7</v>
      </c>
      <c r="N75">
        <v>5</v>
      </c>
      <c r="O75" s="32">
        <f t="shared" si="13"/>
        <v>2</v>
      </c>
      <c r="P75">
        <v>8</v>
      </c>
      <c r="Q75">
        <v>5</v>
      </c>
      <c r="R75" s="32">
        <f t="shared" si="14"/>
        <v>3</v>
      </c>
      <c r="S75">
        <v>7</v>
      </c>
      <c r="T75">
        <v>5</v>
      </c>
      <c r="U75" s="32">
        <f t="shared" si="15"/>
        <v>2</v>
      </c>
      <c r="V75">
        <v>6</v>
      </c>
      <c r="W75">
        <v>5</v>
      </c>
      <c r="X75" s="32">
        <f t="shared" si="16"/>
        <v>1</v>
      </c>
      <c r="Y75">
        <v>8</v>
      </c>
      <c r="Z75">
        <v>5</v>
      </c>
      <c r="AA75" s="32">
        <f t="shared" si="17"/>
        <v>3</v>
      </c>
    </row>
    <row r="76" spans="1:27" x14ac:dyDescent="0.45">
      <c r="A76">
        <v>6</v>
      </c>
      <c r="B76">
        <v>5</v>
      </c>
      <c r="C76" s="32">
        <f t="shared" si="9"/>
        <v>1</v>
      </c>
      <c r="D76">
        <v>6</v>
      </c>
      <c r="E76">
        <v>5</v>
      </c>
      <c r="F76" s="32">
        <f t="shared" si="10"/>
        <v>1</v>
      </c>
      <c r="G76">
        <v>7</v>
      </c>
      <c r="H76">
        <v>4</v>
      </c>
      <c r="I76" s="32">
        <f t="shared" si="11"/>
        <v>3</v>
      </c>
      <c r="J76">
        <v>8</v>
      </c>
      <c r="K76">
        <v>5</v>
      </c>
      <c r="L76" s="32">
        <f t="shared" si="12"/>
        <v>3</v>
      </c>
      <c r="M76">
        <v>7</v>
      </c>
      <c r="N76">
        <v>5</v>
      </c>
      <c r="O76" s="32">
        <f t="shared" si="13"/>
        <v>2</v>
      </c>
      <c r="P76">
        <v>8</v>
      </c>
      <c r="Q76">
        <v>5</v>
      </c>
      <c r="R76" s="32">
        <f t="shared" si="14"/>
        <v>3</v>
      </c>
      <c r="S76">
        <v>7</v>
      </c>
      <c r="T76">
        <v>5</v>
      </c>
      <c r="U76" s="32">
        <f t="shared" si="15"/>
        <v>2</v>
      </c>
      <c r="V76">
        <v>6</v>
      </c>
      <c r="W76">
        <v>5</v>
      </c>
      <c r="X76" s="32">
        <f t="shared" si="16"/>
        <v>1</v>
      </c>
      <c r="Y76">
        <v>8</v>
      </c>
      <c r="Z76">
        <v>5</v>
      </c>
      <c r="AA76" s="32">
        <f t="shared" si="17"/>
        <v>3</v>
      </c>
    </row>
    <row r="77" spans="1:27" x14ac:dyDescent="0.45">
      <c r="A77">
        <v>6</v>
      </c>
      <c r="B77">
        <v>5</v>
      </c>
      <c r="C77" s="32">
        <f t="shared" si="9"/>
        <v>1</v>
      </c>
      <c r="D77">
        <v>6</v>
      </c>
      <c r="E77">
        <v>5</v>
      </c>
      <c r="F77" s="32">
        <f t="shared" si="10"/>
        <v>1</v>
      </c>
      <c r="G77">
        <v>7</v>
      </c>
      <c r="H77">
        <v>4</v>
      </c>
      <c r="I77" s="32">
        <f t="shared" si="11"/>
        <v>3</v>
      </c>
      <c r="J77">
        <v>8</v>
      </c>
      <c r="K77">
        <v>6</v>
      </c>
      <c r="L77" s="32">
        <f t="shared" si="12"/>
        <v>2</v>
      </c>
      <c r="M77">
        <v>7</v>
      </c>
      <c r="N77">
        <v>5</v>
      </c>
      <c r="O77" s="32">
        <f t="shared" si="13"/>
        <v>2</v>
      </c>
      <c r="P77">
        <v>8</v>
      </c>
      <c r="Q77">
        <v>5</v>
      </c>
      <c r="R77" s="32">
        <f t="shared" si="14"/>
        <v>3</v>
      </c>
      <c r="S77">
        <v>7</v>
      </c>
      <c r="T77">
        <v>5</v>
      </c>
      <c r="U77" s="32">
        <f t="shared" si="15"/>
        <v>2</v>
      </c>
      <c r="V77">
        <v>7</v>
      </c>
      <c r="W77">
        <v>5</v>
      </c>
      <c r="X77" s="32">
        <f t="shared" si="16"/>
        <v>2</v>
      </c>
      <c r="Y77">
        <v>8</v>
      </c>
      <c r="Z77">
        <v>5</v>
      </c>
      <c r="AA77" s="32">
        <f t="shared" si="17"/>
        <v>3</v>
      </c>
    </row>
    <row r="78" spans="1:27" x14ac:dyDescent="0.45">
      <c r="A78">
        <v>6</v>
      </c>
      <c r="B78">
        <v>5</v>
      </c>
      <c r="C78" s="32">
        <f t="shared" si="9"/>
        <v>1</v>
      </c>
      <c r="D78">
        <v>6</v>
      </c>
      <c r="E78">
        <v>5</v>
      </c>
      <c r="F78" s="32">
        <f t="shared" si="10"/>
        <v>1</v>
      </c>
      <c r="G78">
        <v>7</v>
      </c>
      <c r="H78">
        <v>4</v>
      </c>
      <c r="I78" s="32">
        <f t="shared" si="11"/>
        <v>3</v>
      </c>
      <c r="J78">
        <v>8</v>
      </c>
      <c r="K78">
        <v>6</v>
      </c>
      <c r="L78" s="32">
        <f t="shared" si="12"/>
        <v>2</v>
      </c>
      <c r="M78">
        <v>7</v>
      </c>
      <c r="N78">
        <v>5</v>
      </c>
      <c r="O78" s="32">
        <f t="shared" si="13"/>
        <v>2</v>
      </c>
      <c r="P78">
        <v>8</v>
      </c>
      <c r="Q78">
        <v>5</v>
      </c>
      <c r="R78" s="32">
        <f t="shared" si="14"/>
        <v>3</v>
      </c>
      <c r="S78">
        <v>7</v>
      </c>
      <c r="T78">
        <v>5</v>
      </c>
      <c r="U78" s="32">
        <f t="shared" si="15"/>
        <v>2</v>
      </c>
      <c r="V78">
        <v>7</v>
      </c>
      <c r="W78">
        <v>5</v>
      </c>
      <c r="X78" s="32">
        <f t="shared" si="16"/>
        <v>2</v>
      </c>
      <c r="Y78">
        <v>8</v>
      </c>
      <c r="Z78">
        <v>5</v>
      </c>
      <c r="AA78" s="32">
        <f t="shared" si="17"/>
        <v>3</v>
      </c>
    </row>
    <row r="79" spans="1:27" x14ac:dyDescent="0.45">
      <c r="A79">
        <v>6</v>
      </c>
      <c r="B79">
        <v>5</v>
      </c>
      <c r="C79" s="32">
        <f t="shared" si="9"/>
        <v>1</v>
      </c>
      <c r="D79">
        <v>6</v>
      </c>
      <c r="E79">
        <v>5</v>
      </c>
      <c r="F79" s="32">
        <f t="shared" si="10"/>
        <v>1</v>
      </c>
      <c r="G79">
        <v>7</v>
      </c>
      <c r="H79">
        <v>4</v>
      </c>
      <c r="I79" s="32">
        <f t="shared" si="11"/>
        <v>3</v>
      </c>
      <c r="J79">
        <v>8</v>
      </c>
      <c r="K79">
        <v>6</v>
      </c>
      <c r="L79" s="32">
        <f t="shared" si="12"/>
        <v>2</v>
      </c>
      <c r="M79">
        <v>7</v>
      </c>
      <c r="N79">
        <v>5</v>
      </c>
      <c r="O79" s="32">
        <f t="shared" si="13"/>
        <v>2</v>
      </c>
      <c r="P79">
        <v>8</v>
      </c>
      <c r="Q79">
        <v>5</v>
      </c>
      <c r="R79" s="32">
        <f t="shared" si="14"/>
        <v>3</v>
      </c>
      <c r="S79">
        <v>7</v>
      </c>
      <c r="T79">
        <v>5</v>
      </c>
      <c r="U79" s="32">
        <f t="shared" si="15"/>
        <v>2</v>
      </c>
      <c r="V79">
        <v>7</v>
      </c>
      <c r="W79">
        <v>5</v>
      </c>
      <c r="X79" s="32">
        <f t="shared" si="16"/>
        <v>2</v>
      </c>
      <c r="Y79">
        <v>8</v>
      </c>
      <c r="Z79">
        <v>5</v>
      </c>
      <c r="AA79" s="32">
        <f t="shared" si="17"/>
        <v>3</v>
      </c>
    </row>
    <row r="80" spans="1:27" x14ac:dyDescent="0.45">
      <c r="A80">
        <v>6</v>
      </c>
      <c r="B80">
        <v>5</v>
      </c>
      <c r="C80" s="32">
        <f t="shared" si="9"/>
        <v>1</v>
      </c>
      <c r="D80">
        <v>6</v>
      </c>
      <c r="E80">
        <v>5</v>
      </c>
      <c r="F80" s="32">
        <f t="shared" si="10"/>
        <v>1</v>
      </c>
      <c r="G80">
        <v>7</v>
      </c>
      <c r="H80">
        <v>4</v>
      </c>
      <c r="I80" s="32">
        <f t="shared" si="11"/>
        <v>3</v>
      </c>
      <c r="J80">
        <v>8</v>
      </c>
      <c r="K80">
        <v>6</v>
      </c>
      <c r="L80" s="32">
        <f t="shared" si="12"/>
        <v>2</v>
      </c>
      <c r="M80">
        <v>7</v>
      </c>
      <c r="N80">
        <v>5</v>
      </c>
      <c r="O80" s="32">
        <f t="shared" si="13"/>
        <v>2</v>
      </c>
      <c r="P80">
        <v>8</v>
      </c>
      <c r="Q80">
        <v>5</v>
      </c>
      <c r="R80" s="32">
        <f t="shared" si="14"/>
        <v>3</v>
      </c>
      <c r="S80">
        <v>7</v>
      </c>
      <c r="T80">
        <v>5</v>
      </c>
      <c r="U80" s="32">
        <f t="shared" si="15"/>
        <v>2</v>
      </c>
      <c r="V80">
        <v>7</v>
      </c>
      <c r="W80">
        <v>5</v>
      </c>
      <c r="X80" s="32">
        <f t="shared" si="16"/>
        <v>2</v>
      </c>
      <c r="Y80">
        <v>8</v>
      </c>
      <c r="Z80">
        <v>5</v>
      </c>
      <c r="AA80" s="32">
        <f t="shared" si="17"/>
        <v>3</v>
      </c>
    </row>
    <row r="81" spans="1:27" x14ac:dyDescent="0.45">
      <c r="A81">
        <v>6</v>
      </c>
      <c r="B81">
        <v>5</v>
      </c>
      <c r="C81" s="32">
        <f t="shared" si="9"/>
        <v>1</v>
      </c>
      <c r="D81">
        <v>6</v>
      </c>
      <c r="E81">
        <v>5</v>
      </c>
      <c r="F81" s="32">
        <f t="shared" si="10"/>
        <v>1</v>
      </c>
      <c r="G81">
        <v>7</v>
      </c>
      <c r="H81">
        <v>4</v>
      </c>
      <c r="I81" s="32">
        <f t="shared" si="11"/>
        <v>3</v>
      </c>
      <c r="J81">
        <v>8</v>
      </c>
      <c r="K81">
        <v>6</v>
      </c>
      <c r="L81" s="32">
        <f t="shared" si="12"/>
        <v>2</v>
      </c>
      <c r="M81">
        <v>7</v>
      </c>
      <c r="N81">
        <v>5</v>
      </c>
      <c r="O81" s="32">
        <f t="shared" si="13"/>
        <v>2</v>
      </c>
      <c r="P81">
        <v>8</v>
      </c>
      <c r="Q81">
        <v>5</v>
      </c>
      <c r="R81" s="32">
        <f t="shared" si="14"/>
        <v>3</v>
      </c>
      <c r="S81">
        <v>7</v>
      </c>
      <c r="T81">
        <v>5</v>
      </c>
      <c r="U81" s="32">
        <f t="shared" si="15"/>
        <v>2</v>
      </c>
      <c r="V81">
        <v>7</v>
      </c>
      <c r="W81">
        <v>5</v>
      </c>
      <c r="X81" s="32">
        <f t="shared" si="16"/>
        <v>2</v>
      </c>
      <c r="Y81">
        <v>8</v>
      </c>
      <c r="Z81">
        <v>5</v>
      </c>
      <c r="AA81" s="32">
        <f t="shared" si="17"/>
        <v>3</v>
      </c>
    </row>
    <row r="82" spans="1:27" x14ac:dyDescent="0.45">
      <c r="A82">
        <v>6</v>
      </c>
      <c r="B82">
        <v>5</v>
      </c>
      <c r="C82" s="32">
        <f t="shared" si="9"/>
        <v>1</v>
      </c>
      <c r="D82">
        <v>6</v>
      </c>
      <c r="E82">
        <v>5</v>
      </c>
      <c r="F82" s="32">
        <f t="shared" si="10"/>
        <v>1</v>
      </c>
      <c r="G82">
        <v>7</v>
      </c>
      <c r="H82">
        <v>4</v>
      </c>
      <c r="I82" s="32">
        <f t="shared" si="11"/>
        <v>3</v>
      </c>
      <c r="J82">
        <v>8</v>
      </c>
      <c r="K82">
        <v>6</v>
      </c>
      <c r="L82" s="32">
        <f t="shared" si="12"/>
        <v>2</v>
      </c>
      <c r="M82">
        <v>7</v>
      </c>
      <c r="N82">
        <v>5</v>
      </c>
      <c r="O82" s="32">
        <f t="shared" si="13"/>
        <v>2</v>
      </c>
      <c r="P82">
        <v>8</v>
      </c>
      <c r="Q82">
        <v>5</v>
      </c>
      <c r="R82" s="32">
        <f t="shared" si="14"/>
        <v>3</v>
      </c>
      <c r="S82">
        <v>7</v>
      </c>
      <c r="T82">
        <v>5</v>
      </c>
      <c r="U82" s="32">
        <f t="shared" si="15"/>
        <v>2</v>
      </c>
      <c r="V82">
        <v>7</v>
      </c>
      <c r="W82">
        <v>5</v>
      </c>
      <c r="X82" s="32">
        <f t="shared" si="16"/>
        <v>2</v>
      </c>
      <c r="Y82">
        <v>8</v>
      </c>
      <c r="Z82">
        <v>5</v>
      </c>
      <c r="AA82" s="32">
        <f t="shared" si="17"/>
        <v>3</v>
      </c>
    </row>
    <row r="83" spans="1:27" x14ac:dyDescent="0.45">
      <c r="A83">
        <v>6</v>
      </c>
      <c r="B83">
        <v>5</v>
      </c>
      <c r="C83" s="32">
        <f t="shared" si="9"/>
        <v>1</v>
      </c>
      <c r="D83">
        <v>6</v>
      </c>
      <c r="E83">
        <v>5</v>
      </c>
      <c r="F83" s="32">
        <f t="shared" si="10"/>
        <v>1</v>
      </c>
      <c r="G83">
        <v>7</v>
      </c>
      <c r="H83">
        <v>4</v>
      </c>
      <c r="I83" s="32">
        <f t="shared" si="11"/>
        <v>3</v>
      </c>
      <c r="J83">
        <v>8</v>
      </c>
      <c r="K83">
        <v>6</v>
      </c>
      <c r="L83" s="32">
        <f t="shared" si="12"/>
        <v>2</v>
      </c>
      <c r="M83">
        <v>7</v>
      </c>
      <c r="N83">
        <v>5</v>
      </c>
      <c r="O83" s="32">
        <f t="shared" si="13"/>
        <v>2</v>
      </c>
      <c r="P83">
        <v>8</v>
      </c>
      <c r="Q83">
        <v>5</v>
      </c>
      <c r="R83" s="32">
        <f t="shared" si="14"/>
        <v>3</v>
      </c>
      <c r="S83">
        <v>7</v>
      </c>
      <c r="T83">
        <v>5</v>
      </c>
      <c r="U83" s="32">
        <f t="shared" si="15"/>
        <v>2</v>
      </c>
      <c r="V83">
        <v>7</v>
      </c>
      <c r="W83">
        <v>5</v>
      </c>
      <c r="X83" s="32">
        <f t="shared" si="16"/>
        <v>2</v>
      </c>
      <c r="Y83">
        <v>8</v>
      </c>
      <c r="Z83">
        <v>5</v>
      </c>
      <c r="AA83" s="32">
        <f t="shared" si="17"/>
        <v>3</v>
      </c>
    </row>
    <row r="84" spans="1:27" x14ac:dyDescent="0.45">
      <c r="A84">
        <v>6</v>
      </c>
      <c r="B84">
        <v>5</v>
      </c>
      <c r="C84" s="32">
        <f t="shared" si="9"/>
        <v>1</v>
      </c>
      <c r="D84">
        <v>6</v>
      </c>
      <c r="E84">
        <v>5</v>
      </c>
      <c r="F84" s="32">
        <f t="shared" si="10"/>
        <v>1</v>
      </c>
      <c r="G84">
        <v>7</v>
      </c>
      <c r="H84">
        <v>4</v>
      </c>
      <c r="I84" s="32">
        <f t="shared" si="11"/>
        <v>3</v>
      </c>
      <c r="J84">
        <v>8</v>
      </c>
      <c r="K84">
        <v>6</v>
      </c>
      <c r="L84" s="32">
        <f t="shared" si="12"/>
        <v>2</v>
      </c>
      <c r="M84">
        <v>7</v>
      </c>
      <c r="N84">
        <v>5</v>
      </c>
      <c r="O84" s="32">
        <f t="shared" si="13"/>
        <v>2</v>
      </c>
      <c r="P84">
        <v>8</v>
      </c>
      <c r="Q84">
        <v>5</v>
      </c>
      <c r="R84" s="32">
        <f t="shared" si="14"/>
        <v>3</v>
      </c>
      <c r="S84">
        <v>7</v>
      </c>
      <c r="T84">
        <v>5</v>
      </c>
      <c r="U84" s="32">
        <f t="shared" si="15"/>
        <v>2</v>
      </c>
      <c r="V84">
        <v>7</v>
      </c>
      <c r="W84">
        <v>5</v>
      </c>
      <c r="X84" s="32">
        <f t="shared" si="16"/>
        <v>2</v>
      </c>
      <c r="Y84">
        <v>8</v>
      </c>
      <c r="Z84">
        <v>5</v>
      </c>
      <c r="AA84" s="32">
        <f t="shared" si="17"/>
        <v>3</v>
      </c>
    </row>
    <row r="85" spans="1:27" x14ac:dyDescent="0.45">
      <c r="A85">
        <v>6</v>
      </c>
      <c r="B85">
        <v>5</v>
      </c>
      <c r="C85" s="32">
        <f t="shared" si="9"/>
        <v>1</v>
      </c>
      <c r="D85">
        <v>6</v>
      </c>
      <c r="E85">
        <v>5</v>
      </c>
      <c r="F85" s="32">
        <f t="shared" si="10"/>
        <v>1</v>
      </c>
      <c r="G85">
        <v>8</v>
      </c>
      <c r="H85">
        <v>5</v>
      </c>
      <c r="I85" s="32">
        <f t="shared" si="11"/>
        <v>3</v>
      </c>
      <c r="J85">
        <v>8</v>
      </c>
      <c r="K85">
        <v>6</v>
      </c>
      <c r="L85" s="32">
        <f t="shared" si="12"/>
        <v>2</v>
      </c>
      <c r="M85">
        <v>7</v>
      </c>
      <c r="N85">
        <v>5</v>
      </c>
      <c r="O85" s="32">
        <f t="shared" si="13"/>
        <v>2</v>
      </c>
      <c r="P85">
        <v>8</v>
      </c>
      <c r="Q85">
        <v>5</v>
      </c>
      <c r="R85" s="32">
        <f t="shared" si="14"/>
        <v>3</v>
      </c>
      <c r="S85">
        <v>7</v>
      </c>
      <c r="T85">
        <v>5</v>
      </c>
      <c r="U85" s="32">
        <f t="shared" si="15"/>
        <v>2</v>
      </c>
      <c r="V85">
        <v>7</v>
      </c>
      <c r="W85">
        <v>5</v>
      </c>
      <c r="X85" s="32">
        <f t="shared" si="16"/>
        <v>2</v>
      </c>
      <c r="Y85">
        <v>8</v>
      </c>
      <c r="Z85">
        <v>5</v>
      </c>
      <c r="AA85" s="32">
        <f t="shared" si="17"/>
        <v>3</v>
      </c>
    </row>
    <row r="86" spans="1:27" x14ac:dyDescent="0.45">
      <c r="A86">
        <v>6</v>
      </c>
      <c r="B86">
        <v>5</v>
      </c>
      <c r="C86" s="32">
        <f t="shared" si="9"/>
        <v>1</v>
      </c>
      <c r="D86">
        <v>6</v>
      </c>
      <c r="E86">
        <v>5</v>
      </c>
      <c r="F86" s="32">
        <f t="shared" si="10"/>
        <v>1</v>
      </c>
      <c r="G86">
        <v>8</v>
      </c>
      <c r="H86">
        <v>5</v>
      </c>
      <c r="I86" s="32">
        <f t="shared" si="11"/>
        <v>3</v>
      </c>
      <c r="J86">
        <v>8</v>
      </c>
      <c r="K86">
        <v>6</v>
      </c>
      <c r="L86" s="32">
        <f t="shared" si="12"/>
        <v>2</v>
      </c>
      <c r="M86">
        <v>7</v>
      </c>
      <c r="N86">
        <v>5</v>
      </c>
      <c r="O86" s="32">
        <f t="shared" si="13"/>
        <v>2</v>
      </c>
      <c r="P86">
        <v>8</v>
      </c>
      <c r="Q86">
        <v>5</v>
      </c>
      <c r="R86" s="32">
        <f t="shared" si="14"/>
        <v>3</v>
      </c>
      <c r="S86">
        <v>7</v>
      </c>
      <c r="T86">
        <v>5</v>
      </c>
      <c r="U86" s="32">
        <f t="shared" si="15"/>
        <v>2</v>
      </c>
      <c r="V86">
        <v>7</v>
      </c>
      <c r="W86">
        <v>5</v>
      </c>
      <c r="X86" s="32">
        <f t="shared" si="16"/>
        <v>2</v>
      </c>
      <c r="Y86">
        <v>8</v>
      </c>
      <c r="Z86">
        <v>5</v>
      </c>
      <c r="AA86" s="32">
        <f t="shared" si="17"/>
        <v>3</v>
      </c>
    </row>
    <row r="87" spans="1:27" x14ac:dyDescent="0.45">
      <c r="A87">
        <v>6</v>
      </c>
      <c r="B87">
        <v>5</v>
      </c>
      <c r="C87" s="32">
        <f t="shared" si="9"/>
        <v>1</v>
      </c>
      <c r="D87">
        <v>6</v>
      </c>
      <c r="E87">
        <v>5</v>
      </c>
      <c r="F87" s="32">
        <f t="shared" si="10"/>
        <v>1</v>
      </c>
      <c r="G87">
        <v>8</v>
      </c>
      <c r="H87">
        <v>5</v>
      </c>
      <c r="I87" s="32">
        <f t="shared" si="11"/>
        <v>3</v>
      </c>
      <c r="J87">
        <v>8</v>
      </c>
      <c r="K87">
        <v>6</v>
      </c>
      <c r="L87" s="32">
        <f t="shared" si="12"/>
        <v>2</v>
      </c>
      <c r="M87">
        <v>7</v>
      </c>
      <c r="N87">
        <v>5</v>
      </c>
      <c r="O87" s="32">
        <f t="shared" si="13"/>
        <v>2</v>
      </c>
      <c r="P87">
        <v>8</v>
      </c>
      <c r="Q87">
        <v>5</v>
      </c>
      <c r="R87" s="32">
        <f t="shared" si="14"/>
        <v>3</v>
      </c>
      <c r="S87">
        <v>7</v>
      </c>
      <c r="T87">
        <v>5</v>
      </c>
      <c r="U87" s="32">
        <f t="shared" si="15"/>
        <v>2</v>
      </c>
      <c r="V87">
        <v>7</v>
      </c>
      <c r="W87">
        <v>5</v>
      </c>
      <c r="X87" s="32">
        <f t="shared" si="16"/>
        <v>2</v>
      </c>
      <c r="Y87">
        <v>8</v>
      </c>
      <c r="Z87">
        <v>5</v>
      </c>
      <c r="AA87" s="32">
        <f t="shared" si="17"/>
        <v>3</v>
      </c>
    </row>
    <row r="88" spans="1:27" x14ac:dyDescent="0.45">
      <c r="A88">
        <v>6</v>
      </c>
      <c r="B88">
        <v>5</v>
      </c>
      <c r="C88" s="32">
        <f t="shared" si="9"/>
        <v>1</v>
      </c>
      <c r="D88">
        <v>6</v>
      </c>
      <c r="E88">
        <v>5</v>
      </c>
      <c r="F88" s="32">
        <f t="shared" si="10"/>
        <v>1</v>
      </c>
      <c r="G88">
        <v>8</v>
      </c>
      <c r="H88">
        <v>5</v>
      </c>
      <c r="I88" s="32">
        <f t="shared" si="11"/>
        <v>3</v>
      </c>
      <c r="J88">
        <v>8</v>
      </c>
      <c r="K88">
        <v>6</v>
      </c>
      <c r="L88" s="32">
        <f t="shared" si="12"/>
        <v>2</v>
      </c>
      <c r="M88">
        <v>7</v>
      </c>
      <c r="N88">
        <v>5</v>
      </c>
      <c r="O88" s="32">
        <f t="shared" si="13"/>
        <v>2</v>
      </c>
      <c r="P88">
        <v>8</v>
      </c>
      <c r="Q88">
        <v>5</v>
      </c>
      <c r="R88" s="32">
        <f t="shared" si="14"/>
        <v>3</v>
      </c>
      <c r="S88">
        <v>7</v>
      </c>
      <c r="T88">
        <v>5</v>
      </c>
      <c r="U88" s="32">
        <f t="shared" si="15"/>
        <v>2</v>
      </c>
      <c r="V88">
        <v>7</v>
      </c>
      <c r="W88">
        <v>5</v>
      </c>
      <c r="X88" s="32">
        <f t="shared" si="16"/>
        <v>2</v>
      </c>
      <c r="Y88">
        <v>8</v>
      </c>
      <c r="Z88">
        <v>5</v>
      </c>
      <c r="AA88" s="32">
        <f t="shared" si="17"/>
        <v>3</v>
      </c>
    </row>
    <row r="89" spans="1:27" x14ac:dyDescent="0.45">
      <c r="A89">
        <v>6</v>
      </c>
      <c r="B89">
        <v>5</v>
      </c>
      <c r="C89" s="32">
        <f t="shared" si="9"/>
        <v>1</v>
      </c>
      <c r="D89">
        <v>6</v>
      </c>
      <c r="E89">
        <v>5</v>
      </c>
      <c r="F89" s="32">
        <f t="shared" si="10"/>
        <v>1</v>
      </c>
      <c r="G89">
        <v>8</v>
      </c>
      <c r="H89">
        <v>5</v>
      </c>
      <c r="I89" s="32">
        <f t="shared" si="11"/>
        <v>3</v>
      </c>
      <c r="J89">
        <v>8</v>
      </c>
      <c r="K89">
        <v>6</v>
      </c>
      <c r="L89" s="32">
        <f t="shared" si="12"/>
        <v>2</v>
      </c>
      <c r="M89">
        <v>7</v>
      </c>
      <c r="N89">
        <v>5</v>
      </c>
      <c r="O89" s="32">
        <f t="shared" si="13"/>
        <v>2</v>
      </c>
      <c r="P89">
        <v>8</v>
      </c>
      <c r="Q89">
        <v>5</v>
      </c>
      <c r="R89" s="32">
        <f t="shared" si="14"/>
        <v>3</v>
      </c>
      <c r="S89">
        <v>7</v>
      </c>
      <c r="T89">
        <v>5</v>
      </c>
      <c r="U89" s="32">
        <f t="shared" si="15"/>
        <v>2</v>
      </c>
      <c r="V89">
        <v>7</v>
      </c>
      <c r="W89">
        <v>5</v>
      </c>
      <c r="X89" s="32">
        <f t="shared" si="16"/>
        <v>2</v>
      </c>
      <c r="Y89">
        <v>8</v>
      </c>
      <c r="Z89">
        <v>5</v>
      </c>
      <c r="AA89" s="32">
        <f t="shared" si="17"/>
        <v>3</v>
      </c>
    </row>
    <row r="90" spans="1:27" x14ac:dyDescent="0.45">
      <c r="A90">
        <v>6</v>
      </c>
      <c r="B90">
        <v>5</v>
      </c>
      <c r="C90" s="32">
        <f t="shared" si="9"/>
        <v>1</v>
      </c>
      <c r="D90">
        <v>6</v>
      </c>
      <c r="E90">
        <v>5</v>
      </c>
      <c r="F90" s="32">
        <f t="shared" si="10"/>
        <v>1</v>
      </c>
      <c r="G90">
        <v>8</v>
      </c>
      <c r="H90">
        <v>5</v>
      </c>
      <c r="I90" s="32">
        <f t="shared" si="11"/>
        <v>3</v>
      </c>
      <c r="J90">
        <v>8</v>
      </c>
      <c r="K90">
        <v>6</v>
      </c>
      <c r="L90" s="32">
        <f t="shared" si="12"/>
        <v>2</v>
      </c>
      <c r="M90">
        <v>7</v>
      </c>
      <c r="N90">
        <v>5</v>
      </c>
      <c r="O90" s="32">
        <f t="shared" si="13"/>
        <v>2</v>
      </c>
      <c r="P90">
        <v>8</v>
      </c>
      <c r="Q90">
        <v>5</v>
      </c>
      <c r="R90" s="32">
        <f t="shared" si="14"/>
        <v>3</v>
      </c>
      <c r="S90">
        <v>7</v>
      </c>
      <c r="T90">
        <v>5</v>
      </c>
      <c r="U90" s="32">
        <f t="shared" si="15"/>
        <v>2</v>
      </c>
      <c r="V90">
        <v>7</v>
      </c>
      <c r="W90">
        <v>5</v>
      </c>
      <c r="X90" s="32">
        <f t="shared" si="16"/>
        <v>2</v>
      </c>
      <c r="Y90">
        <v>8</v>
      </c>
      <c r="Z90">
        <v>5</v>
      </c>
      <c r="AA90" s="32">
        <f t="shared" si="17"/>
        <v>3</v>
      </c>
    </row>
    <row r="91" spans="1:27" x14ac:dyDescent="0.45">
      <c r="A91">
        <v>6</v>
      </c>
      <c r="B91">
        <v>5</v>
      </c>
      <c r="C91" s="32">
        <f t="shared" si="9"/>
        <v>1</v>
      </c>
      <c r="D91">
        <v>6</v>
      </c>
      <c r="E91">
        <v>5</v>
      </c>
      <c r="F91" s="32">
        <f t="shared" si="10"/>
        <v>1</v>
      </c>
      <c r="G91">
        <v>8</v>
      </c>
      <c r="H91">
        <v>5</v>
      </c>
      <c r="I91" s="32">
        <f t="shared" si="11"/>
        <v>3</v>
      </c>
      <c r="J91">
        <v>8</v>
      </c>
      <c r="K91">
        <v>6</v>
      </c>
      <c r="L91" s="32">
        <f t="shared" si="12"/>
        <v>2</v>
      </c>
      <c r="M91">
        <v>7</v>
      </c>
      <c r="N91">
        <v>5</v>
      </c>
      <c r="O91" s="32">
        <f t="shared" si="13"/>
        <v>2</v>
      </c>
      <c r="P91">
        <v>8</v>
      </c>
      <c r="Q91">
        <v>5</v>
      </c>
      <c r="R91" s="32">
        <f t="shared" si="14"/>
        <v>3</v>
      </c>
      <c r="S91">
        <v>7</v>
      </c>
      <c r="T91">
        <v>5</v>
      </c>
      <c r="U91" s="32">
        <f t="shared" si="15"/>
        <v>2</v>
      </c>
      <c r="V91">
        <v>7</v>
      </c>
      <c r="W91">
        <v>5</v>
      </c>
      <c r="X91" s="32">
        <f t="shared" si="16"/>
        <v>2</v>
      </c>
      <c r="Y91">
        <v>8</v>
      </c>
      <c r="Z91">
        <v>5</v>
      </c>
      <c r="AA91" s="32">
        <f t="shared" si="17"/>
        <v>3</v>
      </c>
    </row>
    <row r="92" spans="1:27" x14ac:dyDescent="0.45">
      <c r="A92">
        <v>6</v>
      </c>
      <c r="B92">
        <v>5</v>
      </c>
      <c r="C92" s="32">
        <f t="shared" si="9"/>
        <v>1</v>
      </c>
      <c r="D92">
        <v>6</v>
      </c>
      <c r="E92">
        <v>6</v>
      </c>
      <c r="F92" s="32">
        <f t="shared" si="10"/>
        <v>0</v>
      </c>
      <c r="G92">
        <v>8</v>
      </c>
      <c r="H92">
        <v>5</v>
      </c>
      <c r="I92" s="32">
        <f t="shared" si="11"/>
        <v>3</v>
      </c>
      <c r="J92">
        <v>8</v>
      </c>
      <c r="K92">
        <v>6</v>
      </c>
      <c r="L92" s="32">
        <f t="shared" si="12"/>
        <v>2</v>
      </c>
      <c r="M92">
        <v>7</v>
      </c>
      <c r="N92">
        <v>5</v>
      </c>
      <c r="O92" s="32">
        <f t="shared" si="13"/>
        <v>2</v>
      </c>
      <c r="P92">
        <v>8</v>
      </c>
      <c r="Q92">
        <v>5</v>
      </c>
      <c r="R92" s="32">
        <f t="shared" si="14"/>
        <v>3</v>
      </c>
      <c r="S92">
        <v>7</v>
      </c>
      <c r="T92">
        <v>5</v>
      </c>
      <c r="U92" s="32">
        <f t="shared" si="15"/>
        <v>2</v>
      </c>
      <c r="V92">
        <v>7</v>
      </c>
      <c r="W92">
        <v>5</v>
      </c>
      <c r="X92" s="32">
        <f t="shared" si="16"/>
        <v>2</v>
      </c>
      <c r="Y92">
        <v>8</v>
      </c>
      <c r="Z92">
        <v>5</v>
      </c>
      <c r="AA92" s="32">
        <f t="shared" si="17"/>
        <v>3</v>
      </c>
    </row>
    <row r="93" spans="1:27" x14ac:dyDescent="0.45">
      <c r="A93">
        <v>6</v>
      </c>
      <c r="B93">
        <v>5</v>
      </c>
      <c r="C93" s="32">
        <f t="shared" si="9"/>
        <v>1</v>
      </c>
      <c r="D93">
        <v>6</v>
      </c>
      <c r="E93">
        <v>6</v>
      </c>
      <c r="F93" s="32">
        <f t="shared" si="10"/>
        <v>0</v>
      </c>
      <c r="G93">
        <v>8</v>
      </c>
      <c r="H93">
        <v>5</v>
      </c>
      <c r="I93" s="32">
        <f t="shared" si="11"/>
        <v>3</v>
      </c>
      <c r="J93">
        <v>8</v>
      </c>
      <c r="K93">
        <v>6</v>
      </c>
      <c r="L93" s="32">
        <f t="shared" si="12"/>
        <v>2</v>
      </c>
      <c r="M93">
        <v>7</v>
      </c>
      <c r="N93">
        <v>5</v>
      </c>
      <c r="O93" s="32">
        <f t="shared" si="13"/>
        <v>2</v>
      </c>
      <c r="P93">
        <v>8</v>
      </c>
      <c r="Q93">
        <v>5</v>
      </c>
      <c r="R93" s="32">
        <f t="shared" si="14"/>
        <v>3</v>
      </c>
      <c r="S93">
        <v>7</v>
      </c>
      <c r="T93">
        <v>5</v>
      </c>
      <c r="U93" s="32">
        <f t="shared" si="15"/>
        <v>2</v>
      </c>
      <c r="V93">
        <v>7</v>
      </c>
      <c r="W93">
        <v>5</v>
      </c>
      <c r="X93" s="32">
        <f t="shared" si="16"/>
        <v>2</v>
      </c>
      <c r="Y93">
        <v>8</v>
      </c>
      <c r="Z93">
        <v>5</v>
      </c>
      <c r="AA93" s="32">
        <f t="shared" si="17"/>
        <v>3</v>
      </c>
    </row>
    <row r="94" spans="1:27" x14ac:dyDescent="0.45">
      <c r="A94">
        <v>6</v>
      </c>
      <c r="B94">
        <v>5</v>
      </c>
      <c r="C94" s="32">
        <f t="shared" si="9"/>
        <v>1</v>
      </c>
      <c r="D94">
        <v>6</v>
      </c>
      <c r="E94">
        <v>6</v>
      </c>
      <c r="F94" s="32">
        <f t="shared" si="10"/>
        <v>0</v>
      </c>
      <c r="G94">
        <v>8</v>
      </c>
      <c r="H94">
        <v>5</v>
      </c>
      <c r="I94" s="32">
        <f t="shared" si="11"/>
        <v>3</v>
      </c>
      <c r="J94">
        <v>8</v>
      </c>
      <c r="K94">
        <v>6</v>
      </c>
      <c r="L94" s="32">
        <f t="shared" si="12"/>
        <v>2</v>
      </c>
      <c r="M94">
        <v>7</v>
      </c>
      <c r="N94">
        <v>5</v>
      </c>
      <c r="O94" s="32">
        <f t="shared" si="13"/>
        <v>2</v>
      </c>
      <c r="P94">
        <v>8</v>
      </c>
      <c r="Q94">
        <v>5</v>
      </c>
      <c r="R94" s="32">
        <f t="shared" si="14"/>
        <v>3</v>
      </c>
      <c r="S94">
        <v>7</v>
      </c>
      <c r="T94">
        <v>5</v>
      </c>
      <c r="U94" s="32">
        <f t="shared" si="15"/>
        <v>2</v>
      </c>
      <c r="V94">
        <v>7</v>
      </c>
      <c r="W94">
        <v>5</v>
      </c>
      <c r="X94" s="32">
        <f t="shared" si="16"/>
        <v>2</v>
      </c>
      <c r="Y94">
        <v>8</v>
      </c>
      <c r="Z94">
        <v>5</v>
      </c>
      <c r="AA94" s="32">
        <f t="shared" si="17"/>
        <v>3</v>
      </c>
    </row>
    <row r="95" spans="1:27" x14ac:dyDescent="0.45">
      <c r="A95">
        <v>6</v>
      </c>
      <c r="B95">
        <v>5</v>
      </c>
      <c r="C95" s="32">
        <f t="shared" si="9"/>
        <v>1</v>
      </c>
      <c r="D95">
        <v>6</v>
      </c>
      <c r="E95">
        <v>6</v>
      </c>
      <c r="F95" s="32">
        <f t="shared" si="10"/>
        <v>0</v>
      </c>
      <c r="G95">
        <v>8</v>
      </c>
      <c r="H95">
        <v>5</v>
      </c>
      <c r="I95" s="32">
        <f t="shared" si="11"/>
        <v>3</v>
      </c>
      <c r="J95">
        <v>8</v>
      </c>
      <c r="K95">
        <v>6</v>
      </c>
      <c r="L95" s="32">
        <f t="shared" si="12"/>
        <v>2</v>
      </c>
      <c r="M95">
        <v>7</v>
      </c>
      <c r="N95">
        <v>5</v>
      </c>
      <c r="O95" s="32">
        <f t="shared" si="13"/>
        <v>2</v>
      </c>
      <c r="P95">
        <v>8</v>
      </c>
      <c r="Q95">
        <v>5</v>
      </c>
      <c r="R95" s="32">
        <f t="shared" si="14"/>
        <v>3</v>
      </c>
      <c r="S95">
        <v>7</v>
      </c>
      <c r="T95">
        <v>5</v>
      </c>
      <c r="U95" s="32">
        <f t="shared" si="15"/>
        <v>2</v>
      </c>
      <c r="V95">
        <v>7</v>
      </c>
      <c r="W95">
        <v>5</v>
      </c>
      <c r="X95" s="32">
        <f t="shared" si="16"/>
        <v>2</v>
      </c>
      <c r="Y95">
        <v>8</v>
      </c>
      <c r="Z95">
        <v>5</v>
      </c>
      <c r="AA95" s="32">
        <f t="shared" si="17"/>
        <v>3</v>
      </c>
    </row>
    <row r="96" spans="1:27" x14ac:dyDescent="0.45">
      <c r="A96">
        <v>6</v>
      </c>
      <c r="B96">
        <v>6</v>
      </c>
      <c r="C96" s="32">
        <f t="shared" si="9"/>
        <v>0</v>
      </c>
      <c r="D96">
        <v>6</v>
      </c>
      <c r="E96">
        <v>6</v>
      </c>
      <c r="F96" s="32">
        <f t="shared" si="10"/>
        <v>0</v>
      </c>
      <c r="G96">
        <v>8</v>
      </c>
      <c r="H96">
        <v>5</v>
      </c>
      <c r="I96" s="32">
        <f t="shared" si="11"/>
        <v>3</v>
      </c>
      <c r="J96">
        <v>8</v>
      </c>
      <c r="K96">
        <v>6</v>
      </c>
      <c r="L96" s="32">
        <f t="shared" si="12"/>
        <v>2</v>
      </c>
      <c r="M96">
        <v>7</v>
      </c>
      <c r="N96">
        <v>5</v>
      </c>
      <c r="O96" s="32">
        <f t="shared" si="13"/>
        <v>2</v>
      </c>
      <c r="P96">
        <v>8</v>
      </c>
      <c r="Q96">
        <v>5</v>
      </c>
      <c r="R96" s="32">
        <f t="shared" si="14"/>
        <v>3</v>
      </c>
      <c r="S96">
        <v>7</v>
      </c>
      <c r="T96">
        <v>5</v>
      </c>
      <c r="U96" s="32">
        <f t="shared" si="15"/>
        <v>2</v>
      </c>
      <c r="V96">
        <v>7</v>
      </c>
      <c r="W96">
        <v>5</v>
      </c>
      <c r="X96" s="32">
        <f t="shared" si="16"/>
        <v>2</v>
      </c>
      <c r="Y96">
        <v>8</v>
      </c>
      <c r="Z96">
        <v>5</v>
      </c>
      <c r="AA96" s="32">
        <f t="shared" si="17"/>
        <v>3</v>
      </c>
    </row>
    <row r="97" spans="1:27" x14ac:dyDescent="0.45">
      <c r="A97">
        <v>6</v>
      </c>
      <c r="B97">
        <v>6</v>
      </c>
      <c r="C97" s="32">
        <f t="shared" si="9"/>
        <v>0</v>
      </c>
      <c r="D97">
        <v>6</v>
      </c>
      <c r="E97">
        <v>6</v>
      </c>
      <c r="F97" s="32">
        <f t="shared" si="10"/>
        <v>0</v>
      </c>
      <c r="G97">
        <v>8</v>
      </c>
      <c r="H97">
        <v>5</v>
      </c>
      <c r="I97" s="32">
        <f t="shared" si="11"/>
        <v>3</v>
      </c>
      <c r="J97">
        <v>8</v>
      </c>
      <c r="K97">
        <v>6</v>
      </c>
      <c r="L97" s="32">
        <f t="shared" si="12"/>
        <v>2</v>
      </c>
      <c r="M97">
        <v>7</v>
      </c>
      <c r="N97">
        <v>5</v>
      </c>
      <c r="O97" s="32">
        <f t="shared" si="13"/>
        <v>2</v>
      </c>
      <c r="P97">
        <v>8</v>
      </c>
      <c r="Q97">
        <v>5</v>
      </c>
      <c r="R97" s="32">
        <f t="shared" si="14"/>
        <v>3</v>
      </c>
      <c r="S97">
        <v>7</v>
      </c>
      <c r="T97">
        <v>5</v>
      </c>
      <c r="U97" s="32">
        <f t="shared" si="15"/>
        <v>2</v>
      </c>
      <c r="V97">
        <v>7</v>
      </c>
      <c r="W97">
        <v>5</v>
      </c>
      <c r="X97" s="32">
        <f t="shared" si="16"/>
        <v>2</v>
      </c>
      <c r="Y97">
        <v>8</v>
      </c>
      <c r="Z97">
        <v>5</v>
      </c>
      <c r="AA97" s="32">
        <f t="shared" si="17"/>
        <v>3</v>
      </c>
    </row>
    <row r="98" spans="1:27" x14ac:dyDescent="0.45">
      <c r="A98">
        <v>6</v>
      </c>
      <c r="B98">
        <v>6</v>
      </c>
      <c r="C98" s="32">
        <f t="shared" si="9"/>
        <v>0</v>
      </c>
      <c r="D98">
        <v>6</v>
      </c>
      <c r="E98">
        <v>6</v>
      </c>
      <c r="F98" s="32">
        <f t="shared" si="10"/>
        <v>0</v>
      </c>
      <c r="G98">
        <v>8</v>
      </c>
      <c r="H98">
        <v>5</v>
      </c>
      <c r="I98" s="32">
        <f t="shared" si="11"/>
        <v>3</v>
      </c>
      <c r="J98">
        <v>8</v>
      </c>
      <c r="K98">
        <v>6</v>
      </c>
      <c r="L98" s="32">
        <f t="shared" si="12"/>
        <v>2</v>
      </c>
      <c r="M98">
        <v>7</v>
      </c>
      <c r="N98">
        <v>5</v>
      </c>
      <c r="O98" s="32">
        <f t="shared" si="13"/>
        <v>2</v>
      </c>
      <c r="P98">
        <v>8</v>
      </c>
      <c r="Q98">
        <v>5</v>
      </c>
      <c r="R98" s="32">
        <f t="shared" si="14"/>
        <v>3</v>
      </c>
      <c r="S98">
        <v>7</v>
      </c>
      <c r="T98">
        <v>5</v>
      </c>
      <c r="U98" s="32">
        <f t="shared" si="15"/>
        <v>2</v>
      </c>
      <c r="V98">
        <v>7</v>
      </c>
      <c r="W98">
        <v>5</v>
      </c>
      <c r="X98" s="32">
        <f t="shared" si="16"/>
        <v>2</v>
      </c>
      <c r="Y98">
        <v>8</v>
      </c>
      <c r="Z98">
        <v>5</v>
      </c>
      <c r="AA98" s="32">
        <f t="shared" si="17"/>
        <v>3</v>
      </c>
    </row>
    <row r="99" spans="1:27" x14ac:dyDescent="0.45">
      <c r="A99">
        <v>6</v>
      </c>
      <c r="B99">
        <v>6</v>
      </c>
      <c r="C99" s="32">
        <f t="shared" si="9"/>
        <v>0</v>
      </c>
      <c r="D99">
        <v>6</v>
      </c>
      <c r="E99">
        <v>6</v>
      </c>
      <c r="F99" s="32">
        <f t="shared" si="10"/>
        <v>0</v>
      </c>
      <c r="G99">
        <v>8</v>
      </c>
      <c r="H99">
        <v>5</v>
      </c>
      <c r="I99" s="32">
        <f t="shared" si="11"/>
        <v>3</v>
      </c>
      <c r="J99">
        <v>8</v>
      </c>
      <c r="K99">
        <v>6</v>
      </c>
      <c r="L99" s="32">
        <f t="shared" si="12"/>
        <v>2</v>
      </c>
      <c r="M99">
        <v>7</v>
      </c>
      <c r="N99">
        <v>5</v>
      </c>
      <c r="O99" s="32">
        <f t="shared" si="13"/>
        <v>2</v>
      </c>
      <c r="P99">
        <v>8</v>
      </c>
      <c r="Q99">
        <v>5</v>
      </c>
      <c r="R99" s="32">
        <f t="shared" si="14"/>
        <v>3</v>
      </c>
      <c r="S99">
        <v>7</v>
      </c>
      <c r="T99">
        <v>5</v>
      </c>
      <c r="U99" s="32">
        <f t="shared" si="15"/>
        <v>2</v>
      </c>
      <c r="V99">
        <v>7</v>
      </c>
      <c r="W99">
        <v>5</v>
      </c>
      <c r="X99" s="32">
        <f t="shared" si="16"/>
        <v>2</v>
      </c>
      <c r="Y99">
        <v>8</v>
      </c>
      <c r="Z99">
        <v>5</v>
      </c>
      <c r="AA99" s="32">
        <f t="shared" si="17"/>
        <v>3</v>
      </c>
    </row>
    <row r="100" spans="1:27" x14ac:dyDescent="0.45">
      <c r="A100">
        <v>6</v>
      </c>
      <c r="B100">
        <v>6</v>
      </c>
      <c r="C100" s="32">
        <f t="shared" si="9"/>
        <v>0</v>
      </c>
      <c r="D100">
        <v>6</v>
      </c>
      <c r="E100">
        <v>6</v>
      </c>
      <c r="F100" s="32">
        <f t="shared" si="10"/>
        <v>0</v>
      </c>
      <c r="G100">
        <v>8</v>
      </c>
      <c r="H100">
        <v>5</v>
      </c>
      <c r="I100" s="32">
        <f t="shared" si="11"/>
        <v>3</v>
      </c>
      <c r="J100">
        <v>8</v>
      </c>
      <c r="K100">
        <v>6</v>
      </c>
      <c r="L100" s="32">
        <f t="shared" si="12"/>
        <v>2</v>
      </c>
      <c r="M100">
        <v>7</v>
      </c>
      <c r="N100">
        <v>5</v>
      </c>
      <c r="O100" s="32">
        <f t="shared" si="13"/>
        <v>2</v>
      </c>
      <c r="P100">
        <v>8</v>
      </c>
      <c r="Q100">
        <v>5</v>
      </c>
      <c r="R100" s="32">
        <f t="shared" si="14"/>
        <v>3</v>
      </c>
      <c r="S100">
        <v>7</v>
      </c>
      <c r="T100">
        <v>5</v>
      </c>
      <c r="U100" s="32">
        <f t="shared" si="15"/>
        <v>2</v>
      </c>
      <c r="V100">
        <v>7</v>
      </c>
      <c r="W100">
        <v>5</v>
      </c>
      <c r="X100" s="32">
        <f t="shared" si="16"/>
        <v>2</v>
      </c>
      <c r="Y100">
        <v>8</v>
      </c>
      <c r="Z100">
        <v>5</v>
      </c>
      <c r="AA100" s="32">
        <f t="shared" si="17"/>
        <v>3</v>
      </c>
    </row>
    <row r="101" spans="1:27" x14ac:dyDescent="0.45">
      <c r="A101">
        <v>6</v>
      </c>
      <c r="B101">
        <v>6</v>
      </c>
      <c r="C101" s="32">
        <f t="shared" si="9"/>
        <v>0</v>
      </c>
      <c r="D101">
        <v>6</v>
      </c>
      <c r="E101">
        <v>6</v>
      </c>
      <c r="F101" s="32">
        <f t="shared" si="10"/>
        <v>0</v>
      </c>
      <c r="G101">
        <v>8</v>
      </c>
      <c r="H101">
        <v>5</v>
      </c>
      <c r="I101" s="32">
        <f t="shared" si="11"/>
        <v>3</v>
      </c>
      <c r="J101">
        <v>8</v>
      </c>
      <c r="K101">
        <v>6</v>
      </c>
      <c r="L101" s="32">
        <f t="shared" si="12"/>
        <v>2</v>
      </c>
      <c r="M101">
        <v>7</v>
      </c>
      <c r="N101">
        <v>5</v>
      </c>
      <c r="O101" s="32">
        <f t="shared" si="13"/>
        <v>2</v>
      </c>
      <c r="P101">
        <v>8</v>
      </c>
      <c r="Q101">
        <v>5</v>
      </c>
      <c r="R101" s="32">
        <f t="shared" si="14"/>
        <v>3</v>
      </c>
      <c r="S101">
        <v>7</v>
      </c>
      <c r="T101">
        <v>5</v>
      </c>
      <c r="U101" s="32">
        <f t="shared" si="15"/>
        <v>2</v>
      </c>
      <c r="V101">
        <v>7</v>
      </c>
      <c r="W101">
        <v>5</v>
      </c>
      <c r="X101" s="32">
        <f t="shared" si="16"/>
        <v>2</v>
      </c>
      <c r="Y101">
        <v>8</v>
      </c>
      <c r="Z101">
        <v>5</v>
      </c>
      <c r="AA101" s="32">
        <f t="shared" si="17"/>
        <v>3</v>
      </c>
    </row>
    <row r="102" spans="1:27" x14ac:dyDescent="0.45">
      <c r="A102">
        <v>6</v>
      </c>
      <c r="B102">
        <v>6</v>
      </c>
      <c r="C102" s="32">
        <f t="shared" si="9"/>
        <v>0</v>
      </c>
      <c r="D102">
        <v>6</v>
      </c>
      <c r="E102">
        <v>6</v>
      </c>
      <c r="F102" s="32">
        <f t="shared" si="10"/>
        <v>0</v>
      </c>
      <c r="G102">
        <v>8</v>
      </c>
      <c r="H102">
        <v>5</v>
      </c>
      <c r="I102" s="32">
        <f t="shared" si="11"/>
        <v>3</v>
      </c>
      <c r="J102">
        <v>8</v>
      </c>
      <c r="K102">
        <v>6</v>
      </c>
      <c r="L102" s="32">
        <f t="shared" si="12"/>
        <v>2</v>
      </c>
      <c r="M102">
        <v>7</v>
      </c>
      <c r="N102">
        <v>5</v>
      </c>
      <c r="O102" s="32">
        <f t="shared" si="13"/>
        <v>2</v>
      </c>
      <c r="P102">
        <v>8</v>
      </c>
      <c r="Q102">
        <v>5</v>
      </c>
      <c r="R102" s="32">
        <f t="shared" si="14"/>
        <v>3</v>
      </c>
      <c r="S102">
        <v>7</v>
      </c>
      <c r="T102">
        <v>5</v>
      </c>
      <c r="U102" s="32">
        <f t="shared" si="15"/>
        <v>2</v>
      </c>
      <c r="V102">
        <v>7</v>
      </c>
      <c r="W102">
        <v>5</v>
      </c>
      <c r="X102" s="32">
        <f t="shared" si="16"/>
        <v>2</v>
      </c>
      <c r="Y102">
        <v>8</v>
      </c>
      <c r="Z102">
        <v>5</v>
      </c>
      <c r="AA102" s="32">
        <f t="shared" si="17"/>
        <v>3</v>
      </c>
    </row>
    <row r="103" spans="1:27" x14ac:dyDescent="0.45">
      <c r="A103">
        <v>6</v>
      </c>
      <c r="B103">
        <v>6</v>
      </c>
      <c r="C103" s="32">
        <f t="shared" si="9"/>
        <v>0</v>
      </c>
      <c r="D103">
        <v>6</v>
      </c>
      <c r="E103">
        <v>6</v>
      </c>
      <c r="F103" s="32">
        <f t="shared" si="10"/>
        <v>0</v>
      </c>
      <c r="G103">
        <v>8</v>
      </c>
      <c r="H103">
        <v>5</v>
      </c>
      <c r="I103" s="32">
        <f t="shared" si="11"/>
        <v>3</v>
      </c>
      <c r="J103">
        <v>8</v>
      </c>
      <c r="K103">
        <v>6</v>
      </c>
      <c r="L103" s="32">
        <f t="shared" si="12"/>
        <v>2</v>
      </c>
      <c r="M103">
        <v>7</v>
      </c>
      <c r="N103">
        <v>5</v>
      </c>
      <c r="O103" s="32">
        <f t="shared" si="13"/>
        <v>2</v>
      </c>
      <c r="P103">
        <v>8</v>
      </c>
      <c r="Q103">
        <v>5</v>
      </c>
      <c r="R103" s="32">
        <f t="shared" si="14"/>
        <v>3</v>
      </c>
      <c r="S103">
        <v>7</v>
      </c>
      <c r="T103">
        <v>5</v>
      </c>
      <c r="U103" s="32">
        <f t="shared" si="15"/>
        <v>2</v>
      </c>
      <c r="V103">
        <v>7</v>
      </c>
      <c r="W103">
        <v>5</v>
      </c>
      <c r="X103" s="32">
        <f t="shared" si="16"/>
        <v>2</v>
      </c>
      <c r="Y103">
        <v>8</v>
      </c>
      <c r="Z103">
        <v>5</v>
      </c>
      <c r="AA103" s="32">
        <f t="shared" si="17"/>
        <v>3</v>
      </c>
    </row>
    <row r="104" spans="1:27" x14ac:dyDescent="0.45">
      <c r="A104">
        <v>6</v>
      </c>
      <c r="B104">
        <v>6</v>
      </c>
      <c r="C104" s="32">
        <f t="shared" si="9"/>
        <v>0</v>
      </c>
      <c r="D104">
        <v>6</v>
      </c>
      <c r="E104">
        <v>6</v>
      </c>
      <c r="F104" s="32">
        <f t="shared" si="10"/>
        <v>0</v>
      </c>
      <c r="G104">
        <v>8</v>
      </c>
      <c r="H104">
        <v>5</v>
      </c>
      <c r="I104" s="32">
        <f t="shared" si="11"/>
        <v>3</v>
      </c>
      <c r="J104">
        <v>8</v>
      </c>
      <c r="K104">
        <v>6</v>
      </c>
      <c r="L104" s="32">
        <f t="shared" si="12"/>
        <v>2</v>
      </c>
      <c r="M104">
        <v>7</v>
      </c>
      <c r="N104">
        <v>5</v>
      </c>
      <c r="O104" s="32">
        <f t="shared" si="13"/>
        <v>2</v>
      </c>
      <c r="P104">
        <v>8</v>
      </c>
      <c r="Q104">
        <v>5</v>
      </c>
      <c r="R104" s="32">
        <f t="shared" si="14"/>
        <v>3</v>
      </c>
      <c r="S104">
        <v>7</v>
      </c>
      <c r="T104">
        <v>5</v>
      </c>
      <c r="U104" s="32">
        <f t="shared" si="15"/>
        <v>2</v>
      </c>
      <c r="V104">
        <v>7</v>
      </c>
      <c r="W104">
        <v>5</v>
      </c>
      <c r="X104" s="32">
        <f t="shared" si="16"/>
        <v>2</v>
      </c>
      <c r="Y104">
        <v>8</v>
      </c>
      <c r="Z104">
        <v>5</v>
      </c>
      <c r="AA104" s="32">
        <f t="shared" si="17"/>
        <v>3</v>
      </c>
    </row>
    <row r="105" spans="1:27" x14ac:dyDescent="0.45">
      <c r="A105">
        <v>6</v>
      </c>
      <c r="B105">
        <v>6</v>
      </c>
      <c r="C105" s="32">
        <f t="shared" si="9"/>
        <v>0</v>
      </c>
      <c r="D105">
        <v>6</v>
      </c>
      <c r="E105">
        <v>6</v>
      </c>
      <c r="F105" s="32">
        <f t="shared" si="10"/>
        <v>0</v>
      </c>
      <c r="G105">
        <v>8</v>
      </c>
      <c r="H105">
        <v>5</v>
      </c>
      <c r="I105" s="32">
        <f t="shared" si="11"/>
        <v>3</v>
      </c>
      <c r="J105">
        <v>8</v>
      </c>
      <c r="K105">
        <v>6</v>
      </c>
      <c r="L105" s="32">
        <f t="shared" si="12"/>
        <v>2</v>
      </c>
      <c r="M105">
        <v>7</v>
      </c>
      <c r="N105">
        <v>5</v>
      </c>
      <c r="O105" s="32">
        <f t="shared" si="13"/>
        <v>2</v>
      </c>
      <c r="P105">
        <v>8</v>
      </c>
      <c r="Q105">
        <v>5</v>
      </c>
      <c r="R105" s="32">
        <f t="shared" si="14"/>
        <v>3</v>
      </c>
      <c r="S105">
        <v>7</v>
      </c>
      <c r="T105">
        <v>5</v>
      </c>
      <c r="U105" s="32">
        <f t="shared" si="15"/>
        <v>2</v>
      </c>
      <c r="V105">
        <v>7</v>
      </c>
      <c r="W105">
        <v>5</v>
      </c>
      <c r="X105" s="32">
        <f t="shared" si="16"/>
        <v>2</v>
      </c>
      <c r="Y105">
        <v>8</v>
      </c>
      <c r="Z105">
        <v>6</v>
      </c>
      <c r="AA105" s="32">
        <f t="shared" si="17"/>
        <v>2</v>
      </c>
    </row>
    <row r="106" spans="1:27" x14ac:dyDescent="0.45">
      <c r="A106">
        <v>6</v>
      </c>
      <c r="B106">
        <v>6</v>
      </c>
      <c r="C106" s="32">
        <f t="shared" si="9"/>
        <v>0</v>
      </c>
      <c r="D106">
        <v>6</v>
      </c>
      <c r="E106">
        <v>6</v>
      </c>
      <c r="F106" s="32">
        <f t="shared" si="10"/>
        <v>0</v>
      </c>
      <c r="G106">
        <v>8</v>
      </c>
      <c r="H106">
        <v>5</v>
      </c>
      <c r="I106" s="32">
        <f t="shared" si="11"/>
        <v>3</v>
      </c>
      <c r="J106">
        <v>8</v>
      </c>
      <c r="K106">
        <v>6</v>
      </c>
      <c r="L106" s="32">
        <f t="shared" si="12"/>
        <v>2</v>
      </c>
      <c r="M106">
        <v>7</v>
      </c>
      <c r="N106">
        <v>5</v>
      </c>
      <c r="O106" s="32">
        <f t="shared" si="13"/>
        <v>2</v>
      </c>
      <c r="P106">
        <v>8</v>
      </c>
      <c r="Q106">
        <v>5</v>
      </c>
      <c r="R106" s="32">
        <f t="shared" si="14"/>
        <v>3</v>
      </c>
      <c r="S106">
        <v>7</v>
      </c>
      <c r="T106">
        <v>5</v>
      </c>
      <c r="U106" s="32">
        <f t="shared" si="15"/>
        <v>2</v>
      </c>
      <c r="V106">
        <v>7</v>
      </c>
      <c r="W106">
        <v>5</v>
      </c>
      <c r="X106" s="32">
        <f t="shared" si="16"/>
        <v>2</v>
      </c>
      <c r="Y106">
        <v>8</v>
      </c>
      <c r="Z106">
        <v>6</v>
      </c>
      <c r="AA106" s="32">
        <f t="shared" si="17"/>
        <v>2</v>
      </c>
    </row>
    <row r="107" spans="1:27" x14ac:dyDescent="0.45">
      <c r="A107">
        <v>6</v>
      </c>
      <c r="B107">
        <v>6</v>
      </c>
      <c r="C107" s="32">
        <f t="shared" si="9"/>
        <v>0</v>
      </c>
      <c r="D107">
        <v>6</v>
      </c>
      <c r="E107">
        <v>6</v>
      </c>
      <c r="F107" s="32">
        <f t="shared" si="10"/>
        <v>0</v>
      </c>
      <c r="G107">
        <v>8</v>
      </c>
      <c r="H107">
        <v>5</v>
      </c>
      <c r="I107" s="32">
        <f t="shared" si="11"/>
        <v>3</v>
      </c>
      <c r="J107">
        <v>8</v>
      </c>
      <c r="K107">
        <v>6</v>
      </c>
      <c r="L107" s="32">
        <f t="shared" si="12"/>
        <v>2</v>
      </c>
      <c r="M107">
        <v>7</v>
      </c>
      <c r="N107">
        <v>5</v>
      </c>
      <c r="O107" s="32">
        <f t="shared" si="13"/>
        <v>2</v>
      </c>
      <c r="P107">
        <v>8</v>
      </c>
      <c r="Q107">
        <v>5</v>
      </c>
      <c r="R107" s="32">
        <f t="shared" si="14"/>
        <v>3</v>
      </c>
      <c r="S107">
        <v>7</v>
      </c>
      <c r="T107">
        <v>5</v>
      </c>
      <c r="U107" s="32">
        <f t="shared" si="15"/>
        <v>2</v>
      </c>
      <c r="V107">
        <v>7</v>
      </c>
      <c r="W107">
        <v>5</v>
      </c>
      <c r="X107" s="32">
        <f t="shared" si="16"/>
        <v>2</v>
      </c>
      <c r="Y107">
        <v>8</v>
      </c>
      <c r="Z107">
        <v>6</v>
      </c>
      <c r="AA107" s="32">
        <f t="shared" si="17"/>
        <v>2</v>
      </c>
    </row>
    <row r="108" spans="1:27" x14ac:dyDescent="0.45">
      <c r="A108">
        <v>7</v>
      </c>
      <c r="B108">
        <v>6</v>
      </c>
      <c r="C108" s="32">
        <f t="shared" si="9"/>
        <v>1</v>
      </c>
      <c r="D108">
        <v>6</v>
      </c>
      <c r="E108">
        <v>6</v>
      </c>
      <c r="F108" s="32">
        <f t="shared" si="10"/>
        <v>0</v>
      </c>
      <c r="G108">
        <v>8</v>
      </c>
      <c r="H108">
        <v>5</v>
      </c>
      <c r="I108" s="32">
        <f t="shared" si="11"/>
        <v>3</v>
      </c>
      <c r="J108">
        <v>8</v>
      </c>
      <c r="K108">
        <v>6</v>
      </c>
      <c r="L108" s="32">
        <f t="shared" si="12"/>
        <v>2</v>
      </c>
      <c r="M108">
        <v>7</v>
      </c>
      <c r="N108">
        <v>5</v>
      </c>
      <c r="O108" s="32">
        <f t="shared" si="13"/>
        <v>2</v>
      </c>
      <c r="P108">
        <v>8</v>
      </c>
      <c r="Q108">
        <v>5</v>
      </c>
      <c r="R108" s="32">
        <f t="shared" si="14"/>
        <v>3</v>
      </c>
      <c r="S108">
        <v>7</v>
      </c>
      <c r="T108">
        <v>5</v>
      </c>
      <c r="U108" s="32">
        <f t="shared" si="15"/>
        <v>2</v>
      </c>
      <c r="V108">
        <v>7</v>
      </c>
      <c r="W108">
        <v>5</v>
      </c>
      <c r="X108" s="32">
        <f t="shared" si="16"/>
        <v>2</v>
      </c>
      <c r="Y108">
        <v>8</v>
      </c>
      <c r="Z108">
        <v>6</v>
      </c>
      <c r="AA108" s="32">
        <f t="shared" si="17"/>
        <v>2</v>
      </c>
    </row>
    <row r="109" spans="1:27" x14ac:dyDescent="0.45">
      <c r="A109">
        <v>7</v>
      </c>
      <c r="B109">
        <v>6</v>
      </c>
      <c r="C109" s="32">
        <f t="shared" si="9"/>
        <v>1</v>
      </c>
      <c r="D109">
        <v>6</v>
      </c>
      <c r="E109">
        <v>6</v>
      </c>
      <c r="F109" s="32">
        <f t="shared" si="10"/>
        <v>0</v>
      </c>
      <c r="G109">
        <v>8</v>
      </c>
      <c r="H109">
        <v>5</v>
      </c>
      <c r="I109" s="32">
        <f t="shared" si="11"/>
        <v>3</v>
      </c>
      <c r="J109">
        <v>8</v>
      </c>
      <c r="K109">
        <v>6</v>
      </c>
      <c r="L109" s="32">
        <f t="shared" si="12"/>
        <v>2</v>
      </c>
      <c r="M109">
        <v>7</v>
      </c>
      <c r="N109">
        <v>5</v>
      </c>
      <c r="O109" s="32">
        <f t="shared" si="13"/>
        <v>2</v>
      </c>
      <c r="P109">
        <v>8</v>
      </c>
      <c r="Q109">
        <v>5</v>
      </c>
      <c r="R109" s="32">
        <f t="shared" si="14"/>
        <v>3</v>
      </c>
      <c r="S109">
        <v>7</v>
      </c>
      <c r="T109">
        <v>5</v>
      </c>
      <c r="U109" s="32">
        <f t="shared" si="15"/>
        <v>2</v>
      </c>
      <c r="V109">
        <v>7</v>
      </c>
      <c r="W109">
        <v>5</v>
      </c>
      <c r="X109" s="32">
        <f t="shared" si="16"/>
        <v>2</v>
      </c>
      <c r="Y109">
        <v>8</v>
      </c>
      <c r="Z109">
        <v>6</v>
      </c>
      <c r="AA109" s="32">
        <f t="shared" si="17"/>
        <v>2</v>
      </c>
    </row>
    <row r="110" spans="1:27" x14ac:dyDescent="0.45">
      <c r="A110">
        <v>7</v>
      </c>
      <c r="B110">
        <v>6</v>
      </c>
      <c r="C110" s="32">
        <f t="shared" si="9"/>
        <v>1</v>
      </c>
      <c r="D110">
        <v>6</v>
      </c>
      <c r="E110">
        <v>6</v>
      </c>
      <c r="F110" s="32">
        <f t="shared" si="10"/>
        <v>0</v>
      </c>
      <c r="G110">
        <v>8</v>
      </c>
      <c r="H110">
        <v>5</v>
      </c>
      <c r="I110" s="32">
        <f t="shared" si="11"/>
        <v>3</v>
      </c>
      <c r="J110">
        <v>8</v>
      </c>
      <c r="K110">
        <v>6</v>
      </c>
      <c r="L110" s="32">
        <f t="shared" si="12"/>
        <v>2</v>
      </c>
      <c r="M110">
        <v>7</v>
      </c>
      <c r="N110">
        <v>5</v>
      </c>
      <c r="O110" s="32">
        <f t="shared" si="13"/>
        <v>2</v>
      </c>
      <c r="P110">
        <v>8</v>
      </c>
      <c r="Q110">
        <v>5</v>
      </c>
      <c r="R110" s="32">
        <f t="shared" si="14"/>
        <v>3</v>
      </c>
      <c r="S110">
        <v>7</v>
      </c>
      <c r="T110">
        <v>5</v>
      </c>
      <c r="U110" s="32">
        <f t="shared" si="15"/>
        <v>2</v>
      </c>
      <c r="V110">
        <v>7</v>
      </c>
      <c r="W110">
        <v>5</v>
      </c>
      <c r="X110" s="32">
        <f t="shared" si="16"/>
        <v>2</v>
      </c>
      <c r="Y110">
        <v>8</v>
      </c>
      <c r="Z110">
        <v>6</v>
      </c>
      <c r="AA110" s="32">
        <f t="shared" si="17"/>
        <v>2</v>
      </c>
    </row>
    <row r="111" spans="1:27" x14ac:dyDescent="0.45">
      <c r="A111">
        <v>7</v>
      </c>
      <c r="B111">
        <v>6</v>
      </c>
      <c r="C111" s="32">
        <f t="shared" si="9"/>
        <v>1</v>
      </c>
      <c r="D111">
        <v>7</v>
      </c>
      <c r="E111">
        <v>6</v>
      </c>
      <c r="F111" s="32">
        <f t="shared" si="10"/>
        <v>1</v>
      </c>
      <c r="G111">
        <v>8</v>
      </c>
      <c r="H111">
        <v>5</v>
      </c>
      <c r="I111" s="32">
        <f t="shared" si="11"/>
        <v>3</v>
      </c>
      <c r="J111">
        <v>8</v>
      </c>
      <c r="K111">
        <v>6</v>
      </c>
      <c r="L111" s="32">
        <f t="shared" si="12"/>
        <v>2</v>
      </c>
      <c r="M111">
        <v>7</v>
      </c>
      <c r="N111">
        <v>5</v>
      </c>
      <c r="O111" s="32">
        <f t="shared" si="13"/>
        <v>2</v>
      </c>
      <c r="P111">
        <v>8</v>
      </c>
      <c r="Q111">
        <v>5</v>
      </c>
      <c r="R111" s="32">
        <f t="shared" si="14"/>
        <v>3</v>
      </c>
      <c r="S111">
        <v>7</v>
      </c>
      <c r="T111">
        <v>5</v>
      </c>
      <c r="U111" s="32">
        <f t="shared" si="15"/>
        <v>2</v>
      </c>
      <c r="V111">
        <v>7</v>
      </c>
      <c r="W111">
        <v>5</v>
      </c>
      <c r="X111" s="32">
        <f t="shared" si="16"/>
        <v>2</v>
      </c>
      <c r="Y111">
        <v>8</v>
      </c>
      <c r="Z111">
        <v>6</v>
      </c>
      <c r="AA111" s="32">
        <f t="shared" si="17"/>
        <v>2</v>
      </c>
    </row>
    <row r="112" spans="1:27" x14ac:dyDescent="0.45">
      <c r="A112">
        <v>7</v>
      </c>
      <c r="B112">
        <v>6</v>
      </c>
      <c r="C112" s="32">
        <f t="shared" si="9"/>
        <v>1</v>
      </c>
      <c r="D112">
        <v>7</v>
      </c>
      <c r="E112">
        <v>6</v>
      </c>
      <c r="F112" s="32">
        <f t="shared" si="10"/>
        <v>1</v>
      </c>
      <c r="G112">
        <v>8</v>
      </c>
      <c r="H112">
        <v>5</v>
      </c>
      <c r="I112" s="32">
        <f t="shared" si="11"/>
        <v>3</v>
      </c>
      <c r="J112">
        <v>8</v>
      </c>
      <c r="K112">
        <v>6</v>
      </c>
      <c r="L112" s="32">
        <f t="shared" si="12"/>
        <v>2</v>
      </c>
      <c r="M112">
        <v>7</v>
      </c>
      <c r="N112">
        <v>5</v>
      </c>
      <c r="O112" s="32">
        <f t="shared" si="13"/>
        <v>2</v>
      </c>
      <c r="P112">
        <v>8</v>
      </c>
      <c r="Q112">
        <v>5</v>
      </c>
      <c r="R112" s="32">
        <f t="shared" si="14"/>
        <v>3</v>
      </c>
      <c r="S112">
        <v>7</v>
      </c>
      <c r="T112">
        <v>5</v>
      </c>
      <c r="U112" s="32">
        <f t="shared" si="15"/>
        <v>2</v>
      </c>
      <c r="V112">
        <v>7</v>
      </c>
      <c r="W112">
        <v>5</v>
      </c>
      <c r="X112" s="32">
        <f t="shared" si="16"/>
        <v>2</v>
      </c>
      <c r="Y112">
        <v>8</v>
      </c>
      <c r="Z112">
        <v>6</v>
      </c>
      <c r="AA112" s="32">
        <f t="shared" si="17"/>
        <v>2</v>
      </c>
    </row>
    <row r="113" spans="1:27" x14ac:dyDescent="0.45">
      <c r="A113">
        <v>7</v>
      </c>
      <c r="B113">
        <v>6</v>
      </c>
      <c r="C113" s="32">
        <f t="shared" si="9"/>
        <v>1</v>
      </c>
      <c r="D113">
        <v>7</v>
      </c>
      <c r="E113">
        <v>6</v>
      </c>
      <c r="F113" s="32">
        <f t="shared" si="10"/>
        <v>1</v>
      </c>
      <c r="G113">
        <v>8</v>
      </c>
      <c r="H113">
        <v>5</v>
      </c>
      <c r="I113" s="32">
        <f t="shared" si="11"/>
        <v>3</v>
      </c>
      <c r="J113">
        <v>8</v>
      </c>
      <c r="K113">
        <v>6</v>
      </c>
      <c r="L113" s="32">
        <f t="shared" si="12"/>
        <v>2</v>
      </c>
      <c r="M113">
        <v>7</v>
      </c>
      <c r="N113">
        <v>5</v>
      </c>
      <c r="O113" s="32">
        <f t="shared" si="13"/>
        <v>2</v>
      </c>
      <c r="P113">
        <v>8</v>
      </c>
      <c r="Q113">
        <v>5</v>
      </c>
      <c r="R113" s="32">
        <f t="shared" si="14"/>
        <v>3</v>
      </c>
      <c r="S113">
        <v>7</v>
      </c>
      <c r="T113">
        <v>5</v>
      </c>
      <c r="U113" s="32">
        <f t="shared" si="15"/>
        <v>2</v>
      </c>
      <c r="V113">
        <v>7</v>
      </c>
      <c r="W113">
        <v>5</v>
      </c>
      <c r="X113" s="32">
        <f t="shared" si="16"/>
        <v>2</v>
      </c>
      <c r="Y113">
        <v>8</v>
      </c>
      <c r="Z113">
        <v>6</v>
      </c>
      <c r="AA113" s="32">
        <f t="shared" si="17"/>
        <v>2</v>
      </c>
    </row>
    <row r="114" spans="1:27" x14ac:dyDescent="0.45">
      <c r="A114">
        <v>7</v>
      </c>
      <c r="B114">
        <v>6</v>
      </c>
      <c r="C114" s="32">
        <f t="shared" si="9"/>
        <v>1</v>
      </c>
      <c r="D114">
        <v>7</v>
      </c>
      <c r="E114">
        <v>6</v>
      </c>
      <c r="F114" s="32">
        <f t="shared" si="10"/>
        <v>1</v>
      </c>
      <c r="G114">
        <v>8</v>
      </c>
      <c r="H114">
        <v>5</v>
      </c>
      <c r="I114" s="32">
        <f t="shared" si="11"/>
        <v>3</v>
      </c>
      <c r="J114">
        <v>8</v>
      </c>
      <c r="K114">
        <v>6</v>
      </c>
      <c r="L114" s="32">
        <f t="shared" si="12"/>
        <v>2</v>
      </c>
      <c r="M114">
        <v>7</v>
      </c>
      <c r="N114">
        <v>5</v>
      </c>
      <c r="O114" s="32">
        <f t="shared" si="13"/>
        <v>2</v>
      </c>
      <c r="P114">
        <v>8</v>
      </c>
      <c r="Q114">
        <v>5</v>
      </c>
      <c r="R114" s="32">
        <f t="shared" si="14"/>
        <v>3</v>
      </c>
      <c r="S114">
        <v>7</v>
      </c>
      <c r="T114">
        <v>5</v>
      </c>
      <c r="U114" s="32">
        <f t="shared" si="15"/>
        <v>2</v>
      </c>
      <c r="V114">
        <v>7</v>
      </c>
      <c r="W114">
        <v>5</v>
      </c>
      <c r="X114" s="32">
        <f t="shared" si="16"/>
        <v>2</v>
      </c>
      <c r="Y114">
        <v>8</v>
      </c>
      <c r="Z114">
        <v>6</v>
      </c>
      <c r="AA114" s="32">
        <f t="shared" si="17"/>
        <v>2</v>
      </c>
    </row>
    <row r="115" spans="1:27" x14ac:dyDescent="0.45">
      <c r="A115">
        <v>7</v>
      </c>
      <c r="B115">
        <v>6</v>
      </c>
      <c r="C115" s="32">
        <f t="shared" si="9"/>
        <v>1</v>
      </c>
      <c r="D115">
        <v>7</v>
      </c>
      <c r="E115">
        <v>6</v>
      </c>
      <c r="F115" s="32">
        <f t="shared" si="10"/>
        <v>1</v>
      </c>
      <c r="G115">
        <v>8</v>
      </c>
      <c r="H115">
        <v>5</v>
      </c>
      <c r="I115" s="32">
        <f t="shared" si="11"/>
        <v>3</v>
      </c>
      <c r="J115">
        <v>8</v>
      </c>
      <c r="K115">
        <v>6</v>
      </c>
      <c r="L115" s="32">
        <f t="shared" si="12"/>
        <v>2</v>
      </c>
      <c r="M115">
        <v>7</v>
      </c>
      <c r="N115">
        <v>5</v>
      </c>
      <c r="O115" s="32">
        <f t="shared" si="13"/>
        <v>2</v>
      </c>
      <c r="P115">
        <v>8</v>
      </c>
      <c r="Q115">
        <v>5</v>
      </c>
      <c r="R115" s="32">
        <f t="shared" si="14"/>
        <v>3</v>
      </c>
      <c r="S115">
        <v>7</v>
      </c>
      <c r="T115">
        <v>5</v>
      </c>
      <c r="U115" s="32">
        <f t="shared" si="15"/>
        <v>2</v>
      </c>
      <c r="V115">
        <v>7</v>
      </c>
      <c r="W115">
        <v>5</v>
      </c>
      <c r="X115" s="32">
        <f t="shared" si="16"/>
        <v>2</v>
      </c>
      <c r="Y115">
        <v>8</v>
      </c>
      <c r="Z115">
        <v>6</v>
      </c>
      <c r="AA115" s="32">
        <f t="shared" si="17"/>
        <v>2</v>
      </c>
    </row>
    <row r="116" spans="1:27" x14ac:dyDescent="0.45">
      <c r="A116">
        <v>7</v>
      </c>
      <c r="B116">
        <v>6</v>
      </c>
      <c r="C116" s="32">
        <f t="shared" si="9"/>
        <v>1</v>
      </c>
      <c r="D116">
        <v>7</v>
      </c>
      <c r="E116">
        <v>6</v>
      </c>
      <c r="F116" s="32">
        <f t="shared" si="10"/>
        <v>1</v>
      </c>
      <c r="G116">
        <v>8</v>
      </c>
      <c r="H116">
        <v>5</v>
      </c>
      <c r="I116" s="32">
        <f t="shared" si="11"/>
        <v>3</v>
      </c>
      <c r="J116">
        <v>8</v>
      </c>
      <c r="K116">
        <v>6</v>
      </c>
      <c r="L116" s="32">
        <f t="shared" si="12"/>
        <v>2</v>
      </c>
      <c r="M116">
        <v>7</v>
      </c>
      <c r="N116">
        <v>5</v>
      </c>
      <c r="O116" s="32">
        <f t="shared" si="13"/>
        <v>2</v>
      </c>
      <c r="P116">
        <v>8</v>
      </c>
      <c r="Q116">
        <v>5</v>
      </c>
      <c r="R116" s="32">
        <f t="shared" si="14"/>
        <v>3</v>
      </c>
      <c r="S116">
        <v>7</v>
      </c>
      <c r="T116">
        <v>5</v>
      </c>
      <c r="U116" s="32">
        <f t="shared" si="15"/>
        <v>2</v>
      </c>
      <c r="V116">
        <v>7</v>
      </c>
      <c r="W116">
        <v>5</v>
      </c>
      <c r="X116" s="32">
        <f t="shared" si="16"/>
        <v>2</v>
      </c>
      <c r="Y116">
        <v>8</v>
      </c>
      <c r="Z116">
        <v>6</v>
      </c>
      <c r="AA116" s="32">
        <f t="shared" si="17"/>
        <v>2</v>
      </c>
    </row>
    <row r="117" spans="1:27" x14ac:dyDescent="0.45">
      <c r="A117">
        <v>7</v>
      </c>
      <c r="B117">
        <v>6</v>
      </c>
      <c r="C117" s="32">
        <f t="shared" si="9"/>
        <v>1</v>
      </c>
      <c r="D117">
        <v>7</v>
      </c>
      <c r="E117">
        <v>6</v>
      </c>
      <c r="F117" s="32">
        <f t="shared" si="10"/>
        <v>1</v>
      </c>
      <c r="G117">
        <v>8</v>
      </c>
      <c r="H117">
        <v>5</v>
      </c>
      <c r="I117" s="32">
        <f t="shared" si="11"/>
        <v>3</v>
      </c>
      <c r="J117">
        <v>8</v>
      </c>
      <c r="K117">
        <v>6</v>
      </c>
      <c r="L117" s="32">
        <f t="shared" si="12"/>
        <v>2</v>
      </c>
      <c r="M117">
        <v>7</v>
      </c>
      <c r="N117">
        <v>5</v>
      </c>
      <c r="O117" s="32">
        <f t="shared" si="13"/>
        <v>2</v>
      </c>
      <c r="P117">
        <v>8</v>
      </c>
      <c r="Q117">
        <v>5</v>
      </c>
      <c r="R117" s="32">
        <f t="shared" si="14"/>
        <v>3</v>
      </c>
      <c r="S117">
        <v>7</v>
      </c>
      <c r="T117">
        <v>5</v>
      </c>
      <c r="U117" s="32">
        <f t="shared" si="15"/>
        <v>2</v>
      </c>
      <c r="V117">
        <v>7</v>
      </c>
      <c r="W117">
        <v>5</v>
      </c>
      <c r="X117" s="32">
        <f t="shared" si="16"/>
        <v>2</v>
      </c>
      <c r="Y117">
        <v>8</v>
      </c>
      <c r="Z117">
        <v>6</v>
      </c>
      <c r="AA117" s="32">
        <f t="shared" si="17"/>
        <v>2</v>
      </c>
    </row>
    <row r="118" spans="1:27" x14ac:dyDescent="0.45">
      <c r="A118">
        <v>7</v>
      </c>
      <c r="B118">
        <v>6</v>
      </c>
      <c r="C118" s="32">
        <f t="shared" si="9"/>
        <v>1</v>
      </c>
      <c r="D118">
        <v>7</v>
      </c>
      <c r="E118">
        <v>6</v>
      </c>
      <c r="F118" s="32">
        <f t="shared" si="10"/>
        <v>1</v>
      </c>
      <c r="G118">
        <v>8</v>
      </c>
      <c r="H118">
        <v>5</v>
      </c>
      <c r="I118" s="32">
        <f t="shared" si="11"/>
        <v>3</v>
      </c>
      <c r="J118">
        <v>8</v>
      </c>
      <c r="K118">
        <v>6</v>
      </c>
      <c r="L118" s="32">
        <f t="shared" si="12"/>
        <v>2</v>
      </c>
      <c r="M118">
        <v>7</v>
      </c>
      <c r="N118">
        <v>5</v>
      </c>
      <c r="O118" s="32">
        <f t="shared" si="13"/>
        <v>2</v>
      </c>
      <c r="P118">
        <v>8</v>
      </c>
      <c r="Q118">
        <v>5</v>
      </c>
      <c r="R118" s="32">
        <f t="shared" si="14"/>
        <v>3</v>
      </c>
      <c r="S118">
        <v>7</v>
      </c>
      <c r="T118">
        <v>5</v>
      </c>
      <c r="U118" s="32">
        <f t="shared" si="15"/>
        <v>2</v>
      </c>
      <c r="V118">
        <v>7</v>
      </c>
      <c r="W118">
        <v>5</v>
      </c>
      <c r="X118" s="32">
        <f t="shared" si="16"/>
        <v>2</v>
      </c>
      <c r="Y118">
        <v>8</v>
      </c>
      <c r="Z118">
        <v>6</v>
      </c>
      <c r="AA118" s="32">
        <f t="shared" si="17"/>
        <v>2</v>
      </c>
    </row>
    <row r="119" spans="1:27" x14ac:dyDescent="0.45">
      <c r="A119">
        <v>7</v>
      </c>
      <c r="B119">
        <v>6</v>
      </c>
      <c r="C119" s="32">
        <f t="shared" si="9"/>
        <v>1</v>
      </c>
      <c r="D119">
        <v>7</v>
      </c>
      <c r="E119">
        <v>6</v>
      </c>
      <c r="F119" s="32">
        <f t="shared" si="10"/>
        <v>1</v>
      </c>
      <c r="G119">
        <v>8</v>
      </c>
      <c r="H119">
        <v>5</v>
      </c>
      <c r="I119" s="32">
        <f t="shared" si="11"/>
        <v>3</v>
      </c>
      <c r="J119">
        <v>8</v>
      </c>
      <c r="K119">
        <v>6</v>
      </c>
      <c r="L119" s="32">
        <f t="shared" si="12"/>
        <v>2</v>
      </c>
      <c r="M119">
        <v>7</v>
      </c>
      <c r="N119">
        <v>5</v>
      </c>
      <c r="O119" s="32">
        <f t="shared" si="13"/>
        <v>2</v>
      </c>
      <c r="P119">
        <v>8</v>
      </c>
      <c r="Q119">
        <v>5</v>
      </c>
      <c r="R119" s="32">
        <f t="shared" si="14"/>
        <v>3</v>
      </c>
      <c r="S119">
        <v>7</v>
      </c>
      <c r="T119">
        <v>5</v>
      </c>
      <c r="U119" s="32">
        <f t="shared" si="15"/>
        <v>2</v>
      </c>
      <c r="V119">
        <v>7</v>
      </c>
      <c r="W119">
        <v>5</v>
      </c>
      <c r="X119" s="32">
        <f t="shared" si="16"/>
        <v>2</v>
      </c>
      <c r="Y119">
        <v>8</v>
      </c>
      <c r="Z119">
        <v>6</v>
      </c>
      <c r="AA119" s="32">
        <f t="shared" si="17"/>
        <v>2</v>
      </c>
    </row>
    <row r="120" spans="1:27" x14ac:dyDescent="0.45">
      <c r="A120">
        <v>7</v>
      </c>
      <c r="B120">
        <v>6</v>
      </c>
      <c r="C120" s="32">
        <f t="shared" si="9"/>
        <v>1</v>
      </c>
      <c r="D120">
        <v>7</v>
      </c>
      <c r="E120">
        <v>6</v>
      </c>
      <c r="F120" s="32">
        <f t="shared" si="10"/>
        <v>1</v>
      </c>
      <c r="G120">
        <v>8</v>
      </c>
      <c r="H120">
        <v>5</v>
      </c>
      <c r="I120" s="32">
        <f t="shared" si="11"/>
        <v>3</v>
      </c>
      <c r="J120">
        <v>8</v>
      </c>
      <c r="K120">
        <v>6</v>
      </c>
      <c r="L120" s="32">
        <f t="shared" si="12"/>
        <v>2</v>
      </c>
      <c r="M120">
        <v>7</v>
      </c>
      <c r="N120">
        <v>5</v>
      </c>
      <c r="O120" s="32">
        <f t="shared" si="13"/>
        <v>2</v>
      </c>
      <c r="P120">
        <v>8</v>
      </c>
      <c r="Q120">
        <v>5</v>
      </c>
      <c r="R120" s="32">
        <f t="shared" si="14"/>
        <v>3</v>
      </c>
      <c r="S120">
        <v>7</v>
      </c>
      <c r="T120">
        <v>5</v>
      </c>
      <c r="U120" s="32">
        <f t="shared" si="15"/>
        <v>2</v>
      </c>
      <c r="V120">
        <v>7</v>
      </c>
      <c r="W120">
        <v>5</v>
      </c>
      <c r="X120" s="32">
        <f t="shared" si="16"/>
        <v>2</v>
      </c>
      <c r="Y120">
        <v>8</v>
      </c>
      <c r="Z120">
        <v>6</v>
      </c>
      <c r="AA120" s="32">
        <f t="shared" si="17"/>
        <v>2</v>
      </c>
    </row>
    <row r="121" spans="1:27" x14ac:dyDescent="0.45">
      <c r="A121">
        <v>7</v>
      </c>
      <c r="B121">
        <v>6</v>
      </c>
      <c r="C121" s="32">
        <f t="shared" si="9"/>
        <v>1</v>
      </c>
      <c r="D121">
        <v>7</v>
      </c>
      <c r="E121">
        <v>6</v>
      </c>
      <c r="F121" s="32">
        <f t="shared" si="10"/>
        <v>1</v>
      </c>
      <c r="G121">
        <v>8</v>
      </c>
      <c r="H121">
        <v>5</v>
      </c>
      <c r="I121" s="32">
        <f t="shared" si="11"/>
        <v>3</v>
      </c>
      <c r="J121">
        <v>8</v>
      </c>
      <c r="K121">
        <v>6</v>
      </c>
      <c r="L121" s="32">
        <f t="shared" si="12"/>
        <v>2</v>
      </c>
      <c r="M121">
        <v>7</v>
      </c>
      <c r="N121">
        <v>5</v>
      </c>
      <c r="O121" s="32">
        <f t="shared" si="13"/>
        <v>2</v>
      </c>
      <c r="P121">
        <v>8</v>
      </c>
      <c r="Q121">
        <v>5</v>
      </c>
      <c r="R121" s="32">
        <f t="shared" si="14"/>
        <v>3</v>
      </c>
      <c r="S121">
        <v>7</v>
      </c>
      <c r="T121">
        <v>5</v>
      </c>
      <c r="U121" s="32">
        <f t="shared" si="15"/>
        <v>2</v>
      </c>
      <c r="V121">
        <v>7</v>
      </c>
      <c r="W121">
        <v>5</v>
      </c>
      <c r="X121" s="32">
        <f t="shared" si="16"/>
        <v>2</v>
      </c>
      <c r="Y121">
        <v>8</v>
      </c>
      <c r="Z121">
        <v>6</v>
      </c>
      <c r="AA121" s="32">
        <f t="shared" si="17"/>
        <v>2</v>
      </c>
    </row>
    <row r="122" spans="1:27" x14ac:dyDescent="0.45">
      <c r="A122">
        <v>7</v>
      </c>
      <c r="B122">
        <v>6</v>
      </c>
      <c r="C122" s="32">
        <f t="shared" si="9"/>
        <v>1</v>
      </c>
      <c r="D122">
        <v>7</v>
      </c>
      <c r="E122">
        <v>6</v>
      </c>
      <c r="F122" s="32">
        <f t="shared" si="10"/>
        <v>1</v>
      </c>
      <c r="G122">
        <v>8</v>
      </c>
      <c r="H122">
        <v>5</v>
      </c>
      <c r="I122" s="32">
        <f t="shared" si="11"/>
        <v>3</v>
      </c>
      <c r="J122">
        <v>8</v>
      </c>
      <c r="K122">
        <v>6</v>
      </c>
      <c r="L122" s="32">
        <f t="shared" si="12"/>
        <v>2</v>
      </c>
      <c r="M122">
        <v>7</v>
      </c>
      <c r="N122">
        <v>5</v>
      </c>
      <c r="O122" s="32">
        <f t="shared" si="13"/>
        <v>2</v>
      </c>
      <c r="P122">
        <v>8</v>
      </c>
      <c r="Q122">
        <v>5</v>
      </c>
      <c r="R122" s="32">
        <f t="shared" si="14"/>
        <v>3</v>
      </c>
      <c r="S122">
        <v>7</v>
      </c>
      <c r="T122">
        <v>5</v>
      </c>
      <c r="U122" s="32">
        <f t="shared" si="15"/>
        <v>2</v>
      </c>
      <c r="V122">
        <v>7</v>
      </c>
      <c r="W122">
        <v>5</v>
      </c>
      <c r="X122" s="32">
        <f t="shared" si="16"/>
        <v>2</v>
      </c>
      <c r="Y122">
        <v>8</v>
      </c>
      <c r="Z122">
        <v>6</v>
      </c>
      <c r="AA122" s="32">
        <f t="shared" si="17"/>
        <v>2</v>
      </c>
    </row>
    <row r="123" spans="1:27" x14ac:dyDescent="0.45">
      <c r="A123">
        <v>7</v>
      </c>
      <c r="B123">
        <v>6</v>
      </c>
      <c r="C123" s="32">
        <f t="shared" si="9"/>
        <v>1</v>
      </c>
      <c r="D123">
        <v>7</v>
      </c>
      <c r="E123">
        <v>6</v>
      </c>
      <c r="F123" s="32">
        <f t="shared" si="10"/>
        <v>1</v>
      </c>
      <c r="G123">
        <v>8</v>
      </c>
      <c r="H123">
        <v>5</v>
      </c>
      <c r="I123" s="32">
        <f t="shared" si="11"/>
        <v>3</v>
      </c>
      <c r="J123">
        <v>8</v>
      </c>
      <c r="K123">
        <v>6</v>
      </c>
      <c r="L123" s="32">
        <f t="shared" si="12"/>
        <v>2</v>
      </c>
      <c r="M123">
        <v>7</v>
      </c>
      <c r="N123">
        <v>5</v>
      </c>
      <c r="O123" s="32">
        <f t="shared" si="13"/>
        <v>2</v>
      </c>
      <c r="P123">
        <v>8</v>
      </c>
      <c r="Q123">
        <v>5</v>
      </c>
      <c r="R123" s="32">
        <f t="shared" si="14"/>
        <v>3</v>
      </c>
      <c r="S123">
        <v>7</v>
      </c>
      <c r="T123">
        <v>5</v>
      </c>
      <c r="U123" s="32">
        <f t="shared" si="15"/>
        <v>2</v>
      </c>
      <c r="V123">
        <v>7</v>
      </c>
      <c r="W123">
        <v>5</v>
      </c>
      <c r="X123" s="32">
        <f t="shared" si="16"/>
        <v>2</v>
      </c>
      <c r="Y123">
        <v>8</v>
      </c>
      <c r="Z123">
        <v>6</v>
      </c>
      <c r="AA123" s="32">
        <f t="shared" si="17"/>
        <v>2</v>
      </c>
    </row>
    <row r="124" spans="1:27" x14ac:dyDescent="0.45">
      <c r="A124">
        <v>7</v>
      </c>
      <c r="B124">
        <v>6</v>
      </c>
      <c r="C124" s="32">
        <f t="shared" si="9"/>
        <v>1</v>
      </c>
      <c r="D124">
        <v>7</v>
      </c>
      <c r="E124">
        <v>6</v>
      </c>
      <c r="F124" s="32">
        <f t="shared" si="10"/>
        <v>1</v>
      </c>
      <c r="G124">
        <v>8</v>
      </c>
      <c r="H124">
        <v>5</v>
      </c>
      <c r="I124" s="32">
        <f t="shared" si="11"/>
        <v>3</v>
      </c>
      <c r="J124">
        <v>8</v>
      </c>
      <c r="K124">
        <v>6</v>
      </c>
      <c r="L124" s="32">
        <f t="shared" si="12"/>
        <v>2</v>
      </c>
      <c r="M124">
        <v>7</v>
      </c>
      <c r="N124">
        <v>5</v>
      </c>
      <c r="O124" s="32">
        <f t="shared" si="13"/>
        <v>2</v>
      </c>
      <c r="P124">
        <v>8</v>
      </c>
      <c r="Q124">
        <v>5</v>
      </c>
      <c r="R124" s="32">
        <f t="shared" si="14"/>
        <v>3</v>
      </c>
      <c r="S124">
        <v>7</v>
      </c>
      <c r="T124">
        <v>5</v>
      </c>
      <c r="U124" s="32">
        <f t="shared" si="15"/>
        <v>2</v>
      </c>
      <c r="V124">
        <v>7</v>
      </c>
      <c r="W124">
        <v>5</v>
      </c>
      <c r="X124" s="32">
        <f t="shared" si="16"/>
        <v>2</v>
      </c>
      <c r="Y124">
        <v>9</v>
      </c>
      <c r="Z124">
        <v>6</v>
      </c>
      <c r="AA124" s="32">
        <f t="shared" si="17"/>
        <v>3</v>
      </c>
    </row>
    <row r="125" spans="1:27" x14ac:dyDescent="0.45">
      <c r="A125">
        <v>7</v>
      </c>
      <c r="B125">
        <v>6</v>
      </c>
      <c r="C125" s="32">
        <f t="shared" si="9"/>
        <v>1</v>
      </c>
      <c r="D125">
        <v>7</v>
      </c>
      <c r="E125">
        <v>6</v>
      </c>
      <c r="F125" s="32">
        <f t="shared" si="10"/>
        <v>1</v>
      </c>
      <c r="G125">
        <v>8</v>
      </c>
      <c r="H125">
        <v>5</v>
      </c>
      <c r="I125" s="32">
        <f t="shared" si="11"/>
        <v>3</v>
      </c>
      <c r="J125">
        <v>8</v>
      </c>
      <c r="K125">
        <v>6</v>
      </c>
      <c r="L125" s="32">
        <f t="shared" si="12"/>
        <v>2</v>
      </c>
      <c r="M125">
        <v>7</v>
      </c>
      <c r="N125">
        <v>5</v>
      </c>
      <c r="O125" s="32">
        <f t="shared" si="13"/>
        <v>2</v>
      </c>
      <c r="P125">
        <v>8</v>
      </c>
      <c r="Q125">
        <v>5</v>
      </c>
      <c r="R125" s="32">
        <f t="shared" si="14"/>
        <v>3</v>
      </c>
      <c r="S125">
        <v>7</v>
      </c>
      <c r="T125">
        <v>5</v>
      </c>
      <c r="U125" s="32">
        <f t="shared" si="15"/>
        <v>2</v>
      </c>
      <c r="V125">
        <v>7</v>
      </c>
      <c r="W125">
        <v>5</v>
      </c>
      <c r="X125" s="32">
        <f t="shared" si="16"/>
        <v>2</v>
      </c>
      <c r="Y125">
        <v>9</v>
      </c>
      <c r="Z125">
        <v>6</v>
      </c>
      <c r="AA125" s="32">
        <f t="shared" si="17"/>
        <v>3</v>
      </c>
    </row>
    <row r="126" spans="1:27" x14ac:dyDescent="0.45">
      <c r="A126">
        <v>7</v>
      </c>
      <c r="B126">
        <v>6</v>
      </c>
      <c r="C126" s="32">
        <f t="shared" si="9"/>
        <v>1</v>
      </c>
      <c r="D126">
        <v>7</v>
      </c>
      <c r="E126">
        <v>6</v>
      </c>
      <c r="F126" s="32">
        <f t="shared" si="10"/>
        <v>1</v>
      </c>
      <c r="G126">
        <v>8</v>
      </c>
      <c r="H126">
        <v>5</v>
      </c>
      <c r="I126" s="32">
        <f t="shared" si="11"/>
        <v>3</v>
      </c>
      <c r="J126">
        <v>8</v>
      </c>
      <c r="K126">
        <v>6</v>
      </c>
      <c r="L126" s="32">
        <f t="shared" si="12"/>
        <v>2</v>
      </c>
      <c r="M126">
        <v>7</v>
      </c>
      <c r="N126">
        <v>5</v>
      </c>
      <c r="O126" s="32">
        <f t="shared" si="13"/>
        <v>2</v>
      </c>
      <c r="P126">
        <v>8</v>
      </c>
      <c r="Q126">
        <v>6</v>
      </c>
      <c r="R126" s="32">
        <f t="shared" si="14"/>
        <v>2</v>
      </c>
      <c r="S126">
        <v>7</v>
      </c>
      <c r="T126">
        <v>5</v>
      </c>
      <c r="U126" s="32">
        <f t="shared" si="15"/>
        <v>2</v>
      </c>
      <c r="V126">
        <v>7</v>
      </c>
      <c r="W126">
        <v>5</v>
      </c>
      <c r="X126" s="32">
        <f t="shared" si="16"/>
        <v>2</v>
      </c>
      <c r="Y126">
        <v>9</v>
      </c>
      <c r="Z126">
        <v>6</v>
      </c>
      <c r="AA126" s="32">
        <f t="shared" si="17"/>
        <v>3</v>
      </c>
    </row>
    <row r="127" spans="1:27" x14ac:dyDescent="0.45">
      <c r="A127">
        <v>7</v>
      </c>
      <c r="B127">
        <v>6</v>
      </c>
      <c r="C127" s="32">
        <f t="shared" si="9"/>
        <v>1</v>
      </c>
      <c r="D127">
        <v>7</v>
      </c>
      <c r="E127">
        <v>6</v>
      </c>
      <c r="F127" s="32">
        <f t="shared" si="10"/>
        <v>1</v>
      </c>
      <c r="G127">
        <v>8</v>
      </c>
      <c r="H127">
        <v>5</v>
      </c>
      <c r="I127" s="32">
        <f t="shared" si="11"/>
        <v>3</v>
      </c>
      <c r="J127">
        <v>8</v>
      </c>
      <c r="K127">
        <v>6</v>
      </c>
      <c r="L127" s="32">
        <f t="shared" si="12"/>
        <v>2</v>
      </c>
      <c r="M127">
        <v>7</v>
      </c>
      <c r="N127">
        <v>5</v>
      </c>
      <c r="O127" s="32">
        <f t="shared" si="13"/>
        <v>2</v>
      </c>
      <c r="P127">
        <v>8</v>
      </c>
      <c r="Q127">
        <v>6</v>
      </c>
      <c r="R127" s="32">
        <f t="shared" si="14"/>
        <v>2</v>
      </c>
      <c r="S127">
        <v>7</v>
      </c>
      <c r="T127">
        <v>5</v>
      </c>
      <c r="U127" s="32">
        <f t="shared" si="15"/>
        <v>2</v>
      </c>
      <c r="V127">
        <v>7</v>
      </c>
      <c r="W127">
        <v>5</v>
      </c>
      <c r="X127" s="32">
        <f t="shared" si="16"/>
        <v>2</v>
      </c>
      <c r="Y127">
        <v>9</v>
      </c>
      <c r="Z127">
        <v>6</v>
      </c>
      <c r="AA127" s="32">
        <f t="shared" si="17"/>
        <v>3</v>
      </c>
    </row>
    <row r="128" spans="1:27" x14ac:dyDescent="0.45">
      <c r="A128">
        <v>7</v>
      </c>
      <c r="B128">
        <v>6</v>
      </c>
      <c r="C128" s="32">
        <f t="shared" si="9"/>
        <v>1</v>
      </c>
      <c r="D128">
        <v>7</v>
      </c>
      <c r="E128">
        <v>6</v>
      </c>
      <c r="F128" s="32">
        <f t="shared" si="10"/>
        <v>1</v>
      </c>
      <c r="G128">
        <v>8</v>
      </c>
      <c r="H128">
        <v>5</v>
      </c>
      <c r="I128" s="32">
        <f t="shared" si="11"/>
        <v>3</v>
      </c>
      <c r="J128">
        <v>8</v>
      </c>
      <c r="K128">
        <v>6</v>
      </c>
      <c r="L128" s="32">
        <f t="shared" si="12"/>
        <v>2</v>
      </c>
      <c r="M128">
        <v>7</v>
      </c>
      <c r="N128">
        <v>5</v>
      </c>
      <c r="O128" s="32">
        <f t="shared" si="13"/>
        <v>2</v>
      </c>
      <c r="P128">
        <v>8</v>
      </c>
      <c r="Q128">
        <v>6</v>
      </c>
      <c r="R128" s="32">
        <f t="shared" si="14"/>
        <v>2</v>
      </c>
      <c r="S128">
        <v>7</v>
      </c>
      <c r="T128">
        <v>5</v>
      </c>
      <c r="U128" s="32">
        <f t="shared" si="15"/>
        <v>2</v>
      </c>
      <c r="V128">
        <v>7</v>
      </c>
      <c r="W128">
        <v>5</v>
      </c>
      <c r="X128" s="32">
        <f t="shared" si="16"/>
        <v>2</v>
      </c>
      <c r="Y128">
        <v>9</v>
      </c>
      <c r="Z128">
        <v>6</v>
      </c>
      <c r="AA128" s="32">
        <f t="shared" si="17"/>
        <v>3</v>
      </c>
    </row>
    <row r="129" spans="1:27" x14ac:dyDescent="0.45">
      <c r="A129">
        <v>7</v>
      </c>
      <c r="B129">
        <v>6</v>
      </c>
      <c r="C129" s="32">
        <f t="shared" si="9"/>
        <v>1</v>
      </c>
      <c r="D129">
        <v>7</v>
      </c>
      <c r="E129">
        <v>6</v>
      </c>
      <c r="F129" s="32">
        <f t="shared" si="10"/>
        <v>1</v>
      </c>
      <c r="G129">
        <v>8</v>
      </c>
      <c r="H129">
        <v>5</v>
      </c>
      <c r="I129" s="32">
        <f t="shared" si="11"/>
        <v>3</v>
      </c>
      <c r="J129">
        <v>8</v>
      </c>
      <c r="K129">
        <v>6</v>
      </c>
      <c r="L129" s="32">
        <f t="shared" si="12"/>
        <v>2</v>
      </c>
      <c r="M129">
        <v>7</v>
      </c>
      <c r="N129">
        <v>5</v>
      </c>
      <c r="O129" s="32">
        <f t="shared" si="13"/>
        <v>2</v>
      </c>
      <c r="P129">
        <v>8</v>
      </c>
      <c r="Q129">
        <v>6</v>
      </c>
      <c r="R129" s="32">
        <f t="shared" si="14"/>
        <v>2</v>
      </c>
      <c r="S129">
        <v>7</v>
      </c>
      <c r="T129">
        <v>5</v>
      </c>
      <c r="U129" s="32">
        <f t="shared" si="15"/>
        <v>2</v>
      </c>
      <c r="V129">
        <v>7</v>
      </c>
      <c r="W129">
        <v>5</v>
      </c>
      <c r="X129" s="32">
        <f t="shared" si="16"/>
        <v>2</v>
      </c>
      <c r="Y129">
        <v>9</v>
      </c>
      <c r="Z129">
        <v>6</v>
      </c>
      <c r="AA129" s="32">
        <f t="shared" si="17"/>
        <v>3</v>
      </c>
    </row>
    <row r="130" spans="1:27" x14ac:dyDescent="0.45">
      <c r="A130">
        <v>7</v>
      </c>
      <c r="B130">
        <v>6</v>
      </c>
      <c r="C130" s="32">
        <f t="shared" si="9"/>
        <v>1</v>
      </c>
      <c r="D130">
        <v>7</v>
      </c>
      <c r="E130">
        <v>6</v>
      </c>
      <c r="F130" s="32">
        <f t="shared" si="10"/>
        <v>1</v>
      </c>
      <c r="G130">
        <v>8</v>
      </c>
      <c r="H130">
        <v>5</v>
      </c>
      <c r="I130" s="32">
        <f t="shared" si="11"/>
        <v>3</v>
      </c>
      <c r="J130">
        <v>8</v>
      </c>
      <c r="K130">
        <v>6</v>
      </c>
      <c r="L130" s="32">
        <f t="shared" si="12"/>
        <v>2</v>
      </c>
      <c r="M130">
        <v>7</v>
      </c>
      <c r="N130">
        <v>5</v>
      </c>
      <c r="O130" s="32">
        <f t="shared" si="13"/>
        <v>2</v>
      </c>
      <c r="P130">
        <v>8</v>
      </c>
      <c r="Q130">
        <v>6</v>
      </c>
      <c r="R130" s="32">
        <f t="shared" si="14"/>
        <v>2</v>
      </c>
      <c r="S130">
        <v>7</v>
      </c>
      <c r="T130">
        <v>5</v>
      </c>
      <c r="U130" s="32">
        <f t="shared" si="15"/>
        <v>2</v>
      </c>
      <c r="V130">
        <v>7</v>
      </c>
      <c r="W130">
        <v>5</v>
      </c>
      <c r="X130" s="32">
        <f t="shared" si="16"/>
        <v>2</v>
      </c>
      <c r="Y130">
        <v>9</v>
      </c>
      <c r="Z130">
        <v>6</v>
      </c>
      <c r="AA130" s="32">
        <f t="shared" si="17"/>
        <v>3</v>
      </c>
    </row>
    <row r="131" spans="1:27" x14ac:dyDescent="0.45">
      <c r="A131">
        <v>7</v>
      </c>
      <c r="B131">
        <v>6</v>
      </c>
      <c r="C131" s="32">
        <f t="shared" ref="C131:C194" si="18">ABS(B131-A131)</f>
        <v>1</v>
      </c>
      <c r="D131">
        <v>7</v>
      </c>
      <c r="E131">
        <v>6</v>
      </c>
      <c r="F131" s="32">
        <f t="shared" ref="F131:F194" si="19">ABS(E131-D131)</f>
        <v>1</v>
      </c>
      <c r="G131">
        <v>8</v>
      </c>
      <c r="H131">
        <v>5</v>
      </c>
      <c r="I131" s="32">
        <f t="shared" ref="I131:I194" si="20">ABS(H131-G131)</f>
        <v>3</v>
      </c>
      <c r="J131">
        <v>8</v>
      </c>
      <c r="K131">
        <v>7</v>
      </c>
      <c r="L131" s="32">
        <f t="shared" ref="L131:L194" si="21">ABS(K131-J131)</f>
        <v>1</v>
      </c>
      <c r="M131">
        <v>7</v>
      </c>
      <c r="N131">
        <v>5</v>
      </c>
      <c r="O131" s="32">
        <f t="shared" ref="O131:O194" si="22">ABS(N131-M131)</f>
        <v>2</v>
      </c>
      <c r="P131">
        <v>8</v>
      </c>
      <c r="Q131">
        <v>6</v>
      </c>
      <c r="R131" s="32">
        <f t="shared" ref="R131:R194" si="23">ABS(Q131-P131)</f>
        <v>2</v>
      </c>
      <c r="S131">
        <v>7</v>
      </c>
      <c r="T131">
        <v>5</v>
      </c>
      <c r="U131" s="32">
        <f t="shared" ref="U131:U194" si="24">ABS(T131-S131)</f>
        <v>2</v>
      </c>
      <c r="V131">
        <v>7</v>
      </c>
      <c r="W131">
        <v>5</v>
      </c>
      <c r="X131" s="32">
        <f t="shared" ref="X131:X194" si="25">ABS(W131-V131)</f>
        <v>2</v>
      </c>
      <c r="Y131">
        <v>9</v>
      </c>
      <c r="Z131">
        <v>6</v>
      </c>
      <c r="AA131" s="32">
        <f t="shared" ref="AA131:AA194" si="26">ABS(Z131-Y131)</f>
        <v>3</v>
      </c>
    </row>
    <row r="132" spans="1:27" x14ac:dyDescent="0.45">
      <c r="A132">
        <v>7</v>
      </c>
      <c r="B132">
        <v>6</v>
      </c>
      <c r="C132" s="32">
        <f t="shared" si="18"/>
        <v>1</v>
      </c>
      <c r="D132">
        <v>7</v>
      </c>
      <c r="E132">
        <v>7</v>
      </c>
      <c r="F132" s="32">
        <f t="shared" si="19"/>
        <v>0</v>
      </c>
      <c r="G132">
        <v>8</v>
      </c>
      <c r="H132">
        <v>5</v>
      </c>
      <c r="I132" s="32">
        <f t="shared" si="20"/>
        <v>3</v>
      </c>
      <c r="J132">
        <v>8</v>
      </c>
      <c r="K132">
        <v>7</v>
      </c>
      <c r="L132" s="32">
        <f t="shared" si="21"/>
        <v>1</v>
      </c>
      <c r="M132">
        <v>7</v>
      </c>
      <c r="N132">
        <v>5</v>
      </c>
      <c r="O132" s="32">
        <f t="shared" si="22"/>
        <v>2</v>
      </c>
      <c r="P132">
        <v>8</v>
      </c>
      <c r="Q132">
        <v>6</v>
      </c>
      <c r="R132" s="32">
        <f t="shared" si="23"/>
        <v>2</v>
      </c>
      <c r="S132">
        <v>7</v>
      </c>
      <c r="T132">
        <v>5</v>
      </c>
      <c r="U132" s="32">
        <f t="shared" si="24"/>
        <v>2</v>
      </c>
      <c r="V132">
        <v>7</v>
      </c>
      <c r="W132">
        <v>6</v>
      </c>
      <c r="X132" s="32">
        <f t="shared" si="25"/>
        <v>1</v>
      </c>
      <c r="Y132">
        <v>9</v>
      </c>
      <c r="Z132">
        <v>6</v>
      </c>
      <c r="AA132" s="32">
        <f t="shared" si="26"/>
        <v>3</v>
      </c>
    </row>
    <row r="133" spans="1:27" x14ac:dyDescent="0.45">
      <c r="A133">
        <v>7</v>
      </c>
      <c r="B133">
        <v>6</v>
      </c>
      <c r="C133" s="32">
        <f t="shared" si="18"/>
        <v>1</v>
      </c>
      <c r="D133">
        <v>7</v>
      </c>
      <c r="E133">
        <v>7</v>
      </c>
      <c r="F133" s="32">
        <f t="shared" si="19"/>
        <v>0</v>
      </c>
      <c r="G133">
        <v>8</v>
      </c>
      <c r="H133">
        <v>5</v>
      </c>
      <c r="I133" s="32">
        <f t="shared" si="20"/>
        <v>3</v>
      </c>
      <c r="J133">
        <v>8</v>
      </c>
      <c r="K133">
        <v>7</v>
      </c>
      <c r="L133" s="32">
        <f t="shared" si="21"/>
        <v>1</v>
      </c>
      <c r="M133">
        <v>7</v>
      </c>
      <c r="N133">
        <v>5</v>
      </c>
      <c r="O133" s="32">
        <f t="shared" si="22"/>
        <v>2</v>
      </c>
      <c r="P133">
        <v>8</v>
      </c>
      <c r="Q133">
        <v>6</v>
      </c>
      <c r="R133" s="32">
        <f t="shared" si="23"/>
        <v>2</v>
      </c>
      <c r="S133">
        <v>7</v>
      </c>
      <c r="T133">
        <v>5</v>
      </c>
      <c r="U133" s="32">
        <f t="shared" si="24"/>
        <v>2</v>
      </c>
      <c r="V133">
        <v>7</v>
      </c>
      <c r="W133">
        <v>6</v>
      </c>
      <c r="X133" s="32">
        <f t="shared" si="25"/>
        <v>1</v>
      </c>
      <c r="Y133">
        <v>9</v>
      </c>
      <c r="Z133">
        <v>6</v>
      </c>
      <c r="AA133" s="32">
        <f t="shared" si="26"/>
        <v>3</v>
      </c>
    </row>
    <row r="134" spans="1:27" x14ac:dyDescent="0.45">
      <c r="A134">
        <v>7</v>
      </c>
      <c r="B134">
        <v>6</v>
      </c>
      <c r="C134" s="32">
        <f t="shared" si="18"/>
        <v>1</v>
      </c>
      <c r="D134">
        <v>7</v>
      </c>
      <c r="E134">
        <v>7</v>
      </c>
      <c r="F134" s="32">
        <f t="shared" si="19"/>
        <v>0</v>
      </c>
      <c r="G134">
        <v>8</v>
      </c>
      <c r="H134">
        <v>5</v>
      </c>
      <c r="I134" s="32">
        <f t="shared" si="20"/>
        <v>3</v>
      </c>
      <c r="J134">
        <v>8</v>
      </c>
      <c r="K134">
        <v>7</v>
      </c>
      <c r="L134" s="32">
        <f t="shared" si="21"/>
        <v>1</v>
      </c>
      <c r="M134">
        <v>7</v>
      </c>
      <c r="N134">
        <v>5</v>
      </c>
      <c r="O134" s="32">
        <f t="shared" si="22"/>
        <v>2</v>
      </c>
      <c r="P134">
        <v>8</v>
      </c>
      <c r="Q134">
        <v>6</v>
      </c>
      <c r="R134" s="32">
        <f t="shared" si="23"/>
        <v>2</v>
      </c>
      <c r="S134">
        <v>7</v>
      </c>
      <c r="T134">
        <v>5</v>
      </c>
      <c r="U134" s="32">
        <f t="shared" si="24"/>
        <v>2</v>
      </c>
      <c r="V134">
        <v>7</v>
      </c>
      <c r="W134">
        <v>6</v>
      </c>
      <c r="X134" s="32">
        <f t="shared" si="25"/>
        <v>1</v>
      </c>
      <c r="Y134">
        <v>9</v>
      </c>
      <c r="Z134">
        <v>6</v>
      </c>
      <c r="AA134" s="32">
        <f t="shared" si="26"/>
        <v>3</v>
      </c>
    </row>
    <row r="135" spans="1:27" x14ac:dyDescent="0.45">
      <c r="A135">
        <v>7</v>
      </c>
      <c r="B135">
        <v>6</v>
      </c>
      <c r="C135" s="32">
        <f t="shared" si="18"/>
        <v>1</v>
      </c>
      <c r="D135">
        <v>7</v>
      </c>
      <c r="E135">
        <v>7</v>
      </c>
      <c r="F135" s="32">
        <f t="shared" si="19"/>
        <v>0</v>
      </c>
      <c r="G135">
        <v>8</v>
      </c>
      <c r="H135">
        <v>5</v>
      </c>
      <c r="I135" s="32">
        <f t="shared" si="20"/>
        <v>3</v>
      </c>
      <c r="J135">
        <v>8</v>
      </c>
      <c r="K135">
        <v>7</v>
      </c>
      <c r="L135" s="32">
        <f t="shared" si="21"/>
        <v>1</v>
      </c>
      <c r="M135">
        <v>7</v>
      </c>
      <c r="N135">
        <v>5</v>
      </c>
      <c r="O135" s="32">
        <f t="shared" si="22"/>
        <v>2</v>
      </c>
      <c r="P135">
        <v>8</v>
      </c>
      <c r="Q135">
        <v>6</v>
      </c>
      <c r="R135" s="32">
        <f t="shared" si="23"/>
        <v>2</v>
      </c>
      <c r="S135">
        <v>7</v>
      </c>
      <c r="T135">
        <v>5</v>
      </c>
      <c r="U135" s="32">
        <f t="shared" si="24"/>
        <v>2</v>
      </c>
      <c r="V135">
        <v>7</v>
      </c>
      <c r="W135">
        <v>6</v>
      </c>
      <c r="X135" s="32">
        <f t="shared" si="25"/>
        <v>1</v>
      </c>
      <c r="Y135">
        <v>9</v>
      </c>
      <c r="Z135">
        <v>6</v>
      </c>
      <c r="AA135" s="32">
        <f t="shared" si="26"/>
        <v>3</v>
      </c>
    </row>
    <row r="136" spans="1:27" x14ac:dyDescent="0.45">
      <c r="A136">
        <v>7</v>
      </c>
      <c r="B136">
        <v>6</v>
      </c>
      <c r="C136" s="32">
        <f t="shared" si="18"/>
        <v>1</v>
      </c>
      <c r="D136">
        <v>7</v>
      </c>
      <c r="E136">
        <v>7</v>
      </c>
      <c r="F136" s="32">
        <f t="shared" si="19"/>
        <v>0</v>
      </c>
      <c r="G136">
        <v>8</v>
      </c>
      <c r="H136">
        <v>5</v>
      </c>
      <c r="I136" s="32">
        <f t="shared" si="20"/>
        <v>3</v>
      </c>
      <c r="J136">
        <v>8</v>
      </c>
      <c r="K136">
        <v>7</v>
      </c>
      <c r="L136" s="32">
        <f t="shared" si="21"/>
        <v>1</v>
      </c>
      <c r="M136">
        <v>7</v>
      </c>
      <c r="N136">
        <v>5</v>
      </c>
      <c r="O136" s="32">
        <f t="shared" si="22"/>
        <v>2</v>
      </c>
      <c r="P136">
        <v>8</v>
      </c>
      <c r="Q136">
        <v>6</v>
      </c>
      <c r="R136" s="32">
        <f t="shared" si="23"/>
        <v>2</v>
      </c>
      <c r="S136">
        <v>7</v>
      </c>
      <c r="T136">
        <v>5</v>
      </c>
      <c r="U136" s="32">
        <f t="shared" si="24"/>
        <v>2</v>
      </c>
      <c r="V136">
        <v>7</v>
      </c>
      <c r="W136">
        <v>6</v>
      </c>
      <c r="X136" s="32">
        <f t="shared" si="25"/>
        <v>1</v>
      </c>
      <c r="Y136">
        <v>9</v>
      </c>
      <c r="Z136">
        <v>6</v>
      </c>
      <c r="AA136" s="32">
        <f t="shared" si="26"/>
        <v>3</v>
      </c>
    </row>
    <row r="137" spans="1:27" x14ac:dyDescent="0.45">
      <c r="A137">
        <v>7</v>
      </c>
      <c r="B137">
        <v>6</v>
      </c>
      <c r="C137" s="32">
        <f t="shared" si="18"/>
        <v>1</v>
      </c>
      <c r="D137">
        <v>7</v>
      </c>
      <c r="E137">
        <v>7</v>
      </c>
      <c r="F137" s="32">
        <f t="shared" si="19"/>
        <v>0</v>
      </c>
      <c r="G137">
        <v>8</v>
      </c>
      <c r="H137">
        <v>5</v>
      </c>
      <c r="I137" s="32">
        <f t="shared" si="20"/>
        <v>3</v>
      </c>
      <c r="J137">
        <v>8</v>
      </c>
      <c r="K137">
        <v>7</v>
      </c>
      <c r="L137" s="32">
        <f t="shared" si="21"/>
        <v>1</v>
      </c>
      <c r="M137">
        <v>7</v>
      </c>
      <c r="N137">
        <v>5</v>
      </c>
      <c r="O137" s="32">
        <f t="shared" si="22"/>
        <v>2</v>
      </c>
      <c r="P137">
        <v>8</v>
      </c>
      <c r="Q137">
        <v>6</v>
      </c>
      <c r="R137" s="32">
        <f t="shared" si="23"/>
        <v>2</v>
      </c>
      <c r="S137">
        <v>7</v>
      </c>
      <c r="T137">
        <v>5</v>
      </c>
      <c r="U137" s="32">
        <f t="shared" si="24"/>
        <v>2</v>
      </c>
      <c r="V137">
        <v>7</v>
      </c>
      <c r="W137">
        <v>6</v>
      </c>
      <c r="X137" s="32">
        <f t="shared" si="25"/>
        <v>1</v>
      </c>
      <c r="Y137">
        <v>9</v>
      </c>
      <c r="Z137">
        <v>6</v>
      </c>
      <c r="AA137" s="32">
        <f t="shared" si="26"/>
        <v>3</v>
      </c>
    </row>
    <row r="138" spans="1:27" x14ac:dyDescent="0.45">
      <c r="A138">
        <v>7</v>
      </c>
      <c r="B138">
        <v>6</v>
      </c>
      <c r="C138" s="32">
        <f t="shared" si="18"/>
        <v>1</v>
      </c>
      <c r="D138">
        <v>7</v>
      </c>
      <c r="E138">
        <v>7</v>
      </c>
      <c r="F138" s="32">
        <f t="shared" si="19"/>
        <v>0</v>
      </c>
      <c r="G138">
        <v>8</v>
      </c>
      <c r="H138">
        <v>5</v>
      </c>
      <c r="I138" s="32">
        <f t="shared" si="20"/>
        <v>3</v>
      </c>
      <c r="J138">
        <v>8</v>
      </c>
      <c r="K138">
        <v>7</v>
      </c>
      <c r="L138" s="32">
        <f t="shared" si="21"/>
        <v>1</v>
      </c>
      <c r="M138">
        <v>7</v>
      </c>
      <c r="N138">
        <v>6</v>
      </c>
      <c r="O138" s="32">
        <f t="shared" si="22"/>
        <v>1</v>
      </c>
      <c r="P138">
        <v>8</v>
      </c>
      <c r="Q138">
        <v>6</v>
      </c>
      <c r="R138" s="32">
        <f t="shared" si="23"/>
        <v>2</v>
      </c>
      <c r="S138">
        <v>7</v>
      </c>
      <c r="T138">
        <v>5</v>
      </c>
      <c r="U138" s="32">
        <f t="shared" si="24"/>
        <v>2</v>
      </c>
      <c r="V138">
        <v>7</v>
      </c>
      <c r="W138">
        <v>6</v>
      </c>
      <c r="X138" s="32">
        <f t="shared" si="25"/>
        <v>1</v>
      </c>
      <c r="Y138">
        <v>9</v>
      </c>
      <c r="Z138">
        <v>6</v>
      </c>
      <c r="AA138" s="32">
        <f t="shared" si="26"/>
        <v>3</v>
      </c>
    </row>
    <row r="139" spans="1:27" x14ac:dyDescent="0.45">
      <c r="A139">
        <v>7</v>
      </c>
      <c r="B139">
        <v>6</v>
      </c>
      <c r="C139" s="32">
        <f t="shared" si="18"/>
        <v>1</v>
      </c>
      <c r="D139">
        <v>7</v>
      </c>
      <c r="E139">
        <v>7</v>
      </c>
      <c r="F139" s="32">
        <f t="shared" si="19"/>
        <v>0</v>
      </c>
      <c r="G139">
        <v>8</v>
      </c>
      <c r="H139">
        <v>5</v>
      </c>
      <c r="I139" s="32">
        <f t="shared" si="20"/>
        <v>3</v>
      </c>
      <c r="J139">
        <v>8</v>
      </c>
      <c r="K139">
        <v>7</v>
      </c>
      <c r="L139" s="32">
        <f t="shared" si="21"/>
        <v>1</v>
      </c>
      <c r="M139">
        <v>7</v>
      </c>
      <c r="N139">
        <v>6</v>
      </c>
      <c r="O139" s="32">
        <f t="shared" si="22"/>
        <v>1</v>
      </c>
      <c r="P139">
        <v>8</v>
      </c>
      <c r="Q139">
        <v>6</v>
      </c>
      <c r="R139" s="32">
        <f t="shared" si="23"/>
        <v>2</v>
      </c>
      <c r="S139">
        <v>7</v>
      </c>
      <c r="T139">
        <v>5</v>
      </c>
      <c r="U139" s="32">
        <f t="shared" si="24"/>
        <v>2</v>
      </c>
      <c r="V139">
        <v>7</v>
      </c>
      <c r="W139">
        <v>6</v>
      </c>
      <c r="X139" s="32">
        <f t="shared" si="25"/>
        <v>1</v>
      </c>
      <c r="Y139">
        <v>9</v>
      </c>
      <c r="Z139">
        <v>6</v>
      </c>
      <c r="AA139" s="32">
        <f t="shared" si="26"/>
        <v>3</v>
      </c>
    </row>
    <row r="140" spans="1:27" x14ac:dyDescent="0.45">
      <c r="A140">
        <v>7</v>
      </c>
      <c r="B140">
        <v>6</v>
      </c>
      <c r="C140" s="32">
        <f t="shared" si="18"/>
        <v>1</v>
      </c>
      <c r="D140">
        <v>7</v>
      </c>
      <c r="E140">
        <v>7</v>
      </c>
      <c r="F140" s="32">
        <f t="shared" si="19"/>
        <v>0</v>
      </c>
      <c r="G140">
        <v>8</v>
      </c>
      <c r="H140">
        <v>5</v>
      </c>
      <c r="I140" s="32">
        <f t="shared" si="20"/>
        <v>3</v>
      </c>
      <c r="J140">
        <v>8</v>
      </c>
      <c r="K140">
        <v>7</v>
      </c>
      <c r="L140" s="32">
        <f t="shared" si="21"/>
        <v>1</v>
      </c>
      <c r="M140">
        <v>7</v>
      </c>
      <c r="N140">
        <v>6</v>
      </c>
      <c r="O140" s="32">
        <f t="shared" si="22"/>
        <v>1</v>
      </c>
      <c r="P140">
        <v>8</v>
      </c>
      <c r="Q140">
        <v>6</v>
      </c>
      <c r="R140" s="32">
        <f t="shared" si="23"/>
        <v>2</v>
      </c>
      <c r="S140">
        <v>7</v>
      </c>
      <c r="T140">
        <v>5</v>
      </c>
      <c r="U140" s="32">
        <f t="shared" si="24"/>
        <v>2</v>
      </c>
      <c r="V140">
        <v>7</v>
      </c>
      <c r="W140">
        <v>6</v>
      </c>
      <c r="X140" s="32">
        <f t="shared" si="25"/>
        <v>1</v>
      </c>
      <c r="Y140">
        <v>9</v>
      </c>
      <c r="Z140">
        <v>6</v>
      </c>
      <c r="AA140" s="32">
        <f t="shared" si="26"/>
        <v>3</v>
      </c>
    </row>
    <row r="141" spans="1:27" x14ac:dyDescent="0.45">
      <c r="A141">
        <v>7</v>
      </c>
      <c r="B141">
        <v>6</v>
      </c>
      <c r="C141" s="32">
        <f t="shared" si="18"/>
        <v>1</v>
      </c>
      <c r="D141">
        <v>7</v>
      </c>
      <c r="E141">
        <v>7</v>
      </c>
      <c r="F141" s="32">
        <f t="shared" si="19"/>
        <v>0</v>
      </c>
      <c r="G141">
        <v>8</v>
      </c>
      <c r="H141">
        <v>5</v>
      </c>
      <c r="I141" s="32">
        <f t="shared" si="20"/>
        <v>3</v>
      </c>
      <c r="J141">
        <v>8</v>
      </c>
      <c r="K141">
        <v>7</v>
      </c>
      <c r="L141" s="32">
        <f t="shared" si="21"/>
        <v>1</v>
      </c>
      <c r="M141">
        <v>7</v>
      </c>
      <c r="N141">
        <v>6</v>
      </c>
      <c r="O141" s="32">
        <f t="shared" si="22"/>
        <v>1</v>
      </c>
      <c r="P141">
        <v>8</v>
      </c>
      <c r="Q141">
        <v>6</v>
      </c>
      <c r="R141" s="32">
        <f t="shared" si="23"/>
        <v>2</v>
      </c>
      <c r="S141">
        <v>7</v>
      </c>
      <c r="T141">
        <v>5</v>
      </c>
      <c r="U141" s="32">
        <f t="shared" si="24"/>
        <v>2</v>
      </c>
      <c r="V141">
        <v>7</v>
      </c>
      <c r="W141">
        <v>6</v>
      </c>
      <c r="X141" s="32">
        <f t="shared" si="25"/>
        <v>1</v>
      </c>
      <c r="Y141">
        <v>9</v>
      </c>
      <c r="Z141">
        <v>6</v>
      </c>
      <c r="AA141" s="32">
        <f t="shared" si="26"/>
        <v>3</v>
      </c>
    </row>
    <row r="142" spans="1:27" x14ac:dyDescent="0.45">
      <c r="A142">
        <v>7</v>
      </c>
      <c r="B142">
        <v>6</v>
      </c>
      <c r="C142" s="32">
        <f t="shared" si="18"/>
        <v>1</v>
      </c>
      <c r="D142">
        <v>7</v>
      </c>
      <c r="E142">
        <v>7</v>
      </c>
      <c r="F142" s="32">
        <f t="shared" si="19"/>
        <v>0</v>
      </c>
      <c r="G142">
        <v>8</v>
      </c>
      <c r="H142">
        <v>5</v>
      </c>
      <c r="I142" s="32">
        <f t="shared" si="20"/>
        <v>3</v>
      </c>
      <c r="J142">
        <v>8</v>
      </c>
      <c r="K142">
        <v>7</v>
      </c>
      <c r="L142" s="32">
        <f t="shared" si="21"/>
        <v>1</v>
      </c>
      <c r="M142">
        <v>7</v>
      </c>
      <c r="N142">
        <v>6</v>
      </c>
      <c r="O142" s="32">
        <f t="shared" si="22"/>
        <v>1</v>
      </c>
      <c r="P142">
        <v>8</v>
      </c>
      <c r="Q142">
        <v>6</v>
      </c>
      <c r="R142" s="32">
        <f t="shared" si="23"/>
        <v>2</v>
      </c>
      <c r="S142">
        <v>7</v>
      </c>
      <c r="T142">
        <v>5</v>
      </c>
      <c r="U142" s="32">
        <f t="shared" si="24"/>
        <v>2</v>
      </c>
      <c r="V142">
        <v>7</v>
      </c>
      <c r="W142">
        <v>6</v>
      </c>
      <c r="X142" s="32">
        <f t="shared" si="25"/>
        <v>1</v>
      </c>
      <c r="Y142">
        <v>9</v>
      </c>
      <c r="Z142">
        <v>6</v>
      </c>
      <c r="AA142" s="32">
        <f t="shared" si="26"/>
        <v>3</v>
      </c>
    </row>
    <row r="143" spans="1:27" x14ac:dyDescent="0.45">
      <c r="A143">
        <v>7</v>
      </c>
      <c r="B143">
        <v>6</v>
      </c>
      <c r="C143" s="32">
        <f t="shared" si="18"/>
        <v>1</v>
      </c>
      <c r="D143">
        <v>7</v>
      </c>
      <c r="E143">
        <v>7</v>
      </c>
      <c r="F143" s="32">
        <f t="shared" si="19"/>
        <v>0</v>
      </c>
      <c r="G143">
        <v>8</v>
      </c>
      <c r="H143">
        <v>5</v>
      </c>
      <c r="I143" s="32">
        <f t="shared" si="20"/>
        <v>3</v>
      </c>
      <c r="J143">
        <v>8</v>
      </c>
      <c r="K143">
        <v>7</v>
      </c>
      <c r="L143" s="32">
        <f t="shared" si="21"/>
        <v>1</v>
      </c>
      <c r="M143">
        <v>7</v>
      </c>
      <c r="N143">
        <v>6</v>
      </c>
      <c r="O143" s="32">
        <f t="shared" si="22"/>
        <v>1</v>
      </c>
      <c r="P143">
        <v>8</v>
      </c>
      <c r="Q143">
        <v>6</v>
      </c>
      <c r="R143" s="32">
        <f t="shared" si="23"/>
        <v>2</v>
      </c>
      <c r="S143">
        <v>7</v>
      </c>
      <c r="T143">
        <v>5</v>
      </c>
      <c r="U143" s="32">
        <f t="shared" si="24"/>
        <v>2</v>
      </c>
      <c r="V143">
        <v>7</v>
      </c>
      <c r="W143">
        <v>6</v>
      </c>
      <c r="X143" s="32">
        <f t="shared" si="25"/>
        <v>1</v>
      </c>
      <c r="Y143">
        <v>9</v>
      </c>
      <c r="Z143">
        <v>6</v>
      </c>
      <c r="AA143" s="32">
        <f t="shared" si="26"/>
        <v>3</v>
      </c>
    </row>
    <row r="144" spans="1:27" x14ac:dyDescent="0.45">
      <c r="A144">
        <v>7</v>
      </c>
      <c r="B144">
        <v>6</v>
      </c>
      <c r="C144" s="32">
        <f t="shared" si="18"/>
        <v>1</v>
      </c>
      <c r="D144">
        <v>7</v>
      </c>
      <c r="E144">
        <v>7</v>
      </c>
      <c r="F144" s="32">
        <f t="shared" si="19"/>
        <v>0</v>
      </c>
      <c r="G144">
        <v>8</v>
      </c>
      <c r="H144">
        <v>5</v>
      </c>
      <c r="I144" s="32">
        <f t="shared" si="20"/>
        <v>3</v>
      </c>
      <c r="J144">
        <v>8</v>
      </c>
      <c r="K144">
        <v>7</v>
      </c>
      <c r="L144" s="32">
        <f t="shared" si="21"/>
        <v>1</v>
      </c>
      <c r="M144">
        <v>7</v>
      </c>
      <c r="N144">
        <v>6</v>
      </c>
      <c r="O144" s="32">
        <f t="shared" si="22"/>
        <v>1</v>
      </c>
      <c r="P144">
        <v>8</v>
      </c>
      <c r="Q144">
        <v>6</v>
      </c>
      <c r="R144" s="32">
        <f t="shared" si="23"/>
        <v>2</v>
      </c>
      <c r="S144">
        <v>7</v>
      </c>
      <c r="T144">
        <v>5</v>
      </c>
      <c r="U144" s="32">
        <f t="shared" si="24"/>
        <v>2</v>
      </c>
      <c r="V144">
        <v>7</v>
      </c>
      <c r="W144">
        <v>6</v>
      </c>
      <c r="X144" s="32">
        <f t="shared" si="25"/>
        <v>1</v>
      </c>
      <c r="Y144">
        <v>9</v>
      </c>
      <c r="Z144">
        <v>6</v>
      </c>
      <c r="AA144" s="32">
        <f t="shared" si="26"/>
        <v>3</v>
      </c>
    </row>
    <row r="145" spans="1:27" x14ac:dyDescent="0.45">
      <c r="A145">
        <v>7</v>
      </c>
      <c r="B145">
        <v>6</v>
      </c>
      <c r="C145" s="32">
        <f t="shared" si="18"/>
        <v>1</v>
      </c>
      <c r="D145">
        <v>7</v>
      </c>
      <c r="E145">
        <v>7</v>
      </c>
      <c r="F145" s="32">
        <f t="shared" si="19"/>
        <v>0</v>
      </c>
      <c r="G145">
        <v>8</v>
      </c>
      <c r="H145">
        <v>5</v>
      </c>
      <c r="I145" s="32">
        <f t="shared" si="20"/>
        <v>3</v>
      </c>
      <c r="J145">
        <v>9</v>
      </c>
      <c r="K145">
        <v>7</v>
      </c>
      <c r="L145" s="32">
        <f t="shared" si="21"/>
        <v>2</v>
      </c>
      <c r="M145">
        <v>7</v>
      </c>
      <c r="N145">
        <v>6</v>
      </c>
      <c r="O145" s="32">
        <f t="shared" si="22"/>
        <v>1</v>
      </c>
      <c r="P145">
        <v>8</v>
      </c>
      <c r="Q145">
        <v>6</v>
      </c>
      <c r="R145" s="32">
        <f t="shared" si="23"/>
        <v>2</v>
      </c>
      <c r="S145">
        <v>7</v>
      </c>
      <c r="T145">
        <v>5</v>
      </c>
      <c r="U145" s="32">
        <f t="shared" si="24"/>
        <v>2</v>
      </c>
      <c r="V145">
        <v>7</v>
      </c>
      <c r="W145">
        <v>6</v>
      </c>
      <c r="X145" s="32">
        <f t="shared" si="25"/>
        <v>1</v>
      </c>
      <c r="Y145">
        <v>9</v>
      </c>
      <c r="Z145">
        <v>6</v>
      </c>
      <c r="AA145" s="32">
        <f t="shared" si="26"/>
        <v>3</v>
      </c>
    </row>
    <row r="146" spans="1:27" x14ac:dyDescent="0.45">
      <c r="A146">
        <v>7</v>
      </c>
      <c r="B146">
        <v>6</v>
      </c>
      <c r="C146" s="32">
        <f t="shared" si="18"/>
        <v>1</v>
      </c>
      <c r="D146">
        <v>7</v>
      </c>
      <c r="E146">
        <v>7</v>
      </c>
      <c r="F146" s="32">
        <f t="shared" si="19"/>
        <v>0</v>
      </c>
      <c r="G146">
        <v>8</v>
      </c>
      <c r="H146">
        <v>5</v>
      </c>
      <c r="I146" s="32">
        <f t="shared" si="20"/>
        <v>3</v>
      </c>
      <c r="J146">
        <v>9</v>
      </c>
      <c r="K146">
        <v>7</v>
      </c>
      <c r="L146" s="32">
        <f t="shared" si="21"/>
        <v>2</v>
      </c>
      <c r="M146">
        <v>7</v>
      </c>
      <c r="N146">
        <v>6</v>
      </c>
      <c r="O146" s="32">
        <f t="shared" si="22"/>
        <v>1</v>
      </c>
      <c r="P146">
        <v>8</v>
      </c>
      <c r="Q146">
        <v>6</v>
      </c>
      <c r="R146" s="32">
        <f t="shared" si="23"/>
        <v>2</v>
      </c>
      <c r="S146">
        <v>7</v>
      </c>
      <c r="T146">
        <v>5</v>
      </c>
      <c r="U146" s="32">
        <f t="shared" si="24"/>
        <v>2</v>
      </c>
      <c r="V146">
        <v>7</v>
      </c>
      <c r="W146">
        <v>6</v>
      </c>
      <c r="X146" s="32">
        <f t="shared" si="25"/>
        <v>1</v>
      </c>
      <c r="Y146">
        <v>9</v>
      </c>
      <c r="Z146">
        <v>6</v>
      </c>
      <c r="AA146" s="32">
        <f t="shared" si="26"/>
        <v>3</v>
      </c>
    </row>
    <row r="147" spans="1:27" x14ac:dyDescent="0.45">
      <c r="A147">
        <v>7</v>
      </c>
      <c r="B147">
        <v>6</v>
      </c>
      <c r="C147" s="32">
        <f t="shared" si="18"/>
        <v>1</v>
      </c>
      <c r="D147">
        <v>7</v>
      </c>
      <c r="E147">
        <v>7</v>
      </c>
      <c r="F147" s="32">
        <f t="shared" si="19"/>
        <v>0</v>
      </c>
      <c r="G147">
        <v>8</v>
      </c>
      <c r="H147">
        <v>5</v>
      </c>
      <c r="I147" s="32">
        <f t="shared" si="20"/>
        <v>3</v>
      </c>
      <c r="J147">
        <v>9</v>
      </c>
      <c r="K147">
        <v>7</v>
      </c>
      <c r="L147" s="32">
        <f t="shared" si="21"/>
        <v>2</v>
      </c>
      <c r="M147">
        <v>7</v>
      </c>
      <c r="N147">
        <v>6</v>
      </c>
      <c r="O147" s="32">
        <f t="shared" si="22"/>
        <v>1</v>
      </c>
      <c r="P147">
        <v>8</v>
      </c>
      <c r="Q147">
        <v>6</v>
      </c>
      <c r="R147" s="32">
        <f t="shared" si="23"/>
        <v>2</v>
      </c>
      <c r="S147">
        <v>7</v>
      </c>
      <c r="T147">
        <v>5</v>
      </c>
      <c r="U147" s="32">
        <f t="shared" si="24"/>
        <v>2</v>
      </c>
      <c r="V147">
        <v>7</v>
      </c>
      <c r="W147">
        <v>6</v>
      </c>
      <c r="X147" s="32">
        <f t="shared" si="25"/>
        <v>1</v>
      </c>
      <c r="Y147">
        <v>9</v>
      </c>
      <c r="Z147">
        <v>6</v>
      </c>
      <c r="AA147" s="32">
        <f t="shared" si="26"/>
        <v>3</v>
      </c>
    </row>
    <row r="148" spans="1:27" x14ac:dyDescent="0.45">
      <c r="A148">
        <v>7</v>
      </c>
      <c r="B148">
        <v>6</v>
      </c>
      <c r="C148" s="32">
        <f t="shared" si="18"/>
        <v>1</v>
      </c>
      <c r="D148">
        <v>7</v>
      </c>
      <c r="E148">
        <v>7</v>
      </c>
      <c r="F148" s="32">
        <f t="shared" si="19"/>
        <v>0</v>
      </c>
      <c r="G148">
        <v>8</v>
      </c>
      <c r="H148">
        <v>5</v>
      </c>
      <c r="I148" s="32">
        <f t="shared" si="20"/>
        <v>3</v>
      </c>
      <c r="J148">
        <v>9</v>
      </c>
      <c r="K148">
        <v>7</v>
      </c>
      <c r="L148" s="32">
        <f t="shared" si="21"/>
        <v>2</v>
      </c>
      <c r="M148">
        <v>7</v>
      </c>
      <c r="N148">
        <v>6</v>
      </c>
      <c r="O148" s="32">
        <f t="shared" si="22"/>
        <v>1</v>
      </c>
      <c r="P148">
        <v>8</v>
      </c>
      <c r="Q148">
        <v>6</v>
      </c>
      <c r="R148" s="32">
        <f t="shared" si="23"/>
        <v>2</v>
      </c>
      <c r="S148">
        <v>7</v>
      </c>
      <c r="T148">
        <v>5</v>
      </c>
      <c r="U148" s="32">
        <f t="shared" si="24"/>
        <v>2</v>
      </c>
      <c r="V148">
        <v>7</v>
      </c>
      <c r="W148">
        <v>6</v>
      </c>
      <c r="X148" s="32">
        <f t="shared" si="25"/>
        <v>1</v>
      </c>
      <c r="Y148">
        <v>9</v>
      </c>
      <c r="Z148">
        <v>6</v>
      </c>
      <c r="AA148" s="32">
        <f t="shared" si="26"/>
        <v>3</v>
      </c>
    </row>
    <row r="149" spans="1:27" x14ac:dyDescent="0.45">
      <c r="A149">
        <v>7</v>
      </c>
      <c r="B149">
        <v>6</v>
      </c>
      <c r="C149" s="32">
        <f t="shared" si="18"/>
        <v>1</v>
      </c>
      <c r="D149">
        <v>7</v>
      </c>
      <c r="E149">
        <v>7</v>
      </c>
      <c r="F149" s="32">
        <f t="shared" si="19"/>
        <v>0</v>
      </c>
      <c r="G149">
        <v>8</v>
      </c>
      <c r="H149">
        <v>5</v>
      </c>
      <c r="I149" s="32">
        <f t="shared" si="20"/>
        <v>3</v>
      </c>
      <c r="J149">
        <v>9</v>
      </c>
      <c r="K149">
        <v>7</v>
      </c>
      <c r="L149" s="32">
        <f t="shared" si="21"/>
        <v>2</v>
      </c>
      <c r="M149">
        <v>7</v>
      </c>
      <c r="N149">
        <v>6</v>
      </c>
      <c r="O149" s="32">
        <f t="shared" si="22"/>
        <v>1</v>
      </c>
      <c r="P149">
        <v>8</v>
      </c>
      <c r="Q149">
        <v>6</v>
      </c>
      <c r="R149" s="32">
        <f t="shared" si="23"/>
        <v>2</v>
      </c>
      <c r="S149">
        <v>7</v>
      </c>
      <c r="T149">
        <v>5</v>
      </c>
      <c r="U149" s="32">
        <f t="shared" si="24"/>
        <v>2</v>
      </c>
      <c r="V149">
        <v>7</v>
      </c>
      <c r="W149">
        <v>6</v>
      </c>
      <c r="X149" s="32">
        <f t="shared" si="25"/>
        <v>1</v>
      </c>
      <c r="Y149">
        <v>9</v>
      </c>
      <c r="Z149">
        <v>6</v>
      </c>
      <c r="AA149" s="32">
        <f t="shared" si="26"/>
        <v>3</v>
      </c>
    </row>
    <row r="150" spans="1:27" x14ac:dyDescent="0.45">
      <c r="A150">
        <v>7</v>
      </c>
      <c r="B150">
        <v>6</v>
      </c>
      <c r="C150" s="32">
        <f t="shared" si="18"/>
        <v>1</v>
      </c>
      <c r="D150">
        <v>7</v>
      </c>
      <c r="E150">
        <v>7</v>
      </c>
      <c r="F150" s="32">
        <f t="shared" si="19"/>
        <v>0</v>
      </c>
      <c r="G150">
        <v>8</v>
      </c>
      <c r="H150">
        <v>5</v>
      </c>
      <c r="I150" s="32">
        <f t="shared" si="20"/>
        <v>3</v>
      </c>
      <c r="J150">
        <v>9</v>
      </c>
      <c r="K150">
        <v>7</v>
      </c>
      <c r="L150" s="32">
        <f t="shared" si="21"/>
        <v>2</v>
      </c>
      <c r="M150">
        <v>7</v>
      </c>
      <c r="N150">
        <v>6</v>
      </c>
      <c r="O150" s="32">
        <f t="shared" si="22"/>
        <v>1</v>
      </c>
      <c r="P150">
        <v>8</v>
      </c>
      <c r="Q150">
        <v>6</v>
      </c>
      <c r="R150" s="32">
        <f t="shared" si="23"/>
        <v>2</v>
      </c>
      <c r="S150">
        <v>7</v>
      </c>
      <c r="T150">
        <v>5</v>
      </c>
      <c r="U150" s="32">
        <f t="shared" si="24"/>
        <v>2</v>
      </c>
      <c r="V150">
        <v>7</v>
      </c>
      <c r="W150">
        <v>6</v>
      </c>
      <c r="X150" s="32">
        <f t="shared" si="25"/>
        <v>1</v>
      </c>
      <c r="Y150">
        <v>9</v>
      </c>
      <c r="Z150">
        <v>6</v>
      </c>
      <c r="AA150" s="32">
        <f t="shared" si="26"/>
        <v>3</v>
      </c>
    </row>
    <row r="151" spans="1:27" x14ac:dyDescent="0.45">
      <c r="A151">
        <v>7</v>
      </c>
      <c r="B151">
        <v>6</v>
      </c>
      <c r="C151" s="32">
        <f t="shared" si="18"/>
        <v>1</v>
      </c>
      <c r="D151">
        <v>7</v>
      </c>
      <c r="E151">
        <v>7</v>
      </c>
      <c r="F151" s="32">
        <f t="shared" si="19"/>
        <v>0</v>
      </c>
      <c r="G151">
        <v>8</v>
      </c>
      <c r="H151">
        <v>5</v>
      </c>
      <c r="I151" s="32">
        <f t="shared" si="20"/>
        <v>3</v>
      </c>
      <c r="J151">
        <v>9</v>
      </c>
      <c r="K151">
        <v>7</v>
      </c>
      <c r="L151" s="32">
        <f t="shared" si="21"/>
        <v>2</v>
      </c>
      <c r="M151">
        <v>7</v>
      </c>
      <c r="N151">
        <v>6</v>
      </c>
      <c r="O151" s="32">
        <f t="shared" si="22"/>
        <v>1</v>
      </c>
      <c r="P151">
        <v>8</v>
      </c>
      <c r="Q151">
        <v>6</v>
      </c>
      <c r="R151" s="32">
        <f t="shared" si="23"/>
        <v>2</v>
      </c>
      <c r="S151">
        <v>7</v>
      </c>
      <c r="T151">
        <v>5</v>
      </c>
      <c r="U151" s="32">
        <f t="shared" si="24"/>
        <v>2</v>
      </c>
      <c r="V151">
        <v>7</v>
      </c>
      <c r="W151">
        <v>6</v>
      </c>
      <c r="X151" s="32">
        <f t="shared" si="25"/>
        <v>1</v>
      </c>
      <c r="Y151">
        <v>9</v>
      </c>
      <c r="Z151">
        <v>6</v>
      </c>
      <c r="AA151" s="32">
        <f t="shared" si="26"/>
        <v>3</v>
      </c>
    </row>
    <row r="152" spans="1:27" x14ac:dyDescent="0.45">
      <c r="A152">
        <v>7</v>
      </c>
      <c r="B152">
        <v>6</v>
      </c>
      <c r="C152" s="32">
        <f t="shared" si="18"/>
        <v>1</v>
      </c>
      <c r="D152">
        <v>7</v>
      </c>
      <c r="E152">
        <v>7</v>
      </c>
      <c r="F152" s="32">
        <f t="shared" si="19"/>
        <v>0</v>
      </c>
      <c r="G152">
        <v>8</v>
      </c>
      <c r="H152">
        <v>5</v>
      </c>
      <c r="I152" s="32">
        <f t="shared" si="20"/>
        <v>3</v>
      </c>
      <c r="J152">
        <v>9</v>
      </c>
      <c r="K152">
        <v>7</v>
      </c>
      <c r="L152" s="32">
        <f t="shared" si="21"/>
        <v>2</v>
      </c>
      <c r="M152">
        <v>7</v>
      </c>
      <c r="N152">
        <v>6</v>
      </c>
      <c r="O152" s="32">
        <f t="shared" si="22"/>
        <v>1</v>
      </c>
      <c r="P152">
        <v>8</v>
      </c>
      <c r="Q152">
        <v>6</v>
      </c>
      <c r="R152" s="32">
        <f t="shared" si="23"/>
        <v>2</v>
      </c>
      <c r="S152">
        <v>7</v>
      </c>
      <c r="T152">
        <v>5</v>
      </c>
      <c r="U152" s="32">
        <f t="shared" si="24"/>
        <v>2</v>
      </c>
      <c r="V152">
        <v>7</v>
      </c>
      <c r="W152">
        <v>6</v>
      </c>
      <c r="X152" s="32">
        <f t="shared" si="25"/>
        <v>1</v>
      </c>
      <c r="Y152">
        <v>9</v>
      </c>
      <c r="Z152">
        <v>6</v>
      </c>
      <c r="AA152" s="32">
        <f t="shared" si="26"/>
        <v>3</v>
      </c>
    </row>
    <row r="153" spans="1:27" x14ac:dyDescent="0.45">
      <c r="A153">
        <v>7</v>
      </c>
      <c r="B153">
        <v>6</v>
      </c>
      <c r="C153" s="32">
        <f t="shared" si="18"/>
        <v>1</v>
      </c>
      <c r="D153">
        <v>7</v>
      </c>
      <c r="E153">
        <v>7</v>
      </c>
      <c r="F153" s="32">
        <f t="shared" si="19"/>
        <v>0</v>
      </c>
      <c r="G153">
        <v>8</v>
      </c>
      <c r="H153">
        <v>5</v>
      </c>
      <c r="I153" s="32">
        <f t="shared" si="20"/>
        <v>3</v>
      </c>
      <c r="J153">
        <v>9</v>
      </c>
      <c r="K153">
        <v>7</v>
      </c>
      <c r="L153" s="32">
        <f t="shared" si="21"/>
        <v>2</v>
      </c>
      <c r="M153">
        <v>7</v>
      </c>
      <c r="N153">
        <v>6</v>
      </c>
      <c r="O153" s="32">
        <f t="shared" si="22"/>
        <v>1</v>
      </c>
      <c r="P153">
        <v>8</v>
      </c>
      <c r="Q153">
        <v>6</v>
      </c>
      <c r="R153" s="32">
        <f t="shared" si="23"/>
        <v>2</v>
      </c>
      <c r="S153">
        <v>7</v>
      </c>
      <c r="T153">
        <v>5</v>
      </c>
      <c r="U153" s="32">
        <f t="shared" si="24"/>
        <v>2</v>
      </c>
      <c r="V153">
        <v>7</v>
      </c>
      <c r="W153">
        <v>6</v>
      </c>
      <c r="X153" s="32">
        <f t="shared" si="25"/>
        <v>1</v>
      </c>
      <c r="Y153">
        <v>9</v>
      </c>
      <c r="Z153">
        <v>6</v>
      </c>
      <c r="AA153" s="32">
        <f t="shared" si="26"/>
        <v>3</v>
      </c>
    </row>
    <row r="154" spans="1:27" x14ac:dyDescent="0.45">
      <c r="A154">
        <v>7</v>
      </c>
      <c r="B154">
        <v>6</v>
      </c>
      <c r="C154" s="32">
        <f t="shared" si="18"/>
        <v>1</v>
      </c>
      <c r="D154">
        <v>7</v>
      </c>
      <c r="E154">
        <v>7</v>
      </c>
      <c r="F154" s="32">
        <f t="shared" si="19"/>
        <v>0</v>
      </c>
      <c r="G154">
        <v>8</v>
      </c>
      <c r="H154">
        <v>5</v>
      </c>
      <c r="I154" s="32">
        <f t="shared" si="20"/>
        <v>3</v>
      </c>
      <c r="J154">
        <v>9</v>
      </c>
      <c r="K154">
        <v>7</v>
      </c>
      <c r="L154" s="32">
        <f t="shared" si="21"/>
        <v>2</v>
      </c>
      <c r="M154">
        <v>7</v>
      </c>
      <c r="N154">
        <v>6</v>
      </c>
      <c r="O154" s="32">
        <f t="shared" si="22"/>
        <v>1</v>
      </c>
      <c r="P154">
        <v>8</v>
      </c>
      <c r="Q154">
        <v>6</v>
      </c>
      <c r="R154" s="32">
        <f t="shared" si="23"/>
        <v>2</v>
      </c>
      <c r="S154">
        <v>7</v>
      </c>
      <c r="T154">
        <v>5</v>
      </c>
      <c r="U154" s="32">
        <f t="shared" si="24"/>
        <v>2</v>
      </c>
      <c r="V154">
        <v>7</v>
      </c>
      <c r="W154">
        <v>6</v>
      </c>
      <c r="X154" s="32">
        <f t="shared" si="25"/>
        <v>1</v>
      </c>
      <c r="Y154">
        <v>9</v>
      </c>
      <c r="Z154">
        <v>6</v>
      </c>
      <c r="AA154" s="32">
        <f t="shared" si="26"/>
        <v>3</v>
      </c>
    </row>
    <row r="155" spans="1:27" x14ac:dyDescent="0.45">
      <c r="A155">
        <v>7</v>
      </c>
      <c r="B155">
        <v>6</v>
      </c>
      <c r="C155" s="32">
        <f t="shared" si="18"/>
        <v>1</v>
      </c>
      <c r="D155">
        <v>7</v>
      </c>
      <c r="E155">
        <v>7</v>
      </c>
      <c r="F155" s="32">
        <f t="shared" si="19"/>
        <v>0</v>
      </c>
      <c r="G155">
        <v>8</v>
      </c>
      <c r="H155">
        <v>5</v>
      </c>
      <c r="I155" s="32">
        <f t="shared" si="20"/>
        <v>3</v>
      </c>
      <c r="J155">
        <v>9</v>
      </c>
      <c r="K155">
        <v>7</v>
      </c>
      <c r="L155" s="32">
        <f t="shared" si="21"/>
        <v>2</v>
      </c>
      <c r="M155">
        <v>7</v>
      </c>
      <c r="N155">
        <v>6</v>
      </c>
      <c r="O155" s="32">
        <f t="shared" si="22"/>
        <v>1</v>
      </c>
      <c r="P155">
        <v>8</v>
      </c>
      <c r="Q155">
        <v>6</v>
      </c>
      <c r="R155" s="32">
        <f t="shared" si="23"/>
        <v>2</v>
      </c>
      <c r="S155">
        <v>7</v>
      </c>
      <c r="T155">
        <v>5</v>
      </c>
      <c r="U155" s="32">
        <f t="shared" si="24"/>
        <v>2</v>
      </c>
      <c r="V155">
        <v>7</v>
      </c>
      <c r="W155">
        <v>6</v>
      </c>
      <c r="X155" s="32">
        <f t="shared" si="25"/>
        <v>1</v>
      </c>
      <c r="Y155">
        <v>9</v>
      </c>
      <c r="Z155">
        <v>6</v>
      </c>
      <c r="AA155" s="32">
        <f t="shared" si="26"/>
        <v>3</v>
      </c>
    </row>
    <row r="156" spans="1:27" x14ac:dyDescent="0.45">
      <c r="A156">
        <v>7</v>
      </c>
      <c r="B156">
        <v>6</v>
      </c>
      <c r="C156" s="32">
        <f t="shared" si="18"/>
        <v>1</v>
      </c>
      <c r="D156">
        <v>7</v>
      </c>
      <c r="E156">
        <v>7</v>
      </c>
      <c r="F156" s="32">
        <f t="shared" si="19"/>
        <v>0</v>
      </c>
      <c r="G156">
        <v>8</v>
      </c>
      <c r="H156">
        <v>5</v>
      </c>
      <c r="I156" s="32">
        <f t="shared" si="20"/>
        <v>3</v>
      </c>
      <c r="J156">
        <v>9</v>
      </c>
      <c r="K156">
        <v>7</v>
      </c>
      <c r="L156" s="32">
        <f t="shared" si="21"/>
        <v>2</v>
      </c>
      <c r="M156">
        <v>7</v>
      </c>
      <c r="N156">
        <v>6</v>
      </c>
      <c r="O156" s="32">
        <f t="shared" si="22"/>
        <v>1</v>
      </c>
      <c r="P156">
        <v>8</v>
      </c>
      <c r="Q156">
        <v>6</v>
      </c>
      <c r="R156" s="32">
        <f t="shared" si="23"/>
        <v>2</v>
      </c>
      <c r="S156">
        <v>7</v>
      </c>
      <c r="T156">
        <v>5</v>
      </c>
      <c r="U156" s="32">
        <f t="shared" si="24"/>
        <v>2</v>
      </c>
      <c r="V156">
        <v>7</v>
      </c>
      <c r="W156">
        <v>6</v>
      </c>
      <c r="X156" s="32">
        <f t="shared" si="25"/>
        <v>1</v>
      </c>
      <c r="Y156">
        <v>9</v>
      </c>
      <c r="Z156">
        <v>7</v>
      </c>
      <c r="AA156" s="32">
        <f t="shared" si="26"/>
        <v>2</v>
      </c>
    </row>
    <row r="157" spans="1:27" x14ac:dyDescent="0.45">
      <c r="A157">
        <v>7</v>
      </c>
      <c r="B157">
        <v>6</v>
      </c>
      <c r="C157" s="32">
        <f t="shared" si="18"/>
        <v>1</v>
      </c>
      <c r="D157">
        <v>7</v>
      </c>
      <c r="E157">
        <v>7</v>
      </c>
      <c r="F157" s="32">
        <f t="shared" si="19"/>
        <v>0</v>
      </c>
      <c r="G157">
        <v>8</v>
      </c>
      <c r="H157">
        <v>5</v>
      </c>
      <c r="I157" s="32">
        <f t="shared" si="20"/>
        <v>3</v>
      </c>
      <c r="J157">
        <v>9</v>
      </c>
      <c r="K157">
        <v>7</v>
      </c>
      <c r="L157" s="32">
        <f t="shared" si="21"/>
        <v>2</v>
      </c>
      <c r="M157">
        <v>7</v>
      </c>
      <c r="N157">
        <v>6</v>
      </c>
      <c r="O157" s="32">
        <f t="shared" si="22"/>
        <v>1</v>
      </c>
      <c r="P157">
        <v>8</v>
      </c>
      <c r="Q157">
        <v>6</v>
      </c>
      <c r="R157" s="32">
        <f t="shared" si="23"/>
        <v>2</v>
      </c>
      <c r="S157">
        <v>7</v>
      </c>
      <c r="T157">
        <v>5</v>
      </c>
      <c r="U157" s="32">
        <f t="shared" si="24"/>
        <v>2</v>
      </c>
      <c r="V157">
        <v>7</v>
      </c>
      <c r="W157">
        <v>6</v>
      </c>
      <c r="X157" s="32">
        <f t="shared" si="25"/>
        <v>1</v>
      </c>
      <c r="Y157">
        <v>9</v>
      </c>
      <c r="Z157">
        <v>7</v>
      </c>
      <c r="AA157" s="32">
        <f t="shared" si="26"/>
        <v>2</v>
      </c>
    </row>
    <row r="158" spans="1:27" x14ac:dyDescent="0.45">
      <c r="A158">
        <v>7</v>
      </c>
      <c r="B158">
        <v>6</v>
      </c>
      <c r="C158" s="32">
        <f t="shared" si="18"/>
        <v>1</v>
      </c>
      <c r="D158">
        <v>7</v>
      </c>
      <c r="E158">
        <v>7</v>
      </c>
      <c r="F158" s="32">
        <f t="shared" si="19"/>
        <v>0</v>
      </c>
      <c r="G158">
        <v>8</v>
      </c>
      <c r="H158">
        <v>5</v>
      </c>
      <c r="I158" s="32">
        <f t="shared" si="20"/>
        <v>3</v>
      </c>
      <c r="J158">
        <v>9</v>
      </c>
      <c r="K158">
        <v>7</v>
      </c>
      <c r="L158" s="32">
        <f t="shared" si="21"/>
        <v>2</v>
      </c>
      <c r="M158">
        <v>7</v>
      </c>
      <c r="N158">
        <v>6</v>
      </c>
      <c r="O158" s="32">
        <f t="shared" si="22"/>
        <v>1</v>
      </c>
      <c r="P158">
        <v>8</v>
      </c>
      <c r="Q158">
        <v>6</v>
      </c>
      <c r="R158" s="32">
        <f t="shared" si="23"/>
        <v>2</v>
      </c>
      <c r="S158">
        <v>7</v>
      </c>
      <c r="T158">
        <v>5</v>
      </c>
      <c r="U158" s="32">
        <f t="shared" si="24"/>
        <v>2</v>
      </c>
      <c r="V158">
        <v>7</v>
      </c>
      <c r="W158">
        <v>6</v>
      </c>
      <c r="X158" s="32">
        <f t="shared" si="25"/>
        <v>1</v>
      </c>
      <c r="Y158">
        <v>9</v>
      </c>
      <c r="Z158">
        <v>7</v>
      </c>
      <c r="AA158" s="32">
        <f t="shared" si="26"/>
        <v>2</v>
      </c>
    </row>
    <row r="159" spans="1:27" x14ac:dyDescent="0.45">
      <c r="A159">
        <v>7</v>
      </c>
      <c r="B159">
        <v>7</v>
      </c>
      <c r="C159" s="32">
        <f t="shared" si="18"/>
        <v>0</v>
      </c>
      <c r="D159">
        <v>7</v>
      </c>
      <c r="E159">
        <v>7</v>
      </c>
      <c r="F159" s="32">
        <f t="shared" si="19"/>
        <v>0</v>
      </c>
      <c r="G159">
        <v>8</v>
      </c>
      <c r="H159">
        <v>5</v>
      </c>
      <c r="I159" s="32">
        <f t="shared" si="20"/>
        <v>3</v>
      </c>
      <c r="J159">
        <v>9</v>
      </c>
      <c r="K159">
        <v>7</v>
      </c>
      <c r="L159" s="32">
        <f t="shared" si="21"/>
        <v>2</v>
      </c>
      <c r="M159">
        <v>7</v>
      </c>
      <c r="N159">
        <v>6</v>
      </c>
      <c r="O159" s="32">
        <f t="shared" si="22"/>
        <v>1</v>
      </c>
      <c r="P159">
        <v>8</v>
      </c>
      <c r="Q159">
        <v>6</v>
      </c>
      <c r="R159" s="32">
        <f t="shared" si="23"/>
        <v>2</v>
      </c>
      <c r="S159">
        <v>7</v>
      </c>
      <c r="T159">
        <v>5</v>
      </c>
      <c r="U159" s="32">
        <f t="shared" si="24"/>
        <v>2</v>
      </c>
      <c r="V159">
        <v>7</v>
      </c>
      <c r="W159">
        <v>6</v>
      </c>
      <c r="X159" s="32">
        <f t="shared" si="25"/>
        <v>1</v>
      </c>
      <c r="Y159">
        <v>9</v>
      </c>
      <c r="Z159">
        <v>7</v>
      </c>
      <c r="AA159" s="32">
        <f t="shared" si="26"/>
        <v>2</v>
      </c>
    </row>
    <row r="160" spans="1:27" x14ac:dyDescent="0.45">
      <c r="A160">
        <v>7</v>
      </c>
      <c r="B160">
        <v>7</v>
      </c>
      <c r="C160" s="32">
        <f t="shared" si="18"/>
        <v>0</v>
      </c>
      <c r="D160">
        <v>7</v>
      </c>
      <c r="E160">
        <v>7</v>
      </c>
      <c r="F160" s="32">
        <f t="shared" si="19"/>
        <v>0</v>
      </c>
      <c r="G160">
        <v>8</v>
      </c>
      <c r="H160">
        <v>5</v>
      </c>
      <c r="I160" s="32">
        <f t="shared" si="20"/>
        <v>3</v>
      </c>
      <c r="J160">
        <v>9</v>
      </c>
      <c r="K160">
        <v>7</v>
      </c>
      <c r="L160" s="32">
        <f t="shared" si="21"/>
        <v>2</v>
      </c>
      <c r="M160">
        <v>7</v>
      </c>
      <c r="N160">
        <v>6</v>
      </c>
      <c r="O160" s="32">
        <f t="shared" si="22"/>
        <v>1</v>
      </c>
      <c r="P160">
        <v>8</v>
      </c>
      <c r="Q160">
        <v>6</v>
      </c>
      <c r="R160" s="32">
        <f t="shared" si="23"/>
        <v>2</v>
      </c>
      <c r="S160">
        <v>7</v>
      </c>
      <c r="T160">
        <v>5</v>
      </c>
      <c r="U160" s="32">
        <f t="shared" si="24"/>
        <v>2</v>
      </c>
      <c r="V160">
        <v>7</v>
      </c>
      <c r="W160">
        <v>6</v>
      </c>
      <c r="X160" s="32">
        <f t="shared" si="25"/>
        <v>1</v>
      </c>
      <c r="Y160">
        <v>9</v>
      </c>
      <c r="Z160">
        <v>7</v>
      </c>
      <c r="AA160" s="32">
        <f t="shared" si="26"/>
        <v>2</v>
      </c>
    </row>
    <row r="161" spans="1:27" x14ac:dyDescent="0.45">
      <c r="A161">
        <v>7</v>
      </c>
      <c r="B161">
        <v>7</v>
      </c>
      <c r="C161" s="32">
        <f t="shared" si="18"/>
        <v>0</v>
      </c>
      <c r="D161">
        <v>7</v>
      </c>
      <c r="E161">
        <v>7</v>
      </c>
      <c r="F161" s="32">
        <f t="shared" si="19"/>
        <v>0</v>
      </c>
      <c r="G161">
        <v>8</v>
      </c>
      <c r="H161">
        <v>5</v>
      </c>
      <c r="I161" s="32">
        <f t="shared" si="20"/>
        <v>3</v>
      </c>
      <c r="J161">
        <v>9</v>
      </c>
      <c r="K161">
        <v>7</v>
      </c>
      <c r="L161" s="32">
        <f t="shared" si="21"/>
        <v>2</v>
      </c>
      <c r="M161">
        <v>7</v>
      </c>
      <c r="N161">
        <v>6</v>
      </c>
      <c r="O161" s="32">
        <f t="shared" si="22"/>
        <v>1</v>
      </c>
      <c r="P161">
        <v>8</v>
      </c>
      <c r="Q161">
        <v>6</v>
      </c>
      <c r="R161" s="32">
        <f t="shared" si="23"/>
        <v>2</v>
      </c>
      <c r="S161">
        <v>7</v>
      </c>
      <c r="T161">
        <v>5</v>
      </c>
      <c r="U161" s="32">
        <f t="shared" si="24"/>
        <v>2</v>
      </c>
      <c r="V161">
        <v>7</v>
      </c>
      <c r="W161">
        <v>6</v>
      </c>
      <c r="X161" s="32">
        <f t="shared" si="25"/>
        <v>1</v>
      </c>
      <c r="Y161">
        <v>9</v>
      </c>
      <c r="Z161">
        <v>7</v>
      </c>
      <c r="AA161" s="32">
        <f t="shared" si="26"/>
        <v>2</v>
      </c>
    </row>
    <row r="162" spans="1:27" x14ac:dyDescent="0.45">
      <c r="A162">
        <v>7</v>
      </c>
      <c r="B162">
        <v>7</v>
      </c>
      <c r="C162" s="32">
        <f t="shared" si="18"/>
        <v>0</v>
      </c>
      <c r="D162">
        <v>7</v>
      </c>
      <c r="E162">
        <v>7</v>
      </c>
      <c r="F162" s="32">
        <f t="shared" si="19"/>
        <v>0</v>
      </c>
      <c r="G162">
        <v>8</v>
      </c>
      <c r="H162">
        <v>5</v>
      </c>
      <c r="I162" s="32">
        <f t="shared" si="20"/>
        <v>3</v>
      </c>
      <c r="J162">
        <v>9</v>
      </c>
      <c r="K162">
        <v>7</v>
      </c>
      <c r="L162" s="32">
        <f t="shared" si="21"/>
        <v>2</v>
      </c>
      <c r="M162">
        <v>7</v>
      </c>
      <c r="N162">
        <v>6</v>
      </c>
      <c r="O162" s="32">
        <f t="shared" si="22"/>
        <v>1</v>
      </c>
      <c r="P162">
        <v>8</v>
      </c>
      <c r="Q162">
        <v>6</v>
      </c>
      <c r="R162" s="32">
        <f t="shared" si="23"/>
        <v>2</v>
      </c>
      <c r="S162">
        <v>7</v>
      </c>
      <c r="T162">
        <v>5</v>
      </c>
      <c r="U162" s="32">
        <f t="shared" si="24"/>
        <v>2</v>
      </c>
      <c r="V162">
        <v>7</v>
      </c>
      <c r="W162">
        <v>6</v>
      </c>
      <c r="X162" s="32">
        <f t="shared" si="25"/>
        <v>1</v>
      </c>
      <c r="Y162">
        <v>9</v>
      </c>
      <c r="Z162">
        <v>7</v>
      </c>
      <c r="AA162" s="32">
        <f t="shared" si="26"/>
        <v>2</v>
      </c>
    </row>
    <row r="163" spans="1:27" x14ac:dyDescent="0.45">
      <c r="A163">
        <v>7</v>
      </c>
      <c r="B163">
        <v>7</v>
      </c>
      <c r="C163" s="32">
        <f t="shared" si="18"/>
        <v>0</v>
      </c>
      <c r="D163">
        <v>7</v>
      </c>
      <c r="E163">
        <v>7</v>
      </c>
      <c r="F163" s="32">
        <f t="shared" si="19"/>
        <v>0</v>
      </c>
      <c r="G163">
        <v>8</v>
      </c>
      <c r="H163">
        <v>5</v>
      </c>
      <c r="I163" s="32">
        <f t="shared" si="20"/>
        <v>3</v>
      </c>
      <c r="J163">
        <v>9</v>
      </c>
      <c r="K163">
        <v>7</v>
      </c>
      <c r="L163" s="32">
        <f t="shared" si="21"/>
        <v>2</v>
      </c>
      <c r="M163">
        <v>7</v>
      </c>
      <c r="N163">
        <v>6</v>
      </c>
      <c r="O163" s="32">
        <f t="shared" si="22"/>
        <v>1</v>
      </c>
      <c r="P163">
        <v>8</v>
      </c>
      <c r="Q163">
        <v>6</v>
      </c>
      <c r="R163" s="32">
        <f t="shared" si="23"/>
        <v>2</v>
      </c>
      <c r="S163">
        <v>7</v>
      </c>
      <c r="T163">
        <v>5</v>
      </c>
      <c r="U163" s="32">
        <f t="shared" si="24"/>
        <v>2</v>
      </c>
      <c r="V163">
        <v>7</v>
      </c>
      <c r="W163">
        <v>6</v>
      </c>
      <c r="X163" s="32">
        <f t="shared" si="25"/>
        <v>1</v>
      </c>
      <c r="Y163">
        <v>9</v>
      </c>
      <c r="Z163">
        <v>7</v>
      </c>
      <c r="AA163" s="32">
        <f t="shared" si="26"/>
        <v>2</v>
      </c>
    </row>
    <row r="164" spans="1:27" x14ac:dyDescent="0.45">
      <c r="A164">
        <v>7</v>
      </c>
      <c r="B164">
        <v>7</v>
      </c>
      <c r="C164" s="32">
        <f t="shared" si="18"/>
        <v>0</v>
      </c>
      <c r="D164">
        <v>7</v>
      </c>
      <c r="E164">
        <v>7</v>
      </c>
      <c r="F164" s="32">
        <f t="shared" si="19"/>
        <v>0</v>
      </c>
      <c r="G164">
        <v>8</v>
      </c>
      <c r="H164">
        <v>5</v>
      </c>
      <c r="I164" s="32">
        <f t="shared" si="20"/>
        <v>3</v>
      </c>
      <c r="J164">
        <v>9</v>
      </c>
      <c r="K164">
        <v>7</v>
      </c>
      <c r="L164" s="32">
        <f t="shared" si="21"/>
        <v>2</v>
      </c>
      <c r="M164">
        <v>7</v>
      </c>
      <c r="N164">
        <v>6</v>
      </c>
      <c r="O164" s="32">
        <f t="shared" si="22"/>
        <v>1</v>
      </c>
      <c r="P164">
        <v>8</v>
      </c>
      <c r="Q164">
        <v>6</v>
      </c>
      <c r="R164" s="32">
        <f t="shared" si="23"/>
        <v>2</v>
      </c>
      <c r="S164">
        <v>7</v>
      </c>
      <c r="T164">
        <v>5</v>
      </c>
      <c r="U164" s="32">
        <f t="shared" si="24"/>
        <v>2</v>
      </c>
      <c r="V164">
        <v>7</v>
      </c>
      <c r="W164">
        <v>6</v>
      </c>
      <c r="X164" s="32">
        <f t="shared" si="25"/>
        <v>1</v>
      </c>
      <c r="Y164">
        <v>9</v>
      </c>
      <c r="Z164">
        <v>7</v>
      </c>
      <c r="AA164" s="32">
        <f t="shared" si="26"/>
        <v>2</v>
      </c>
    </row>
    <row r="165" spans="1:27" x14ac:dyDescent="0.45">
      <c r="A165">
        <v>7</v>
      </c>
      <c r="B165">
        <v>7</v>
      </c>
      <c r="C165" s="32">
        <f t="shared" si="18"/>
        <v>0</v>
      </c>
      <c r="D165">
        <v>7</v>
      </c>
      <c r="E165">
        <v>7</v>
      </c>
      <c r="F165" s="32">
        <f t="shared" si="19"/>
        <v>0</v>
      </c>
      <c r="G165">
        <v>8</v>
      </c>
      <c r="H165">
        <v>5</v>
      </c>
      <c r="I165" s="32">
        <f t="shared" si="20"/>
        <v>3</v>
      </c>
      <c r="J165">
        <v>9</v>
      </c>
      <c r="K165">
        <v>7</v>
      </c>
      <c r="L165" s="32">
        <f t="shared" si="21"/>
        <v>2</v>
      </c>
      <c r="M165">
        <v>7</v>
      </c>
      <c r="N165">
        <v>6</v>
      </c>
      <c r="O165" s="32">
        <f t="shared" si="22"/>
        <v>1</v>
      </c>
      <c r="P165">
        <v>8</v>
      </c>
      <c r="Q165">
        <v>6</v>
      </c>
      <c r="R165" s="32">
        <f t="shared" si="23"/>
        <v>2</v>
      </c>
      <c r="S165">
        <v>7</v>
      </c>
      <c r="T165">
        <v>5</v>
      </c>
      <c r="U165" s="32">
        <f t="shared" si="24"/>
        <v>2</v>
      </c>
      <c r="V165">
        <v>7</v>
      </c>
      <c r="W165">
        <v>6</v>
      </c>
      <c r="X165" s="32">
        <f t="shared" si="25"/>
        <v>1</v>
      </c>
      <c r="Y165">
        <v>9</v>
      </c>
      <c r="Z165">
        <v>7</v>
      </c>
      <c r="AA165" s="32">
        <f t="shared" si="26"/>
        <v>2</v>
      </c>
    </row>
    <row r="166" spans="1:27" x14ac:dyDescent="0.45">
      <c r="A166">
        <v>7</v>
      </c>
      <c r="B166">
        <v>7</v>
      </c>
      <c r="C166" s="32">
        <f t="shared" si="18"/>
        <v>0</v>
      </c>
      <c r="D166">
        <v>7</v>
      </c>
      <c r="E166">
        <v>7</v>
      </c>
      <c r="F166" s="32">
        <f t="shared" si="19"/>
        <v>0</v>
      </c>
      <c r="G166">
        <v>8</v>
      </c>
      <c r="H166">
        <v>5</v>
      </c>
      <c r="I166" s="32">
        <f t="shared" si="20"/>
        <v>3</v>
      </c>
      <c r="J166">
        <v>9</v>
      </c>
      <c r="K166">
        <v>7</v>
      </c>
      <c r="L166" s="32">
        <f t="shared" si="21"/>
        <v>2</v>
      </c>
      <c r="M166">
        <v>7</v>
      </c>
      <c r="N166">
        <v>6</v>
      </c>
      <c r="O166" s="32">
        <f t="shared" si="22"/>
        <v>1</v>
      </c>
      <c r="P166">
        <v>8</v>
      </c>
      <c r="Q166">
        <v>6</v>
      </c>
      <c r="R166" s="32">
        <f t="shared" si="23"/>
        <v>2</v>
      </c>
      <c r="S166">
        <v>7</v>
      </c>
      <c r="T166">
        <v>5</v>
      </c>
      <c r="U166" s="32">
        <f t="shared" si="24"/>
        <v>2</v>
      </c>
      <c r="V166">
        <v>7</v>
      </c>
      <c r="W166">
        <v>6</v>
      </c>
      <c r="X166" s="32">
        <f t="shared" si="25"/>
        <v>1</v>
      </c>
      <c r="Y166">
        <v>9</v>
      </c>
      <c r="Z166">
        <v>7</v>
      </c>
      <c r="AA166" s="32">
        <f t="shared" si="26"/>
        <v>2</v>
      </c>
    </row>
    <row r="167" spans="1:27" x14ac:dyDescent="0.45">
      <c r="A167">
        <v>7</v>
      </c>
      <c r="B167">
        <v>7</v>
      </c>
      <c r="C167" s="32">
        <f t="shared" si="18"/>
        <v>0</v>
      </c>
      <c r="D167">
        <v>7</v>
      </c>
      <c r="E167">
        <v>7</v>
      </c>
      <c r="F167" s="32">
        <f t="shared" si="19"/>
        <v>0</v>
      </c>
      <c r="G167">
        <v>8</v>
      </c>
      <c r="H167">
        <v>5</v>
      </c>
      <c r="I167" s="32">
        <f t="shared" si="20"/>
        <v>3</v>
      </c>
      <c r="J167">
        <v>9</v>
      </c>
      <c r="K167">
        <v>7</v>
      </c>
      <c r="L167" s="32">
        <f t="shared" si="21"/>
        <v>2</v>
      </c>
      <c r="M167">
        <v>7</v>
      </c>
      <c r="N167">
        <v>6</v>
      </c>
      <c r="O167" s="32">
        <f t="shared" si="22"/>
        <v>1</v>
      </c>
      <c r="P167">
        <v>8</v>
      </c>
      <c r="Q167">
        <v>6</v>
      </c>
      <c r="R167" s="32">
        <f t="shared" si="23"/>
        <v>2</v>
      </c>
      <c r="S167">
        <v>8</v>
      </c>
      <c r="T167">
        <v>5</v>
      </c>
      <c r="U167" s="32">
        <f t="shared" si="24"/>
        <v>3</v>
      </c>
      <c r="V167">
        <v>7</v>
      </c>
      <c r="W167">
        <v>6</v>
      </c>
      <c r="X167" s="32">
        <f t="shared" si="25"/>
        <v>1</v>
      </c>
      <c r="Y167">
        <v>9</v>
      </c>
      <c r="Z167">
        <v>7</v>
      </c>
      <c r="AA167" s="32">
        <f t="shared" si="26"/>
        <v>2</v>
      </c>
    </row>
    <row r="168" spans="1:27" x14ac:dyDescent="0.45">
      <c r="A168">
        <v>7</v>
      </c>
      <c r="B168">
        <v>7</v>
      </c>
      <c r="C168" s="32">
        <f t="shared" si="18"/>
        <v>0</v>
      </c>
      <c r="D168">
        <v>7</v>
      </c>
      <c r="E168">
        <v>7</v>
      </c>
      <c r="F168" s="32">
        <f t="shared" si="19"/>
        <v>0</v>
      </c>
      <c r="G168">
        <v>8</v>
      </c>
      <c r="H168">
        <v>5</v>
      </c>
      <c r="I168" s="32">
        <f t="shared" si="20"/>
        <v>3</v>
      </c>
      <c r="J168">
        <v>9</v>
      </c>
      <c r="K168">
        <v>7</v>
      </c>
      <c r="L168" s="32">
        <f t="shared" si="21"/>
        <v>2</v>
      </c>
      <c r="M168">
        <v>7</v>
      </c>
      <c r="N168">
        <v>6</v>
      </c>
      <c r="O168" s="32">
        <f t="shared" si="22"/>
        <v>1</v>
      </c>
      <c r="P168">
        <v>8</v>
      </c>
      <c r="Q168">
        <v>6</v>
      </c>
      <c r="R168" s="32">
        <f t="shared" si="23"/>
        <v>2</v>
      </c>
      <c r="S168">
        <v>8</v>
      </c>
      <c r="T168">
        <v>5</v>
      </c>
      <c r="U168" s="32">
        <f t="shared" si="24"/>
        <v>3</v>
      </c>
      <c r="V168">
        <v>7</v>
      </c>
      <c r="W168">
        <v>6</v>
      </c>
      <c r="X168" s="32">
        <f t="shared" si="25"/>
        <v>1</v>
      </c>
      <c r="Y168">
        <v>9</v>
      </c>
      <c r="Z168">
        <v>7</v>
      </c>
      <c r="AA168" s="32">
        <f t="shared" si="26"/>
        <v>2</v>
      </c>
    </row>
    <row r="169" spans="1:27" x14ac:dyDescent="0.45">
      <c r="A169">
        <v>7</v>
      </c>
      <c r="B169">
        <v>7</v>
      </c>
      <c r="C169" s="32">
        <f t="shared" si="18"/>
        <v>0</v>
      </c>
      <c r="D169">
        <v>7</v>
      </c>
      <c r="E169">
        <v>7</v>
      </c>
      <c r="F169" s="32">
        <f t="shared" si="19"/>
        <v>0</v>
      </c>
      <c r="G169">
        <v>8</v>
      </c>
      <c r="H169">
        <v>5</v>
      </c>
      <c r="I169" s="32">
        <f t="shared" si="20"/>
        <v>3</v>
      </c>
      <c r="J169">
        <v>9</v>
      </c>
      <c r="K169">
        <v>7</v>
      </c>
      <c r="L169" s="32">
        <f t="shared" si="21"/>
        <v>2</v>
      </c>
      <c r="M169">
        <v>7</v>
      </c>
      <c r="N169">
        <v>6</v>
      </c>
      <c r="O169" s="32">
        <f t="shared" si="22"/>
        <v>1</v>
      </c>
      <c r="P169">
        <v>8</v>
      </c>
      <c r="Q169">
        <v>6</v>
      </c>
      <c r="R169" s="32">
        <f t="shared" si="23"/>
        <v>2</v>
      </c>
      <c r="S169">
        <v>8</v>
      </c>
      <c r="T169">
        <v>5</v>
      </c>
      <c r="U169" s="32">
        <f t="shared" si="24"/>
        <v>3</v>
      </c>
      <c r="V169">
        <v>7</v>
      </c>
      <c r="W169">
        <v>6</v>
      </c>
      <c r="X169" s="32">
        <f t="shared" si="25"/>
        <v>1</v>
      </c>
      <c r="Y169">
        <v>9</v>
      </c>
      <c r="Z169">
        <v>7</v>
      </c>
      <c r="AA169" s="32">
        <f t="shared" si="26"/>
        <v>2</v>
      </c>
    </row>
    <row r="170" spans="1:27" x14ac:dyDescent="0.45">
      <c r="A170">
        <v>7</v>
      </c>
      <c r="B170">
        <v>7</v>
      </c>
      <c r="C170" s="32">
        <f t="shared" si="18"/>
        <v>0</v>
      </c>
      <c r="D170">
        <v>7</v>
      </c>
      <c r="E170">
        <v>7</v>
      </c>
      <c r="F170" s="32">
        <f t="shared" si="19"/>
        <v>0</v>
      </c>
      <c r="G170">
        <v>8</v>
      </c>
      <c r="H170">
        <v>5</v>
      </c>
      <c r="I170" s="32">
        <f t="shared" si="20"/>
        <v>3</v>
      </c>
      <c r="J170">
        <v>9</v>
      </c>
      <c r="K170">
        <v>7</v>
      </c>
      <c r="L170" s="32">
        <f t="shared" si="21"/>
        <v>2</v>
      </c>
      <c r="M170">
        <v>7</v>
      </c>
      <c r="N170">
        <v>6</v>
      </c>
      <c r="O170" s="32">
        <f t="shared" si="22"/>
        <v>1</v>
      </c>
      <c r="P170">
        <v>8</v>
      </c>
      <c r="Q170">
        <v>6</v>
      </c>
      <c r="R170" s="32">
        <f t="shared" si="23"/>
        <v>2</v>
      </c>
      <c r="S170">
        <v>8</v>
      </c>
      <c r="T170">
        <v>5</v>
      </c>
      <c r="U170" s="32">
        <f t="shared" si="24"/>
        <v>3</v>
      </c>
      <c r="V170">
        <v>7</v>
      </c>
      <c r="W170">
        <v>6</v>
      </c>
      <c r="X170" s="32">
        <f t="shared" si="25"/>
        <v>1</v>
      </c>
      <c r="Y170">
        <v>9</v>
      </c>
      <c r="Z170">
        <v>7</v>
      </c>
      <c r="AA170" s="32">
        <f t="shared" si="26"/>
        <v>2</v>
      </c>
    </row>
    <row r="171" spans="1:27" x14ac:dyDescent="0.45">
      <c r="A171">
        <v>7</v>
      </c>
      <c r="B171">
        <v>7</v>
      </c>
      <c r="C171" s="32">
        <f t="shared" si="18"/>
        <v>0</v>
      </c>
      <c r="D171">
        <v>7</v>
      </c>
      <c r="E171">
        <v>7</v>
      </c>
      <c r="F171" s="32">
        <f t="shared" si="19"/>
        <v>0</v>
      </c>
      <c r="G171">
        <v>8</v>
      </c>
      <c r="H171">
        <v>5</v>
      </c>
      <c r="I171" s="32">
        <f t="shared" si="20"/>
        <v>3</v>
      </c>
      <c r="J171">
        <v>9</v>
      </c>
      <c r="K171">
        <v>7</v>
      </c>
      <c r="L171" s="32">
        <f t="shared" si="21"/>
        <v>2</v>
      </c>
      <c r="M171">
        <v>7</v>
      </c>
      <c r="N171">
        <v>6</v>
      </c>
      <c r="O171" s="32">
        <f t="shared" si="22"/>
        <v>1</v>
      </c>
      <c r="P171">
        <v>8</v>
      </c>
      <c r="Q171">
        <v>6</v>
      </c>
      <c r="R171" s="32">
        <f t="shared" si="23"/>
        <v>2</v>
      </c>
      <c r="S171">
        <v>8</v>
      </c>
      <c r="T171">
        <v>5</v>
      </c>
      <c r="U171" s="32">
        <f t="shared" si="24"/>
        <v>3</v>
      </c>
      <c r="V171">
        <v>7</v>
      </c>
      <c r="W171">
        <v>6</v>
      </c>
      <c r="X171" s="32">
        <f t="shared" si="25"/>
        <v>1</v>
      </c>
      <c r="Y171">
        <v>9</v>
      </c>
      <c r="Z171">
        <v>7</v>
      </c>
      <c r="AA171" s="32">
        <f t="shared" si="26"/>
        <v>2</v>
      </c>
    </row>
    <row r="172" spans="1:27" x14ac:dyDescent="0.45">
      <c r="A172">
        <v>7</v>
      </c>
      <c r="B172">
        <v>7</v>
      </c>
      <c r="C172" s="32">
        <f t="shared" si="18"/>
        <v>0</v>
      </c>
      <c r="D172">
        <v>7</v>
      </c>
      <c r="E172">
        <v>7</v>
      </c>
      <c r="F172" s="32">
        <f t="shared" si="19"/>
        <v>0</v>
      </c>
      <c r="G172">
        <v>8</v>
      </c>
      <c r="H172">
        <v>5</v>
      </c>
      <c r="I172" s="32">
        <f t="shared" si="20"/>
        <v>3</v>
      </c>
      <c r="J172">
        <v>9</v>
      </c>
      <c r="K172">
        <v>7</v>
      </c>
      <c r="L172" s="32">
        <f t="shared" si="21"/>
        <v>2</v>
      </c>
      <c r="M172">
        <v>7</v>
      </c>
      <c r="N172">
        <v>6</v>
      </c>
      <c r="O172" s="32">
        <f t="shared" si="22"/>
        <v>1</v>
      </c>
      <c r="P172">
        <v>8</v>
      </c>
      <c r="Q172">
        <v>6</v>
      </c>
      <c r="R172" s="32">
        <f t="shared" si="23"/>
        <v>2</v>
      </c>
      <c r="S172">
        <v>8</v>
      </c>
      <c r="T172">
        <v>5</v>
      </c>
      <c r="U172" s="32">
        <f t="shared" si="24"/>
        <v>3</v>
      </c>
      <c r="V172">
        <v>7</v>
      </c>
      <c r="W172">
        <v>6</v>
      </c>
      <c r="X172" s="32">
        <f t="shared" si="25"/>
        <v>1</v>
      </c>
      <c r="Y172">
        <v>9</v>
      </c>
      <c r="Z172">
        <v>7</v>
      </c>
      <c r="AA172" s="32">
        <f t="shared" si="26"/>
        <v>2</v>
      </c>
    </row>
    <row r="173" spans="1:27" x14ac:dyDescent="0.45">
      <c r="A173">
        <v>7</v>
      </c>
      <c r="B173">
        <v>7</v>
      </c>
      <c r="C173" s="32">
        <f t="shared" si="18"/>
        <v>0</v>
      </c>
      <c r="D173">
        <v>7</v>
      </c>
      <c r="E173">
        <v>7</v>
      </c>
      <c r="F173" s="32">
        <f t="shared" si="19"/>
        <v>0</v>
      </c>
      <c r="G173">
        <v>8</v>
      </c>
      <c r="H173">
        <v>5</v>
      </c>
      <c r="I173" s="32">
        <f t="shared" si="20"/>
        <v>3</v>
      </c>
      <c r="J173">
        <v>9</v>
      </c>
      <c r="K173">
        <v>7</v>
      </c>
      <c r="L173" s="32">
        <f t="shared" si="21"/>
        <v>2</v>
      </c>
      <c r="M173">
        <v>7</v>
      </c>
      <c r="N173">
        <v>6</v>
      </c>
      <c r="O173" s="32">
        <f t="shared" si="22"/>
        <v>1</v>
      </c>
      <c r="P173">
        <v>8</v>
      </c>
      <c r="Q173">
        <v>6</v>
      </c>
      <c r="R173" s="32">
        <f t="shared" si="23"/>
        <v>2</v>
      </c>
      <c r="S173">
        <v>8</v>
      </c>
      <c r="T173">
        <v>5</v>
      </c>
      <c r="U173" s="32">
        <f t="shared" si="24"/>
        <v>3</v>
      </c>
      <c r="V173">
        <v>7</v>
      </c>
      <c r="W173">
        <v>6</v>
      </c>
      <c r="X173" s="32">
        <f t="shared" si="25"/>
        <v>1</v>
      </c>
      <c r="Y173">
        <v>9</v>
      </c>
      <c r="Z173">
        <v>7</v>
      </c>
      <c r="AA173" s="32">
        <f t="shared" si="26"/>
        <v>2</v>
      </c>
    </row>
    <row r="174" spans="1:27" x14ac:dyDescent="0.45">
      <c r="A174">
        <v>7</v>
      </c>
      <c r="B174">
        <v>7</v>
      </c>
      <c r="C174" s="32">
        <f t="shared" si="18"/>
        <v>0</v>
      </c>
      <c r="D174">
        <v>7</v>
      </c>
      <c r="E174">
        <v>7</v>
      </c>
      <c r="F174" s="32">
        <f t="shared" si="19"/>
        <v>0</v>
      </c>
      <c r="G174">
        <v>8</v>
      </c>
      <c r="H174">
        <v>6</v>
      </c>
      <c r="I174" s="32">
        <f t="shared" si="20"/>
        <v>2</v>
      </c>
      <c r="J174">
        <v>9</v>
      </c>
      <c r="K174">
        <v>7</v>
      </c>
      <c r="L174" s="32">
        <f t="shared" si="21"/>
        <v>2</v>
      </c>
      <c r="M174">
        <v>7</v>
      </c>
      <c r="N174">
        <v>6</v>
      </c>
      <c r="O174" s="32">
        <f t="shared" si="22"/>
        <v>1</v>
      </c>
      <c r="P174">
        <v>8</v>
      </c>
      <c r="Q174">
        <v>6</v>
      </c>
      <c r="R174" s="32">
        <f t="shared" si="23"/>
        <v>2</v>
      </c>
      <c r="S174">
        <v>8</v>
      </c>
      <c r="T174">
        <v>5</v>
      </c>
      <c r="U174" s="32">
        <f t="shared" si="24"/>
        <v>3</v>
      </c>
      <c r="V174">
        <v>7</v>
      </c>
      <c r="W174">
        <v>6</v>
      </c>
      <c r="X174" s="32">
        <f t="shared" si="25"/>
        <v>1</v>
      </c>
      <c r="Y174">
        <v>9</v>
      </c>
      <c r="Z174">
        <v>7</v>
      </c>
      <c r="AA174" s="32">
        <f t="shared" si="26"/>
        <v>2</v>
      </c>
    </row>
    <row r="175" spans="1:27" x14ac:dyDescent="0.45">
      <c r="A175">
        <v>7</v>
      </c>
      <c r="B175">
        <v>7</v>
      </c>
      <c r="C175" s="32">
        <f t="shared" si="18"/>
        <v>0</v>
      </c>
      <c r="D175">
        <v>7</v>
      </c>
      <c r="E175">
        <v>7</v>
      </c>
      <c r="F175" s="32">
        <f t="shared" si="19"/>
        <v>0</v>
      </c>
      <c r="G175">
        <v>8</v>
      </c>
      <c r="H175">
        <v>6</v>
      </c>
      <c r="I175" s="32">
        <f t="shared" si="20"/>
        <v>2</v>
      </c>
      <c r="J175">
        <v>9</v>
      </c>
      <c r="K175">
        <v>7</v>
      </c>
      <c r="L175" s="32">
        <f t="shared" si="21"/>
        <v>2</v>
      </c>
      <c r="M175">
        <v>7</v>
      </c>
      <c r="N175">
        <v>6</v>
      </c>
      <c r="O175" s="32">
        <f t="shared" si="22"/>
        <v>1</v>
      </c>
      <c r="P175">
        <v>8</v>
      </c>
      <c r="Q175">
        <v>7</v>
      </c>
      <c r="R175" s="32">
        <f t="shared" si="23"/>
        <v>1</v>
      </c>
      <c r="S175">
        <v>8</v>
      </c>
      <c r="T175">
        <v>5</v>
      </c>
      <c r="U175" s="32">
        <f t="shared" si="24"/>
        <v>3</v>
      </c>
      <c r="V175">
        <v>7</v>
      </c>
      <c r="W175">
        <v>6</v>
      </c>
      <c r="X175" s="32">
        <f t="shared" si="25"/>
        <v>1</v>
      </c>
      <c r="Y175">
        <v>9</v>
      </c>
      <c r="Z175">
        <v>7</v>
      </c>
      <c r="AA175" s="32">
        <f t="shared" si="26"/>
        <v>2</v>
      </c>
    </row>
    <row r="176" spans="1:27" x14ac:dyDescent="0.45">
      <c r="A176">
        <v>7</v>
      </c>
      <c r="B176">
        <v>7</v>
      </c>
      <c r="C176" s="32">
        <f t="shared" si="18"/>
        <v>0</v>
      </c>
      <c r="D176">
        <v>7</v>
      </c>
      <c r="E176">
        <v>7</v>
      </c>
      <c r="F176" s="32">
        <f t="shared" si="19"/>
        <v>0</v>
      </c>
      <c r="G176">
        <v>8</v>
      </c>
      <c r="H176">
        <v>6</v>
      </c>
      <c r="I176" s="32">
        <f t="shared" si="20"/>
        <v>2</v>
      </c>
      <c r="J176">
        <v>9</v>
      </c>
      <c r="K176">
        <v>7</v>
      </c>
      <c r="L176" s="32">
        <f t="shared" si="21"/>
        <v>2</v>
      </c>
      <c r="M176">
        <v>7</v>
      </c>
      <c r="N176">
        <v>6</v>
      </c>
      <c r="O176" s="32">
        <f t="shared" si="22"/>
        <v>1</v>
      </c>
      <c r="P176">
        <v>8</v>
      </c>
      <c r="Q176">
        <v>7</v>
      </c>
      <c r="R176" s="32">
        <f t="shared" si="23"/>
        <v>1</v>
      </c>
      <c r="S176">
        <v>8</v>
      </c>
      <c r="T176">
        <v>5</v>
      </c>
      <c r="U176" s="32">
        <f t="shared" si="24"/>
        <v>3</v>
      </c>
      <c r="V176">
        <v>7</v>
      </c>
      <c r="W176">
        <v>6</v>
      </c>
      <c r="X176" s="32">
        <f t="shared" si="25"/>
        <v>1</v>
      </c>
      <c r="Y176">
        <v>9</v>
      </c>
      <c r="Z176">
        <v>7</v>
      </c>
      <c r="AA176" s="32">
        <f t="shared" si="26"/>
        <v>2</v>
      </c>
    </row>
    <row r="177" spans="1:27" x14ac:dyDescent="0.45">
      <c r="A177">
        <v>7</v>
      </c>
      <c r="B177">
        <v>7</v>
      </c>
      <c r="C177" s="32">
        <f t="shared" si="18"/>
        <v>0</v>
      </c>
      <c r="D177">
        <v>7</v>
      </c>
      <c r="E177">
        <v>7</v>
      </c>
      <c r="F177" s="32">
        <f t="shared" si="19"/>
        <v>0</v>
      </c>
      <c r="G177">
        <v>8</v>
      </c>
      <c r="H177">
        <v>6</v>
      </c>
      <c r="I177" s="32">
        <f t="shared" si="20"/>
        <v>2</v>
      </c>
      <c r="J177">
        <v>9</v>
      </c>
      <c r="K177">
        <v>7</v>
      </c>
      <c r="L177" s="32">
        <f t="shared" si="21"/>
        <v>2</v>
      </c>
      <c r="M177">
        <v>7</v>
      </c>
      <c r="N177">
        <v>6</v>
      </c>
      <c r="O177" s="32">
        <f t="shared" si="22"/>
        <v>1</v>
      </c>
      <c r="P177">
        <v>9</v>
      </c>
      <c r="Q177">
        <v>7</v>
      </c>
      <c r="R177" s="32">
        <f t="shared" si="23"/>
        <v>2</v>
      </c>
      <c r="S177">
        <v>8</v>
      </c>
      <c r="T177">
        <v>5</v>
      </c>
      <c r="U177" s="32">
        <f t="shared" si="24"/>
        <v>3</v>
      </c>
      <c r="V177">
        <v>7</v>
      </c>
      <c r="W177">
        <v>6</v>
      </c>
      <c r="X177" s="32">
        <f t="shared" si="25"/>
        <v>1</v>
      </c>
      <c r="Y177">
        <v>9</v>
      </c>
      <c r="Z177">
        <v>7</v>
      </c>
      <c r="AA177" s="32">
        <f t="shared" si="26"/>
        <v>2</v>
      </c>
    </row>
    <row r="178" spans="1:27" x14ac:dyDescent="0.45">
      <c r="A178">
        <v>7</v>
      </c>
      <c r="B178">
        <v>7</v>
      </c>
      <c r="C178" s="32">
        <f t="shared" si="18"/>
        <v>0</v>
      </c>
      <c r="D178">
        <v>7</v>
      </c>
      <c r="E178">
        <v>7</v>
      </c>
      <c r="F178" s="32">
        <f t="shared" si="19"/>
        <v>0</v>
      </c>
      <c r="G178">
        <v>8</v>
      </c>
      <c r="H178">
        <v>6</v>
      </c>
      <c r="I178" s="32">
        <f t="shared" si="20"/>
        <v>2</v>
      </c>
      <c r="J178">
        <v>9</v>
      </c>
      <c r="K178">
        <v>7</v>
      </c>
      <c r="L178" s="32">
        <f t="shared" si="21"/>
        <v>2</v>
      </c>
      <c r="M178">
        <v>7</v>
      </c>
      <c r="N178">
        <v>6</v>
      </c>
      <c r="O178" s="32">
        <f t="shared" si="22"/>
        <v>1</v>
      </c>
      <c r="P178">
        <v>9</v>
      </c>
      <c r="Q178">
        <v>7</v>
      </c>
      <c r="R178" s="32">
        <f t="shared" si="23"/>
        <v>2</v>
      </c>
      <c r="S178">
        <v>8</v>
      </c>
      <c r="T178">
        <v>5</v>
      </c>
      <c r="U178" s="32">
        <f t="shared" si="24"/>
        <v>3</v>
      </c>
      <c r="V178">
        <v>7</v>
      </c>
      <c r="W178">
        <v>6</v>
      </c>
      <c r="X178" s="32">
        <f t="shared" si="25"/>
        <v>1</v>
      </c>
      <c r="Y178">
        <v>9</v>
      </c>
      <c r="Z178">
        <v>7</v>
      </c>
      <c r="AA178" s="32">
        <f t="shared" si="26"/>
        <v>2</v>
      </c>
    </row>
    <row r="179" spans="1:27" x14ac:dyDescent="0.45">
      <c r="A179">
        <v>7</v>
      </c>
      <c r="B179">
        <v>7</v>
      </c>
      <c r="C179" s="32">
        <f t="shared" si="18"/>
        <v>0</v>
      </c>
      <c r="D179">
        <v>7</v>
      </c>
      <c r="E179">
        <v>7</v>
      </c>
      <c r="F179" s="32">
        <f t="shared" si="19"/>
        <v>0</v>
      </c>
      <c r="G179">
        <v>8</v>
      </c>
      <c r="H179">
        <v>6</v>
      </c>
      <c r="I179" s="32">
        <f t="shared" si="20"/>
        <v>2</v>
      </c>
      <c r="J179">
        <v>9</v>
      </c>
      <c r="K179">
        <v>7</v>
      </c>
      <c r="L179" s="32">
        <f t="shared" si="21"/>
        <v>2</v>
      </c>
      <c r="M179">
        <v>8</v>
      </c>
      <c r="N179">
        <v>6</v>
      </c>
      <c r="O179" s="32">
        <f t="shared" si="22"/>
        <v>2</v>
      </c>
      <c r="P179">
        <v>9</v>
      </c>
      <c r="Q179">
        <v>7</v>
      </c>
      <c r="R179" s="32">
        <f t="shared" si="23"/>
        <v>2</v>
      </c>
      <c r="S179">
        <v>8</v>
      </c>
      <c r="T179">
        <v>5</v>
      </c>
      <c r="U179" s="32">
        <f t="shared" si="24"/>
        <v>3</v>
      </c>
      <c r="V179">
        <v>7</v>
      </c>
      <c r="W179">
        <v>6</v>
      </c>
      <c r="X179" s="32">
        <f t="shared" si="25"/>
        <v>1</v>
      </c>
      <c r="Y179">
        <v>9</v>
      </c>
      <c r="Z179">
        <v>7</v>
      </c>
      <c r="AA179" s="32">
        <f t="shared" si="26"/>
        <v>2</v>
      </c>
    </row>
    <row r="180" spans="1:27" x14ac:dyDescent="0.45">
      <c r="A180">
        <v>7</v>
      </c>
      <c r="B180">
        <v>7</v>
      </c>
      <c r="C180" s="32">
        <f t="shared" si="18"/>
        <v>0</v>
      </c>
      <c r="D180">
        <v>7</v>
      </c>
      <c r="E180">
        <v>7</v>
      </c>
      <c r="F180" s="32">
        <f t="shared" si="19"/>
        <v>0</v>
      </c>
      <c r="G180">
        <v>8</v>
      </c>
      <c r="H180">
        <v>6</v>
      </c>
      <c r="I180" s="32">
        <f t="shared" si="20"/>
        <v>2</v>
      </c>
      <c r="J180">
        <v>9</v>
      </c>
      <c r="K180">
        <v>7</v>
      </c>
      <c r="L180" s="32">
        <f t="shared" si="21"/>
        <v>2</v>
      </c>
      <c r="M180">
        <v>8</v>
      </c>
      <c r="N180">
        <v>6</v>
      </c>
      <c r="O180" s="32">
        <f t="shared" si="22"/>
        <v>2</v>
      </c>
      <c r="P180">
        <v>9</v>
      </c>
      <c r="Q180">
        <v>7</v>
      </c>
      <c r="R180" s="32">
        <f t="shared" si="23"/>
        <v>2</v>
      </c>
      <c r="S180">
        <v>8</v>
      </c>
      <c r="T180">
        <v>5</v>
      </c>
      <c r="U180" s="32">
        <f t="shared" si="24"/>
        <v>3</v>
      </c>
      <c r="V180">
        <v>7</v>
      </c>
      <c r="W180">
        <v>6</v>
      </c>
      <c r="X180" s="32">
        <f t="shared" si="25"/>
        <v>1</v>
      </c>
      <c r="Y180">
        <v>9</v>
      </c>
      <c r="Z180">
        <v>7</v>
      </c>
      <c r="AA180" s="32">
        <f t="shared" si="26"/>
        <v>2</v>
      </c>
    </row>
    <row r="181" spans="1:27" x14ac:dyDescent="0.45">
      <c r="A181">
        <v>7</v>
      </c>
      <c r="B181">
        <v>7</v>
      </c>
      <c r="C181" s="32">
        <f t="shared" si="18"/>
        <v>0</v>
      </c>
      <c r="D181">
        <v>7</v>
      </c>
      <c r="E181">
        <v>7</v>
      </c>
      <c r="F181" s="32">
        <f t="shared" si="19"/>
        <v>0</v>
      </c>
      <c r="G181">
        <v>8</v>
      </c>
      <c r="H181">
        <v>6</v>
      </c>
      <c r="I181" s="32">
        <f t="shared" si="20"/>
        <v>2</v>
      </c>
      <c r="J181">
        <v>9</v>
      </c>
      <c r="K181">
        <v>7</v>
      </c>
      <c r="L181" s="32">
        <f t="shared" si="21"/>
        <v>2</v>
      </c>
      <c r="M181">
        <v>8</v>
      </c>
      <c r="N181">
        <v>6</v>
      </c>
      <c r="O181" s="32">
        <f t="shared" si="22"/>
        <v>2</v>
      </c>
      <c r="P181">
        <v>9</v>
      </c>
      <c r="Q181">
        <v>7</v>
      </c>
      <c r="R181" s="32">
        <f t="shared" si="23"/>
        <v>2</v>
      </c>
      <c r="S181">
        <v>8</v>
      </c>
      <c r="T181">
        <v>5</v>
      </c>
      <c r="U181" s="32">
        <f t="shared" si="24"/>
        <v>3</v>
      </c>
      <c r="V181">
        <v>8</v>
      </c>
      <c r="W181">
        <v>6</v>
      </c>
      <c r="X181" s="32">
        <f t="shared" si="25"/>
        <v>2</v>
      </c>
      <c r="Y181">
        <v>9</v>
      </c>
      <c r="Z181">
        <v>7</v>
      </c>
      <c r="AA181" s="32">
        <f t="shared" si="26"/>
        <v>2</v>
      </c>
    </row>
    <row r="182" spans="1:27" x14ac:dyDescent="0.45">
      <c r="A182">
        <v>7</v>
      </c>
      <c r="B182">
        <v>7</v>
      </c>
      <c r="C182" s="32">
        <f t="shared" si="18"/>
        <v>0</v>
      </c>
      <c r="D182">
        <v>7</v>
      </c>
      <c r="E182">
        <v>7</v>
      </c>
      <c r="F182" s="32">
        <f t="shared" si="19"/>
        <v>0</v>
      </c>
      <c r="G182">
        <v>8</v>
      </c>
      <c r="H182">
        <v>6</v>
      </c>
      <c r="I182" s="32">
        <f t="shared" si="20"/>
        <v>2</v>
      </c>
      <c r="J182">
        <v>9</v>
      </c>
      <c r="K182">
        <v>7</v>
      </c>
      <c r="L182" s="32">
        <f t="shared" si="21"/>
        <v>2</v>
      </c>
      <c r="M182">
        <v>8</v>
      </c>
      <c r="N182">
        <v>6</v>
      </c>
      <c r="O182" s="32">
        <f t="shared" si="22"/>
        <v>2</v>
      </c>
      <c r="P182">
        <v>9</v>
      </c>
      <c r="Q182">
        <v>7</v>
      </c>
      <c r="R182" s="32">
        <f t="shared" si="23"/>
        <v>2</v>
      </c>
      <c r="S182">
        <v>8</v>
      </c>
      <c r="T182">
        <v>5</v>
      </c>
      <c r="U182" s="32">
        <f t="shared" si="24"/>
        <v>3</v>
      </c>
      <c r="V182">
        <v>8</v>
      </c>
      <c r="W182">
        <v>6</v>
      </c>
      <c r="X182" s="32">
        <f t="shared" si="25"/>
        <v>2</v>
      </c>
      <c r="Y182">
        <v>9</v>
      </c>
      <c r="Z182">
        <v>7</v>
      </c>
      <c r="AA182" s="32">
        <f t="shared" si="26"/>
        <v>2</v>
      </c>
    </row>
    <row r="183" spans="1:27" x14ac:dyDescent="0.45">
      <c r="A183">
        <v>7</v>
      </c>
      <c r="B183">
        <v>7</v>
      </c>
      <c r="C183" s="32">
        <f t="shared" si="18"/>
        <v>0</v>
      </c>
      <c r="D183">
        <v>7</v>
      </c>
      <c r="E183">
        <v>7</v>
      </c>
      <c r="F183" s="32">
        <f t="shared" si="19"/>
        <v>0</v>
      </c>
      <c r="G183">
        <v>8</v>
      </c>
      <c r="H183">
        <v>6</v>
      </c>
      <c r="I183" s="32">
        <f t="shared" si="20"/>
        <v>2</v>
      </c>
      <c r="J183">
        <v>9</v>
      </c>
      <c r="K183">
        <v>7</v>
      </c>
      <c r="L183" s="32">
        <f t="shared" si="21"/>
        <v>2</v>
      </c>
      <c r="M183">
        <v>8</v>
      </c>
      <c r="N183">
        <v>6</v>
      </c>
      <c r="O183" s="32">
        <f t="shared" si="22"/>
        <v>2</v>
      </c>
      <c r="P183">
        <v>9</v>
      </c>
      <c r="Q183">
        <v>7</v>
      </c>
      <c r="R183" s="32">
        <f t="shared" si="23"/>
        <v>2</v>
      </c>
      <c r="S183">
        <v>8</v>
      </c>
      <c r="T183">
        <v>5</v>
      </c>
      <c r="U183" s="32">
        <f t="shared" si="24"/>
        <v>3</v>
      </c>
      <c r="V183">
        <v>8</v>
      </c>
      <c r="W183">
        <v>6</v>
      </c>
      <c r="X183" s="32">
        <f t="shared" si="25"/>
        <v>2</v>
      </c>
      <c r="Y183">
        <v>9</v>
      </c>
      <c r="Z183">
        <v>7</v>
      </c>
      <c r="AA183" s="32">
        <f t="shared" si="26"/>
        <v>2</v>
      </c>
    </row>
    <row r="184" spans="1:27" x14ac:dyDescent="0.45">
      <c r="A184">
        <v>7</v>
      </c>
      <c r="B184">
        <v>7</v>
      </c>
      <c r="C184" s="32">
        <f t="shared" si="18"/>
        <v>0</v>
      </c>
      <c r="D184">
        <v>7</v>
      </c>
      <c r="E184">
        <v>7</v>
      </c>
      <c r="F184" s="32">
        <f t="shared" si="19"/>
        <v>0</v>
      </c>
      <c r="G184">
        <v>8</v>
      </c>
      <c r="H184">
        <v>6</v>
      </c>
      <c r="I184" s="32">
        <f t="shared" si="20"/>
        <v>2</v>
      </c>
      <c r="J184">
        <v>9</v>
      </c>
      <c r="K184">
        <v>7</v>
      </c>
      <c r="L184" s="32">
        <f t="shared" si="21"/>
        <v>2</v>
      </c>
      <c r="M184">
        <v>8</v>
      </c>
      <c r="N184">
        <v>6</v>
      </c>
      <c r="O184" s="32">
        <f t="shared" si="22"/>
        <v>2</v>
      </c>
      <c r="P184">
        <v>9</v>
      </c>
      <c r="Q184">
        <v>7</v>
      </c>
      <c r="R184" s="32">
        <f t="shared" si="23"/>
        <v>2</v>
      </c>
      <c r="S184">
        <v>8</v>
      </c>
      <c r="T184">
        <v>5</v>
      </c>
      <c r="U184" s="32">
        <f t="shared" si="24"/>
        <v>3</v>
      </c>
      <c r="V184">
        <v>8</v>
      </c>
      <c r="W184">
        <v>6</v>
      </c>
      <c r="X184" s="32">
        <f t="shared" si="25"/>
        <v>2</v>
      </c>
      <c r="Y184">
        <v>9</v>
      </c>
      <c r="Z184">
        <v>7</v>
      </c>
      <c r="AA184" s="32">
        <f t="shared" si="26"/>
        <v>2</v>
      </c>
    </row>
    <row r="185" spans="1:27" x14ac:dyDescent="0.45">
      <c r="A185">
        <v>7</v>
      </c>
      <c r="B185">
        <v>7</v>
      </c>
      <c r="C185" s="32">
        <f t="shared" si="18"/>
        <v>0</v>
      </c>
      <c r="D185">
        <v>7</v>
      </c>
      <c r="E185">
        <v>7</v>
      </c>
      <c r="F185" s="32">
        <f t="shared" si="19"/>
        <v>0</v>
      </c>
      <c r="G185">
        <v>8</v>
      </c>
      <c r="H185">
        <v>6</v>
      </c>
      <c r="I185" s="32">
        <f t="shared" si="20"/>
        <v>2</v>
      </c>
      <c r="J185">
        <v>9</v>
      </c>
      <c r="K185">
        <v>7</v>
      </c>
      <c r="L185" s="32">
        <f t="shared" si="21"/>
        <v>2</v>
      </c>
      <c r="M185">
        <v>8</v>
      </c>
      <c r="N185">
        <v>6</v>
      </c>
      <c r="O185" s="32">
        <f t="shared" si="22"/>
        <v>2</v>
      </c>
      <c r="P185">
        <v>9</v>
      </c>
      <c r="Q185">
        <v>7</v>
      </c>
      <c r="R185" s="32">
        <f t="shared" si="23"/>
        <v>2</v>
      </c>
      <c r="S185">
        <v>8</v>
      </c>
      <c r="T185">
        <v>5</v>
      </c>
      <c r="U185" s="32">
        <f t="shared" si="24"/>
        <v>3</v>
      </c>
      <c r="V185">
        <v>8</v>
      </c>
      <c r="W185">
        <v>6</v>
      </c>
      <c r="X185" s="32">
        <f t="shared" si="25"/>
        <v>2</v>
      </c>
      <c r="Y185">
        <v>9</v>
      </c>
      <c r="Z185">
        <v>7</v>
      </c>
      <c r="AA185" s="32">
        <f t="shared" si="26"/>
        <v>2</v>
      </c>
    </row>
    <row r="186" spans="1:27" x14ac:dyDescent="0.45">
      <c r="A186">
        <v>7</v>
      </c>
      <c r="B186">
        <v>7</v>
      </c>
      <c r="C186" s="32">
        <f t="shared" si="18"/>
        <v>0</v>
      </c>
      <c r="D186">
        <v>7</v>
      </c>
      <c r="E186">
        <v>7</v>
      </c>
      <c r="F186" s="32">
        <f t="shared" si="19"/>
        <v>0</v>
      </c>
      <c r="G186">
        <v>8</v>
      </c>
      <c r="H186">
        <v>6</v>
      </c>
      <c r="I186" s="32">
        <f t="shared" si="20"/>
        <v>2</v>
      </c>
      <c r="J186">
        <v>9</v>
      </c>
      <c r="K186">
        <v>7</v>
      </c>
      <c r="L186" s="32">
        <f t="shared" si="21"/>
        <v>2</v>
      </c>
      <c r="M186">
        <v>8</v>
      </c>
      <c r="N186">
        <v>6</v>
      </c>
      <c r="O186" s="32">
        <f t="shared" si="22"/>
        <v>2</v>
      </c>
      <c r="P186">
        <v>9</v>
      </c>
      <c r="Q186">
        <v>7</v>
      </c>
      <c r="R186" s="32">
        <f t="shared" si="23"/>
        <v>2</v>
      </c>
      <c r="S186">
        <v>8</v>
      </c>
      <c r="T186">
        <v>5</v>
      </c>
      <c r="U186" s="32">
        <f t="shared" si="24"/>
        <v>3</v>
      </c>
      <c r="V186">
        <v>8</v>
      </c>
      <c r="W186">
        <v>6</v>
      </c>
      <c r="X186" s="32">
        <f t="shared" si="25"/>
        <v>2</v>
      </c>
      <c r="Y186">
        <v>9</v>
      </c>
      <c r="Z186">
        <v>7</v>
      </c>
      <c r="AA186" s="32">
        <f t="shared" si="26"/>
        <v>2</v>
      </c>
    </row>
    <row r="187" spans="1:27" x14ac:dyDescent="0.45">
      <c r="A187">
        <v>7</v>
      </c>
      <c r="B187">
        <v>7</v>
      </c>
      <c r="C187" s="32">
        <f t="shared" si="18"/>
        <v>0</v>
      </c>
      <c r="D187">
        <v>7</v>
      </c>
      <c r="E187">
        <v>7</v>
      </c>
      <c r="F187" s="32">
        <f t="shared" si="19"/>
        <v>0</v>
      </c>
      <c r="G187">
        <v>8</v>
      </c>
      <c r="H187">
        <v>6</v>
      </c>
      <c r="I187" s="32">
        <f t="shared" si="20"/>
        <v>2</v>
      </c>
      <c r="J187">
        <v>9</v>
      </c>
      <c r="K187">
        <v>7</v>
      </c>
      <c r="L187" s="32">
        <f t="shared" si="21"/>
        <v>2</v>
      </c>
      <c r="M187">
        <v>8</v>
      </c>
      <c r="N187">
        <v>6</v>
      </c>
      <c r="O187" s="32">
        <f t="shared" si="22"/>
        <v>2</v>
      </c>
      <c r="P187">
        <v>9</v>
      </c>
      <c r="Q187">
        <v>7</v>
      </c>
      <c r="R187" s="32">
        <f t="shared" si="23"/>
        <v>2</v>
      </c>
      <c r="S187">
        <v>8</v>
      </c>
      <c r="T187">
        <v>5</v>
      </c>
      <c r="U187" s="32">
        <f t="shared" si="24"/>
        <v>3</v>
      </c>
      <c r="V187">
        <v>8</v>
      </c>
      <c r="W187">
        <v>6</v>
      </c>
      <c r="X187" s="32">
        <f t="shared" si="25"/>
        <v>2</v>
      </c>
      <c r="Y187">
        <v>9</v>
      </c>
      <c r="Z187">
        <v>7</v>
      </c>
      <c r="AA187" s="32">
        <f t="shared" si="26"/>
        <v>2</v>
      </c>
    </row>
    <row r="188" spans="1:27" x14ac:dyDescent="0.45">
      <c r="A188">
        <v>7</v>
      </c>
      <c r="B188">
        <v>7</v>
      </c>
      <c r="C188" s="32">
        <f t="shared" si="18"/>
        <v>0</v>
      </c>
      <c r="D188">
        <v>7</v>
      </c>
      <c r="E188">
        <v>7</v>
      </c>
      <c r="F188" s="32">
        <f t="shared" si="19"/>
        <v>0</v>
      </c>
      <c r="G188">
        <v>8</v>
      </c>
      <c r="H188">
        <v>6</v>
      </c>
      <c r="I188" s="32">
        <f t="shared" si="20"/>
        <v>2</v>
      </c>
      <c r="J188">
        <v>9</v>
      </c>
      <c r="K188">
        <v>7</v>
      </c>
      <c r="L188" s="32">
        <f t="shared" si="21"/>
        <v>2</v>
      </c>
      <c r="M188">
        <v>8</v>
      </c>
      <c r="N188">
        <v>6</v>
      </c>
      <c r="O188" s="32">
        <f t="shared" si="22"/>
        <v>2</v>
      </c>
      <c r="P188">
        <v>9</v>
      </c>
      <c r="Q188">
        <v>7</v>
      </c>
      <c r="R188" s="32">
        <f t="shared" si="23"/>
        <v>2</v>
      </c>
      <c r="S188">
        <v>8</v>
      </c>
      <c r="T188">
        <v>6</v>
      </c>
      <c r="U188" s="32">
        <f t="shared" si="24"/>
        <v>2</v>
      </c>
      <c r="V188">
        <v>8</v>
      </c>
      <c r="W188">
        <v>6</v>
      </c>
      <c r="X188" s="32">
        <f t="shared" si="25"/>
        <v>2</v>
      </c>
      <c r="Y188">
        <v>9</v>
      </c>
      <c r="Z188">
        <v>7</v>
      </c>
      <c r="AA188" s="32">
        <f t="shared" si="26"/>
        <v>2</v>
      </c>
    </row>
    <row r="189" spans="1:27" x14ac:dyDescent="0.45">
      <c r="A189">
        <v>7</v>
      </c>
      <c r="B189">
        <v>7</v>
      </c>
      <c r="C189" s="32">
        <f t="shared" si="18"/>
        <v>0</v>
      </c>
      <c r="D189">
        <v>7</v>
      </c>
      <c r="E189">
        <v>7</v>
      </c>
      <c r="F189" s="32">
        <f t="shared" si="19"/>
        <v>0</v>
      </c>
      <c r="G189">
        <v>8</v>
      </c>
      <c r="H189">
        <v>6</v>
      </c>
      <c r="I189" s="32">
        <f t="shared" si="20"/>
        <v>2</v>
      </c>
      <c r="J189">
        <v>9</v>
      </c>
      <c r="K189">
        <v>7</v>
      </c>
      <c r="L189" s="32">
        <f t="shared" si="21"/>
        <v>2</v>
      </c>
      <c r="M189">
        <v>8</v>
      </c>
      <c r="N189">
        <v>6</v>
      </c>
      <c r="O189" s="32">
        <f t="shared" si="22"/>
        <v>2</v>
      </c>
      <c r="P189">
        <v>9</v>
      </c>
      <c r="Q189">
        <v>7</v>
      </c>
      <c r="R189" s="32">
        <f t="shared" si="23"/>
        <v>2</v>
      </c>
      <c r="S189">
        <v>8</v>
      </c>
      <c r="T189">
        <v>6</v>
      </c>
      <c r="U189" s="32">
        <f t="shared" si="24"/>
        <v>2</v>
      </c>
      <c r="V189">
        <v>8</v>
      </c>
      <c r="W189">
        <v>6</v>
      </c>
      <c r="X189" s="32">
        <f t="shared" si="25"/>
        <v>2</v>
      </c>
      <c r="Y189">
        <v>9</v>
      </c>
      <c r="Z189">
        <v>7</v>
      </c>
      <c r="AA189" s="32">
        <f t="shared" si="26"/>
        <v>2</v>
      </c>
    </row>
    <row r="190" spans="1:27" x14ac:dyDescent="0.45">
      <c r="A190">
        <v>7</v>
      </c>
      <c r="B190">
        <v>7</v>
      </c>
      <c r="C190" s="32">
        <f t="shared" si="18"/>
        <v>0</v>
      </c>
      <c r="D190">
        <v>7</v>
      </c>
      <c r="E190">
        <v>7</v>
      </c>
      <c r="F190" s="32">
        <f t="shared" si="19"/>
        <v>0</v>
      </c>
      <c r="G190">
        <v>8</v>
      </c>
      <c r="H190">
        <v>6</v>
      </c>
      <c r="I190" s="32">
        <f t="shared" si="20"/>
        <v>2</v>
      </c>
      <c r="J190">
        <v>9</v>
      </c>
      <c r="K190">
        <v>7</v>
      </c>
      <c r="L190" s="32">
        <f t="shared" si="21"/>
        <v>2</v>
      </c>
      <c r="M190">
        <v>8</v>
      </c>
      <c r="N190">
        <v>6</v>
      </c>
      <c r="O190" s="32">
        <f t="shared" si="22"/>
        <v>2</v>
      </c>
      <c r="P190">
        <v>9</v>
      </c>
      <c r="Q190">
        <v>7</v>
      </c>
      <c r="R190" s="32">
        <f t="shared" si="23"/>
        <v>2</v>
      </c>
      <c r="S190">
        <v>8</v>
      </c>
      <c r="T190">
        <v>6</v>
      </c>
      <c r="U190" s="32">
        <f t="shared" si="24"/>
        <v>2</v>
      </c>
      <c r="V190">
        <v>8</v>
      </c>
      <c r="W190">
        <v>6</v>
      </c>
      <c r="X190" s="32">
        <f t="shared" si="25"/>
        <v>2</v>
      </c>
      <c r="Y190">
        <v>9</v>
      </c>
      <c r="Z190">
        <v>7</v>
      </c>
      <c r="AA190" s="32">
        <f t="shared" si="26"/>
        <v>2</v>
      </c>
    </row>
    <row r="191" spans="1:27" x14ac:dyDescent="0.45">
      <c r="A191">
        <v>7</v>
      </c>
      <c r="B191">
        <v>7</v>
      </c>
      <c r="C191" s="32">
        <f t="shared" si="18"/>
        <v>0</v>
      </c>
      <c r="D191">
        <v>7</v>
      </c>
      <c r="E191">
        <v>7</v>
      </c>
      <c r="F191" s="32">
        <f t="shared" si="19"/>
        <v>0</v>
      </c>
      <c r="G191">
        <v>8</v>
      </c>
      <c r="H191">
        <v>6</v>
      </c>
      <c r="I191" s="32">
        <f t="shared" si="20"/>
        <v>2</v>
      </c>
      <c r="J191">
        <v>9</v>
      </c>
      <c r="K191">
        <v>7</v>
      </c>
      <c r="L191" s="32">
        <f t="shared" si="21"/>
        <v>2</v>
      </c>
      <c r="M191">
        <v>8</v>
      </c>
      <c r="N191">
        <v>6</v>
      </c>
      <c r="O191" s="32">
        <f t="shared" si="22"/>
        <v>2</v>
      </c>
      <c r="P191">
        <v>9</v>
      </c>
      <c r="Q191">
        <v>7</v>
      </c>
      <c r="R191" s="32">
        <f t="shared" si="23"/>
        <v>2</v>
      </c>
      <c r="S191">
        <v>8</v>
      </c>
      <c r="T191">
        <v>6</v>
      </c>
      <c r="U191" s="32">
        <f t="shared" si="24"/>
        <v>2</v>
      </c>
      <c r="V191">
        <v>8</v>
      </c>
      <c r="W191">
        <v>6</v>
      </c>
      <c r="X191" s="32">
        <f t="shared" si="25"/>
        <v>2</v>
      </c>
      <c r="Y191">
        <v>9</v>
      </c>
      <c r="Z191">
        <v>7</v>
      </c>
      <c r="AA191" s="32">
        <f t="shared" si="26"/>
        <v>2</v>
      </c>
    </row>
    <row r="192" spans="1:27" x14ac:dyDescent="0.45">
      <c r="A192">
        <v>7</v>
      </c>
      <c r="B192">
        <v>7</v>
      </c>
      <c r="C192" s="32">
        <f t="shared" si="18"/>
        <v>0</v>
      </c>
      <c r="D192">
        <v>7</v>
      </c>
      <c r="E192">
        <v>7</v>
      </c>
      <c r="F192" s="32">
        <f t="shared" si="19"/>
        <v>0</v>
      </c>
      <c r="G192">
        <v>8</v>
      </c>
      <c r="H192">
        <v>6</v>
      </c>
      <c r="I192" s="32">
        <f t="shared" si="20"/>
        <v>2</v>
      </c>
      <c r="J192">
        <v>9</v>
      </c>
      <c r="K192">
        <v>7</v>
      </c>
      <c r="L192" s="32">
        <f t="shared" si="21"/>
        <v>2</v>
      </c>
      <c r="M192">
        <v>8</v>
      </c>
      <c r="N192">
        <v>6</v>
      </c>
      <c r="O192" s="32">
        <f t="shared" si="22"/>
        <v>2</v>
      </c>
      <c r="P192">
        <v>9</v>
      </c>
      <c r="Q192">
        <v>7</v>
      </c>
      <c r="R192" s="32">
        <f t="shared" si="23"/>
        <v>2</v>
      </c>
      <c r="S192">
        <v>8</v>
      </c>
      <c r="T192">
        <v>6</v>
      </c>
      <c r="U192" s="32">
        <f t="shared" si="24"/>
        <v>2</v>
      </c>
      <c r="V192">
        <v>8</v>
      </c>
      <c r="W192">
        <v>6</v>
      </c>
      <c r="X192" s="32">
        <f t="shared" si="25"/>
        <v>2</v>
      </c>
      <c r="Y192">
        <v>9</v>
      </c>
      <c r="Z192">
        <v>7</v>
      </c>
      <c r="AA192" s="32">
        <f t="shared" si="26"/>
        <v>2</v>
      </c>
    </row>
    <row r="193" spans="1:27" x14ac:dyDescent="0.45">
      <c r="A193">
        <v>7</v>
      </c>
      <c r="B193">
        <v>7</v>
      </c>
      <c r="C193" s="32">
        <f t="shared" si="18"/>
        <v>0</v>
      </c>
      <c r="D193">
        <v>7</v>
      </c>
      <c r="E193">
        <v>7</v>
      </c>
      <c r="F193" s="32">
        <f t="shared" si="19"/>
        <v>0</v>
      </c>
      <c r="G193">
        <v>8</v>
      </c>
      <c r="H193">
        <v>6</v>
      </c>
      <c r="I193" s="32">
        <f t="shared" si="20"/>
        <v>2</v>
      </c>
      <c r="J193">
        <v>9</v>
      </c>
      <c r="K193">
        <v>7</v>
      </c>
      <c r="L193" s="32">
        <f t="shared" si="21"/>
        <v>2</v>
      </c>
      <c r="M193">
        <v>8</v>
      </c>
      <c r="N193">
        <v>6</v>
      </c>
      <c r="O193" s="32">
        <f t="shared" si="22"/>
        <v>2</v>
      </c>
      <c r="P193">
        <v>9</v>
      </c>
      <c r="Q193">
        <v>7</v>
      </c>
      <c r="R193" s="32">
        <f t="shared" si="23"/>
        <v>2</v>
      </c>
      <c r="S193">
        <v>8</v>
      </c>
      <c r="T193">
        <v>6</v>
      </c>
      <c r="U193" s="32">
        <f t="shared" si="24"/>
        <v>2</v>
      </c>
      <c r="V193">
        <v>8</v>
      </c>
      <c r="W193">
        <v>6</v>
      </c>
      <c r="X193" s="32">
        <f t="shared" si="25"/>
        <v>2</v>
      </c>
      <c r="Y193">
        <v>9</v>
      </c>
      <c r="Z193">
        <v>7</v>
      </c>
      <c r="AA193" s="32">
        <f t="shared" si="26"/>
        <v>2</v>
      </c>
    </row>
    <row r="194" spans="1:27" x14ac:dyDescent="0.45">
      <c r="A194">
        <v>7</v>
      </c>
      <c r="B194">
        <v>7</v>
      </c>
      <c r="C194" s="32">
        <f t="shared" si="18"/>
        <v>0</v>
      </c>
      <c r="D194">
        <v>7</v>
      </c>
      <c r="E194">
        <v>7</v>
      </c>
      <c r="F194" s="32">
        <f t="shared" si="19"/>
        <v>0</v>
      </c>
      <c r="G194">
        <v>8</v>
      </c>
      <c r="H194">
        <v>6</v>
      </c>
      <c r="I194" s="32">
        <f t="shared" si="20"/>
        <v>2</v>
      </c>
      <c r="J194">
        <v>9</v>
      </c>
      <c r="K194">
        <v>7</v>
      </c>
      <c r="L194" s="32">
        <f t="shared" si="21"/>
        <v>2</v>
      </c>
      <c r="M194">
        <v>8</v>
      </c>
      <c r="N194">
        <v>6</v>
      </c>
      <c r="O194" s="32">
        <f t="shared" si="22"/>
        <v>2</v>
      </c>
      <c r="P194">
        <v>9</v>
      </c>
      <c r="Q194">
        <v>7</v>
      </c>
      <c r="R194" s="32">
        <f t="shared" si="23"/>
        <v>2</v>
      </c>
      <c r="S194">
        <v>8</v>
      </c>
      <c r="T194">
        <v>6</v>
      </c>
      <c r="U194" s="32">
        <f t="shared" si="24"/>
        <v>2</v>
      </c>
      <c r="V194">
        <v>8</v>
      </c>
      <c r="W194">
        <v>6</v>
      </c>
      <c r="X194" s="32">
        <f t="shared" si="25"/>
        <v>2</v>
      </c>
      <c r="Y194">
        <v>9</v>
      </c>
      <c r="Z194">
        <v>7</v>
      </c>
      <c r="AA194" s="32">
        <f t="shared" si="26"/>
        <v>2</v>
      </c>
    </row>
    <row r="195" spans="1:27" x14ac:dyDescent="0.45">
      <c r="A195">
        <v>7</v>
      </c>
      <c r="B195">
        <v>7</v>
      </c>
      <c r="C195" s="32">
        <f t="shared" ref="C195:C258" si="27">ABS(B195-A195)</f>
        <v>0</v>
      </c>
      <c r="D195">
        <v>7</v>
      </c>
      <c r="E195">
        <v>7</v>
      </c>
      <c r="F195" s="32">
        <f t="shared" ref="F195:F258" si="28">ABS(E195-D195)</f>
        <v>0</v>
      </c>
      <c r="G195">
        <v>8</v>
      </c>
      <c r="H195">
        <v>6</v>
      </c>
      <c r="I195" s="32">
        <f t="shared" ref="I195:I258" si="29">ABS(H195-G195)</f>
        <v>2</v>
      </c>
      <c r="J195">
        <v>9</v>
      </c>
      <c r="K195">
        <v>7</v>
      </c>
      <c r="L195" s="32">
        <f t="shared" ref="L195:L258" si="30">ABS(K195-J195)</f>
        <v>2</v>
      </c>
      <c r="M195">
        <v>8</v>
      </c>
      <c r="N195">
        <v>6</v>
      </c>
      <c r="O195" s="32">
        <f t="shared" ref="O195:O258" si="31">ABS(N195-M195)</f>
        <v>2</v>
      </c>
      <c r="P195">
        <v>9</v>
      </c>
      <c r="Q195">
        <v>7</v>
      </c>
      <c r="R195" s="32">
        <f t="shared" ref="R195:R258" si="32">ABS(Q195-P195)</f>
        <v>2</v>
      </c>
      <c r="S195">
        <v>8</v>
      </c>
      <c r="T195">
        <v>6</v>
      </c>
      <c r="U195" s="32">
        <f t="shared" ref="U195:U258" si="33">ABS(T195-S195)</f>
        <v>2</v>
      </c>
      <c r="V195">
        <v>8</v>
      </c>
      <c r="W195">
        <v>6</v>
      </c>
      <c r="X195" s="32">
        <f t="shared" ref="X195:X258" si="34">ABS(W195-V195)</f>
        <v>2</v>
      </c>
      <c r="Y195">
        <v>9</v>
      </c>
      <c r="Z195">
        <v>7</v>
      </c>
      <c r="AA195" s="32">
        <f t="shared" ref="AA195:AA258" si="35">ABS(Z195-Y195)</f>
        <v>2</v>
      </c>
    </row>
    <row r="196" spans="1:27" x14ac:dyDescent="0.45">
      <c r="A196">
        <v>7</v>
      </c>
      <c r="B196">
        <v>7</v>
      </c>
      <c r="C196" s="32">
        <f t="shared" si="27"/>
        <v>0</v>
      </c>
      <c r="D196">
        <v>7</v>
      </c>
      <c r="E196">
        <v>7</v>
      </c>
      <c r="F196" s="32">
        <f t="shared" si="28"/>
        <v>0</v>
      </c>
      <c r="G196">
        <v>8</v>
      </c>
      <c r="H196">
        <v>6</v>
      </c>
      <c r="I196" s="32">
        <f t="shared" si="29"/>
        <v>2</v>
      </c>
      <c r="J196">
        <v>9</v>
      </c>
      <c r="K196">
        <v>7</v>
      </c>
      <c r="L196" s="32">
        <f t="shared" si="30"/>
        <v>2</v>
      </c>
      <c r="M196">
        <v>8</v>
      </c>
      <c r="N196">
        <v>6</v>
      </c>
      <c r="O196" s="32">
        <f t="shared" si="31"/>
        <v>2</v>
      </c>
      <c r="P196">
        <v>9</v>
      </c>
      <c r="Q196">
        <v>7</v>
      </c>
      <c r="R196" s="32">
        <f t="shared" si="32"/>
        <v>2</v>
      </c>
      <c r="S196">
        <v>8</v>
      </c>
      <c r="T196">
        <v>6</v>
      </c>
      <c r="U196" s="32">
        <f t="shared" si="33"/>
        <v>2</v>
      </c>
      <c r="V196">
        <v>8</v>
      </c>
      <c r="W196">
        <v>6</v>
      </c>
      <c r="X196" s="32">
        <f t="shared" si="34"/>
        <v>2</v>
      </c>
      <c r="Y196">
        <v>9</v>
      </c>
      <c r="Z196">
        <v>7</v>
      </c>
      <c r="AA196" s="32">
        <f t="shared" si="35"/>
        <v>2</v>
      </c>
    </row>
    <row r="197" spans="1:27" x14ac:dyDescent="0.45">
      <c r="A197">
        <v>7</v>
      </c>
      <c r="B197">
        <v>7</v>
      </c>
      <c r="C197" s="32">
        <f t="shared" si="27"/>
        <v>0</v>
      </c>
      <c r="D197">
        <v>7</v>
      </c>
      <c r="E197">
        <v>7</v>
      </c>
      <c r="F197" s="32">
        <f t="shared" si="28"/>
        <v>0</v>
      </c>
      <c r="G197">
        <v>8</v>
      </c>
      <c r="H197">
        <v>6</v>
      </c>
      <c r="I197" s="32">
        <f t="shared" si="29"/>
        <v>2</v>
      </c>
      <c r="J197">
        <v>9</v>
      </c>
      <c r="K197">
        <v>7</v>
      </c>
      <c r="L197" s="32">
        <f t="shared" si="30"/>
        <v>2</v>
      </c>
      <c r="M197">
        <v>8</v>
      </c>
      <c r="N197">
        <v>6</v>
      </c>
      <c r="O197" s="32">
        <f t="shared" si="31"/>
        <v>2</v>
      </c>
      <c r="P197">
        <v>9</v>
      </c>
      <c r="Q197">
        <v>7</v>
      </c>
      <c r="R197" s="32">
        <f t="shared" si="32"/>
        <v>2</v>
      </c>
      <c r="S197">
        <v>8</v>
      </c>
      <c r="T197">
        <v>6</v>
      </c>
      <c r="U197" s="32">
        <f t="shared" si="33"/>
        <v>2</v>
      </c>
      <c r="V197">
        <v>8</v>
      </c>
      <c r="W197">
        <v>6</v>
      </c>
      <c r="X197" s="32">
        <f t="shared" si="34"/>
        <v>2</v>
      </c>
      <c r="Y197">
        <v>9</v>
      </c>
      <c r="Z197">
        <v>7</v>
      </c>
      <c r="AA197" s="32">
        <f t="shared" si="35"/>
        <v>2</v>
      </c>
    </row>
    <row r="198" spans="1:27" x14ac:dyDescent="0.45">
      <c r="A198">
        <v>7</v>
      </c>
      <c r="B198">
        <v>7</v>
      </c>
      <c r="C198" s="32">
        <f t="shared" si="27"/>
        <v>0</v>
      </c>
      <c r="D198">
        <v>7</v>
      </c>
      <c r="E198">
        <v>7</v>
      </c>
      <c r="F198" s="32">
        <f t="shared" si="28"/>
        <v>0</v>
      </c>
      <c r="G198">
        <v>8</v>
      </c>
      <c r="H198">
        <v>6</v>
      </c>
      <c r="I198" s="32">
        <f t="shared" si="29"/>
        <v>2</v>
      </c>
      <c r="J198">
        <v>9</v>
      </c>
      <c r="K198">
        <v>7</v>
      </c>
      <c r="L198" s="32">
        <f t="shared" si="30"/>
        <v>2</v>
      </c>
      <c r="M198">
        <v>8</v>
      </c>
      <c r="N198">
        <v>6</v>
      </c>
      <c r="O198" s="32">
        <f t="shared" si="31"/>
        <v>2</v>
      </c>
      <c r="P198">
        <v>9</v>
      </c>
      <c r="Q198">
        <v>7</v>
      </c>
      <c r="R198" s="32">
        <f t="shared" si="32"/>
        <v>2</v>
      </c>
      <c r="S198">
        <v>8</v>
      </c>
      <c r="T198">
        <v>6</v>
      </c>
      <c r="U198" s="32">
        <f t="shared" si="33"/>
        <v>2</v>
      </c>
      <c r="V198">
        <v>8</v>
      </c>
      <c r="W198">
        <v>6</v>
      </c>
      <c r="X198" s="32">
        <f t="shared" si="34"/>
        <v>2</v>
      </c>
      <c r="Y198">
        <v>9</v>
      </c>
      <c r="Z198">
        <v>7</v>
      </c>
      <c r="AA198" s="32">
        <f t="shared" si="35"/>
        <v>2</v>
      </c>
    </row>
    <row r="199" spans="1:27" x14ac:dyDescent="0.45">
      <c r="A199">
        <v>7</v>
      </c>
      <c r="B199">
        <v>7</v>
      </c>
      <c r="C199" s="32">
        <f t="shared" si="27"/>
        <v>0</v>
      </c>
      <c r="D199">
        <v>7</v>
      </c>
      <c r="E199">
        <v>7</v>
      </c>
      <c r="F199" s="32">
        <f t="shared" si="28"/>
        <v>0</v>
      </c>
      <c r="G199">
        <v>8</v>
      </c>
      <c r="H199">
        <v>6</v>
      </c>
      <c r="I199" s="32">
        <f t="shared" si="29"/>
        <v>2</v>
      </c>
      <c r="J199">
        <v>9</v>
      </c>
      <c r="K199">
        <v>7</v>
      </c>
      <c r="L199" s="32">
        <f t="shared" si="30"/>
        <v>2</v>
      </c>
      <c r="M199">
        <v>8</v>
      </c>
      <c r="N199">
        <v>6</v>
      </c>
      <c r="O199" s="32">
        <f t="shared" si="31"/>
        <v>2</v>
      </c>
      <c r="P199">
        <v>9</v>
      </c>
      <c r="Q199">
        <v>7</v>
      </c>
      <c r="R199" s="32">
        <f t="shared" si="32"/>
        <v>2</v>
      </c>
      <c r="S199">
        <v>8</v>
      </c>
      <c r="T199">
        <v>6</v>
      </c>
      <c r="U199" s="32">
        <f t="shared" si="33"/>
        <v>2</v>
      </c>
      <c r="V199">
        <v>8</v>
      </c>
      <c r="W199">
        <v>7</v>
      </c>
      <c r="X199" s="32">
        <f t="shared" si="34"/>
        <v>1</v>
      </c>
      <c r="Y199">
        <v>9</v>
      </c>
      <c r="Z199">
        <v>7</v>
      </c>
      <c r="AA199" s="32">
        <f t="shared" si="35"/>
        <v>2</v>
      </c>
    </row>
    <row r="200" spans="1:27" x14ac:dyDescent="0.45">
      <c r="A200">
        <v>7</v>
      </c>
      <c r="B200">
        <v>7</v>
      </c>
      <c r="C200" s="32">
        <f t="shared" si="27"/>
        <v>0</v>
      </c>
      <c r="D200">
        <v>7</v>
      </c>
      <c r="E200">
        <v>7</v>
      </c>
      <c r="F200" s="32">
        <f t="shared" si="28"/>
        <v>0</v>
      </c>
      <c r="G200">
        <v>8</v>
      </c>
      <c r="H200">
        <v>6</v>
      </c>
      <c r="I200" s="32">
        <f t="shared" si="29"/>
        <v>2</v>
      </c>
      <c r="J200">
        <v>9</v>
      </c>
      <c r="K200">
        <v>7</v>
      </c>
      <c r="L200" s="32">
        <f t="shared" si="30"/>
        <v>2</v>
      </c>
      <c r="M200">
        <v>8</v>
      </c>
      <c r="N200">
        <v>7</v>
      </c>
      <c r="O200" s="32">
        <f t="shared" si="31"/>
        <v>1</v>
      </c>
      <c r="P200">
        <v>9</v>
      </c>
      <c r="Q200">
        <v>7</v>
      </c>
      <c r="R200" s="32">
        <f t="shared" si="32"/>
        <v>2</v>
      </c>
      <c r="S200">
        <v>8</v>
      </c>
      <c r="T200">
        <v>6</v>
      </c>
      <c r="U200" s="32">
        <f t="shared" si="33"/>
        <v>2</v>
      </c>
      <c r="V200">
        <v>8</v>
      </c>
      <c r="W200">
        <v>7</v>
      </c>
      <c r="X200" s="32">
        <f t="shared" si="34"/>
        <v>1</v>
      </c>
      <c r="Y200">
        <v>9</v>
      </c>
      <c r="Z200">
        <v>7</v>
      </c>
      <c r="AA200" s="32">
        <f t="shared" si="35"/>
        <v>2</v>
      </c>
    </row>
    <row r="201" spans="1:27" x14ac:dyDescent="0.45">
      <c r="A201">
        <v>7</v>
      </c>
      <c r="B201">
        <v>7</v>
      </c>
      <c r="C201" s="32">
        <f t="shared" si="27"/>
        <v>0</v>
      </c>
      <c r="D201">
        <v>7</v>
      </c>
      <c r="E201">
        <v>7</v>
      </c>
      <c r="F201" s="32">
        <f t="shared" si="28"/>
        <v>0</v>
      </c>
      <c r="G201">
        <v>8</v>
      </c>
      <c r="H201">
        <v>6</v>
      </c>
      <c r="I201" s="32">
        <f t="shared" si="29"/>
        <v>2</v>
      </c>
      <c r="J201">
        <v>9</v>
      </c>
      <c r="K201">
        <v>7</v>
      </c>
      <c r="L201" s="32">
        <f t="shared" si="30"/>
        <v>2</v>
      </c>
      <c r="M201">
        <v>8</v>
      </c>
      <c r="N201">
        <v>7</v>
      </c>
      <c r="O201" s="32">
        <f t="shared" si="31"/>
        <v>1</v>
      </c>
      <c r="P201">
        <v>9</v>
      </c>
      <c r="Q201">
        <v>7</v>
      </c>
      <c r="R201" s="32">
        <f t="shared" si="32"/>
        <v>2</v>
      </c>
      <c r="S201">
        <v>8</v>
      </c>
      <c r="T201">
        <v>6</v>
      </c>
      <c r="U201" s="32">
        <f t="shared" si="33"/>
        <v>2</v>
      </c>
      <c r="V201">
        <v>8</v>
      </c>
      <c r="W201">
        <v>7</v>
      </c>
      <c r="X201" s="32">
        <f t="shared" si="34"/>
        <v>1</v>
      </c>
      <c r="Y201">
        <v>9</v>
      </c>
      <c r="Z201">
        <v>7</v>
      </c>
      <c r="AA201" s="32">
        <f t="shared" si="35"/>
        <v>2</v>
      </c>
    </row>
    <row r="202" spans="1:27" x14ac:dyDescent="0.45">
      <c r="A202">
        <v>7</v>
      </c>
      <c r="B202">
        <v>7</v>
      </c>
      <c r="C202" s="32">
        <f t="shared" si="27"/>
        <v>0</v>
      </c>
      <c r="D202">
        <v>7</v>
      </c>
      <c r="E202">
        <v>7</v>
      </c>
      <c r="F202" s="32">
        <f t="shared" si="28"/>
        <v>0</v>
      </c>
      <c r="G202">
        <v>8</v>
      </c>
      <c r="H202">
        <v>6</v>
      </c>
      <c r="I202" s="32">
        <f t="shared" si="29"/>
        <v>2</v>
      </c>
      <c r="J202">
        <v>9</v>
      </c>
      <c r="K202">
        <v>7</v>
      </c>
      <c r="L202" s="32">
        <f t="shared" si="30"/>
        <v>2</v>
      </c>
      <c r="M202">
        <v>8</v>
      </c>
      <c r="N202">
        <v>7</v>
      </c>
      <c r="O202" s="32">
        <f t="shared" si="31"/>
        <v>1</v>
      </c>
      <c r="P202">
        <v>9</v>
      </c>
      <c r="Q202">
        <v>7</v>
      </c>
      <c r="R202" s="32">
        <f t="shared" si="32"/>
        <v>2</v>
      </c>
      <c r="S202">
        <v>8</v>
      </c>
      <c r="T202">
        <v>6</v>
      </c>
      <c r="U202" s="32">
        <f t="shared" si="33"/>
        <v>2</v>
      </c>
      <c r="V202">
        <v>8</v>
      </c>
      <c r="W202">
        <v>7</v>
      </c>
      <c r="X202" s="32">
        <f t="shared" si="34"/>
        <v>1</v>
      </c>
      <c r="Y202">
        <v>9</v>
      </c>
      <c r="Z202">
        <v>7</v>
      </c>
      <c r="AA202" s="32">
        <f t="shared" si="35"/>
        <v>2</v>
      </c>
    </row>
    <row r="203" spans="1:27" x14ac:dyDescent="0.45">
      <c r="A203">
        <v>7</v>
      </c>
      <c r="B203">
        <v>7</v>
      </c>
      <c r="C203" s="32">
        <f t="shared" si="27"/>
        <v>0</v>
      </c>
      <c r="D203">
        <v>7</v>
      </c>
      <c r="E203">
        <v>7</v>
      </c>
      <c r="F203" s="32">
        <f t="shared" si="28"/>
        <v>0</v>
      </c>
      <c r="G203">
        <v>8</v>
      </c>
      <c r="H203">
        <v>6</v>
      </c>
      <c r="I203" s="32">
        <f t="shared" si="29"/>
        <v>2</v>
      </c>
      <c r="J203">
        <v>9</v>
      </c>
      <c r="K203">
        <v>7</v>
      </c>
      <c r="L203" s="32">
        <f t="shared" si="30"/>
        <v>2</v>
      </c>
      <c r="M203">
        <v>8</v>
      </c>
      <c r="N203">
        <v>7</v>
      </c>
      <c r="O203" s="32">
        <f t="shared" si="31"/>
        <v>1</v>
      </c>
      <c r="P203">
        <v>9</v>
      </c>
      <c r="Q203">
        <v>7</v>
      </c>
      <c r="R203" s="32">
        <f t="shared" si="32"/>
        <v>2</v>
      </c>
      <c r="S203">
        <v>8</v>
      </c>
      <c r="T203">
        <v>6</v>
      </c>
      <c r="U203" s="32">
        <f t="shared" si="33"/>
        <v>2</v>
      </c>
      <c r="V203">
        <v>8</v>
      </c>
      <c r="W203">
        <v>7</v>
      </c>
      <c r="X203" s="32">
        <f t="shared" si="34"/>
        <v>1</v>
      </c>
      <c r="Y203">
        <v>9</v>
      </c>
      <c r="Z203">
        <v>7</v>
      </c>
      <c r="AA203" s="32">
        <f t="shared" si="35"/>
        <v>2</v>
      </c>
    </row>
    <row r="204" spans="1:27" x14ac:dyDescent="0.45">
      <c r="A204">
        <v>7</v>
      </c>
      <c r="B204">
        <v>7</v>
      </c>
      <c r="C204" s="32">
        <f t="shared" si="27"/>
        <v>0</v>
      </c>
      <c r="D204">
        <v>7</v>
      </c>
      <c r="E204">
        <v>7</v>
      </c>
      <c r="F204" s="32">
        <f t="shared" si="28"/>
        <v>0</v>
      </c>
      <c r="G204">
        <v>8</v>
      </c>
      <c r="H204">
        <v>6</v>
      </c>
      <c r="I204" s="32">
        <f t="shared" si="29"/>
        <v>2</v>
      </c>
      <c r="J204">
        <v>9</v>
      </c>
      <c r="K204">
        <v>7</v>
      </c>
      <c r="L204" s="32">
        <f t="shared" si="30"/>
        <v>2</v>
      </c>
      <c r="M204">
        <v>8</v>
      </c>
      <c r="N204">
        <v>7</v>
      </c>
      <c r="O204" s="32">
        <f t="shared" si="31"/>
        <v>1</v>
      </c>
      <c r="P204">
        <v>9</v>
      </c>
      <c r="Q204">
        <v>7</v>
      </c>
      <c r="R204" s="32">
        <f t="shared" si="32"/>
        <v>2</v>
      </c>
      <c r="S204">
        <v>8</v>
      </c>
      <c r="T204">
        <v>6</v>
      </c>
      <c r="U204" s="32">
        <f t="shared" si="33"/>
        <v>2</v>
      </c>
      <c r="V204">
        <v>8</v>
      </c>
      <c r="W204">
        <v>7</v>
      </c>
      <c r="X204" s="32">
        <f t="shared" si="34"/>
        <v>1</v>
      </c>
      <c r="Y204">
        <v>9</v>
      </c>
      <c r="Z204">
        <v>7</v>
      </c>
      <c r="AA204" s="32">
        <f t="shared" si="35"/>
        <v>2</v>
      </c>
    </row>
    <row r="205" spans="1:27" x14ac:dyDescent="0.45">
      <c r="A205">
        <v>7</v>
      </c>
      <c r="B205">
        <v>7</v>
      </c>
      <c r="C205" s="32">
        <f t="shared" si="27"/>
        <v>0</v>
      </c>
      <c r="D205">
        <v>7</v>
      </c>
      <c r="E205">
        <v>7</v>
      </c>
      <c r="F205" s="32">
        <f t="shared" si="28"/>
        <v>0</v>
      </c>
      <c r="G205">
        <v>8</v>
      </c>
      <c r="H205">
        <v>6</v>
      </c>
      <c r="I205" s="32">
        <f t="shared" si="29"/>
        <v>2</v>
      </c>
      <c r="J205">
        <v>9</v>
      </c>
      <c r="K205">
        <v>7</v>
      </c>
      <c r="L205" s="32">
        <f t="shared" si="30"/>
        <v>2</v>
      </c>
      <c r="M205">
        <v>8</v>
      </c>
      <c r="N205">
        <v>7</v>
      </c>
      <c r="O205" s="32">
        <f t="shared" si="31"/>
        <v>1</v>
      </c>
      <c r="P205">
        <v>9</v>
      </c>
      <c r="Q205">
        <v>7</v>
      </c>
      <c r="R205" s="32">
        <f t="shared" si="32"/>
        <v>2</v>
      </c>
      <c r="S205">
        <v>8</v>
      </c>
      <c r="T205">
        <v>6</v>
      </c>
      <c r="U205" s="32">
        <f t="shared" si="33"/>
        <v>2</v>
      </c>
      <c r="V205">
        <v>8</v>
      </c>
      <c r="W205">
        <v>7</v>
      </c>
      <c r="X205" s="32">
        <f t="shared" si="34"/>
        <v>1</v>
      </c>
      <c r="Y205">
        <v>9</v>
      </c>
      <c r="Z205">
        <v>7</v>
      </c>
      <c r="AA205" s="32">
        <f t="shared" si="35"/>
        <v>2</v>
      </c>
    </row>
    <row r="206" spans="1:27" x14ac:dyDescent="0.45">
      <c r="A206">
        <v>7</v>
      </c>
      <c r="B206">
        <v>7</v>
      </c>
      <c r="C206" s="32">
        <f t="shared" si="27"/>
        <v>0</v>
      </c>
      <c r="D206">
        <v>7</v>
      </c>
      <c r="E206">
        <v>7</v>
      </c>
      <c r="F206" s="32">
        <f t="shared" si="28"/>
        <v>0</v>
      </c>
      <c r="G206">
        <v>8</v>
      </c>
      <c r="H206">
        <v>6</v>
      </c>
      <c r="I206" s="32">
        <f t="shared" si="29"/>
        <v>2</v>
      </c>
      <c r="J206">
        <v>9</v>
      </c>
      <c r="K206">
        <v>7</v>
      </c>
      <c r="L206" s="32">
        <f t="shared" si="30"/>
        <v>2</v>
      </c>
      <c r="M206">
        <v>8</v>
      </c>
      <c r="N206">
        <v>7</v>
      </c>
      <c r="O206" s="32">
        <f t="shared" si="31"/>
        <v>1</v>
      </c>
      <c r="P206">
        <v>9</v>
      </c>
      <c r="Q206">
        <v>7</v>
      </c>
      <c r="R206" s="32">
        <f t="shared" si="32"/>
        <v>2</v>
      </c>
      <c r="S206">
        <v>8</v>
      </c>
      <c r="T206">
        <v>6</v>
      </c>
      <c r="U206" s="32">
        <f t="shared" si="33"/>
        <v>2</v>
      </c>
      <c r="V206">
        <v>8</v>
      </c>
      <c r="W206">
        <v>7</v>
      </c>
      <c r="X206" s="32">
        <f t="shared" si="34"/>
        <v>1</v>
      </c>
      <c r="Y206">
        <v>9</v>
      </c>
      <c r="Z206">
        <v>7</v>
      </c>
      <c r="AA206" s="32">
        <f t="shared" si="35"/>
        <v>2</v>
      </c>
    </row>
    <row r="207" spans="1:27" x14ac:dyDescent="0.45">
      <c r="A207">
        <v>7</v>
      </c>
      <c r="B207">
        <v>7</v>
      </c>
      <c r="C207" s="32">
        <f t="shared" si="27"/>
        <v>0</v>
      </c>
      <c r="D207">
        <v>8</v>
      </c>
      <c r="E207">
        <v>7</v>
      </c>
      <c r="F207" s="32">
        <f t="shared" si="28"/>
        <v>1</v>
      </c>
      <c r="G207">
        <v>8</v>
      </c>
      <c r="H207">
        <v>6</v>
      </c>
      <c r="I207" s="32">
        <f t="shared" si="29"/>
        <v>2</v>
      </c>
      <c r="J207">
        <v>9</v>
      </c>
      <c r="K207">
        <v>7</v>
      </c>
      <c r="L207" s="32">
        <f t="shared" si="30"/>
        <v>2</v>
      </c>
      <c r="M207">
        <v>8</v>
      </c>
      <c r="N207">
        <v>7</v>
      </c>
      <c r="O207" s="32">
        <f t="shared" si="31"/>
        <v>1</v>
      </c>
      <c r="P207">
        <v>9</v>
      </c>
      <c r="Q207">
        <v>7</v>
      </c>
      <c r="R207" s="32">
        <f t="shared" si="32"/>
        <v>2</v>
      </c>
      <c r="S207">
        <v>8</v>
      </c>
      <c r="T207">
        <v>6</v>
      </c>
      <c r="U207" s="32">
        <f t="shared" si="33"/>
        <v>2</v>
      </c>
      <c r="V207">
        <v>8</v>
      </c>
      <c r="W207">
        <v>7</v>
      </c>
      <c r="X207" s="32">
        <f t="shared" si="34"/>
        <v>1</v>
      </c>
      <c r="Y207">
        <v>9</v>
      </c>
      <c r="Z207">
        <v>7</v>
      </c>
      <c r="AA207" s="32">
        <f t="shared" si="35"/>
        <v>2</v>
      </c>
    </row>
    <row r="208" spans="1:27" x14ac:dyDescent="0.45">
      <c r="A208">
        <v>7</v>
      </c>
      <c r="B208">
        <v>7</v>
      </c>
      <c r="C208" s="32">
        <f t="shared" si="27"/>
        <v>0</v>
      </c>
      <c r="D208">
        <v>8</v>
      </c>
      <c r="E208">
        <v>7</v>
      </c>
      <c r="F208" s="32">
        <f t="shared" si="28"/>
        <v>1</v>
      </c>
      <c r="G208">
        <v>8</v>
      </c>
      <c r="H208">
        <v>6</v>
      </c>
      <c r="I208" s="32">
        <f t="shared" si="29"/>
        <v>2</v>
      </c>
      <c r="J208">
        <v>9</v>
      </c>
      <c r="K208">
        <v>8</v>
      </c>
      <c r="L208" s="32">
        <f t="shared" si="30"/>
        <v>1</v>
      </c>
      <c r="M208">
        <v>8</v>
      </c>
      <c r="N208">
        <v>7</v>
      </c>
      <c r="O208" s="32">
        <f t="shared" si="31"/>
        <v>1</v>
      </c>
      <c r="P208">
        <v>9</v>
      </c>
      <c r="Q208">
        <v>7</v>
      </c>
      <c r="R208" s="32">
        <f t="shared" si="32"/>
        <v>2</v>
      </c>
      <c r="S208">
        <v>8</v>
      </c>
      <c r="T208">
        <v>6</v>
      </c>
      <c r="U208" s="32">
        <f t="shared" si="33"/>
        <v>2</v>
      </c>
      <c r="V208">
        <v>8</v>
      </c>
      <c r="W208">
        <v>7</v>
      </c>
      <c r="X208" s="32">
        <f t="shared" si="34"/>
        <v>1</v>
      </c>
      <c r="Y208">
        <v>9</v>
      </c>
      <c r="Z208">
        <v>7</v>
      </c>
      <c r="AA208" s="32">
        <f t="shared" si="35"/>
        <v>2</v>
      </c>
    </row>
    <row r="209" spans="1:27" x14ac:dyDescent="0.45">
      <c r="A209">
        <v>7</v>
      </c>
      <c r="B209">
        <v>7</v>
      </c>
      <c r="C209" s="32">
        <f t="shared" si="27"/>
        <v>0</v>
      </c>
      <c r="D209">
        <v>8</v>
      </c>
      <c r="E209">
        <v>7</v>
      </c>
      <c r="F209" s="32">
        <f t="shared" si="28"/>
        <v>1</v>
      </c>
      <c r="G209">
        <v>8</v>
      </c>
      <c r="H209">
        <v>7</v>
      </c>
      <c r="I209" s="32">
        <f t="shared" si="29"/>
        <v>1</v>
      </c>
      <c r="J209">
        <v>9</v>
      </c>
      <c r="K209">
        <v>8</v>
      </c>
      <c r="L209" s="32">
        <f t="shared" si="30"/>
        <v>1</v>
      </c>
      <c r="M209">
        <v>8</v>
      </c>
      <c r="N209">
        <v>7</v>
      </c>
      <c r="O209" s="32">
        <f t="shared" si="31"/>
        <v>1</v>
      </c>
      <c r="P209">
        <v>9</v>
      </c>
      <c r="Q209">
        <v>7</v>
      </c>
      <c r="R209" s="32">
        <f t="shared" si="32"/>
        <v>2</v>
      </c>
      <c r="S209">
        <v>8</v>
      </c>
      <c r="T209">
        <v>6</v>
      </c>
      <c r="U209" s="32">
        <f t="shared" si="33"/>
        <v>2</v>
      </c>
      <c r="V209">
        <v>8</v>
      </c>
      <c r="W209">
        <v>7</v>
      </c>
      <c r="X209" s="32">
        <f t="shared" si="34"/>
        <v>1</v>
      </c>
      <c r="Y209">
        <v>9</v>
      </c>
      <c r="Z209">
        <v>7</v>
      </c>
      <c r="AA209" s="32">
        <f t="shared" si="35"/>
        <v>2</v>
      </c>
    </row>
    <row r="210" spans="1:27" x14ac:dyDescent="0.45">
      <c r="A210">
        <v>7</v>
      </c>
      <c r="B210">
        <v>7</v>
      </c>
      <c r="C210" s="32">
        <f t="shared" si="27"/>
        <v>0</v>
      </c>
      <c r="D210">
        <v>8</v>
      </c>
      <c r="E210">
        <v>7</v>
      </c>
      <c r="F210" s="32">
        <f t="shared" si="28"/>
        <v>1</v>
      </c>
      <c r="G210">
        <v>8</v>
      </c>
      <c r="H210">
        <v>7</v>
      </c>
      <c r="I210" s="32">
        <f t="shared" si="29"/>
        <v>1</v>
      </c>
      <c r="J210">
        <v>9</v>
      </c>
      <c r="K210">
        <v>8</v>
      </c>
      <c r="L210" s="32">
        <f t="shared" si="30"/>
        <v>1</v>
      </c>
      <c r="M210">
        <v>8</v>
      </c>
      <c r="N210">
        <v>7</v>
      </c>
      <c r="O210" s="32">
        <f t="shared" si="31"/>
        <v>1</v>
      </c>
      <c r="P210">
        <v>9</v>
      </c>
      <c r="Q210">
        <v>7</v>
      </c>
      <c r="R210" s="32">
        <f t="shared" si="32"/>
        <v>2</v>
      </c>
      <c r="S210">
        <v>8</v>
      </c>
      <c r="T210">
        <v>6</v>
      </c>
      <c r="U210" s="32">
        <f t="shared" si="33"/>
        <v>2</v>
      </c>
      <c r="V210">
        <v>8</v>
      </c>
      <c r="W210">
        <v>7</v>
      </c>
      <c r="X210" s="32">
        <f t="shared" si="34"/>
        <v>1</v>
      </c>
      <c r="Y210">
        <v>9</v>
      </c>
      <c r="Z210">
        <v>7</v>
      </c>
      <c r="AA210" s="32">
        <f t="shared" si="35"/>
        <v>2</v>
      </c>
    </row>
    <row r="211" spans="1:27" x14ac:dyDescent="0.45">
      <c r="A211">
        <v>7</v>
      </c>
      <c r="B211">
        <v>7</v>
      </c>
      <c r="C211" s="32">
        <f t="shared" si="27"/>
        <v>0</v>
      </c>
      <c r="D211">
        <v>8</v>
      </c>
      <c r="E211">
        <v>7</v>
      </c>
      <c r="F211" s="32">
        <f t="shared" si="28"/>
        <v>1</v>
      </c>
      <c r="G211">
        <v>8</v>
      </c>
      <c r="H211">
        <v>7</v>
      </c>
      <c r="I211" s="32">
        <f t="shared" si="29"/>
        <v>1</v>
      </c>
      <c r="J211">
        <v>9</v>
      </c>
      <c r="K211">
        <v>8</v>
      </c>
      <c r="L211" s="32">
        <f t="shared" si="30"/>
        <v>1</v>
      </c>
      <c r="M211">
        <v>8</v>
      </c>
      <c r="N211">
        <v>7</v>
      </c>
      <c r="O211" s="32">
        <f t="shared" si="31"/>
        <v>1</v>
      </c>
      <c r="P211">
        <v>9</v>
      </c>
      <c r="Q211">
        <v>7</v>
      </c>
      <c r="R211" s="32">
        <f t="shared" si="32"/>
        <v>2</v>
      </c>
      <c r="S211">
        <v>8</v>
      </c>
      <c r="T211">
        <v>6</v>
      </c>
      <c r="U211" s="32">
        <f t="shared" si="33"/>
        <v>2</v>
      </c>
      <c r="V211">
        <v>8</v>
      </c>
      <c r="W211">
        <v>7</v>
      </c>
      <c r="X211" s="32">
        <f t="shared" si="34"/>
        <v>1</v>
      </c>
      <c r="Y211">
        <v>9</v>
      </c>
      <c r="Z211">
        <v>7</v>
      </c>
      <c r="AA211" s="32">
        <f t="shared" si="35"/>
        <v>2</v>
      </c>
    </row>
    <row r="212" spans="1:27" x14ac:dyDescent="0.45">
      <c r="A212">
        <v>7</v>
      </c>
      <c r="B212">
        <v>7</v>
      </c>
      <c r="C212" s="32">
        <f t="shared" si="27"/>
        <v>0</v>
      </c>
      <c r="D212">
        <v>8</v>
      </c>
      <c r="E212">
        <v>7</v>
      </c>
      <c r="F212" s="32">
        <f t="shared" si="28"/>
        <v>1</v>
      </c>
      <c r="G212">
        <v>8</v>
      </c>
      <c r="H212">
        <v>7</v>
      </c>
      <c r="I212" s="32">
        <f t="shared" si="29"/>
        <v>1</v>
      </c>
      <c r="J212">
        <v>9</v>
      </c>
      <c r="K212">
        <v>8</v>
      </c>
      <c r="L212" s="32">
        <f t="shared" si="30"/>
        <v>1</v>
      </c>
      <c r="M212">
        <v>8</v>
      </c>
      <c r="N212">
        <v>7</v>
      </c>
      <c r="O212" s="32">
        <f t="shared" si="31"/>
        <v>1</v>
      </c>
      <c r="P212">
        <v>9</v>
      </c>
      <c r="Q212">
        <v>7</v>
      </c>
      <c r="R212" s="32">
        <f t="shared" si="32"/>
        <v>2</v>
      </c>
      <c r="S212">
        <v>8</v>
      </c>
      <c r="T212">
        <v>6</v>
      </c>
      <c r="U212" s="32">
        <f t="shared" si="33"/>
        <v>2</v>
      </c>
      <c r="V212">
        <v>8</v>
      </c>
      <c r="W212">
        <v>7</v>
      </c>
      <c r="X212" s="32">
        <f t="shared" si="34"/>
        <v>1</v>
      </c>
      <c r="Y212">
        <v>9</v>
      </c>
      <c r="Z212">
        <v>7</v>
      </c>
      <c r="AA212" s="32">
        <f t="shared" si="35"/>
        <v>2</v>
      </c>
    </row>
    <row r="213" spans="1:27" x14ac:dyDescent="0.45">
      <c r="A213">
        <v>7</v>
      </c>
      <c r="B213">
        <v>7</v>
      </c>
      <c r="C213" s="32">
        <f t="shared" si="27"/>
        <v>0</v>
      </c>
      <c r="D213">
        <v>8</v>
      </c>
      <c r="E213">
        <v>8</v>
      </c>
      <c r="F213" s="32">
        <f t="shared" si="28"/>
        <v>0</v>
      </c>
      <c r="G213">
        <v>8</v>
      </c>
      <c r="H213">
        <v>7</v>
      </c>
      <c r="I213" s="32">
        <f t="shared" si="29"/>
        <v>1</v>
      </c>
      <c r="J213">
        <v>9</v>
      </c>
      <c r="K213">
        <v>8</v>
      </c>
      <c r="L213" s="32">
        <f t="shared" si="30"/>
        <v>1</v>
      </c>
      <c r="M213">
        <v>8</v>
      </c>
      <c r="N213">
        <v>7</v>
      </c>
      <c r="O213" s="32">
        <f t="shared" si="31"/>
        <v>1</v>
      </c>
      <c r="P213">
        <v>9</v>
      </c>
      <c r="Q213">
        <v>7</v>
      </c>
      <c r="R213" s="32">
        <f t="shared" si="32"/>
        <v>2</v>
      </c>
      <c r="S213">
        <v>8</v>
      </c>
      <c r="T213">
        <v>6</v>
      </c>
      <c r="U213" s="32">
        <f t="shared" si="33"/>
        <v>2</v>
      </c>
      <c r="V213">
        <v>8</v>
      </c>
      <c r="W213">
        <v>7</v>
      </c>
      <c r="X213" s="32">
        <f t="shared" si="34"/>
        <v>1</v>
      </c>
      <c r="Y213">
        <v>9</v>
      </c>
      <c r="Z213">
        <v>7</v>
      </c>
      <c r="AA213" s="32">
        <f t="shared" si="35"/>
        <v>2</v>
      </c>
    </row>
    <row r="214" spans="1:27" x14ac:dyDescent="0.45">
      <c r="A214">
        <v>7</v>
      </c>
      <c r="B214">
        <v>7</v>
      </c>
      <c r="C214" s="32">
        <f t="shared" si="27"/>
        <v>0</v>
      </c>
      <c r="D214">
        <v>8</v>
      </c>
      <c r="E214">
        <v>8</v>
      </c>
      <c r="F214" s="32">
        <f t="shared" si="28"/>
        <v>0</v>
      </c>
      <c r="G214">
        <v>9</v>
      </c>
      <c r="H214">
        <v>7</v>
      </c>
      <c r="I214" s="32">
        <f t="shared" si="29"/>
        <v>2</v>
      </c>
      <c r="J214">
        <v>9</v>
      </c>
      <c r="K214">
        <v>8</v>
      </c>
      <c r="L214" s="32">
        <f t="shared" si="30"/>
        <v>1</v>
      </c>
      <c r="M214">
        <v>8</v>
      </c>
      <c r="N214">
        <v>7</v>
      </c>
      <c r="O214" s="32">
        <f t="shared" si="31"/>
        <v>1</v>
      </c>
      <c r="P214">
        <v>9</v>
      </c>
      <c r="Q214">
        <v>7</v>
      </c>
      <c r="R214" s="32">
        <f t="shared" si="32"/>
        <v>2</v>
      </c>
      <c r="S214">
        <v>8</v>
      </c>
      <c r="T214">
        <v>6</v>
      </c>
      <c r="U214" s="32">
        <f t="shared" si="33"/>
        <v>2</v>
      </c>
      <c r="V214">
        <v>8</v>
      </c>
      <c r="W214">
        <v>7</v>
      </c>
      <c r="X214" s="32">
        <f t="shared" si="34"/>
        <v>1</v>
      </c>
      <c r="Y214">
        <v>9</v>
      </c>
      <c r="Z214">
        <v>7</v>
      </c>
      <c r="AA214" s="32">
        <f t="shared" si="35"/>
        <v>2</v>
      </c>
    </row>
    <row r="215" spans="1:27" x14ac:dyDescent="0.45">
      <c r="A215">
        <v>7</v>
      </c>
      <c r="B215">
        <v>7</v>
      </c>
      <c r="C215" s="32">
        <f t="shared" si="27"/>
        <v>0</v>
      </c>
      <c r="D215">
        <v>8</v>
      </c>
      <c r="E215">
        <v>8</v>
      </c>
      <c r="F215" s="32">
        <f t="shared" si="28"/>
        <v>0</v>
      </c>
      <c r="G215">
        <v>9</v>
      </c>
      <c r="H215">
        <v>7</v>
      </c>
      <c r="I215" s="32">
        <f t="shared" si="29"/>
        <v>2</v>
      </c>
      <c r="J215">
        <v>9</v>
      </c>
      <c r="K215">
        <v>8</v>
      </c>
      <c r="L215" s="32">
        <f t="shared" si="30"/>
        <v>1</v>
      </c>
      <c r="M215">
        <v>8</v>
      </c>
      <c r="N215">
        <v>7</v>
      </c>
      <c r="O215" s="32">
        <f t="shared" si="31"/>
        <v>1</v>
      </c>
      <c r="P215">
        <v>9</v>
      </c>
      <c r="Q215">
        <v>7</v>
      </c>
      <c r="R215" s="32">
        <f t="shared" si="32"/>
        <v>2</v>
      </c>
      <c r="S215">
        <v>8</v>
      </c>
      <c r="T215">
        <v>6</v>
      </c>
      <c r="U215" s="32">
        <f t="shared" si="33"/>
        <v>2</v>
      </c>
      <c r="V215">
        <v>8</v>
      </c>
      <c r="W215">
        <v>7</v>
      </c>
      <c r="X215" s="32">
        <f t="shared" si="34"/>
        <v>1</v>
      </c>
      <c r="Y215">
        <v>9</v>
      </c>
      <c r="Z215">
        <v>7</v>
      </c>
      <c r="AA215" s="32">
        <f t="shared" si="35"/>
        <v>2</v>
      </c>
    </row>
    <row r="216" spans="1:27" x14ac:dyDescent="0.45">
      <c r="A216">
        <v>7</v>
      </c>
      <c r="B216">
        <v>7</v>
      </c>
      <c r="C216" s="32">
        <f t="shared" si="27"/>
        <v>0</v>
      </c>
      <c r="D216">
        <v>8</v>
      </c>
      <c r="E216">
        <v>8</v>
      </c>
      <c r="F216" s="32">
        <f t="shared" si="28"/>
        <v>0</v>
      </c>
      <c r="G216">
        <v>9</v>
      </c>
      <c r="H216">
        <v>7</v>
      </c>
      <c r="I216" s="32">
        <f t="shared" si="29"/>
        <v>2</v>
      </c>
      <c r="J216">
        <v>9</v>
      </c>
      <c r="K216">
        <v>8</v>
      </c>
      <c r="L216" s="32">
        <f t="shared" si="30"/>
        <v>1</v>
      </c>
      <c r="M216">
        <v>8</v>
      </c>
      <c r="N216">
        <v>7</v>
      </c>
      <c r="O216" s="32">
        <f t="shared" si="31"/>
        <v>1</v>
      </c>
      <c r="P216">
        <v>9</v>
      </c>
      <c r="Q216">
        <v>7</v>
      </c>
      <c r="R216" s="32">
        <f t="shared" si="32"/>
        <v>2</v>
      </c>
      <c r="S216">
        <v>8</v>
      </c>
      <c r="T216">
        <v>6</v>
      </c>
      <c r="U216" s="32">
        <f t="shared" si="33"/>
        <v>2</v>
      </c>
      <c r="V216">
        <v>8</v>
      </c>
      <c r="W216">
        <v>7</v>
      </c>
      <c r="X216" s="32">
        <f t="shared" si="34"/>
        <v>1</v>
      </c>
      <c r="Y216">
        <v>9</v>
      </c>
      <c r="Z216">
        <v>7</v>
      </c>
      <c r="AA216" s="32">
        <f t="shared" si="35"/>
        <v>2</v>
      </c>
    </row>
    <row r="217" spans="1:27" x14ac:dyDescent="0.45">
      <c r="A217">
        <v>7</v>
      </c>
      <c r="B217">
        <v>7</v>
      </c>
      <c r="C217" s="32">
        <f t="shared" si="27"/>
        <v>0</v>
      </c>
      <c r="D217">
        <v>8</v>
      </c>
      <c r="E217">
        <v>8</v>
      </c>
      <c r="F217" s="32">
        <f t="shared" si="28"/>
        <v>0</v>
      </c>
      <c r="G217">
        <v>9</v>
      </c>
      <c r="H217">
        <v>7</v>
      </c>
      <c r="I217" s="32">
        <f t="shared" si="29"/>
        <v>2</v>
      </c>
      <c r="J217">
        <v>9</v>
      </c>
      <c r="K217">
        <v>8</v>
      </c>
      <c r="L217" s="32">
        <f t="shared" si="30"/>
        <v>1</v>
      </c>
      <c r="M217">
        <v>8</v>
      </c>
      <c r="N217">
        <v>7</v>
      </c>
      <c r="O217" s="32">
        <f t="shared" si="31"/>
        <v>1</v>
      </c>
      <c r="P217">
        <v>9</v>
      </c>
      <c r="Q217">
        <v>7</v>
      </c>
      <c r="R217" s="32">
        <f t="shared" si="32"/>
        <v>2</v>
      </c>
      <c r="S217">
        <v>8</v>
      </c>
      <c r="T217">
        <v>6</v>
      </c>
      <c r="U217" s="32">
        <f t="shared" si="33"/>
        <v>2</v>
      </c>
      <c r="V217">
        <v>8</v>
      </c>
      <c r="W217">
        <v>7</v>
      </c>
      <c r="X217" s="32">
        <f t="shared" si="34"/>
        <v>1</v>
      </c>
      <c r="Y217">
        <v>9</v>
      </c>
      <c r="Z217">
        <v>7</v>
      </c>
      <c r="AA217" s="32">
        <f t="shared" si="35"/>
        <v>2</v>
      </c>
    </row>
    <row r="218" spans="1:27" x14ac:dyDescent="0.45">
      <c r="A218">
        <v>7</v>
      </c>
      <c r="B218">
        <v>7</v>
      </c>
      <c r="C218" s="32">
        <f t="shared" si="27"/>
        <v>0</v>
      </c>
      <c r="D218">
        <v>8</v>
      </c>
      <c r="E218">
        <v>8</v>
      </c>
      <c r="F218" s="32">
        <f t="shared" si="28"/>
        <v>0</v>
      </c>
      <c r="G218">
        <v>9</v>
      </c>
      <c r="H218">
        <v>7</v>
      </c>
      <c r="I218" s="32">
        <f t="shared" si="29"/>
        <v>2</v>
      </c>
      <c r="J218">
        <v>9</v>
      </c>
      <c r="K218">
        <v>8</v>
      </c>
      <c r="L218" s="32">
        <f t="shared" si="30"/>
        <v>1</v>
      </c>
      <c r="M218">
        <v>8</v>
      </c>
      <c r="N218">
        <v>7</v>
      </c>
      <c r="O218" s="32">
        <f t="shared" si="31"/>
        <v>1</v>
      </c>
      <c r="P218">
        <v>9</v>
      </c>
      <c r="Q218">
        <v>7</v>
      </c>
      <c r="R218" s="32">
        <f t="shared" si="32"/>
        <v>2</v>
      </c>
      <c r="S218">
        <v>8</v>
      </c>
      <c r="T218">
        <v>6</v>
      </c>
      <c r="U218" s="32">
        <f t="shared" si="33"/>
        <v>2</v>
      </c>
      <c r="V218">
        <v>8</v>
      </c>
      <c r="W218">
        <v>7</v>
      </c>
      <c r="X218" s="32">
        <f t="shared" si="34"/>
        <v>1</v>
      </c>
      <c r="Y218">
        <v>9</v>
      </c>
      <c r="Z218">
        <v>7</v>
      </c>
      <c r="AA218" s="32">
        <f t="shared" si="35"/>
        <v>2</v>
      </c>
    </row>
    <row r="219" spans="1:27" x14ac:dyDescent="0.45">
      <c r="A219">
        <v>7</v>
      </c>
      <c r="B219">
        <v>7</v>
      </c>
      <c r="C219" s="32">
        <f t="shared" si="27"/>
        <v>0</v>
      </c>
      <c r="D219">
        <v>8</v>
      </c>
      <c r="E219">
        <v>8</v>
      </c>
      <c r="F219" s="32">
        <f t="shared" si="28"/>
        <v>0</v>
      </c>
      <c r="G219">
        <v>9</v>
      </c>
      <c r="H219">
        <v>7</v>
      </c>
      <c r="I219" s="32">
        <f t="shared" si="29"/>
        <v>2</v>
      </c>
      <c r="J219">
        <v>9</v>
      </c>
      <c r="K219">
        <v>8</v>
      </c>
      <c r="L219" s="32">
        <f t="shared" si="30"/>
        <v>1</v>
      </c>
      <c r="M219">
        <v>8</v>
      </c>
      <c r="N219">
        <v>7</v>
      </c>
      <c r="O219" s="32">
        <f t="shared" si="31"/>
        <v>1</v>
      </c>
      <c r="P219">
        <v>9</v>
      </c>
      <c r="Q219">
        <v>7</v>
      </c>
      <c r="R219" s="32">
        <f t="shared" si="32"/>
        <v>2</v>
      </c>
      <c r="S219">
        <v>8</v>
      </c>
      <c r="T219">
        <v>6</v>
      </c>
      <c r="U219" s="32">
        <f t="shared" si="33"/>
        <v>2</v>
      </c>
      <c r="V219">
        <v>8</v>
      </c>
      <c r="W219">
        <v>7</v>
      </c>
      <c r="X219" s="32">
        <f t="shared" si="34"/>
        <v>1</v>
      </c>
      <c r="Y219">
        <v>9</v>
      </c>
      <c r="Z219">
        <v>7</v>
      </c>
      <c r="AA219" s="32">
        <f t="shared" si="35"/>
        <v>2</v>
      </c>
    </row>
    <row r="220" spans="1:27" x14ac:dyDescent="0.45">
      <c r="A220">
        <v>7</v>
      </c>
      <c r="B220">
        <v>7</v>
      </c>
      <c r="C220" s="32">
        <f t="shared" si="27"/>
        <v>0</v>
      </c>
      <c r="D220">
        <v>8</v>
      </c>
      <c r="E220">
        <v>8</v>
      </c>
      <c r="F220" s="32">
        <f t="shared" si="28"/>
        <v>0</v>
      </c>
      <c r="G220">
        <v>9</v>
      </c>
      <c r="H220">
        <v>7</v>
      </c>
      <c r="I220" s="32">
        <f t="shared" si="29"/>
        <v>2</v>
      </c>
      <c r="J220">
        <v>9</v>
      </c>
      <c r="K220">
        <v>8</v>
      </c>
      <c r="L220" s="32">
        <f t="shared" si="30"/>
        <v>1</v>
      </c>
      <c r="M220">
        <v>8</v>
      </c>
      <c r="N220">
        <v>7</v>
      </c>
      <c r="O220" s="32">
        <f t="shared" si="31"/>
        <v>1</v>
      </c>
      <c r="P220">
        <v>9</v>
      </c>
      <c r="Q220">
        <v>7</v>
      </c>
      <c r="R220" s="32">
        <f t="shared" si="32"/>
        <v>2</v>
      </c>
      <c r="S220">
        <v>8</v>
      </c>
      <c r="T220">
        <v>6</v>
      </c>
      <c r="U220" s="32">
        <f t="shared" si="33"/>
        <v>2</v>
      </c>
      <c r="V220">
        <v>8</v>
      </c>
      <c r="W220">
        <v>7</v>
      </c>
      <c r="X220" s="32">
        <f t="shared" si="34"/>
        <v>1</v>
      </c>
      <c r="Y220">
        <v>9</v>
      </c>
      <c r="Z220">
        <v>7</v>
      </c>
      <c r="AA220" s="32">
        <f t="shared" si="35"/>
        <v>2</v>
      </c>
    </row>
    <row r="221" spans="1:27" x14ac:dyDescent="0.45">
      <c r="A221">
        <v>7</v>
      </c>
      <c r="B221">
        <v>7</v>
      </c>
      <c r="C221" s="32">
        <f t="shared" si="27"/>
        <v>0</v>
      </c>
      <c r="D221">
        <v>8</v>
      </c>
      <c r="E221">
        <v>8</v>
      </c>
      <c r="F221" s="32">
        <f t="shared" si="28"/>
        <v>0</v>
      </c>
      <c r="G221">
        <v>9</v>
      </c>
      <c r="H221">
        <v>7</v>
      </c>
      <c r="I221" s="32">
        <f t="shared" si="29"/>
        <v>2</v>
      </c>
      <c r="J221">
        <v>9</v>
      </c>
      <c r="K221">
        <v>8</v>
      </c>
      <c r="L221" s="32">
        <f t="shared" si="30"/>
        <v>1</v>
      </c>
      <c r="M221">
        <v>8</v>
      </c>
      <c r="N221">
        <v>7</v>
      </c>
      <c r="O221" s="32">
        <f t="shared" si="31"/>
        <v>1</v>
      </c>
      <c r="P221">
        <v>9</v>
      </c>
      <c r="Q221">
        <v>7</v>
      </c>
      <c r="R221" s="32">
        <f t="shared" si="32"/>
        <v>2</v>
      </c>
      <c r="S221">
        <v>8</v>
      </c>
      <c r="T221">
        <v>6</v>
      </c>
      <c r="U221" s="32">
        <f t="shared" si="33"/>
        <v>2</v>
      </c>
      <c r="V221">
        <v>8</v>
      </c>
      <c r="W221">
        <v>7</v>
      </c>
      <c r="X221" s="32">
        <f t="shared" si="34"/>
        <v>1</v>
      </c>
      <c r="Y221">
        <v>9</v>
      </c>
      <c r="Z221">
        <v>7</v>
      </c>
      <c r="AA221" s="32">
        <f t="shared" si="35"/>
        <v>2</v>
      </c>
    </row>
    <row r="222" spans="1:27" x14ac:dyDescent="0.45">
      <c r="A222">
        <v>7</v>
      </c>
      <c r="B222">
        <v>7</v>
      </c>
      <c r="C222" s="32">
        <f t="shared" si="27"/>
        <v>0</v>
      </c>
      <c r="D222">
        <v>8</v>
      </c>
      <c r="E222">
        <v>8</v>
      </c>
      <c r="F222" s="32">
        <f t="shared" si="28"/>
        <v>0</v>
      </c>
      <c r="G222">
        <v>9</v>
      </c>
      <c r="H222">
        <v>7</v>
      </c>
      <c r="I222" s="32">
        <f t="shared" si="29"/>
        <v>2</v>
      </c>
      <c r="J222">
        <v>9</v>
      </c>
      <c r="K222">
        <v>8</v>
      </c>
      <c r="L222" s="32">
        <f t="shared" si="30"/>
        <v>1</v>
      </c>
      <c r="M222">
        <v>8</v>
      </c>
      <c r="N222">
        <v>7</v>
      </c>
      <c r="O222" s="32">
        <f t="shared" si="31"/>
        <v>1</v>
      </c>
      <c r="P222">
        <v>9</v>
      </c>
      <c r="Q222">
        <v>7</v>
      </c>
      <c r="R222" s="32">
        <f t="shared" si="32"/>
        <v>2</v>
      </c>
      <c r="S222">
        <v>8</v>
      </c>
      <c r="T222">
        <v>6</v>
      </c>
      <c r="U222" s="32">
        <f t="shared" si="33"/>
        <v>2</v>
      </c>
      <c r="V222">
        <v>8</v>
      </c>
      <c r="W222">
        <v>7</v>
      </c>
      <c r="X222" s="32">
        <f t="shared" si="34"/>
        <v>1</v>
      </c>
      <c r="Y222">
        <v>9</v>
      </c>
      <c r="Z222">
        <v>7</v>
      </c>
      <c r="AA222" s="32">
        <f t="shared" si="35"/>
        <v>2</v>
      </c>
    </row>
    <row r="223" spans="1:27" x14ac:dyDescent="0.45">
      <c r="A223">
        <v>7</v>
      </c>
      <c r="B223">
        <v>7</v>
      </c>
      <c r="C223" s="32">
        <f t="shared" si="27"/>
        <v>0</v>
      </c>
      <c r="D223">
        <v>8</v>
      </c>
      <c r="E223">
        <v>8</v>
      </c>
      <c r="F223" s="32">
        <f t="shared" si="28"/>
        <v>0</v>
      </c>
      <c r="G223">
        <v>9</v>
      </c>
      <c r="H223">
        <v>7</v>
      </c>
      <c r="I223" s="32">
        <f t="shared" si="29"/>
        <v>2</v>
      </c>
      <c r="J223">
        <v>9</v>
      </c>
      <c r="K223">
        <v>8</v>
      </c>
      <c r="L223" s="32">
        <f t="shared" si="30"/>
        <v>1</v>
      </c>
      <c r="M223">
        <v>8</v>
      </c>
      <c r="N223">
        <v>7</v>
      </c>
      <c r="O223" s="32">
        <f t="shared" si="31"/>
        <v>1</v>
      </c>
      <c r="P223">
        <v>9</v>
      </c>
      <c r="Q223">
        <v>7</v>
      </c>
      <c r="R223" s="32">
        <f t="shared" si="32"/>
        <v>2</v>
      </c>
      <c r="S223">
        <v>8</v>
      </c>
      <c r="T223">
        <v>6</v>
      </c>
      <c r="U223" s="32">
        <f t="shared" si="33"/>
        <v>2</v>
      </c>
      <c r="V223">
        <v>8</v>
      </c>
      <c r="W223">
        <v>7</v>
      </c>
      <c r="X223" s="32">
        <f t="shared" si="34"/>
        <v>1</v>
      </c>
      <c r="Y223">
        <v>9</v>
      </c>
      <c r="Z223">
        <v>7</v>
      </c>
      <c r="AA223" s="32">
        <f t="shared" si="35"/>
        <v>2</v>
      </c>
    </row>
    <row r="224" spans="1:27" x14ac:dyDescent="0.45">
      <c r="A224">
        <v>7</v>
      </c>
      <c r="B224">
        <v>7</v>
      </c>
      <c r="C224" s="32">
        <f t="shared" si="27"/>
        <v>0</v>
      </c>
      <c r="D224">
        <v>8</v>
      </c>
      <c r="E224">
        <v>8</v>
      </c>
      <c r="F224" s="32">
        <f t="shared" si="28"/>
        <v>0</v>
      </c>
      <c r="G224">
        <v>9</v>
      </c>
      <c r="H224">
        <v>7</v>
      </c>
      <c r="I224" s="32">
        <f t="shared" si="29"/>
        <v>2</v>
      </c>
      <c r="J224">
        <v>9</v>
      </c>
      <c r="K224">
        <v>8</v>
      </c>
      <c r="L224" s="32">
        <f t="shared" si="30"/>
        <v>1</v>
      </c>
      <c r="M224">
        <v>8</v>
      </c>
      <c r="N224">
        <v>7</v>
      </c>
      <c r="O224" s="32">
        <f t="shared" si="31"/>
        <v>1</v>
      </c>
      <c r="P224">
        <v>9</v>
      </c>
      <c r="Q224">
        <v>7</v>
      </c>
      <c r="R224" s="32">
        <f t="shared" si="32"/>
        <v>2</v>
      </c>
      <c r="S224">
        <v>8</v>
      </c>
      <c r="T224">
        <v>6</v>
      </c>
      <c r="U224" s="32">
        <f t="shared" si="33"/>
        <v>2</v>
      </c>
      <c r="V224">
        <v>8</v>
      </c>
      <c r="W224">
        <v>7</v>
      </c>
      <c r="X224" s="32">
        <f t="shared" si="34"/>
        <v>1</v>
      </c>
      <c r="Y224">
        <v>9</v>
      </c>
      <c r="Z224">
        <v>7</v>
      </c>
      <c r="AA224" s="32">
        <f t="shared" si="35"/>
        <v>2</v>
      </c>
    </row>
    <row r="225" spans="1:27" x14ac:dyDescent="0.45">
      <c r="A225">
        <v>7</v>
      </c>
      <c r="B225">
        <v>7</v>
      </c>
      <c r="C225" s="32">
        <f t="shared" si="27"/>
        <v>0</v>
      </c>
      <c r="D225">
        <v>8</v>
      </c>
      <c r="E225">
        <v>8</v>
      </c>
      <c r="F225" s="32">
        <f t="shared" si="28"/>
        <v>0</v>
      </c>
      <c r="G225">
        <v>9</v>
      </c>
      <c r="H225">
        <v>7</v>
      </c>
      <c r="I225" s="32">
        <f t="shared" si="29"/>
        <v>2</v>
      </c>
      <c r="J225">
        <v>9</v>
      </c>
      <c r="K225">
        <v>8</v>
      </c>
      <c r="L225" s="32">
        <f t="shared" si="30"/>
        <v>1</v>
      </c>
      <c r="M225">
        <v>8</v>
      </c>
      <c r="N225">
        <v>7</v>
      </c>
      <c r="O225" s="32">
        <f t="shared" si="31"/>
        <v>1</v>
      </c>
      <c r="P225">
        <v>9</v>
      </c>
      <c r="Q225">
        <v>7</v>
      </c>
      <c r="R225" s="32">
        <f t="shared" si="32"/>
        <v>2</v>
      </c>
      <c r="S225">
        <v>8</v>
      </c>
      <c r="T225">
        <v>6</v>
      </c>
      <c r="U225" s="32">
        <f t="shared" si="33"/>
        <v>2</v>
      </c>
      <c r="V225">
        <v>8</v>
      </c>
      <c r="W225">
        <v>7</v>
      </c>
      <c r="X225" s="32">
        <f t="shared" si="34"/>
        <v>1</v>
      </c>
      <c r="Y225">
        <v>9</v>
      </c>
      <c r="Z225">
        <v>7</v>
      </c>
      <c r="AA225" s="32">
        <f t="shared" si="35"/>
        <v>2</v>
      </c>
    </row>
    <row r="226" spans="1:27" x14ac:dyDescent="0.45">
      <c r="A226">
        <v>7</v>
      </c>
      <c r="B226">
        <v>7</v>
      </c>
      <c r="C226" s="32">
        <f t="shared" si="27"/>
        <v>0</v>
      </c>
      <c r="D226">
        <v>8</v>
      </c>
      <c r="E226">
        <v>8</v>
      </c>
      <c r="F226" s="32">
        <f t="shared" si="28"/>
        <v>0</v>
      </c>
      <c r="G226">
        <v>9</v>
      </c>
      <c r="H226">
        <v>7</v>
      </c>
      <c r="I226" s="32">
        <f t="shared" si="29"/>
        <v>2</v>
      </c>
      <c r="J226">
        <v>9</v>
      </c>
      <c r="K226">
        <v>8</v>
      </c>
      <c r="L226" s="32">
        <f t="shared" si="30"/>
        <v>1</v>
      </c>
      <c r="M226">
        <v>8</v>
      </c>
      <c r="N226">
        <v>7</v>
      </c>
      <c r="O226" s="32">
        <f t="shared" si="31"/>
        <v>1</v>
      </c>
      <c r="P226">
        <v>9</v>
      </c>
      <c r="Q226">
        <v>7</v>
      </c>
      <c r="R226" s="32">
        <f t="shared" si="32"/>
        <v>2</v>
      </c>
      <c r="S226">
        <v>8</v>
      </c>
      <c r="T226">
        <v>6</v>
      </c>
      <c r="U226" s="32">
        <f t="shared" si="33"/>
        <v>2</v>
      </c>
      <c r="V226">
        <v>8</v>
      </c>
      <c r="W226">
        <v>7</v>
      </c>
      <c r="X226" s="32">
        <f t="shared" si="34"/>
        <v>1</v>
      </c>
      <c r="Y226">
        <v>9</v>
      </c>
      <c r="Z226">
        <v>7</v>
      </c>
      <c r="AA226" s="32">
        <f t="shared" si="35"/>
        <v>2</v>
      </c>
    </row>
    <row r="227" spans="1:27" x14ac:dyDescent="0.45">
      <c r="A227">
        <v>7</v>
      </c>
      <c r="B227">
        <v>7</v>
      </c>
      <c r="C227" s="32">
        <f t="shared" si="27"/>
        <v>0</v>
      </c>
      <c r="D227">
        <v>8</v>
      </c>
      <c r="E227">
        <v>8</v>
      </c>
      <c r="F227" s="32">
        <f t="shared" si="28"/>
        <v>0</v>
      </c>
      <c r="G227">
        <v>9</v>
      </c>
      <c r="H227">
        <v>7</v>
      </c>
      <c r="I227" s="32">
        <f t="shared" si="29"/>
        <v>2</v>
      </c>
      <c r="J227">
        <v>9</v>
      </c>
      <c r="K227">
        <v>8</v>
      </c>
      <c r="L227" s="32">
        <f t="shared" si="30"/>
        <v>1</v>
      </c>
      <c r="M227">
        <v>8</v>
      </c>
      <c r="N227">
        <v>7</v>
      </c>
      <c r="O227" s="32">
        <f t="shared" si="31"/>
        <v>1</v>
      </c>
      <c r="P227">
        <v>9</v>
      </c>
      <c r="Q227">
        <v>7</v>
      </c>
      <c r="R227" s="32">
        <f t="shared" si="32"/>
        <v>2</v>
      </c>
      <c r="S227">
        <v>8</v>
      </c>
      <c r="T227">
        <v>6</v>
      </c>
      <c r="U227" s="32">
        <f t="shared" si="33"/>
        <v>2</v>
      </c>
      <c r="V227">
        <v>8</v>
      </c>
      <c r="W227">
        <v>7</v>
      </c>
      <c r="X227" s="32">
        <f t="shared" si="34"/>
        <v>1</v>
      </c>
      <c r="Y227">
        <v>9</v>
      </c>
      <c r="Z227">
        <v>7</v>
      </c>
      <c r="AA227" s="32">
        <f t="shared" si="35"/>
        <v>2</v>
      </c>
    </row>
    <row r="228" spans="1:27" x14ac:dyDescent="0.45">
      <c r="A228">
        <v>7</v>
      </c>
      <c r="B228">
        <v>7</v>
      </c>
      <c r="C228" s="32">
        <f t="shared" si="27"/>
        <v>0</v>
      </c>
      <c r="D228">
        <v>8</v>
      </c>
      <c r="E228">
        <v>8</v>
      </c>
      <c r="F228" s="32">
        <f t="shared" si="28"/>
        <v>0</v>
      </c>
      <c r="G228">
        <v>9</v>
      </c>
      <c r="H228">
        <v>7</v>
      </c>
      <c r="I228" s="32">
        <f t="shared" si="29"/>
        <v>2</v>
      </c>
      <c r="J228">
        <v>9</v>
      </c>
      <c r="K228">
        <v>8</v>
      </c>
      <c r="L228" s="32">
        <f t="shared" si="30"/>
        <v>1</v>
      </c>
      <c r="M228">
        <v>8</v>
      </c>
      <c r="N228">
        <v>7</v>
      </c>
      <c r="O228" s="32">
        <f t="shared" si="31"/>
        <v>1</v>
      </c>
      <c r="P228">
        <v>9</v>
      </c>
      <c r="Q228">
        <v>7</v>
      </c>
      <c r="R228" s="32">
        <f t="shared" si="32"/>
        <v>2</v>
      </c>
      <c r="S228">
        <v>8</v>
      </c>
      <c r="T228">
        <v>6</v>
      </c>
      <c r="U228" s="32">
        <f t="shared" si="33"/>
        <v>2</v>
      </c>
      <c r="V228">
        <v>8</v>
      </c>
      <c r="W228">
        <v>7</v>
      </c>
      <c r="X228" s="32">
        <f t="shared" si="34"/>
        <v>1</v>
      </c>
      <c r="Y228">
        <v>9</v>
      </c>
      <c r="Z228">
        <v>7</v>
      </c>
      <c r="AA228" s="32">
        <f t="shared" si="35"/>
        <v>2</v>
      </c>
    </row>
    <row r="229" spans="1:27" x14ac:dyDescent="0.45">
      <c r="A229">
        <v>7</v>
      </c>
      <c r="B229">
        <v>7</v>
      </c>
      <c r="C229" s="32">
        <f t="shared" si="27"/>
        <v>0</v>
      </c>
      <c r="D229">
        <v>8</v>
      </c>
      <c r="E229">
        <v>8</v>
      </c>
      <c r="F229" s="32">
        <f t="shared" si="28"/>
        <v>0</v>
      </c>
      <c r="G229">
        <v>9</v>
      </c>
      <c r="H229">
        <v>7</v>
      </c>
      <c r="I229" s="32">
        <f t="shared" si="29"/>
        <v>2</v>
      </c>
      <c r="J229">
        <v>9</v>
      </c>
      <c r="K229">
        <v>8</v>
      </c>
      <c r="L229" s="32">
        <f t="shared" si="30"/>
        <v>1</v>
      </c>
      <c r="M229">
        <v>8</v>
      </c>
      <c r="N229">
        <v>7</v>
      </c>
      <c r="O229" s="32">
        <f t="shared" si="31"/>
        <v>1</v>
      </c>
      <c r="P229">
        <v>9</v>
      </c>
      <c r="Q229">
        <v>7</v>
      </c>
      <c r="R229" s="32">
        <f t="shared" si="32"/>
        <v>2</v>
      </c>
      <c r="S229">
        <v>8</v>
      </c>
      <c r="T229">
        <v>6</v>
      </c>
      <c r="U229" s="32">
        <f t="shared" si="33"/>
        <v>2</v>
      </c>
      <c r="V229">
        <v>8</v>
      </c>
      <c r="W229">
        <v>7</v>
      </c>
      <c r="X229" s="32">
        <f t="shared" si="34"/>
        <v>1</v>
      </c>
      <c r="Y229">
        <v>9</v>
      </c>
      <c r="Z229">
        <v>7</v>
      </c>
      <c r="AA229" s="32">
        <f t="shared" si="35"/>
        <v>2</v>
      </c>
    </row>
    <row r="230" spans="1:27" x14ac:dyDescent="0.45">
      <c r="A230">
        <v>7</v>
      </c>
      <c r="B230">
        <v>7</v>
      </c>
      <c r="C230" s="32">
        <f t="shared" si="27"/>
        <v>0</v>
      </c>
      <c r="D230">
        <v>8</v>
      </c>
      <c r="E230">
        <v>8</v>
      </c>
      <c r="F230" s="32">
        <f t="shared" si="28"/>
        <v>0</v>
      </c>
      <c r="G230">
        <v>9</v>
      </c>
      <c r="H230">
        <v>7</v>
      </c>
      <c r="I230" s="32">
        <f t="shared" si="29"/>
        <v>2</v>
      </c>
      <c r="J230">
        <v>9</v>
      </c>
      <c r="K230">
        <v>8</v>
      </c>
      <c r="L230" s="32">
        <f t="shared" si="30"/>
        <v>1</v>
      </c>
      <c r="M230">
        <v>8</v>
      </c>
      <c r="N230">
        <v>7</v>
      </c>
      <c r="O230" s="32">
        <f t="shared" si="31"/>
        <v>1</v>
      </c>
      <c r="P230">
        <v>9</v>
      </c>
      <c r="Q230">
        <v>7</v>
      </c>
      <c r="R230" s="32">
        <f t="shared" si="32"/>
        <v>2</v>
      </c>
      <c r="S230">
        <v>8</v>
      </c>
      <c r="T230">
        <v>6</v>
      </c>
      <c r="U230" s="32">
        <f t="shared" si="33"/>
        <v>2</v>
      </c>
      <c r="V230">
        <v>8</v>
      </c>
      <c r="W230">
        <v>7</v>
      </c>
      <c r="X230" s="32">
        <f t="shared" si="34"/>
        <v>1</v>
      </c>
      <c r="Y230">
        <v>9</v>
      </c>
      <c r="Z230">
        <v>7</v>
      </c>
      <c r="AA230" s="32">
        <f t="shared" si="35"/>
        <v>2</v>
      </c>
    </row>
    <row r="231" spans="1:27" x14ac:dyDescent="0.45">
      <c r="A231">
        <v>7</v>
      </c>
      <c r="B231">
        <v>7</v>
      </c>
      <c r="C231" s="32">
        <f t="shared" si="27"/>
        <v>0</v>
      </c>
      <c r="D231">
        <v>8</v>
      </c>
      <c r="E231">
        <v>8</v>
      </c>
      <c r="F231" s="32">
        <f t="shared" si="28"/>
        <v>0</v>
      </c>
      <c r="G231">
        <v>9</v>
      </c>
      <c r="H231">
        <v>7</v>
      </c>
      <c r="I231" s="32">
        <f t="shared" si="29"/>
        <v>2</v>
      </c>
      <c r="J231">
        <v>9</v>
      </c>
      <c r="K231">
        <v>8</v>
      </c>
      <c r="L231" s="32">
        <f t="shared" si="30"/>
        <v>1</v>
      </c>
      <c r="M231">
        <v>8</v>
      </c>
      <c r="N231">
        <v>7</v>
      </c>
      <c r="O231" s="32">
        <f t="shared" si="31"/>
        <v>1</v>
      </c>
      <c r="P231">
        <v>9</v>
      </c>
      <c r="Q231">
        <v>7</v>
      </c>
      <c r="R231" s="32">
        <f t="shared" si="32"/>
        <v>2</v>
      </c>
      <c r="S231">
        <v>8</v>
      </c>
      <c r="T231">
        <v>6</v>
      </c>
      <c r="U231" s="32">
        <f t="shared" si="33"/>
        <v>2</v>
      </c>
      <c r="V231">
        <v>8</v>
      </c>
      <c r="W231">
        <v>7</v>
      </c>
      <c r="X231" s="32">
        <f t="shared" si="34"/>
        <v>1</v>
      </c>
      <c r="Y231">
        <v>9</v>
      </c>
      <c r="Z231">
        <v>8</v>
      </c>
      <c r="AA231" s="32">
        <f t="shared" si="35"/>
        <v>1</v>
      </c>
    </row>
    <row r="232" spans="1:27" x14ac:dyDescent="0.45">
      <c r="A232">
        <v>7</v>
      </c>
      <c r="B232">
        <v>7</v>
      </c>
      <c r="C232" s="32">
        <f t="shared" si="27"/>
        <v>0</v>
      </c>
      <c r="D232">
        <v>8</v>
      </c>
      <c r="E232">
        <v>8</v>
      </c>
      <c r="F232" s="32">
        <f t="shared" si="28"/>
        <v>0</v>
      </c>
      <c r="G232">
        <v>9</v>
      </c>
      <c r="H232">
        <v>7</v>
      </c>
      <c r="I232" s="32">
        <f t="shared" si="29"/>
        <v>2</v>
      </c>
      <c r="J232">
        <v>9</v>
      </c>
      <c r="K232">
        <v>8</v>
      </c>
      <c r="L232" s="32">
        <f t="shared" si="30"/>
        <v>1</v>
      </c>
      <c r="M232">
        <v>8</v>
      </c>
      <c r="N232">
        <v>7</v>
      </c>
      <c r="O232" s="32">
        <f t="shared" si="31"/>
        <v>1</v>
      </c>
      <c r="P232">
        <v>9</v>
      </c>
      <c r="Q232">
        <v>7</v>
      </c>
      <c r="R232" s="32">
        <f t="shared" si="32"/>
        <v>2</v>
      </c>
      <c r="S232">
        <v>8</v>
      </c>
      <c r="T232">
        <v>6</v>
      </c>
      <c r="U232" s="32">
        <f t="shared" si="33"/>
        <v>2</v>
      </c>
      <c r="V232">
        <v>8</v>
      </c>
      <c r="W232">
        <v>7</v>
      </c>
      <c r="X232" s="32">
        <f t="shared" si="34"/>
        <v>1</v>
      </c>
      <c r="Y232">
        <v>9</v>
      </c>
      <c r="Z232">
        <v>8</v>
      </c>
      <c r="AA232" s="32">
        <f t="shared" si="35"/>
        <v>1</v>
      </c>
    </row>
    <row r="233" spans="1:27" x14ac:dyDescent="0.45">
      <c r="A233">
        <v>7</v>
      </c>
      <c r="B233">
        <v>7</v>
      </c>
      <c r="C233" s="32">
        <f t="shared" si="27"/>
        <v>0</v>
      </c>
      <c r="D233">
        <v>8</v>
      </c>
      <c r="E233">
        <v>8</v>
      </c>
      <c r="F233" s="32">
        <f t="shared" si="28"/>
        <v>0</v>
      </c>
      <c r="G233">
        <v>9</v>
      </c>
      <c r="H233">
        <v>7</v>
      </c>
      <c r="I233" s="32">
        <f t="shared" si="29"/>
        <v>2</v>
      </c>
      <c r="J233">
        <v>9</v>
      </c>
      <c r="K233">
        <v>8</v>
      </c>
      <c r="L233" s="32">
        <f t="shared" si="30"/>
        <v>1</v>
      </c>
      <c r="M233">
        <v>8</v>
      </c>
      <c r="N233">
        <v>7</v>
      </c>
      <c r="O233" s="32">
        <f t="shared" si="31"/>
        <v>1</v>
      </c>
      <c r="P233">
        <v>9</v>
      </c>
      <c r="Q233">
        <v>7</v>
      </c>
      <c r="R233" s="32">
        <f t="shared" si="32"/>
        <v>2</v>
      </c>
      <c r="S233">
        <v>8</v>
      </c>
      <c r="T233">
        <v>6</v>
      </c>
      <c r="U233" s="32">
        <f t="shared" si="33"/>
        <v>2</v>
      </c>
      <c r="V233">
        <v>8</v>
      </c>
      <c r="W233">
        <v>7</v>
      </c>
      <c r="X233" s="32">
        <f t="shared" si="34"/>
        <v>1</v>
      </c>
      <c r="Y233">
        <v>9</v>
      </c>
      <c r="Z233">
        <v>8</v>
      </c>
      <c r="AA233" s="32">
        <f t="shared" si="35"/>
        <v>1</v>
      </c>
    </row>
    <row r="234" spans="1:27" x14ac:dyDescent="0.45">
      <c r="A234">
        <v>7</v>
      </c>
      <c r="B234">
        <v>7</v>
      </c>
      <c r="C234" s="32">
        <f t="shared" si="27"/>
        <v>0</v>
      </c>
      <c r="D234">
        <v>8</v>
      </c>
      <c r="E234">
        <v>8</v>
      </c>
      <c r="F234" s="32">
        <f t="shared" si="28"/>
        <v>0</v>
      </c>
      <c r="G234">
        <v>9</v>
      </c>
      <c r="H234">
        <v>7</v>
      </c>
      <c r="I234" s="32">
        <f t="shared" si="29"/>
        <v>2</v>
      </c>
      <c r="J234">
        <v>9</v>
      </c>
      <c r="K234">
        <v>8</v>
      </c>
      <c r="L234" s="32">
        <f t="shared" si="30"/>
        <v>1</v>
      </c>
      <c r="M234">
        <v>8</v>
      </c>
      <c r="N234">
        <v>7</v>
      </c>
      <c r="O234" s="32">
        <f t="shared" si="31"/>
        <v>1</v>
      </c>
      <c r="P234">
        <v>9</v>
      </c>
      <c r="Q234">
        <v>7</v>
      </c>
      <c r="R234" s="32">
        <f t="shared" si="32"/>
        <v>2</v>
      </c>
      <c r="S234">
        <v>8</v>
      </c>
      <c r="T234">
        <v>6</v>
      </c>
      <c r="U234" s="32">
        <f t="shared" si="33"/>
        <v>2</v>
      </c>
      <c r="V234">
        <v>8</v>
      </c>
      <c r="W234">
        <v>7</v>
      </c>
      <c r="X234" s="32">
        <f t="shared" si="34"/>
        <v>1</v>
      </c>
      <c r="Y234">
        <v>9</v>
      </c>
      <c r="Z234">
        <v>8</v>
      </c>
      <c r="AA234" s="32">
        <f t="shared" si="35"/>
        <v>1</v>
      </c>
    </row>
    <row r="235" spans="1:27" x14ac:dyDescent="0.45">
      <c r="A235">
        <v>7</v>
      </c>
      <c r="B235">
        <v>7</v>
      </c>
      <c r="C235" s="32">
        <f t="shared" si="27"/>
        <v>0</v>
      </c>
      <c r="D235">
        <v>8</v>
      </c>
      <c r="E235">
        <v>8</v>
      </c>
      <c r="F235" s="32">
        <f t="shared" si="28"/>
        <v>0</v>
      </c>
      <c r="G235">
        <v>9</v>
      </c>
      <c r="H235">
        <v>7</v>
      </c>
      <c r="I235" s="32">
        <f t="shared" si="29"/>
        <v>2</v>
      </c>
      <c r="J235">
        <v>9</v>
      </c>
      <c r="K235">
        <v>8</v>
      </c>
      <c r="L235" s="32">
        <f t="shared" si="30"/>
        <v>1</v>
      </c>
      <c r="M235">
        <v>8</v>
      </c>
      <c r="N235">
        <v>7</v>
      </c>
      <c r="O235" s="32">
        <f t="shared" si="31"/>
        <v>1</v>
      </c>
      <c r="P235">
        <v>9</v>
      </c>
      <c r="Q235">
        <v>7</v>
      </c>
      <c r="R235" s="32">
        <f t="shared" si="32"/>
        <v>2</v>
      </c>
      <c r="S235">
        <v>8</v>
      </c>
      <c r="T235">
        <v>6</v>
      </c>
      <c r="U235" s="32">
        <f t="shared" si="33"/>
        <v>2</v>
      </c>
      <c r="V235">
        <v>8</v>
      </c>
      <c r="W235">
        <v>7</v>
      </c>
      <c r="X235" s="32">
        <f t="shared" si="34"/>
        <v>1</v>
      </c>
      <c r="Y235">
        <v>9</v>
      </c>
      <c r="Z235">
        <v>8</v>
      </c>
      <c r="AA235" s="32">
        <f t="shared" si="35"/>
        <v>1</v>
      </c>
    </row>
    <row r="236" spans="1:27" x14ac:dyDescent="0.45">
      <c r="A236">
        <v>7</v>
      </c>
      <c r="B236">
        <v>7</v>
      </c>
      <c r="C236" s="32">
        <f t="shared" si="27"/>
        <v>0</v>
      </c>
      <c r="D236">
        <v>8</v>
      </c>
      <c r="E236">
        <v>8</v>
      </c>
      <c r="F236" s="32">
        <f t="shared" si="28"/>
        <v>0</v>
      </c>
      <c r="G236">
        <v>9</v>
      </c>
      <c r="H236">
        <v>7</v>
      </c>
      <c r="I236" s="32">
        <f t="shared" si="29"/>
        <v>2</v>
      </c>
      <c r="J236">
        <v>9</v>
      </c>
      <c r="K236">
        <v>8</v>
      </c>
      <c r="L236" s="32">
        <f t="shared" si="30"/>
        <v>1</v>
      </c>
      <c r="M236">
        <v>8</v>
      </c>
      <c r="N236">
        <v>7</v>
      </c>
      <c r="O236" s="32">
        <f t="shared" si="31"/>
        <v>1</v>
      </c>
      <c r="P236">
        <v>9</v>
      </c>
      <c r="Q236">
        <v>7</v>
      </c>
      <c r="R236" s="32">
        <f t="shared" si="32"/>
        <v>2</v>
      </c>
      <c r="S236">
        <v>8</v>
      </c>
      <c r="T236">
        <v>6</v>
      </c>
      <c r="U236" s="32">
        <f t="shared" si="33"/>
        <v>2</v>
      </c>
      <c r="V236">
        <v>8</v>
      </c>
      <c r="W236">
        <v>7</v>
      </c>
      <c r="X236" s="32">
        <f t="shared" si="34"/>
        <v>1</v>
      </c>
      <c r="Y236">
        <v>9</v>
      </c>
      <c r="Z236">
        <v>8</v>
      </c>
      <c r="AA236" s="32">
        <f t="shared" si="35"/>
        <v>1</v>
      </c>
    </row>
    <row r="237" spans="1:27" x14ac:dyDescent="0.45">
      <c r="A237">
        <v>7</v>
      </c>
      <c r="B237">
        <v>8</v>
      </c>
      <c r="C237" s="32">
        <f t="shared" si="27"/>
        <v>1</v>
      </c>
      <c r="D237">
        <v>8</v>
      </c>
      <c r="E237">
        <v>8</v>
      </c>
      <c r="F237" s="32">
        <f t="shared" si="28"/>
        <v>0</v>
      </c>
      <c r="G237">
        <v>9</v>
      </c>
      <c r="H237">
        <v>7</v>
      </c>
      <c r="I237" s="32">
        <f t="shared" si="29"/>
        <v>2</v>
      </c>
      <c r="J237">
        <v>9</v>
      </c>
      <c r="K237">
        <v>8</v>
      </c>
      <c r="L237" s="32">
        <f t="shared" si="30"/>
        <v>1</v>
      </c>
      <c r="M237">
        <v>8</v>
      </c>
      <c r="N237">
        <v>7</v>
      </c>
      <c r="O237" s="32">
        <f t="shared" si="31"/>
        <v>1</v>
      </c>
      <c r="P237">
        <v>9</v>
      </c>
      <c r="Q237">
        <v>7</v>
      </c>
      <c r="R237" s="32">
        <f t="shared" si="32"/>
        <v>2</v>
      </c>
      <c r="S237">
        <v>8</v>
      </c>
      <c r="T237">
        <v>6</v>
      </c>
      <c r="U237" s="32">
        <f t="shared" si="33"/>
        <v>2</v>
      </c>
      <c r="V237">
        <v>8</v>
      </c>
      <c r="W237">
        <v>7</v>
      </c>
      <c r="X237" s="32">
        <f t="shared" si="34"/>
        <v>1</v>
      </c>
      <c r="Y237">
        <v>9</v>
      </c>
      <c r="Z237">
        <v>8</v>
      </c>
      <c r="AA237" s="32">
        <f t="shared" si="35"/>
        <v>1</v>
      </c>
    </row>
    <row r="238" spans="1:27" x14ac:dyDescent="0.45">
      <c r="A238">
        <v>7</v>
      </c>
      <c r="B238">
        <v>8</v>
      </c>
      <c r="C238" s="32">
        <f t="shared" si="27"/>
        <v>1</v>
      </c>
      <c r="D238">
        <v>8</v>
      </c>
      <c r="E238">
        <v>8</v>
      </c>
      <c r="F238" s="32">
        <f t="shared" si="28"/>
        <v>0</v>
      </c>
      <c r="G238">
        <v>9</v>
      </c>
      <c r="H238">
        <v>7</v>
      </c>
      <c r="I238" s="32">
        <f t="shared" si="29"/>
        <v>2</v>
      </c>
      <c r="J238">
        <v>9</v>
      </c>
      <c r="K238">
        <v>8</v>
      </c>
      <c r="L238" s="32">
        <f t="shared" si="30"/>
        <v>1</v>
      </c>
      <c r="M238">
        <v>8</v>
      </c>
      <c r="N238">
        <v>7</v>
      </c>
      <c r="O238" s="32">
        <f t="shared" si="31"/>
        <v>1</v>
      </c>
      <c r="P238">
        <v>9</v>
      </c>
      <c r="Q238">
        <v>7</v>
      </c>
      <c r="R238" s="32">
        <f t="shared" si="32"/>
        <v>2</v>
      </c>
      <c r="S238">
        <v>8</v>
      </c>
      <c r="T238">
        <v>7</v>
      </c>
      <c r="U238" s="32">
        <f t="shared" si="33"/>
        <v>1</v>
      </c>
      <c r="V238">
        <v>8</v>
      </c>
      <c r="W238">
        <v>7</v>
      </c>
      <c r="X238" s="32">
        <f t="shared" si="34"/>
        <v>1</v>
      </c>
      <c r="Y238">
        <v>9</v>
      </c>
      <c r="Z238">
        <v>8</v>
      </c>
      <c r="AA238" s="32">
        <f t="shared" si="35"/>
        <v>1</v>
      </c>
    </row>
    <row r="239" spans="1:27" x14ac:dyDescent="0.45">
      <c r="A239">
        <v>7</v>
      </c>
      <c r="B239">
        <v>8</v>
      </c>
      <c r="C239" s="32">
        <f t="shared" si="27"/>
        <v>1</v>
      </c>
      <c r="D239">
        <v>8</v>
      </c>
      <c r="E239">
        <v>8</v>
      </c>
      <c r="F239" s="32">
        <f t="shared" si="28"/>
        <v>0</v>
      </c>
      <c r="G239">
        <v>9</v>
      </c>
      <c r="H239">
        <v>7</v>
      </c>
      <c r="I239" s="32">
        <f t="shared" si="29"/>
        <v>2</v>
      </c>
      <c r="J239">
        <v>9</v>
      </c>
      <c r="K239">
        <v>8</v>
      </c>
      <c r="L239" s="32">
        <f t="shared" si="30"/>
        <v>1</v>
      </c>
      <c r="M239">
        <v>8</v>
      </c>
      <c r="N239">
        <v>7</v>
      </c>
      <c r="O239" s="32">
        <f t="shared" si="31"/>
        <v>1</v>
      </c>
      <c r="P239">
        <v>9</v>
      </c>
      <c r="Q239">
        <v>7</v>
      </c>
      <c r="R239" s="32">
        <f t="shared" si="32"/>
        <v>2</v>
      </c>
      <c r="S239">
        <v>8</v>
      </c>
      <c r="T239">
        <v>7</v>
      </c>
      <c r="U239" s="32">
        <f t="shared" si="33"/>
        <v>1</v>
      </c>
      <c r="V239">
        <v>8</v>
      </c>
      <c r="W239">
        <v>7</v>
      </c>
      <c r="X239" s="32">
        <f t="shared" si="34"/>
        <v>1</v>
      </c>
      <c r="Y239">
        <v>9</v>
      </c>
      <c r="Z239">
        <v>8</v>
      </c>
      <c r="AA239" s="32">
        <f t="shared" si="35"/>
        <v>1</v>
      </c>
    </row>
    <row r="240" spans="1:27" x14ac:dyDescent="0.45">
      <c r="A240">
        <v>7</v>
      </c>
      <c r="B240">
        <v>8</v>
      </c>
      <c r="C240" s="32">
        <f t="shared" si="27"/>
        <v>1</v>
      </c>
      <c r="D240">
        <v>8</v>
      </c>
      <c r="E240">
        <v>8</v>
      </c>
      <c r="F240" s="32">
        <f t="shared" si="28"/>
        <v>0</v>
      </c>
      <c r="G240">
        <v>9</v>
      </c>
      <c r="H240">
        <v>7</v>
      </c>
      <c r="I240" s="32">
        <f t="shared" si="29"/>
        <v>2</v>
      </c>
      <c r="J240">
        <v>9</v>
      </c>
      <c r="K240">
        <v>8</v>
      </c>
      <c r="L240" s="32">
        <f t="shared" si="30"/>
        <v>1</v>
      </c>
      <c r="M240">
        <v>8</v>
      </c>
      <c r="N240">
        <v>7</v>
      </c>
      <c r="O240" s="32">
        <f t="shared" si="31"/>
        <v>1</v>
      </c>
      <c r="P240">
        <v>9</v>
      </c>
      <c r="Q240">
        <v>7</v>
      </c>
      <c r="R240" s="32">
        <f t="shared" si="32"/>
        <v>2</v>
      </c>
      <c r="S240">
        <v>8</v>
      </c>
      <c r="T240">
        <v>7</v>
      </c>
      <c r="U240" s="32">
        <f t="shared" si="33"/>
        <v>1</v>
      </c>
      <c r="V240">
        <v>8</v>
      </c>
      <c r="W240">
        <v>7</v>
      </c>
      <c r="X240" s="32">
        <f t="shared" si="34"/>
        <v>1</v>
      </c>
      <c r="Y240">
        <v>9</v>
      </c>
      <c r="Z240">
        <v>8</v>
      </c>
      <c r="AA240" s="32">
        <f t="shared" si="35"/>
        <v>1</v>
      </c>
    </row>
    <row r="241" spans="1:27" x14ac:dyDescent="0.45">
      <c r="A241">
        <v>7</v>
      </c>
      <c r="B241">
        <v>8</v>
      </c>
      <c r="C241" s="32">
        <f t="shared" si="27"/>
        <v>1</v>
      </c>
      <c r="D241">
        <v>8</v>
      </c>
      <c r="E241">
        <v>8</v>
      </c>
      <c r="F241" s="32">
        <f t="shared" si="28"/>
        <v>0</v>
      </c>
      <c r="G241">
        <v>9</v>
      </c>
      <c r="H241">
        <v>7</v>
      </c>
      <c r="I241" s="32">
        <f t="shared" si="29"/>
        <v>2</v>
      </c>
      <c r="J241">
        <v>9</v>
      </c>
      <c r="K241">
        <v>8</v>
      </c>
      <c r="L241" s="32">
        <f t="shared" si="30"/>
        <v>1</v>
      </c>
      <c r="M241">
        <v>8</v>
      </c>
      <c r="N241">
        <v>7</v>
      </c>
      <c r="O241" s="32">
        <f t="shared" si="31"/>
        <v>1</v>
      </c>
      <c r="P241">
        <v>9</v>
      </c>
      <c r="Q241">
        <v>7</v>
      </c>
      <c r="R241" s="32">
        <f t="shared" si="32"/>
        <v>2</v>
      </c>
      <c r="S241">
        <v>8</v>
      </c>
      <c r="T241">
        <v>7</v>
      </c>
      <c r="U241" s="32">
        <f t="shared" si="33"/>
        <v>1</v>
      </c>
      <c r="V241">
        <v>8</v>
      </c>
      <c r="W241">
        <v>7</v>
      </c>
      <c r="X241" s="32">
        <f t="shared" si="34"/>
        <v>1</v>
      </c>
      <c r="Y241">
        <v>9</v>
      </c>
      <c r="Z241">
        <v>8</v>
      </c>
      <c r="AA241" s="32">
        <f t="shared" si="35"/>
        <v>1</v>
      </c>
    </row>
    <row r="242" spans="1:27" x14ac:dyDescent="0.45">
      <c r="A242">
        <v>7</v>
      </c>
      <c r="B242">
        <v>8</v>
      </c>
      <c r="C242" s="32">
        <f t="shared" si="27"/>
        <v>1</v>
      </c>
      <c r="D242">
        <v>8</v>
      </c>
      <c r="E242">
        <v>8</v>
      </c>
      <c r="F242" s="32">
        <f t="shared" si="28"/>
        <v>0</v>
      </c>
      <c r="G242">
        <v>9</v>
      </c>
      <c r="H242">
        <v>7</v>
      </c>
      <c r="I242" s="32">
        <f t="shared" si="29"/>
        <v>2</v>
      </c>
      <c r="J242">
        <v>9</v>
      </c>
      <c r="K242">
        <v>8</v>
      </c>
      <c r="L242" s="32">
        <f t="shared" si="30"/>
        <v>1</v>
      </c>
      <c r="M242">
        <v>8</v>
      </c>
      <c r="N242">
        <v>7</v>
      </c>
      <c r="O242" s="32">
        <f t="shared" si="31"/>
        <v>1</v>
      </c>
      <c r="P242">
        <v>9</v>
      </c>
      <c r="Q242">
        <v>7</v>
      </c>
      <c r="R242" s="32">
        <f t="shared" si="32"/>
        <v>2</v>
      </c>
      <c r="S242">
        <v>8</v>
      </c>
      <c r="T242">
        <v>7</v>
      </c>
      <c r="U242" s="32">
        <f t="shared" si="33"/>
        <v>1</v>
      </c>
      <c r="V242">
        <v>8</v>
      </c>
      <c r="W242">
        <v>7</v>
      </c>
      <c r="X242" s="32">
        <f t="shared" si="34"/>
        <v>1</v>
      </c>
      <c r="Y242">
        <v>9</v>
      </c>
      <c r="Z242">
        <v>8</v>
      </c>
      <c r="AA242" s="32">
        <f t="shared" si="35"/>
        <v>1</v>
      </c>
    </row>
    <row r="243" spans="1:27" x14ac:dyDescent="0.45">
      <c r="A243">
        <v>7</v>
      </c>
      <c r="B243">
        <v>8</v>
      </c>
      <c r="C243" s="32">
        <f t="shared" si="27"/>
        <v>1</v>
      </c>
      <c r="D243">
        <v>8</v>
      </c>
      <c r="E243">
        <v>8</v>
      </c>
      <c r="F243" s="32">
        <f t="shared" si="28"/>
        <v>0</v>
      </c>
      <c r="G243">
        <v>9</v>
      </c>
      <c r="H243">
        <v>7</v>
      </c>
      <c r="I243" s="32">
        <f t="shared" si="29"/>
        <v>2</v>
      </c>
      <c r="J243">
        <v>9</v>
      </c>
      <c r="K243">
        <v>8</v>
      </c>
      <c r="L243" s="32">
        <f t="shared" si="30"/>
        <v>1</v>
      </c>
      <c r="M243">
        <v>8</v>
      </c>
      <c r="N243">
        <v>7</v>
      </c>
      <c r="O243" s="32">
        <f t="shared" si="31"/>
        <v>1</v>
      </c>
      <c r="P243">
        <v>9</v>
      </c>
      <c r="Q243">
        <v>7</v>
      </c>
      <c r="R243" s="32">
        <f t="shared" si="32"/>
        <v>2</v>
      </c>
      <c r="S243">
        <v>8</v>
      </c>
      <c r="T243">
        <v>7</v>
      </c>
      <c r="U243" s="32">
        <f t="shared" si="33"/>
        <v>1</v>
      </c>
      <c r="V243">
        <v>8</v>
      </c>
      <c r="W243">
        <v>7</v>
      </c>
      <c r="X243" s="32">
        <f t="shared" si="34"/>
        <v>1</v>
      </c>
      <c r="Y243">
        <v>9</v>
      </c>
      <c r="Z243">
        <v>8</v>
      </c>
      <c r="AA243" s="32">
        <f t="shared" si="35"/>
        <v>1</v>
      </c>
    </row>
    <row r="244" spans="1:27" x14ac:dyDescent="0.45">
      <c r="A244">
        <v>7</v>
      </c>
      <c r="B244">
        <v>8</v>
      </c>
      <c r="C244" s="32">
        <f t="shared" si="27"/>
        <v>1</v>
      </c>
      <c r="D244">
        <v>8</v>
      </c>
      <c r="E244">
        <v>8</v>
      </c>
      <c r="F244" s="32">
        <f t="shared" si="28"/>
        <v>0</v>
      </c>
      <c r="G244">
        <v>9</v>
      </c>
      <c r="H244">
        <v>7</v>
      </c>
      <c r="I244" s="32">
        <f t="shared" si="29"/>
        <v>2</v>
      </c>
      <c r="J244">
        <v>9</v>
      </c>
      <c r="K244">
        <v>8</v>
      </c>
      <c r="L244" s="32">
        <f t="shared" si="30"/>
        <v>1</v>
      </c>
      <c r="M244">
        <v>8</v>
      </c>
      <c r="N244">
        <v>7</v>
      </c>
      <c r="O244" s="32">
        <f t="shared" si="31"/>
        <v>1</v>
      </c>
      <c r="P244">
        <v>9</v>
      </c>
      <c r="Q244">
        <v>7</v>
      </c>
      <c r="R244" s="32">
        <f t="shared" si="32"/>
        <v>2</v>
      </c>
      <c r="S244">
        <v>8</v>
      </c>
      <c r="T244">
        <v>7</v>
      </c>
      <c r="U244" s="32">
        <f t="shared" si="33"/>
        <v>1</v>
      </c>
      <c r="V244">
        <v>8</v>
      </c>
      <c r="W244">
        <v>7</v>
      </c>
      <c r="X244" s="32">
        <f t="shared" si="34"/>
        <v>1</v>
      </c>
      <c r="Y244">
        <v>9</v>
      </c>
      <c r="Z244">
        <v>8</v>
      </c>
      <c r="AA244" s="32">
        <f t="shared" si="35"/>
        <v>1</v>
      </c>
    </row>
    <row r="245" spans="1:27" x14ac:dyDescent="0.45">
      <c r="A245">
        <v>7</v>
      </c>
      <c r="B245">
        <v>8</v>
      </c>
      <c r="C245" s="32">
        <f t="shared" si="27"/>
        <v>1</v>
      </c>
      <c r="D245">
        <v>8</v>
      </c>
      <c r="E245">
        <v>8</v>
      </c>
      <c r="F245" s="32">
        <f t="shared" si="28"/>
        <v>0</v>
      </c>
      <c r="G245">
        <v>9</v>
      </c>
      <c r="H245">
        <v>7</v>
      </c>
      <c r="I245" s="32">
        <f t="shared" si="29"/>
        <v>2</v>
      </c>
      <c r="J245">
        <v>9</v>
      </c>
      <c r="K245">
        <v>8</v>
      </c>
      <c r="L245" s="32">
        <f t="shared" si="30"/>
        <v>1</v>
      </c>
      <c r="M245">
        <v>8</v>
      </c>
      <c r="N245">
        <v>7</v>
      </c>
      <c r="O245" s="32">
        <f t="shared" si="31"/>
        <v>1</v>
      </c>
      <c r="P245">
        <v>9</v>
      </c>
      <c r="Q245">
        <v>7</v>
      </c>
      <c r="R245" s="32">
        <f t="shared" si="32"/>
        <v>2</v>
      </c>
      <c r="S245">
        <v>8</v>
      </c>
      <c r="T245">
        <v>7</v>
      </c>
      <c r="U245" s="32">
        <f t="shared" si="33"/>
        <v>1</v>
      </c>
      <c r="V245">
        <v>8</v>
      </c>
      <c r="W245">
        <v>7</v>
      </c>
      <c r="X245" s="32">
        <f t="shared" si="34"/>
        <v>1</v>
      </c>
      <c r="Y245">
        <v>9</v>
      </c>
      <c r="Z245">
        <v>8</v>
      </c>
      <c r="AA245" s="32">
        <f t="shared" si="35"/>
        <v>1</v>
      </c>
    </row>
    <row r="246" spans="1:27" x14ac:dyDescent="0.45">
      <c r="A246">
        <v>7</v>
      </c>
      <c r="B246">
        <v>8</v>
      </c>
      <c r="C246" s="32">
        <f t="shared" si="27"/>
        <v>1</v>
      </c>
      <c r="D246">
        <v>8</v>
      </c>
      <c r="E246">
        <v>8</v>
      </c>
      <c r="F246" s="32">
        <f t="shared" si="28"/>
        <v>0</v>
      </c>
      <c r="G246">
        <v>9</v>
      </c>
      <c r="H246">
        <v>7</v>
      </c>
      <c r="I246" s="32">
        <f t="shared" si="29"/>
        <v>2</v>
      </c>
      <c r="J246">
        <v>9</v>
      </c>
      <c r="K246">
        <v>8</v>
      </c>
      <c r="L246" s="32">
        <f t="shared" si="30"/>
        <v>1</v>
      </c>
      <c r="M246">
        <v>8</v>
      </c>
      <c r="N246">
        <v>7</v>
      </c>
      <c r="O246" s="32">
        <f t="shared" si="31"/>
        <v>1</v>
      </c>
      <c r="P246">
        <v>9</v>
      </c>
      <c r="Q246">
        <v>7</v>
      </c>
      <c r="R246" s="32">
        <f t="shared" si="32"/>
        <v>2</v>
      </c>
      <c r="S246">
        <v>8</v>
      </c>
      <c r="T246">
        <v>7</v>
      </c>
      <c r="U246" s="32">
        <f t="shared" si="33"/>
        <v>1</v>
      </c>
      <c r="V246">
        <v>8</v>
      </c>
      <c r="W246">
        <v>7</v>
      </c>
      <c r="X246" s="32">
        <f t="shared" si="34"/>
        <v>1</v>
      </c>
      <c r="Y246">
        <v>9</v>
      </c>
      <c r="Z246">
        <v>8</v>
      </c>
      <c r="AA246" s="32">
        <f t="shared" si="35"/>
        <v>1</v>
      </c>
    </row>
    <row r="247" spans="1:27" x14ac:dyDescent="0.45">
      <c r="A247">
        <v>7</v>
      </c>
      <c r="B247">
        <v>8</v>
      </c>
      <c r="C247" s="32">
        <f t="shared" si="27"/>
        <v>1</v>
      </c>
      <c r="D247">
        <v>8</v>
      </c>
      <c r="E247">
        <v>8</v>
      </c>
      <c r="F247" s="32">
        <f t="shared" si="28"/>
        <v>0</v>
      </c>
      <c r="G247">
        <v>9</v>
      </c>
      <c r="H247">
        <v>7</v>
      </c>
      <c r="I247" s="32">
        <f t="shared" si="29"/>
        <v>2</v>
      </c>
      <c r="J247">
        <v>9</v>
      </c>
      <c r="K247">
        <v>8</v>
      </c>
      <c r="L247" s="32">
        <f t="shared" si="30"/>
        <v>1</v>
      </c>
      <c r="M247">
        <v>8</v>
      </c>
      <c r="N247">
        <v>7</v>
      </c>
      <c r="O247" s="32">
        <f t="shared" si="31"/>
        <v>1</v>
      </c>
      <c r="P247">
        <v>9</v>
      </c>
      <c r="Q247">
        <v>7</v>
      </c>
      <c r="R247" s="32">
        <f t="shared" si="32"/>
        <v>2</v>
      </c>
      <c r="S247">
        <v>8</v>
      </c>
      <c r="T247">
        <v>7</v>
      </c>
      <c r="U247" s="32">
        <f t="shared" si="33"/>
        <v>1</v>
      </c>
      <c r="V247">
        <v>8</v>
      </c>
      <c r="W247">
        <v>7</v>
      </c>
      <c r="X247" s="32">
        <f t="shared" si="34"/>
        <v>1</v>
      </c>
      <c r="Y247">
        <v>9</v>
      </c>
      <c r="Z247">
        <v>8</v>
      </c>
      <c r="AA247" s="32">
        <f t="shared" si="35"/>
        <v>1</v>
      </c>
    </row>
    <row r="248" spans="1:27" x14ac:dyDescent="0.45">
      <c r="A248">
        <v>7</v>
      </c>
      <c r="B248">
        <v>8</v>
      </c>
      <c r="C248" s="32">
        <f t="shared" si="27"/>
        <v>1</v>
      </c>
      <c r="D248">
        <v>8</v>
      </c>
      <c r="E248">
        <v>8</v>
      </c>
      <c r="F248" s="32">
        <f t="shared" si="28"/>
        <v>0</v>
      </c>
      <c r="G248">
        <v>9</v>
      </c>
      <c r="H248">
        <v>7</v>
      </c>
      <c r="I248" s="32">
        <f t="shared" si="29"/>
        <v>2</v>
      </c>
      <c r="J248">
        <v>9</v>
      </c>
      <c r="K248">
        <v>8</v>
      </c>
      <c r="L248" s="32">
        <f t="shared" si="30"/>
        <v>1</v>
      </c>
      <c r="M248">
        <v>8</v>
      </c>
      <c r="N248">
        <v>7</v>
      </c>
      <c r="O248" s="32">
        <f t="shared" si="31"/>
        <v>1</v>
      </c>
      <c r="P248">
        <v>9</v>
      </c>
      <c r="Q248">
        <v>7</v>
      </c>
      <c r="R248" s="32">
        <f t="shared" si="32"/>
        <v>2</v>
      </c>
      <c r="S248">
        <v>8</v>
      </c>
      <c r="T248">
        <v>7</v>
      </c>
      <c r="U248" s="32">
        <f t="shared" si="33"/>
        <v>1</v>
      </c>
      <c r="V248">
        <v>8</v>
      </c>
      <c r="W248">
        <v>7</v>
      </c>
      <c r="X248" s="32">
        <f t="shared" si="34"/>
        <v>1</v>
      </c>
      <c r="Y248">
        <v>9</v>
      </c>
      <c r="Z248">
        <v>8</v>
      </c>
      <c r="AA248" s="32">
        <f t="shared" si="35"/>
        <v>1</v>
      </c>
    </row>
    <row r="249" spans="1:27" x14ac:dyDescent="0.45">
      <c r="A249">
        <v>7</v>
      </c>
      <c r="B249">
        <v>8</v>
      </c>
      <c r="C249" s="32">
        <f t="shared" si="27"/>
        <v>1</v>
      </c>
      <c r="D249">
        <v>8</v>
      </c>
      <c r="E249">
        <v>8</v>
      </c>
      <c r="F249" s="32">
        <f t="shared" si="28"/>
        <v>0</v>
      </c>
      <c r="G249">
        <v>9</v>
      </c>
      <c r="H249">
        <v>7</v>
      </c>
      <c r="I249" s="32">
        <f t="shared" si="29"/>
        <v>2</v>
      </c>
      <c r="J249">
        <v>9</v>
      </c>
      <c r="K249">
        <v>8</v>
      </c>
      <c r="L249" s="32">
        <f t="shared" si="30"/>
        <v>1</v>
      </c>
      <c r="M249">
        <v>8</v>
      </c>
      <c r="N249">
        <v>7</v>
      </c>
      <c r="O249" s="32">
        <f t="shared" si="31"/>
        <v>1</v>
      </c>
      <c r="P249">
        <v>9</v>
      </c>
      <c r="Q249">
        <v>7</v>
      </c>
      <c r="R249" s="32">
        <f t="shared" si="32"/>
        <v>2</v>
      </c>
      <c r="S249">
        <v>8</v>
      </c>
      <c r="T249">
        <v>7</v>
      </c>
      <c r="U249" s="32">
        <f t="shared" si="33"/>
        <v>1</v>
      </c>
      <c r="V249">
        <v>8</v>
      </c>
      <c r="W249">
        <v>7</v>
      </c>
      <c r="X249" s="32">
        <f t="shared" si="34"/>
        <v>1</v>
      </c>
      <c r="Y249">
        <v>9</v>
      </c>
      <c r="Z249">
        <v>8</v>
      </c>
      <c r="AA249" s="32">
        <f t="shared" si="35"/>
        <v>1</v>
      </c>
    </row>
    <row r="250" spans="1:27" x14ac:dyDescent="0.45">
      <c r="A250">
        <v>7</v>
      </c>
      <c r="B250">
        <v>8</v>
      </c>
      <c r="C250" s="32">
        <f t="shared" si="27"/>
        <v>1</v>
      </c>
      <c r="D250">
        <v>8</v>
      </c>
      <c r="E250">
        <v>8</v>
      </c>
      <c r="F250" s="32">
        <f t="shared" si="28"/>
        <v>0</v>
      </c>
      <c r="G250">
        <v>9</v>
      </c>
      <c r="H250">
        <v>7</v>
      </c>
      <c r="I250" s="32">
        <f t="shared" si="29"/>
        <v>2</v>
      </c>
      <c r="J250">
        <v>9</v>
      </c>
      <c r="K250">
        <v>8</v>
      </c>
      <c r="L250" s="32">
        <f t="shared" si="30"/>
        <v>1</v>
      </c>
      <c r="M250">
        <v>8</v>
      </c>
      <c r="N250">
        <v>7</v>
      </c>
      <c r="O250" s="32">
        <f t="shared" si="31"/>
        <v>1</v>
      </c>
      <c r="P250">
        <v>9</v>
      </c>
      <c r="Q250">
        <v>8</v>
      </c>
      <c r="R250" s="32">
        <f t="shared" si="32"/>
        <v>1</v>
      </c>
      <c r="S250">
        <v>8</v>
      </c>
      <c r="T250">
        <v>7</v>
      </c>
      <c r="U250" s="32">
        <f t="shared" si="33"/>
        <v>1</v>
      </c>
      <c r="V250">
        <v>8</v>
      </c>
      <c r="W250">
        <v>7</v>
      </c>
      <c r="X250" s="32">
        <f t="shared" si="34"/>
        <v>1</v>
      </c>
      <c r="Y250">
        <v>9</v>
      </c>
      <c r="Z250">
        <v>8</v>
      </c>
      <c r="AA250" s="32">
        <f t="shared" si="35"/>
        <v>1</v>
      </c>
    </row>
    <row r="251" spans="1:27" x14ac:dyDescent="0.45">
      <c r="A251">
        <v>7</v>
      </c>
      <c r="B251">
        <v>8</v>
      </c>
      <c r="C251" s="32">
        <f t="shared" si="27"/>
        <v>1</v>
      </c>
      <c r="D251">
        <v>8</v>
      </c>
      <c r="E251">
        <v>8</v>
      </c>
      <c r="F251" s="32">
        <f t="shared" si="28"/>
        <v>0</v>
      </c>
      <c r="G251">
        <v>9</v>
      </c>
      <c r="H251">
        <v>7</v>
      </c>
      <c r="I251" s="32">
        <f t="shared" si="29"/>
        <v>2</v>
      </c>
      <c r="J251">
        <v>9</v>
      </c>
      <c r="K251">
        <v>8</v>
      </c>
      <c r="L251" s="32">
        <f t="shared" si="30"/>
        <v>1</v>
      </c>
      <c r="M251">
        <v>8</v>
      </c>
      <c r="N251">
        <v>7</v>
      </c>
      <c r="O251" s="32">
        <f t="shared" si="31"/>
        <v>1</v>
      </c>
      <c r="P251">
        <v>9</v>
      </c>
      <c r="Q251">
        <v>8</v>
      </c>
      <c r="R251" s="32">
        <f t="shared" si="32"/>
        <v>1</v>
      </c>
      <c r="S251">
        <v>8</v>
      </c>
      <c r="T251">
        <v>7</v>
      </c>
      <c r="U251" s="32">
        <f t="shared" si="33"/>
        <v>1</v>
      </c>
      <c r="V251">
        <v>8</v>
      </c>
      <c r="W251">
        <v>7</v>
      </c>
      <c r="X251" s="32">
        <f t="shared" si="34"/>
        <v>1</v>
      </c>
      <c r="Y251">
        <v>9</v>
      </c>
      <c r="Z251">
        <v>8</v>
      </c>
      <c r="AA251" s="32">
        <f t="shared" si="35"/>
        <v>1</v>
      </c>
    </row>
    <row r="252" spans="1:27" x14ac:dyDescent="0.45">
      <c r="A252">
        <v>7</v>
      </c>
      <c r="B252">
        <v>8</v>
      </c>
      <c r="C252" s="32">
        <f t="shared" si="27"/>
        <v>1</v>
      </c>
      <c r="D252">
        <v>8</v>
      </c>
      <c r="E252">
        <v>8</v>
      </c>
      <c r="F252" s="32">
        <f t="shared" si="28"/>
        <v>0</v>
      </c>
      <c r="G252">
        <v>9</v>
      </c>
      <c r="H252">
        <v>7</v>
      </c>
      <c r="I252" s="32">
        <f t="shared" si="29"/>
        <v>2</v>
      </c>
      <c r="J252">
        <v>9</v>
      </c>
      <c r="K252">
        <v>8</v>
      </c>
      <c r="L252" s="32">
        <f t="shared" si="30"/>
        <v>1</v>
      </c>
      <c r="M252">
        <v>8</v>
      </c>
      <c r="N252">
        <v>7</v>
      </c>
      <c r="O252" s="32">
        <f t="shared" si="31"/>
        <v>1</v>
      </c>
      <c r="P252">
        <v>9</v>
      </c>
      <c r="Q252">
        <v>8</v>
      </c>
      <c r="R252" s="32">
        <f t="shared" si="32"/>
        <v>1</v>
      </c>
      <c r="S252">
        <v>8</v>
      </c>
      <c r="T252">
        <v>7</v>
      </c>
      <c r="U252" s="32">
        <f t="shared" si="33"/>
        <v>1</v>
      </c>
      <c r="V252">
        <v>8</v>
      </c>
      <c r="W252">
        <v>7</v>
      </c>
      <c r="X252" s="32">
        <f t="shared" si="34"/>
        <v>1</v>
      </c>
      <c r="Y252">
        <v>9</v>
      </c>
      <c r="Z252">
        <v>8</v>
      </c>
      <c r="AA252" s="32">
        <f t="shared" si="35"/>
        <v>1</v>
      </c>
    </row>
    <row r="253" spans="1:27" x14ac:dyDescent="0.45">
      <c r="A253">
        <v>7</v>
      </c>
      <c r="B253">
        <v>8</v>
      </c>
      <c r="C253" s="32">
        <f t="shared" si="27"/>
        <v>1</v>
      </c>
      <c r="D253">
        <v>8</v>
      </c>
      <c r="E253">
        <v>8</v>
      </c>
      <c r="F253" s="32">
        <f t="shared" si="28"/>
        <v>0</v>
      </c>
      <c r="G253">
        <v>9</v>
      </c>
      <c r="H253">
        <v>7</v>
      </c>
      <c r="I253" s="32">
        <f t="shared" si="29"/>
        <v>2</v>
      </c>
      <c r="J253">
        <v>9</v>
      </c>
      <c r="K253">
        <v>8</v>
      </c>
      <c r="L253" s="32">
        <f t="shared" si="30"/>
        <v>1</v>
      </c>
      <c r="M253">
        <v>8</v>
      </c>
      <c r="N253">
        <v>7</v>
      </c>
      <c r="O253" s="32">
        <f t="shared" si="31"/>
        <v>1</v>
      </c>
      <c r="P253">
        <v>9</v>
      </c>
      <c r="Q253">
        <v>8</v>
      </c>
      <c r="R253" s="32">
        <f t="shared" si="32"/>
        <v>1</v>
      </c>
      <c r="S253">
        <v>8</v>
      </c>
      <c r="T253">
        <v>7</v>
      </c>
      <c r="U253" s="32">
        <f t="shared" si="33"/>
        <v>1</v>
      </c>
      <c r="V253">
        <v>8</v>
      </c>
      <c r="W253">
        <v>7</v>
      </c>
      <c r="X253" s="32">
        <f t="shared" si="34"/>
        <v>1</v>
      </c>
      <c r="Y253">
        <v>9</v>
      </c>
      <c r="Z253">
        <v>8</v>
      </c>
      <c r="AA253" s="32">
        <f t="shared" si="35"/>
        <v>1</v>
      </c>
    </row>
    <row r="254" spans="1:27" x14ac:dyDescent="0.45">
      <c r="A254">
        <v>7</v>
      </c>
      <c r="B254">
        <v>8</v>
      </c>
      <c r="C254" s="32">
        <f t="shared" si="27"/>
        <v>1</v>
      </c>
      <c r="D254">
        <v>8</v>
      </c>
      <c r="E254">
        <v>8</v>
      </c>
      <c r="F254" s="32">
        <f t="shared" si="28"/>
        <v>0</v>
      </c>
      <c r="G254">
        <v>9</v>
      </c>
      <c r="H254">
        <v>7</v>
      </c>
      <c r="I254" s="32">
        <f t="shared" si="29"/>
        <v>2</v>
      </c>
      <c r="J254">
        <v>9</v>
      </c>
      <c r="K254">
        <v>8</v>
      </c>
      <c r="L254" s="32">
        <f t="shared" si="30"/>
        <v>1</v>
      </c>
      <c r="M254">
        <v>8</v>
      </c>
      <c r="N254">
        <v>7</v>
      </c>
      <c r="O254" s="32">
        <f t="shared" si="31"/>
        <v>1</v>
      </c>
      <c r="P254">
        <v>9</v>
      </c>
      <c r="Q254">
        <v>8</v>
      </c>
      <c r="R254" s="32">
        <f t="shared" si="32"/>
        <v>1</v>
      </c>
      <c r="S254">
        <v>8</v>
      </c>
      <c r="T254">
        <v>7</v>
      </c>
      <c r="U254" s="32">
        <f t="shared" si="33"/>
        <v>1</v>
      </c>
      <c r="V254">
        <v>8</v>
      </c>
      <c r="W254">
        <v>7</v>
      </c>
      <c r="X254" s="32">
        <f t="shared" si="34"/>
        <v>1</v>
      </c>
      <c r="Y254">
        <v>9</v>
      </c>
      <c r="Z254">
        <v>8</v>
      </c>
      <c r="AA254" s="32">
        <f t="shared" si="35"/>
        <v>1</v>
      </c>
    </row>
    <row r="255" spans="1:27" x14ac:dyDescent="0.45">
      <c r="A255">
        <v>7</v>
      </c>
      <c r="B255">
        <v>8</v>
      </c>
      <c r="C255" s="32">
        <f t="shared" si="27"/>
        <v>1</v>
      </c>
      <c r="D255">
        <v>8</v>
      </c>
      <c r="E255">
        <v>8</v>
      </c>
      <c r="F255" s="32">
        <f t="shared" si="28"/>
        <v>0</v>
      </c>
      <c r="G255">
        <v>9</v>
      </c>
      <c r="H255">
        <v>7</v>
      </c>
      <c r="I255" s="32">
        <f t="shared" si="29"/>
        <v>2</v>
      </c>
      <c r="J255">
        <v>9</v>
      </c>
      <c r="K255">
        <v>8</v>
      </c>
      <c r="L255" s="32">
        <f t="shared" si="30"/>
        <v>1</v>
      </c>
      <c r="M255">
        <v>8</v>
      </c>
      <c r="N255">
        <v>7</v>
      </c>
      <c r="O255" s="32">
        <f t="shared" si="31"/>
        <v>1</v>
      </c>
      <c r="P255">
        <v>9</v>
      </c>
      <c r="Q255">
        <v>8</v>
      </c>
      <c r="R255" s="32">
        <f t="shared" si="32"/>
        <v>1</v>
      </c>
      <c r="S255">
        <v>8</v>
      </c>
      <c r="T255">
        <v>7</v>
      </c>
      <c r="U255" s="32">
        <f t="shared" si="33"/>
        <v>1</v>
      </c>
      <c r="V255">
        <v>8</v>
      </c>
      <c r="W255">
        <v>7</v>
      </c>
      <c r="X255" s="32">
        <f t="shared" si="34"/>
        <v>1</v>
      </c>
      <c r="Y255">
        <v>9</v>
      </c>
      <c r="Z255">
        <v>8</v>
      </c>
      <c r="AA255" s="32">
        <f t="shared" si="35"/>
        <v>1</v>
      </c>
    </row>
    <row r="256" spans="1:27" x14ac:dyDescent="0.45">
      <c r="A256">
        <v>7</v>
      </c>
      <c r="B256">
        <v>8</v>
      </c>
      <c r="C256" s="32">
        <f t="shared" si="27"/>
        <v>1</v>
      </c>
      <c r="D256">
        <v>8</v>
      </c>
      <c r="E256">
        <v>8</v>
      </c>
      <c r="F256" s="32">
        <f t="shared" si="28"/>
        <v>0</v>
      </c>
      <c r="G256">
        <v>9</v>
      </c>
      <c r="H256">
        <v>7</v>
      </c>
      <c r="I256" s="32">
        <f t="shared" si="29"/>
        <v>2</v>
      </c>
      <c r="J256">
        <v>9</v>
      </c>
      <c r="K256">
        <v>8</v>
      </c>
      <c r="L256" s="32">
        <f t="shared" si="30"/>
        <v>1</v>
      </c>
      <c r="M256">
        <v>8</v>
      </c>
      <c r="N256">
        <v>7</v>
      </c>
      <c r="O256" s="32">
        <f t="shared" si="31"/>
        <v>1</v>
      </c>
      <c r="P256">
        <v>9</v>
      </c>
      <c r="Q256">
        <v>8</v>
      </c>
      <c r="R256" s="32">
        <f t="shared" si="32"/>
        <v>1</v>
      </c>
      <c r="S256">
        <v>8</v>
      </c>
      <c r="T256">
        <v>7</v>
      </c>
      <c r="U256" s="32">
        <f t="shared" si="33"/>
        <v>1</v>
      </c>
      <c r="V256">
        <v>8</v>
      </c>
      <c r="W256">
        <v>7</v>
      </c>
      <c r="X256" s="32">
        <f t="shared" si="34"/>
        <v>1</v>
      </c>
      <c r="Y256">
        <v>9</v>
      </c>
      <c r="Z256">
        <v>8</v>
      </c>
      <c r="AA256" s="32">
        <f t="shared" si="35"/>
        <v>1</v>
      </c>
    </row>
    <row r="257" spans="1:27" x14ac:dyDescent="0.45">
      <c r="A257">
        <v>7</v>
      </c>
      <c r="B257">
        <v>8</v>
      </c>
      <c r="C257" s="32">
        <f t="shared" si="27"/>
        <v>1</v>
      </c>
      <c r="D257">
        <v>8</v>
      </c>
      <c r="E257">
        <v>8</v>
      </c>
      <c r="F257" s="32">
        <f t="shared" si="28"/>
        <v>0</v>
      </c>
      <c r="G257">
        <v>9</v>
      </c>
      <c r="H257">
        <v>7</v>
      </c>
      <c r="I257" s="32">
        <f t="shared" si="29"/>
        <v>2</v>
      </c>
      <c r="J257">
        <v>9</v>
      </c>
      <c r="K257">
        <v>8</v>
      </c>
      <c r="L257" s="32">
        <f t="shared" si="30"/>
        <v>1</v>
      </c>
      <c r="M257">
        <v>8</v>
      </c>
      <c r="N257">
        <v>7</v>
      </c>
      <c r="O257" s="32">
        <f t="shared" si="31"/>
        <v>1</v>
      </c>
      <c r="P257">
        <v>9</v>
      </c>
      <c r="Q257">
        <v>8</v>
      </c>
      <c r="R257" s="32">
        <f t="shared" si="32"/>
        <v>1</v>
      </c>
      <c r="S257">
        <v>8</v>
      </c>
      <c r="T257">
        <v>7</v>
      </c>
      <c r="U257" s="32">
        <f t="shared" si="33"/>
        <v>1</v>
      </c>
      <c r="V257">
        <v>8</v>
      </c>
      <c r="W257">
        <v>7</v>
      </c>
      <c r="X257" s="32">
        <f t="shared" si="34"/>
        <v>1</v>
      </c>
      <c r="Y257">
        <v>9</v>
      </c>
      <c r="Z257">
        <v>8</v>
      </c>
      <c r="AA257" s="32">
        <f t="shared" si="35"/>
        <v>1</v>
      </c>
    </row>
    <row r="258" spans="1:27" x14ac:dyDescent="0.45">
      <c r="A258">
        <v>7</v>
      </c>
      <c r="B258">
        <v>8</v>
      </c>
      <c r="C258" s="32">
        <f t="shared" si="27"/>
        <v>1</v>
      </c>
      <c r="D258">
        <v>8</v>
      </c>
      <c r="E258">
        <v>8</v>
      </c>
      <c r="F258" s="32">
        <f t="shared" si="28"/>
        <v>0</v>
      </c>
      <c r="G258">
        <v>9</v>
      </c>
      <c r="H258">
        <v>7</v>
      </c>
      <c r="I258" s="32">
        <f t="shared" si="29"/>
        <v>2</v>
      </c>
      <c r="J258">
        <v>9</v>
      </c>
      <c r="K258">
        <v>8</v>
      </c>
      <c r="L258" s="32">
        <f t="shared" si="30"/>
        <v>1</v>
      </c>
      <c r="M258">
        <v>8</v>
      </c>
      <c r="N258">
        <v>7</v>
      </c>
      <c r="O258" s="32">
        <f t="shared" si="31"/>
        <v>1</v>
      </c>
      <c r="P258">
        <v>9</v>
      </c>
      <c r="Q258">
        <v>8</v>
      </c>
      <c r="R258" s="32">
        <f t="shared" si="32"/>
        <v>1</v>
      </c>
      <c r="S258">
        <v>8</v>
      </c>
      <c r="T258">
        <v>7</v>
      </c>
      <c r="U258" s="32">
        <f t="shared" si="33"/>
        <v>1</v>
      </c>
      <c r="V258">
        <v>8</v>
      </c>
      <c r="W258">
        <v>7</v>
      </c>
      <c r="X258" s="32">
        <f t="shared" si="34"/>
        <v>1</v>
      </c>
      <c r="Y258">
        <v>9</v>
      </c>
      <c r="Z258">
        <v>8</v>
      </c>
      <c r="AA258" s="32">
        <f t="shared" si="35"/>
        <v>1</v>
      </c>
    </row>
    <row r="259" spans="1:27" x14ac:dyDescent="0.45">
      <c r="A259">
        <v>7</v>
      </c>
      <c r="B259">
        <v>8</v>
      </c>
      <c r="C259" s="32">
        <f t="shared" ref="C259:C322" si="36">ABS(B259-A259)</f>
        <v>1</v>
      </c>
      <c r="D259">
        <v>8</v>
      </c>
      <c r="E259">
        <v>8</v>
      </c>
      <c r="F259" s="32">
        <f t="shared" ref="F259:F322" si="37">ABS(E259-D259)</f>
        <v>0</v>
      </c>
      <c r="G259">
        <v>9</v>
      </c>
      <c r="H259">
        <v>7</v>
      </c>
      <c r="I259" s="32">
        <f t="shared" ref="I259:I322" si="38">ABS(H259-G259)</f>
        <v>2</v>
      </c>
      <c r="J259">
        <v>9</v>
      </c>
      <c r="K259">
        <v>8</v>
      </c>
      <c r="L259" s="32">
        <f t="shared" ref="L259:L322" si="39">ABS(K259-J259)</f>
        <v>1</v>
      </c>
      <c r="M259">
        <v>8</v>
      </c>
      <c r="N259">
        <v>7</v>
      </c>
      <c r="O259" s="32">
        <f t="shared" ref="O259:O322" si="40">ABS(N259-M259)</f>
        <v>1</v>
      </c>
      <c r="P259">
        <v>9</v>
      </c>
      <c r="Q259">
        <v>8</v>
      </c>
      <c r="R259" s="32">
        <f t="shared" ref="R259:R322" si="41">ABS(Q259-P259)</f>
        <v>1</v>
      </c>
      <c r="S259">
        <v>8</v>
      </c>
      <c r="T259">
        <v>7</v>
      </c>
      <c r="U259" s="32">
        <f t="shared" ref="U259:U322" si="42">ABS(T259-S259)</f>
        <v>1</v>
      </c>
      <c r="V259">
        <v>8</v>
      </c>
      <c r="W259">
        <v>7</v>
      </c>
      <c r="X259" s="32">
        <f t="shared" ref="X259:X322" si="43">ABS(W259-V259)</f>
        <v>1</v>
      </c>
      <c r="Y259">
        <v>9</v>
      </c>
      <c r="Z259">
        <v>8</v>
      </c>
      <c r="AA259" s="32">
        <f t="shared" ref="AA259:AA322" si="44">ABS(Z259-Y259)</f>
        <v>1</v>
      </c>
    </row>
    <row r="260" spans="1:27" x14ac:dyDescent="0.45">
      <c r="A260">
        <v>7</v>
      </c>
      <c r="B260">
        <v>8</v>
      </c>
      <c r="C260" s="32">
        <f t="shared" si="36"/>
        <v>1</v>
      </c>
      <c r="D260">
        <v>8</v>
      </c>
      <c r="E260">
        <v>8</v>
      </c>
      <c r="F260" s="32">
        <f t="shared" si="37"/>
        <v>0</v>
      </c>
      <c r="G260">
        <v>9</v>
      </c>
      <c r="H260">
        <v>7</v>
      </c>
      <c r="I260" s="32">
        <f t="shared" si="38"/>
        <v>2</v>
      </c>
      <c r="J260">
        <v>9</v>
      </c>
      <c r="K260">
        <v>8</v>
      </c>
      <c r="L260" s="32">
        <f t="shared" si="39"/>
        <v>1</v>
      </c>
      <c r="M260">
        <v>8</v>
      </c>
      <c r="N260">
        <v>7</v>
      </c>
      <c r="O260" s="32">
        <f t="shared" si="40"/>
        <v>1</v>
      </c>
      <c r="P260">
        <v>9</v>
      </c>
      <c r="Q260">
        <v>8</v>
      </c>
      <c r="R260" s="32">
        <f t="shared" si="41"/>
        <v>1</v>
      </c>
      <c r="S260">
        <v>8</v>
      </c>
      <c r="T260">
        <v>7</v>
      </c>
      <c r="U260" s="32">
        <f t="shared" si="42"/>
        <v>1</v>
      </c>
      <c r="V260">
        <v>8</v>
      </c>
      <c r="W260">
        <v>7</v>
      </c>
      <c r="X260" s="32">
        <f t="shared" si="43"/>
        <v>1</v>
      </c>
      <c r="Y260">
        <v>9</v>
      </c>
      <c r="Z260">
        <v>8</v>
      </c>
      <c r="AA260" s="32">
        <f t="shared" si="44"/>
        <v>1</v>
      </c>
    </row>
    <row r="261" spans="1:27" x14ac:dyDescent="0.45">
      <c r="A261">
        <v>7</v>
      </c>
      <c r="B261">
        <v>8</v>
      </c>
      <c r="C261" s="32">
        <f t="shared" si="36"/>
        <v>1</v>
      </c>
      <c r="D261">
        <v>8</v>
      </c>
      <c r="E261">
        <v>8</v>
      </c>
      <c r="F261" s="32">
        <f t="shared" si="37"/>
        <v>0</v>
      </c>
      <c r="G261">
        <v>9</v>
      </c>
      <c r="H261">
        <v>7</v>
      </c>
      <c r="I261" s="32">
        <f t="shared" si="38"/>
        <v>2</v>
      </c>
      <c r="J261">
        <v>9</v>
      </c>
      <c r="K261">
        <v>8</v>
      </c>
      <c r="L261" s="32">
        <f t="shared" si="39"/>
        <v>1</v>
      </c>
      <c r="M261">
        <v>8</v>
      </c>
      <c r="N261">
        <v>7</v>
      </c>
      <c r="O261" s="32">
        <f t="shared" si="40"/>
        <v>1</v>
      </c>
      <c r="P261">
        <v>9</v>
      </c>
      <c r="Q261">
        <v>8</v>
      </c>
      <c r="R261" s="32">
        <f t="shared" si="41"/>
        <v>1</v>
      </c>
      <c r="S261">
        <v>8</v>
      </c>
      <c r="T261">
        <v>7</v>
      </c>
      <c r="U261" s="32">
        <f t="shared" si="42"/>
        <v>1</v>
      </c>
      <c r="V261">
        <v>8</v>
      </c>
      <c r="W261">
        <v>7</v>
      </c>
      <c r="X261" s="32">
        <f t="shared" si="43"/>
        <v>1</v>
      </c>
      <c r="Y261">
        <v>9</v>
      </c>
      <c r="Z261">
        <v>8</v>
      </c>
      <c r="AA261" s="32">
        <f t="shared" si="44"/>
        <v>1</v>
      </c>
    </row>
    <row r="262" spans="1:27" x14ac:dyDescent="0.45">
      <c r="A262">
        <v>7</v>
      </c>
      <c r="B262">
        <v>8</v>
      </c>
      <c r="C262" s="32">
        <f t="shared" si="36"/>
        <v>1</v>
      </c>
      <c r="D262">
        <v>8</v>
      </c>
      <c r="E262">
        <v>8</v>
      </c>
      <c r="F262" s="32">
        <f t="shared" si="37"/>
        <v>0</v>
      </c>
      <c r="G262">
        <v>9</v>
      </c>
      <c r="H262">
        <v>8</v>
      </c>
      <c r="I262" s="32">
        <f t="shared" si="38"/>
        <v>1</v>
      </c>
      <c r="J262">
        <v>9</v>
      </c>
      <c r="K262">
        <v>8</v>
      </c>
      <c r="L262" s="32">
        <f t="shared" si="39"/>
        <v>1</v>
      </c>
      <c r="M262">
        <v>8</v>
      </c>
      <c r="N262">
        <v>7</v>
      </c>
      <c r="O262" s="32">
        <f t="shared" si="40"/>
        <v>1</v>
      </c>
      <c r="P262">
        <v>9</v>
      </c>
      <c r="Q262">
        <v>8</v>
      </c>
      <c r="R262" s="32">
        <f t="shared" si="41"/>
        <v>1</v>
      </c>
      <c r="S262">
        <v>8</v>
      </c>
      <c r="T262">
        <v>7</v>
      </c>
      <c r="U262" s="32">
        <f t="shared" si="42"/>
        <v>1</v>
      </c>
      <c r="V262">
        <v>8</v>
      </c>
      <c r="W262">
        <v>7</v>
      </c>
      <c r="X262" s="32">
        <f t="shared" si="43"/>
        <v>1</v>
      </c>
      <c r="Y262">
        <v>9</v>
      </c>
      <c r="Z262">
        <v>8</v>
      </c>
      <c r="AA262" s="32">
        <f t="shared" si="44"/>
        <v>1</v>
      </c>
    </row>
    <row r="263" spans="1:27" x14ac:dyDescent="0.45">
      <c r="A263">
        <v>7</v>
      </c>
      <c r="B263">
        <v>8</v>
      </c>
      <c r="C263" s="32">
        <f t="shared" si="36"/>
        <v>1</v>
      </c>
      <c r="D263">
        <v>8</v>
      </c>
      <c r="E263">
        <v>8</v>
      </c>
      <c r="F263" s="32">
        <f t="shared" si="37"/>
        <v>0</v>
      </c>
      <c r="G263">
        <v>9</v>
      </c>
      <c r="H263">
        <v>8</v>
      </c>
      <c r="I263" s="32">
        <f t="shared" si="38"/>
        <v>1</v>
      </c>
      <c r="J263">
        <v>9</v>
      </c>
      <c r="K263">
        <v>8</v>
      </c>
      <c r="L263" s="32">
        <f t="shared" si="39"/>
        <v>1</v>
      </c>
      <c r="M263">
        <v>8</v>
      </c>
      <c r="N263">
        <v>7</v>
      </c>
      <c r="O263" s="32">
        <f t="shared" si="40"/>
        <v>1</v>
      </c>
      <c r="P263">
        <v>9</v>
      </c>
      <c r="Q263">
        <v>8</v>
      </c>
      <c r="R263" s="32">
        <f t="shared" si="41"/>
        <v>1</v>
      </c>
      <c r="S263">
        <v>8</v>
      </c>
      <c r="T263">
        <v>7</v>
      </c>
      <c r="U263" s="32">
        <f t="shared" si="42"/>
        <v>1</v>
      </c>
      <c r="V263">
        <v>8</v>
      </c>
      <c r="W263">
        <v>7</v>
      </c>
      <c r="X263" s="32">
        <f t="shared" si="43"/>
        <v>1</v>
      </c>
      <c r="Y263">
        <v>9</v>
      </c>
      <c r="Z263">
        <v>8</v>
      </c>
      <c r="AA263" s="32">
        <f t="shared" si="44"/>
        <v>1</v>
      </c>
    </row>
    <row r="264" spans="1:27" x14ac:dyDescent="0.45">
      <c r="A264">
        <v>7</v>
      </c>
      <c r="B264">
        <v>8</v>
      </c>
      <c r="C264" s="32">
        <f t="shared" si="36"/>
        <v>1</v>
      </c>
      <c r="D264">
        <v>8</v>
      </c>
      <c r="E264">
        <v>8</v>
      </c>
      <c r="F264" s="32">
        <f t="shared" si="37"/>
        <v>0</v>
      </c>
      <c r="G264">
        <v>9</v>
      </c>
      <c r="H264">
        <v>8</v>
      </c>
      <c r="I264" s="32">
        <f t="shared" si="38"/>
        <v>1</v>
      </c>
      <c r="J264">
        <v>9</v>
      </c>
      <c r="K264">
        <v>8</v>
      </c>
      <c r="L264" s="32">
        <f t="shared" si="39"/>
        <v>1</v>
      </c>
      <c r="M264">
        <v>8</v>
      </c>
      <c r="N264">
        <v>7</v>
      </c>
      <c r="O264" s="32">
        <f t="shared" si="40"/>
        <v>1</v>
      </c>
      <c r="P264">
        <v>9</v>
      </c>
      <c r="Q264">
        <v>8</v>
      </c>
      <c r="R264" s="32">
        <f t="shared" si="41"/>
        <v>1</v>
      </c>
      <c r="S264">
        <v>8</v>
      </c>
      <c r="T264">
        <v>7</v>
      </c>
      <c r="U264" s="32">
        <f t="shared" si="42"/>
        <v>1</v>
      </c>
      <c r="V264">
        <v>8</v>
      </c>
      <c r="W264">
        <v>7</v>
      </c>
      <c r="X264" s="32">
        <f t="shared" si="43"/>
        <v>1</v>
      </c>
      <c r="Y264">
        <v>9</v>
      </c>
      <c r="Z264">
        <v>8</v>
      </c>
      <c r="AA264" s="32">
        <f t="shared" si="44"/>
        <v>1</v>
      </c>
    </row>
    <row r="265" spans="1:27" x14ac:dyDescent="0.45">
      <c r="A265">
        <v>7</v>
      </c>
      <c r="B265">
        <v>8</v>
      </c>
      <c r="C265" s="32">
        <f t="shared" si="36"/>
        <v>1</v>
      </c>
      <c r="D265">
        <v>8</v>
      </c>
      <c r="E265">
        <v>8</v>
      </c>
      <c r="F265" s="32">
        <f t="shared" si="37"/>
        <v>0</v>
      </c>
      <c r="G265">
        <v>9</v>
      </c>
      <c r="H265">
        <v>8</v>
      </c>
      <c r="I265" s="32">
        <f t="shared" si="38"/>
        <v>1</v>
      </c>
      <c r="J265">
        <v>9</v>
      </c>
      <c r="K265">
        <v>8</v>
      </c>
      <c r="L265" s="32">
        <f t="shared" si="39"/>
        <v>1</v>
      </c>
      <c r="M265">
        <v>8</v>
      </c>
      <c r="N265">
        <v>7</v>
      </c>
      <c r="O265" s="32">
        <f t="shared" si="40"/>
        <v>1</v>
      </c>
      <c r="P265">
        <v>9</v>
      </c>
      <c r="Q265">
        <v>8</v>
      </c>
      <c r="R265" s="32">
        <f t="shared" si="41"/>
        <v>1</v>
      </c>
      <c r="S265">
        <v>8</v>
      </c>
      <c r="T265">
        <v>7</v>
      </c>
      <c r="U265" s="32">
        <f t="shared" si="42"/>
        <v>1</v>
      </c>
      <c r="V265">
        <v>8</v>
      </c>
      <c r="W265">
        <v>7</v>
      </c>
      <c r="X265" s="32">
        <f t="shared" si="43"/>
        <v>1</v>
      </c>
      <c r="Y265">
        <v>9</v>
      </c>
      <c r="Z265">
        <v>8</v>
      </c>
      <c r="AA265" s="32">
        <f t="shared" si="44"/>
        <v>1</v>
      </c>
    </row>
    <row r="266" spans="1:27" x14ac:dyDescent="0.45">
      <c r="A266">
        <v>7</v>
      </c>
      <c r="B266">
        <v>8</v>
      </c>
      <c r="C266" s="32">
        <f t="shared" si="36"/>
        <v>1</v>
      </c>
      <c r="D266">
        <v>8</v>
      </c>
      <c r="E266">
        <v>8</v>
      </c>
      <c r="F266" s="32">
        <f t="shared" si="37"/>
        <v>0</v>
      </c>
      <c r="G266">
        <v>9</v>
      </c>
      <c r="H266">
        <v>8</v>
      </c>
      <c r="I266" s="32">
        <f t="shared" si="38"/>
        <v>1</v>
      </c>
      <c r="J266">
        <v>9</v>
      </c>
      <c r="K266">
        <v>8</v>
      </c>
      <c r="L266" s="32">
        <f t="shared" si="39"/>
        <v>1</v>
      </c>
      <c r="M266">
        <v>8</v>
      </c>
      <c r="N266">
        <v>7</v>
      </c>
      <c r="O266" s="32">
        <f t="shared" si="40"/>
        <v>1</v>
      </c>
      <c r="P266">
        <v>9</v>
      </c>
      <c r="Q266">
        <v>8</v>
      </c>
      <c r="R266" s="32">
        <f t="shared" si="41"/>
        <v>1</v>
      </c>
      <c r="S266">
        <v>8</v>
      </c>
      <c r="T266">
        <v>7</v>
      </c>
      <c r="U266" s="32">
        <f t="shared" si="42"/>
        <v>1</v>
      </c>
      <c r="V266">
        <v>8</v>
      </c>
      <c r="W266">
        <v>7</v>
      </c>
      <c r="X266" s="32">
        <f t="shared" si="43"/>
        <v>1</v>
      </c>
      <c r="Y266">
        <v>9</v>
      </c>
      <c r="Z266">
        <v>8</v>
      </c>
      <c r="AA266" s="32">
        <f t="shared" si="44"/>
        <v>1</v>
      </c>
    </row>
    <row r="267" spans="1:27" x14ac:dyDescent="0.45">
      <c r="A267">
        <v>7</v>
      </c>
      <c r="B267">
        <v>8</v>
      </c>
      <c r="C267" s="32">
        <f t="shared" si="36"/>
        <v>1</v>
      </c>
      <c r="D267">
        <v>8</v>
      </c>
      <c r="E267">
        <v>8</v>
      </c>
      <c r="F267" s="32">
        <f t="shared" si="37"/>
        <v>0</v>
      </c>
      <c r="G267">
        <v>9</v>
      </c>
      <c r="H267">
        <v>8</v>
      </c>
      <c r="I267" s="32">
        <f t="shared" si="38"/>
        <v>1</v>
      </c>
      <c r="J267">
        <v>9</v>
      </c>
      <c r="K267">
        <v>8</v>
      </c>
      <c r="L267" s="32">
        <f t="shared" si="39"/>
        <v>1</v>
      </c>
      <c r="M267">
        <v>8</v>
      </c>
      <c r="N267">
        <v>7</v>
      </c>
      <c r="O267" s="32">
        <f t="shared" si="40"/>
        <v>1</v>
      </c>
      <c r="P267">
        <v>9</v>
      </c>
      <c r="Q267">
        <v>8</v>
      </c>
      <c r="R267" s="32">
        <f t="shared" si="41"/>
        <v>1</v>
      </c>
      <c r="S267">
        <v>8</v>
      </c>
      <c r="T267">
        <v>7</v>
      </c>
      <c r="U267" s="32">
        <f t="shared" si="42"/>
        <v>1</v>
      </c>
      <c r="V267">
        <v>8</v>
      </c>
      <c r="W267">
        <v>7</v>
      </c>
      <c r="X267" s="32">
        <f t="shared" si="43"/>
        <v>1</v>
      </c>
      <c r="Y267">
        <v>9</v>
      </c>
      <c r="Z267">
        <v>8</v>
      </c>
      <c r="AA267" s="32">
        <f t="shared" si="44"/>
        <v>1</v>
      </c>
    </row>
    <row r="268" spans="1:27" x14ac:dyDescent="0.45">
      <c r="A268">
        <v>7</v>
      </c>
      <c r="B268">
        <v>8</v>
      </c>
      <c r="C268" s="32">
        <f t="shared" si="36"/>
        <v>1</v>
      </c>
      <c r="D268">
        <v>8</v>
      </c>
      <c r="E268">
        <v>8</v>
      </c>
      <c r="F268" s="32">
        <f t="shared" si="37"/>
        <v>0</v>
      </c>
      <c r="G268">
        <v>9</v>
      </c>
      <c r="H268">
        <v>8</v>
      </c>
      <c r="I268" s="32">
        <f t="shared" si="38"/>
        <v>1</v>
      </c>
      <c r="J268">
        <v>9</v>
      </c>
      <c r="K268">
        <v>8</v>
      </c>
      <c r="L268" s="32">
        <f t="shared" si="39"/>
        <v>1</v>
      </c>
      <c r="M268">
        <v>8</v>
      </c>
      <c r="N268">
        <v>7</v>
      </c>
      <c r="O268" s="32">
        <f t="shared" si="40"/>
        <v>1</v>
      </c>
      <c r="P268">
        <v>9</v>
      </c>
      <c r="Q268">
        <v>8</v>
      </c>
      <c r="R268" s="32">
        <f t="shared" si="41"/>
        <v>1</v>
      </c>
      <c r="S268">
        <v>8</v>
      </c>
      <c r="T268">
        <v>7</v>
      </c>
      <c r="U268" s="32">
        <f t="shared" si="42"/>
        <v>1</v>
      </c>
      <c r="V268">
        <v>8</v>
      </c>
      <c r="W268">
        <v>7</v>
      </c>
      <c r="X268" s="32">
        <f t="shared" si="43"/>
        <v>1</v>
      </c>
      <c r="Y268">
        <v>9</v>
      </c>
      <c r="Z268">
        <v>8</v>
      </c>
      <c r="AA268" s="32">
        <f t="shared" si="44"/>
        <v>1</v>
      </c>
    </row>
    <row r="269" spans="1:27" x14ac:dyDescent="0.45">
      <c r="A269">
        <v>7</v>
      </c>
      <c r="B269">
        <v>8</v>
      </c>
      <c r="C269" s="32">
        <f t="shared" si="36"/>
        <v>1</v>
      </c>
      <c r="D269">
        <v>8</v>
      </c>
      <c r="E269">
        <v>8</v>
      </c>
      <c r="F269" s="32">
        <f t="shared" si="37"/>
        <v>0</v>
      </c>
      <c r="G269">
        <v>9</v>
      </c>
      <c r="H269">
        <v>8</v>
      </c>
      <c r="I269" s="32">
        <f t="shared" si="38"/>
        <v>1</v>
      </c>
      <c r="J269">
        <v>9</v>
      </c>
      <c r="K269">
        <v>8</v>
      </c>
      <c r="L269" s="32">
        <f t="shared" si="39"/>
        <v>1</v>
      </c>
      <c r="M269">
        <v>8</v>
      </c>
      <c r="N269">
        <v>7</v>
      </c>
      <c r="O269" s="32">
        <f t="shared" si="40"/>
        <v>1</v>
      </c>
      <c r="P269">
        <v>9</v>
      </c>
      <c r="Q269">
        <v>8</v>
      </c>
      <c r="R269" s="32">
        <f t="shared" si="41"/>
        <v>1</v>
      </c>
      <c r="S269">
        <v>8</v>
      </c>
      <c r="T269">
        <v>7</v>
      </c>
      <c r="U269" s="32">
        <f t="shared" si="42"/>
        <v>1</v>
      </c>
      <c r="V269">
        <v>8</v>
      </c>
      <c r="W269">
        <v>7</v>
      </c>
      <c r="X269" s="32">
        <f t="shared" si="43"/>
        <v>1</v>
      </c>
      <c r="Y269">
        <v>9</v>
      </c>
      <c r="Z269">
        <v>8</v>
      </c>
      <c r="AA269" s="32">
        <f t="shared" si="44"/>
        <v>1</v>
      </c>
    </row>
    <row r="270" spans="1:27" x14ac:dyDescent="0.45">
      <c r="A270">
        <v>7</v>
      </c>
      <c r="B270">
        <v>8</v>
      </c>
      <c r="C270" s="32">
        <f t="shared" si="36"/>
        <v>1</v>
      </c>
      <c r="D270">
        <v>8</v>
      </c>
      <c r="E270">
        <v>8</v>
      </c>
      <c r="F270" s="32">
        <f t="shared" si="37"/>
        <v>0</v>
      </c>
      <c r="G270">
        <v>9</v>
      </c>
      <c r="H270">
        <v>8</v>
      </c>
      <c r="I270" s="32">
        <f t="shared" si="38"/>
        <v>1</v>
      </c>
      <c r="J270">
        <v>9</v>
      </c>
      <c r="K270">
        <v>8</v>
      </c>
      <c r="L270" s="32">
        <f t="shared" si="39"/>
        <v>1</v>
      </c>
      <c r="M270">
        <v>8</v>
      </c>
      <c r="N270">
        <v>7</v>
      </c>
      <c r="O270" s="32">
        <f t="shared" si="40"/>
        <v>1</v>
      </c>
      <c r="P270">
        <v>9</v>
      </c>
      <c r="Q270">
        <v>8</v>
      </c>
      <c r="R270" s="32">
        <f t="shared" si="41"/>
        <v>1</v>
      </c>
      <c r="S270">
        <v>8</v>
      </c>
      <c r="T270">
        <v>7</v>
      </c>
      <c r="U270" s="32">
        <f t="shared" si="42"/>
        <v>1</v>
      </c>
      <c r="V270">
        <v>8</v>
      </c>
      <c r="W270">
        <v>7</v>
      </c>
      <c r="X270" s="32">
        <f t="shared" si="43"/>
        <v>1</v>
      </c>
      <c r="Y270">
        <v>9</v>
      </c>
      <c r="Z270">
        <v>8</v>
      </c>
      <c r="AA270" s="32">
        <f t="shared" si="44"/>
        <v>1</v>
      </c>
    </row>
    <row r="271" spans="1:27" x14ac:dyDescent="0.45">
      <c r="A271">
        <v>7</v>
      </c>
      <c r="B271">
        <v>8</v>
      </c>
      <c r="C271" s="32">
        <f t="shared" si="36"/>
        <v>1</v>
      </c>
      <c r="D271">
        <v>8</v>
      </c>
      <c r="E271">
        <v>8</v>
      </c>
      <c r="F271" s="32">
        <f t="shared" si="37"/>
        <v>0</v>
      </c>
      <c r="G271">
        <v>9</v>
      </c>
      <c r="H271">
        <v>8</v>
      </c>
      <c r="I271" s="32">
        <f t="shared" si="38"/>
        <v>1</v>
      </c>
      <c r="J271">
        <v>9</v>
      </c>
      <c r="K271">
        <v>8</v>
      </c>
      <c r="L271" s="32">
        <f t="shared" si="39"/>
        <v>1</v>
      </c>
      <c r="M271">
        <v>8</v>
      </c>
      <c r="N271">
        <v>7</v>
      </c>
      <c r="O271" s="32">
        <f t="shared" si="40"/>
        <v>1</v>
      </c>
      <c r="P271">
        <v>9</v>
      </c>
      <c r="Q271">
        <v>8</v>
      </c>
      <c r="R271" s="32">
        <f t="shared" si="41"/>
        <v>1</v>
      </c>
      <c r="S271">
        <v>8</v>
      </c>
      <c r="T271">
        <v>7</v>
      </c>
      <c r="U271" s="32">
        <f t="shared" si="42"/>
        <v>1</v>
      </c>
      <c r="V271">
        <v>8</v>
      </c>
      <c r="W271">
        <v>7</v>
      </c>
      <c r="X271" s="32">
        <f t="shared" si="43"/>
        <v>1</v>
      </c>
      <c r="Y271">
        <v>9</v>
      </c>
      <c r="Z271">
        <v>8</v>
      </c>
      <c r="AA271" s="32">
        <f t="shared" si="44"/>
        <v>1</v>
      </c>
    </row>
    <row r="272" spans="1:27" x14ac:dyDescent="0.45">
      <c r="A272">
        <v>7</v>
      </c>
      <c r="B272">
        <v>8</v>
      </c>
      <c r="C272" s="32">
        <f t="shared" si="36"/>
        <v>1</v>
      </c>
      <c r="D272">
        <v>8</v>
      </c>
      <c r="E272">
        <v>8</v>
      </c>
      <c r="F272" s="32">
        <f t="shared" si="37"/>
        <v>0</v>
      </c>
      <c r="G272">
        <v>9</v>
      </c>
      <c r="H272">
        <v>8</v>
      </c>
      <c r="I272" s="32">
        <f t="shared" si="38"/>
        <v>1</v>
      </c>
      <c r="J272">
        <v>9</v>
      </c>
      <c r="K272">
        <v>8</v>
      </c>
      <c r="L272" s="32">
        <f t="shared" si="39"/>
        <v>1</v>
      </c>
      <c r="M272">
        <v>8</v>
      </c>
      <c r="N272">
        <v>7</v>
      </c>
      <c r="O272" s="32">
        <f t="shared" si="40"/>
        <v>1</v>
      </c>
      <c r="P272">
        <v>9</v>
      </c>
      <c r="Q272">
        <v>8</v>
      </c>
      <c r="R272" s="32">
        <f t="shared" si="41"/>
        <v>1</v>
      </c>
      <c r="S272">
        <v>8</v>
      </c>
      <c r="T272">
        <v>7</v>
      </c>
      <c r="U272" s="32">
        <f t="shared" si="42"/>
        <v>1</v>
      </c>
      <c r="V272">
        <v>8</v>
      </c>
      <c r="W272">
        <v>7</v>
      </c>
      <c r="X272" s="32">
        <f t="shared" si="43"/>
        <v>1</v>
      </c>
      <c r="Y272">
        <v>9</v>
      </c>
      <c r="Z272">
        <v>8</v>
      </c>
      <c r="AA272" s="32">
        <f t="shared" si="44"/>
        <v>1</v>
      </c>
    </row>
    <row r="273" spans="1:27" x14ac:dyDescent="0.45">
      <c r="A273">
        <v>7</v>
      </c>
      <c r="B273">
        <v>8</v>
      </c>
      <c r="C273" s="32">
        <f t="shared" si="36"/>
        <v>1</v>
      </c>
      <c r="D273">
        <v>8</v>
      </c>
      <c r="E273">
        <v>8</v>
      </c>
      <c r="F273" s="32">
        <f t="shared" si="37"/>
        <v>0</v>
      </c>
      <c r="G273">
        <v>9</v>
      </c>
      <c r="H273">
        <v>8</v>
      </c>
      <c r="I273" s="32">
        <f t="shared" si="38"/>
        <v>1</v>
      </c>
      <c r="J273">
        <v>9</v>
      </c>
      <c r="K273">
        <v>8</v>
      </c>
      <c r="L273" s="32">
        <f t="shared" si="39"/>
        <v>1</v>
      </c>
      <c r="M273">
        <v>8</v>
      </c>
      <c r="N273">
        <v>7</v>
      </c>
      <c r="O273" s="32">
        <f t="shared" si="40"/>
        <v>1</v>
      </c>
      <c r="P273">
        <v>9</v>
      </c>
      <c r="Q273">
        <v>8</v>
      </c>
      <c r="R273" s="32">
        <f t="shared" si="41"/>
        <v>1</v>
      </c>
      <c r="S273">
        <v>8</v>
      </c>
      <c r="T273">
        <v>7</v>
      </c>
      <c r="U273" s="32">
        <f t="shared" si="42"/>
        <v>1</v>
      </c>
      <c r="V273">
        <v>8</v>
      </c>
      <c r="W273">
        <v>7</v>
      </c>
      <c r="X273" s="32">
        <f t="shared" si="43"/>
        <v>1</v>
      </c>
      <c r="Y273">
        <v>9</v>
      </c>
      <c r="Z273">
        <v>8</v>
      </c>
      <c r="AA273" s="32">
        <f t="shared" si="44"/>
        <v>1</v>
      </c>
    </row>
    <row r="274" spans="1:27" x14ac:dyDescent="0.45">
      <c r="A274">
        <v>7</v>
      </c>
      <c r="B274">
        <v>8</v>
      </c>
      <c r="C274" s="32">
        <f t="shared" si="36"/>
        <v>1</v>
      </c>
      <c r="D274">
        <v>8</v>
      </c>
      <c r="E274">
        <v>8</v>
      </c>
      <c r="F274" s="32">
        <f t="shared" si="37"/>
        <v>0</v>
      </c>
      <c r="G274">
        <v>9</v>
      </c>
      <c r="H274">
        <v>8</v>
      </c>
      <c r="I274" s="32">
        <f t="shared" si="38"/>
        <v>1</v>
      </c>
      <c r="J274">
        <v>9</v>
      </c>
      <c r="K274">
        <v>8</v>
      </c>
      <c r="L274" s="32">
        <f t="shared" si="39"/>
        <v>1</v>
      </c>
      <c r="M274">
        <v>8</v>
      </c>
      <c r="N274">
        <v>7</v>
      </c>
      <c r="O274" s="32">
        <f t="shared" si="40"/>
        <v>1</v>
      </c>
      <c r="P274">
        <v>9</v>
      </c>
      <c r="Q274">
        <v>8</v>
      </c>
      <c r="R274" s="32">
        <f t="shared" si="41"/>
        <v>1</v>
      </c>
      <c r="S274">
        <v>8</v>
      </c>
      <c r="T274">
        <v>7</v>
      </c>
      <c r="U274" s="32">
        <f t="shared" si="42"/>
        <v>1</v>
      </c>
      <c r="V274">
        <v>8</v>
      </c>
      <c r="W274">
        <v>7</v>
      </c>
      <c r="X274" s="32">
        <f t="shared" si="43"/>
        <v>1</v>
      </c>
      <c r="Y274">
        <v>9</v>
      </c>
      <c r="Z274">
        <v>8</v>
      </c>
      <c r="AA274" s="32">
        <f t="shared" si="44"/>
        <v>1</v>
      </c>
    </row>
    <row r="275" spans="1:27" x14ac:dyDescent="0.45">
      <c r="A275">
        <v>7</v>
      </c>
      <c r="B275">
        <v>8</v>
      </c>
      <c r="C275" s="32">
        <f t="shared" si="36"/>
        <v>1</v>
      </c>
      <c r="D275">
        <v>8</v>
      </c>
      <c r="E275">
        <v>8</v>
      </c>
      <c r="F275" s="32">
        <f t="shared" si="37"/>
        <v>0</v>
      </c>
      <c r="G275">
        <v>9</v>
      </c>
      <c r="H275">
        <v>8</v>
      </c>
      <c r="I275" s="32">
        <f t="shared" si="38"/>
        <v>1</v>
      </c>
      <c r="J275">
        <v>9</v>
      </c>
      <c r="K275">
        <v>8</v>
      </c>
      <c r="L275" s="32">
        <f t="shared" si="39"/>
        <v>1</v>
      </c>
      <c r="M275">
        <v>8</v>
      </c>
      <c r="N275">
        <v>7</v>
      </c>
      <c r="O275" s="32">
        <f t="shared" si="40"/>
        <v>1</v>
      </c>
      <c r="P275">
        <v>9</v>
      </c>
      <c r="Q275">
        <v>8</v>
      </c>
      <c r="R275" s="32">
        <f t="shared" si="41"/>
        <v>1</v>
      </c>
      <c r="S275">
        <v>8</v>
      </c>
      <c r="T275">
        <v>7</v>
      </c>
      <c r="U275" s="32">
        <f t="shared" si="42"/>
        <v>1</v>
      </c>
      <c r="V275">
        <v>8</v>
      </c>
      <c r="W275">
        <v>7</v>
      </c>
      <c r="X275" s="32">
        <f t="shared" si="43"/>
        <v>1</v>
      </c>
      <c r="Y275">
        <v>9</v>
      </c>
      <c r="Z275">
        <v>8</v>
      </c>
      <c r="AA275" s="32">
        <f t="shared" si="44"/>
        <v>1</v>
      </c>
    </row>
    <row r="276" spans="1:27" x14ac:dyDescent="0.45">
      <c r="A276">
        <v>7</v>
      </c>
      <c r="B276">
        <v>8</v>
      </c>
      <c r="C276" s="32">
        <f t="shared" si="36"/>
        <v>1</v>
      </c>
      <c r="D276">
        <v>8</v>
      </c>
      <c r="E276">
        <v>8</v>
      </c>
      <c r="F276" s="32">
        <f t="shared" si="37"/>
        <v>0</v>
      </c>
      <c r="G276">
        <v>9</v>
      </c>
      <c r="H276">
        <v>8</v>
      </c>
      <c r="I276" s="32">
        <f t="shared" si="38"/>
        <v>1</v>
      </c>
      <c r="J276">
        <v>9</v>
      </c>
      <c r="K276">
        <v>8</v>
      </c>
      <c r="L276" s="32">
        <f t="shared" si="39"/>
        <v>1</v>
      </c>
      <c r="M276">
        <v>8</v>
      </c>
      <c r="N276">
        <v>7</v>
      </c>
      <c r="O276" s="32">
        <f t="shared" si="40"/>
        <v>1</v>
      </c>
      <c r="P276">
        <v>9</v>
      </c>
      <c r="Q276">
        <v>8</v>
      </c>
      <c r="R276" s="32">
        <f t="shared" si="41"/>
        <v>1</v>
      </c>
      <c r="S276">
        <v>8</v>
      </c>
      <c r="T276">
        <v>7</v>
      </c>
      <c r="U276" s="32">
        <f t="shared" si="42"/>
        <v>1</v>
      </c>
      <c r="V276">
        <v>8</v>
      </c>
      <c r="W276">
        <v>7</v>
      </c>
      <c r="X276" s="32">
        <f t="shared" si="43"/>
        <v>1</v>
      </c>
      <c r="Y276">
        <v>9</v>
      </c>
      <c r="Z276">
        <v>8</v>
      </c>
      <c r="AA276" s="32">
        <f t="shared" si="44"/>
        <v>1</v>
      </c>
    </row>
    <row r="277" spans="1:27" x14ac:dyDescent="0.45">
      <c r="A277">
        <v>7</v>
      </c>
      <c r="B277">
        <v>8</v>
      </c>
      <c r="C277" s="32">
        <f t="shared" si="36"/>
        <v>1</v>
      </c>
      <c r="D277">
        <v>8</v>
      </c>
      <c r="E277">
        <v>8</v>
      </c>
      <c r="F277" s="32">
        <f t="shared" si="37"/>
        <v>0</v>
      </c>
      <c r="G277">
        <v>9</v>
      </c>
      <c r="H277">
        <v>8</v>
      </c>
      <c r="I277" s="32">
        <f t="shared" si="38"/>
        <v>1</v>
      </c>
      <c r="J277">
        <v>9</v>
      </c>
      <c r="K277">
        <v>8</v>
      </c>
      <c r="L277" s="32">
        <f t="shared" si="39"/>
        <v>1</v>
      </c>
      <c r="M277">
        <v>8</v>
      </c>
      <c r="N277">
        <v>8</v>
      </c>
      <c r="O277" s="32">
        <f t="shared" si="40"/>
        <v>0</v>
      </c>
      <c r="P277">
        <v>9</v>
      </c>
      <c r="Q277">
        <v>8</v>
      </c>
      <c r="R277" s="32">
        <f t="shared" si="41"/>
        <v>1</v>
      </c>
      <c r="S277">
        <v>8</v>
      </c>
      <c r="T277">
        <v>7</v>
      </c>
      <c r="U277" s="32">
        <f t="shared" si="42"/>
        <v>1</v>
      </c>
      <c r="V277">
        <v>8</v>
      </c>
      <c r="W277">
        <v>7</v>
      </c>
      <c r="X277" s="32">
        <f t="shared" si="43"/>
        <v>1</v>
      </c>
      <c r="Y277">
        <v>9</v>
      </c>
      <c r="Z277">
        <v>8</v>
      </c>
      <c r="AA277" s="32">
        <f t="shared" si="44"/>
        <v>1</v>
      </c>
    </row>
    <row r="278" spans="1:27" x14ac:dyDescent="0.45">
      <c r="A278">
        <v>7</v>
      </c>
      <c r="B278">
        <v>8</v>
      </c>
      <c r="C278" s="32">
        <f t="shared" si="36"/>
        <v>1</v>
      </c>
      <c r="D278">
        <v>8</v>
      </c>
      <c r="E278">
        <v>8</v>
      </c>
      <c r="F278" s="32">
        <f t="shared" si="37"/>
        <v>0</v>
      </c>
      <c r="G278">
        <v>9</v>
      </c>
      <c r="H278">
        <v>8</v>
      </c>
      <c r="I278" s="32">
        <f t="shared" si="38"/>
        <v>1</v>
      </c>
      <c r="J278">
        <v>9</v>
      </c>
      <c r="K278">
        <v>8</v>
      </c>
      <c r="L278" s="32">
        <f t="shared" si="39"/>
        <v>1</v>
      </c>
      <c r="M278">
        <v>8</v>
      </c>
      <c r="N278">
        <v>8</v>
      </c>
      <c r="O278" s="32">
        <f t="shared" si="40"/>
        <v>0</v>
      </c>
      <c r="P278">
        <v>9</v>
      </c>
      <c r="Q278">
        <v>8</v>
      </c>
      <c r="R278" s="32">
        <f t="shared" si="41"/>
        <v>1</v>
      </c>
      <c r="S278">
        <v>8</v>
      </c>
      <c r="T278">
        <v>7</v>
      </c>
      <c r="U278" s="32">
        <f t="shared" si="42"/>
        <v>1</v>
      </c>
      <c r="V278">
        <v>8</v>
      </c>
      <c r="W278">
        <v>7</v>
      </c>
      <c r="X278" s="32">
        <f t="shared" si="43"/>
        <v>1</v>
      </c>
      <c r="Y278">
        <v>9</v>
      </c>
      <c r="Z278">
        <v>8</v>
      </c>
      <c r="AA278" s="32">
        <f t="shared" si="44"/>
        <v>1</v>
      </c>
    </row>
    <row r="279" spans="1:27" x14ac:dyDescent="0.45">
      <c r="A279">
        <v>7</v>
      </c>
      <c r="B279">
        <v>8</v>
      </c>
      <c r="C279" s="32">
        <f t="shared" si="36"/>
        <v>1</v>
      </c>
      <c r="D279">
        <v>8</v>
      </c>
      <c r="E279">
        <v>8</v>
      </c>
      <c r="F279" s="32">
        <f t="shared" si="37"/>
        <v>0</v>
      </c>
      <c r="G279">
        <v>9</v>
      </c>
      <c r="H279">
        <v>8</v>
      </c>
      <c r="I279" s="32">
        <f t="shared" si="38"/>
        <v>1</v>
      </c>
      <c r="J279">
        <v>9</v>
      </c>
      <c r="K279">
        <v>8</v>
      </c>
      <c r="L279" s="32">
        <f t="shared" si="39"/>
        <v>1</v>
      </c>
      <c r="M279">
        <v>8</v>
      </c>
      <c r="N279">
        <v>8</v>
      </c>
      <c r="O279" s="32">
        <f t="shared" si="40"/>
        <v>0</v>
      </c>
      <c r="P279">
        <v>9</v>
      </c>
      <c r="Q279">
        <v>8</v>
      </c>
      <c r="R279" s="32">
        <f t="shared" si="41"/>
        <v>1</v>
      </c>
      <c r="S279">
        <v>8</v>
      </c>
      <c r="T279">
        <v>7</v>
      </c>
      <c r="U279" s="32">
        <f t="shared" si="42"/>
        <v>1</v>
      </c>
      <c r="V279">
        <v>8</v>
      </c>
      <c r="W279">
        <v>7</v>
      </c>
      <c r="X279" s="32">
        <f t="shared" si="43"/>
        <v>1</v>
      </c>
      <c r="Y279">
        <v>9</v>
      </c>
      <c r="Z279">
        <v>8</v>
      </c>
      <c r="AA279" s="32">
        <f t="shared" si="44"/>
        <v>1</v>
      </c>
    </row>
    <row r="280" spans="1:27" x14ac:dyDescent="0.45">
      <c r="A280">
        <v>7</v>
      </c>
      <c r="B280">
        <v>8</v>
      </c>
      <c r="C280" s="32">
        <f t="shared" si="36"/>
        <v>1</v>
      </c>
      <c r="D280">
        <v>8</v>
      </c>
      <c r="E280">
        <v>8</v>
      </c>
      <c r="F280" s="32">
        <f t="shared" si="37"/>
        <v>0</v>
      </c>
      <c r="G280">
        <v>9</v>
      </c>
      <c r="H280">
        <v>8</v>
      </c>
      <c r="I280" s="32">
        <f t="shared" si="38"/>
        <v>1</v>
      </c>
      <c r="J280">
        <v>9</v>
      </c>
      <c r="K280">
        <v>8</v>
      </c>
      <c r="L280" s="32">
        <f t="shared" si="39"/>
        <v>1</v>
      </c>
      <c r="M280">
        <v>8</v>
      </c>
      <c r="N280">
        <v>8</v>
      </c>
      <c r="O280" s="32">
        <f t="shared" si="40"/>
        <v>0</v>
      </c>
      <c r="P280">
        <v>9</v>
      </c>
      <c r="Q280">
        <v>8</v>
      </c>
      <c r="R280" s="32">
        <f t="shared" si="41"/>
        <v>1</v>
      </c>
      <c r="S280">
        <v>8</v>
      </c>
      <c r="T280">
        <v>7</v>
      </c>
      <c r="U280" s="32">
        <f t="shared" si="42"/>
        <v>1</v>
      </c>
      <c r="V280">
        <v>8</v>
      </c>
      <c r="W280">
        <v>7</v>
      </c>
      <c r="X280" s="32">
        <f t="shared" si="43"/>
        <v>1</v>
      </c>
      <c r="Y280">
        <v>9</v>
      </c>
      <c r="Z280">
        <v>8</v>
      </c>
      <c r="AA280" s="32">
        <f t="shared" si="44"/>
        <v>1</v>
      </c>
    </row>
    <row r="281" spans="1:27" x14ac:dyDescent="0.45">
      <c r="A281">
        <v>7</v>
      </c>
      <c r="B281">
        <v>8</v>
      </c>
      <c r="C281" s="32">
        <f t="shared" si="36"/>
        <v>1</v>
      </c>
      <c r="D281">
        <v>8</v>
      </c>
      <c r="E281">
        <v>8</v>
      </c>
      <c r="F281" s="32">
        <f t="shared" si="37"/>
        <v>0</v>
      </c>
      <c r="G281">
        <v>9</v>
      </c>
      <c r="H281">
        <v>8</v>
      </c>
      <c r="I281" s="32">
        <f t="shared" si="38"/>
        <v>1</v>
      </c>
      <c r="J281">
        <v>9</v>
      </c>
      <c r="K281">
        <v>8</v>
      </c>
      <c r="L281" s="32">
        <f t="shared" si="39"/>
        <v>1</v>
      </c>
      <c r="M281">
        <v>8</v>
      </c>
      <c r="N281">
        <v>8</v>
      </c>
      <c r="O281" s="32">
        <f t="shared" si="40"/>
        <v>0</v>
      </c>
      <c r="P281">
        <v>9</v>
      </c>
      <c r="Q281">
        <v>8</v>
      </c>
      <c r="R281" s="32">
        <f t="shared" si="41"/>
        <v>1</v>
      </c>
      <c r="S281">
        <v>8</v>
      </c>
      <c r="T281">
        <v>7</v>
      </c>
      <c r="U281" s="32">
        <f t="shared" si="42"/>
        <v>1</v>
      </c>
      <c r="V281">
        <v>8</v>
      </c>
      <c r="W281">
        <v>7</v>
      </c>
      <c r="X281" s="32">
        <f t="shared" si="43"/>
        <v>1</v>
      </c>
      <c r="Y281">
        <v>9</v>
      </c>
      <c r="Z281">
        <v>8</v>
      </c>
      <c r="AA281" s="32">
        <f t="shared" si="44"/>
        <v>1</v>
      </c>
    </row>
    <row r="282" spans="1:27" x14ac:dyDescent="0.45">
      <c r="A282">
        <v>7</v>
      </c>
      <c r="B282">
        <v>8</v>
      </c>
      <c r="C282" s="32">
        <f t="shared" si="36"/>
        <v>1</v>
      </c>
      <c r="D282">
        <v>8</v>
      </c>
      <c r="E282">
        <v>8</v>
      </c>
      <c r="F282" s="32">
        <f t="shared" si="37"/>
        <v>0</v>
      </c>
      <c r="G282">
        <v>9</v>
      </c>
      <c r="H282">
        <v>8</v>
      </c>
      <c r="I282" s="32">
        <f t="shared" si="38"/>
        <v>1</v>
      </c>
      <c r="J282">
        <v>9</v>
      </c>
      <c r="K282">
        <v>8</v>
      </c>
      <c r="L282" s="32">
        <f t="shared" si="39"/>
        <v>1</v>
      </c>
      <c r="M282">
        <v>8</v>
      </c>
      <c r="N282">
        <v>8</v>
      </c>
      <c r="O282" s="32">
        <f t="shared" si="40"/>
        <v>0</v>
      </c>
      <c r="P282">
        <v>9</v>
      </c>
      <c r="Q282">
        <v>8</v>
      </c>
      <c r="R282" s="32">
        <f t="shared" si="41"/>
        <v>1</v>
      </c>
      <c r="S282">
        <v>8</v>
      </c>
      <c r="T282">
        <v>7</v>
      </c>
      <c r="U282" s="32">
        <f t="shared" si="42"/>
        <v>1</v>
      </c>
      <c r="V282">
        <v>8</v>
      </c>
      <c r="W282">
        <v>7</v>
      </c>
      <c r="X282" s="32">
        <f t="shared" si="43"/>
        <v>1</v>
      </c>
      <c r="Y282">
        <v>9</v>
      </c>
      <c r="Z282">
        <v>8</v>
      </c>
      <c r="AA282" s="32">
        <f t="shared" si="44"/>
        <v>1</v>
      </c>
    </row>
    <row r="283" spans="1:27" x14ac:dyDescent="0.45">
      <c r="A283">
        <v>8</v>
      </c>
      <c r="B283">
        <v>8</v>
      </c>
      <c r="C283" s="32">
        <f t="shared" si="36"/>
        <v>0</v>
      </c>
      <c r="D283">
        <v>8</v>
      </c>
      <c r="E283">
        <v>8</v>
      </c>
      <c r="F283" s="32">
        <f t="shared" si="37"/>
        <v>0</v>
      </c>
      <c r="G283">
        <v>9</v>
      </c>
      <c r="H283">
        <v>8</v>
      </c>
      <c r="I283" s="32">
        <f t="shared" si="38"/>
        <v>1</v>
      </c>
      <c r="J283">
        <v>9</v>
      </c>
      <c r="K283">
        <v>8</v>
      </c>
      <c r="L283" s="32">
        <f t="shared" si="39"/>
        <v>1</v>
      </c>
      <c r="M283">
        <v>8</v>
      </c>
      <c r="N283">
        <v>8</v>
      </c>
      <c r="O283" s="32">
        <f t="shared" si="40"/>
        <v>0</v>
      </c>
      <c r="P283">
        <v>9</v>
      </c>
      <c r="Q283">
        <v>8</v>
      </c>
      <c r="R283" s="32">
        <f t="shared" si="41"/>
        <v>1</v>
      </c>
      <c r="S283">
        <v>8</v>
      </c>
      <c r="T283">
        <v>7</v>
      </c>
      <c r="U283" s="32">
        <f t="shared" si="42"/>
        <v>1</v>
      </c>
      <c r="V283">
        <v>8</v>
      </c>
      <c r="W283">
        <v>8</v>
      </c>
      <c r="X283" s="32">
        <f t="shared" si="43"/>
        <v>0</v>
      </c>
      <c r="Y283">
        <v>9</v>
      </c>
      <c r="Z283">
        <v>8</v>
      </c>
      <c r="AA283" s="32">
        <f t="shared" si="44"/>
        <v>1</v>
      </c>
    </row>
    <row r="284" spans="1:27" x14ac:dyDescent="0.45">
      <c r="A284">
        <v>8</v>
      </c>
      <c r="B284">
        <v>8</v>
      </c>
      <c r="C284" s="32">
        <f t="shared" si="36"/>
        <v>0</v>
      </c>
      <c r="D284">
        <v>8</v>
      </c>
      <c r="E284">
        <v>8</v>
      </c>
      <c r="F284" s="32">
        <f t="shared" si="37"/>
        <v>0</v>
      </c>
      <c r="G284">
        <v>9</v>
      </c>
      <c r="H284">
        <v>8</v>
      </c>
      <c r="I284" s="32">
        <f t="shared" si="38"/>
        <v>1</v>
      </c>
      <c r="J284">
        <v>9</v>
      </c>
      <c r="K284">
        <v>8</v>
      </c>
      <c r="L284" s="32">
        <f t="shared" si="39"/>
        <v>1</v>
      </c>
      <c r="M284">
        <v>8</v>
      </c>
      <c r="N284">
        <v>8</v>
      </c>
      <c r="O284" s="32">
        <f t="shared" si="40"/>
        <v>0</v>
      </c>
      <c r="P284">
        <v>9</v>
      </c>
      <c r="Q284">
        <v>8</v>
      </c>
      <c r="R284" s="32">
        <f t="shared" si="41"/>
        <v>1</v>
      </c>
      <c r="S284">
        <v>8</v>
      </c>
      <c r="T284">
        <v>7</v>
      </c>
      <c r="U284" s="32">
        <f t="shared" si="42"/>
        <v>1</v>
      </c>
      <c r="V284">
        <v>8</v>
      </c>
      <c r="W284">
        <v>8</v>
      </c>
      <c r="X284" s="32">
        <f t="shared" si="43"/>
        <v>0</v>
      </c>
      <c r="Y284">
        <v>9</v>
      </c>
      <c r="Z284">
        <v>8</v>
      </c>
      <c r="AA284" s="32">
        <f t="shared" si="44"/>
        <v>1</v>
      </c>
    </row>
    <row r="285" spans="1:27" x14ac:dyDescent="0.45">
      <c r="A285">
        <v>8</v>
      </c>
      <c r="B285">
        <v>8</v>
      </c>
      <c r="C285" s="32">
        <f t="shared" si="36"/>
        <v>0</v>
      </c>
      <c r="D285">
        <v>8</v>
      </c>
      <c r="E285">
        <v>8</v>
      </c>
      <c r="F285" s="32">
        <f t="shared" si="37"/>
        <v>0</v>
      </c>
      <c r="G285">
        <v>9</v>
      </c>
      <c r="H285">
        <v>8</v>
      </c>
      <c r="I285" s="32">
        <f t="shared" si="38"/>
        <v>1</v>
      </c>
      <c r="J285">
        <v>9</v>
      </c>
      <c r="K285">
        <v>8</v>
      </c>
      <c r="L285" s="32">
        <f t="shared" si="39"/>
        <v>1</v>
      </c>
      <c r="M285">
        <v>8</v>
      </c>
      <c r="N285">
        <v>8</v>
      </c>
      <c r="O285" s="32">
        <f t="shared" si="40"/>
        <v>0</v>
      </c>
      <c r="P285">
        <v>9</v>
      </c>
      <c r="Q285">
        <v>8</v>
      </c>
      <c r="R285" s="32">
        <f t="shared" si="41"/>
        <v>1</v>
      </c>
      <c r="S285">
        <v>8</v>
      </c>
      <c r="T285">
        <v>7</v>
      </c>
      <c r="U285" s="32">
        <f t="shared" si="42"/>
        <v>1</v>
      </c>
      <c r="V285">
        <v>8</v>
      </c>
      <c r="W285">
        <v>8</v>
      </c>
      <c r="X285" s="32">
        <f t="shared" si="43"/>
        <v>0</v>
      </c>
      <c r="Y285">
        <v>9</v>
      </c>
      <c r="Z285">
        <v>8</v>
      </c>
      <c r="AA285" s="32">
        <f t="shared" si="44"/>
        <v>1</v>
      </c>
    </row>
    <row r="286" spans="1:27" x14ac:dyDescent="0.45">
      <c r="A286">
        <v>8</v>
      </c>
      <c r="B286">
        <v>8</v>
      </c>
      <c r="C286" s="32">
        <f t="shared" si="36"/>
        <v>0</v>
      </c>
      <c r="D286">
        <v>8</v>
      </c>
      <c r="E286">
        <v>8</v>
      </c>
      <c r="F286" s="32">
        <f t="shared" si="37"/>
        <v>0</v>
      </c>
      <c r="G286">
        <v>9</v>
      </c>
      <c r="H286">
        <v>8</v>
      </c>
      <c r="I286" s="32">
        <f t="shared" si="38"/>
        <v>1</v>
      </c>
      <c r="J286">
        <v>9</v>
      </c>
      <c r="K286">
        <v>8</v>
      </c>
      <c r="L286" s="32">
        <f t="shared" si="39"/>
        <v>1</v>
      </c>
      <c r="M286">
        <v>8</v>
      </c>
      <c r="N286">
        <v>8</v>
      </c>
      <c r="O286" s="32">
        <f t="shared" si="40"/>
        <v>0</v>
      </c>
      <c r="P286">
        <v>9</v>
      </c>
      <c r="Q286">
        <v>8</v>
      </c>
      <c r="R286" s="32">
        <f t="shared" si="41"/>
        <v>1</v>
      </c>
      <c r="S286">
        <v>8</v>
      </c>
      <c r="T286">
        <v>7</v>
      </c>
      <c r="U286" s="32">
        <f t="shared" si="42"/>
        <v>1</v>
      </c>
      <c r="V286">
        <v>8</v>
      </c>
      <c r="W286">
        <v>8</v>
      </c>
      <c r="X286" s="32">
        <f t="shared" si="43"/>
        <v>0</v>
      </c>
      <c r="Y286">
        <v>9</v>
      </c>
      <c r="Z286">
        <v>8</v>
      </c>
      <c r="AA286" s="32">
        <f t="shared" si="44"/>
        <v>1</v>
      </c>
    </row>
    <row r="287" spans="1:27" x14ac:dyDescent="0.45">
      <c r="A287">
        <v>8</v>
      </c>
      <c r="B287">
        <v>8</v>
      </c>
      <c r="C287" s="32">
        <f t="shared" si="36"/>
        <v>0</v>
      </c>
      <c r="D287">
        <v>8</v>
      </c>
      <c r="E287">
        <v>8</v>
      </c>
      <c r="F287" s="32">
        <f t="shared" si="37"/>
        <v>0</v>
      </c>
      <c r="G287">
        <v>9</v>
      </c>
      <c r="H287">
        <v>8</v>
      </c>
      <c r="I287" s="32">
        <f t="shared" si="38"/>
        <v>1</v>
      </c>
      <c r="J287">
        <v>9</v>
      </c>
      <c r="K287">
        <v>8</v>
      </c>
      <c r="L287" s="32">
        <f t="shared" si="39"/>
        <v>1</v>
      </c>
      <c r="M287">
        <v>8</v>
      </c>
      <c r="N287">
        <v>8</v>
      </c>
      <c r="O287" s="32">
        <f t="shared" si="40"/>
        <v>0</v>
      </c>
      <c r="P287">
        <v>9</v>
      </c>
      <c r="Q287">
        <v>8</v>
      </c>
      <c r="R287" s="32">
        <f t="shared" si="41"/>
        <v>1</v>
      </c>
      <c r="S287">
        <v>8</v>
      </c>
      <c r="T287">
        <v>7</v>
      </c>
      <c r="U287" s="32">
        <f t="shared" si="42"/>
        <v>1</v>
      </c>
      <c r="V287">
        <v>8</v>
      </c>
      <c r="W287">
        <v>8</v>
      </c>
      <c r="X287" s="32">
        <f t="shared" si="43"/>
        <v>0</v>
      </c>
      <c r="Y287">
        <v>9</v>
      </c>
      <c r="Z287">
        <v>8</v>
      </c>
      <c r="AA287" s="32">
        <f t="shared" si="44"/>
        <v>1</v>
      </c>
    </row>
    <row r="288" spans="1:27" x14ac:dyDescent="0.45">
      <c r="A288">
        <v>8</v>
      </c>
      <c r="B288">
        <v>8</v>
      </c>
      <c r="C288" s="32">
        <f t="shared" si="36"/>
        <v>0</v>
      </c>
      <c r="D288">
        <v>8</v>
      </c>
      <c r="E288">
        <v>8</v>
      </c>
      <c r="F288" s="32">
        <f t="shared" si="37"/>
        <v>0</v>
      </c>
      <c r="G288">
        <v>9</v>
      </c>
      <c r="H288">
        <v>8</v>
      </c>
      <c r="I288" s="32">
        <f t="shared" si="38"/>
        <v>1</v>
      </c>
      <c r="J288">
        <v>9</v>
      </c>
      <c r="K288">
        <v>8</v>
      </c>
      <c r="L288" s="32">
        <f t="shared" si="39"/>
        <v>1</v>
      </c>
      <c r="M288">
        <v>8</v>
      </c>
      <c r="N288">
        <v>8</v>
      </c>
      <c r="O288" s="32">
        <f t="shared" si="40"/>
        <v>0</v>
      </c>
      <c r="P288">
        <v>9</v>
      </c>
      <c r="Q288">
        <v>8</v>
      </c>
      <c r="R288" s="32">
        <f t="shared" si="41"/>
        <v>1</v>
      </c>
      <c r="S288">
        <v>8</v>
      </c>
      <c r="T288">
        <v>7</v>
      </c>
      <c r="U288" s="32">
        <f t="shared" si="42"/>
        <v>1</v>
      </c>
      <c r="V288">
        <v>8</v>
      </c>
      <c r="W288">
        <v>8</v>
      </c>
      <c r="X288" s="32">
        <f t="shared" si="43"/>
        <v>0</v>
      </c>
      <c r="Y288">
        <v>9</v>
      </c>
      <c r="Z288">
        <v>8</v>
      </c>
      <c r="AA288" s="32">
        <f t="shared" si="44"/>
        <v>1</v>
      </c>
    </row>
    <row r="289" spans="1:27" x14ac:dyDescent="0.45">
      <c r="A289">
        <v>8</v>
      </c>
      <c r="B289">
        <v>8</v>
      </c>
      <c r="C289" s="32">
        <f t="shared" si="36"/>
        <v>0</v>
      </c>
      <c r="D289">
        <v>8</v>
      </c>
      <c r="E289">
        <v>8</v>
      </c>
      <c r="F289" s="32">
        <f t="shared" si="37"/>
        <v>0</v>
      </c>
      <c r="G289">
        <v>9</v>
      </c>
      <c r="H289">
        <v>8</v>
      </c>
      <c r="I289" s="32">
        <f t="shared" si="38"/>
        <v>1</v>
      </c>
      <c r="J289">
        <v>9</v>
      </c>
      <c r="K289">
        <v>8</v>
      </c>
      <c r="L289" s="32">
        <f t="shared" si="39"/>
        <v>1</v>
      </c>
      <c r="M289">
        <v>8</v>
      </c>
      <c r="N289">
        <v>8</v>
      </c>
      <c r="O289" s="32">
        <f t="shared" si="40"/>
        <v>0</v>
      </c>
      <c r="P289">
        <v>9</v>
      </c>
      <c r="Q289">
        <v>8</v>
      </c>
      <c r="R289" s="32">
        <f t="shared" si="41"/>
        <v>1</v>
      </c>
      <c r="S289">
        <v>8</v>
      </c>
      <c r="T289">
        <v>7</v>
      </c>
      <c r="U289" s="32">
        <f t="shared" si="42"/>
        <v>1</v>
      </c>
      <c r="V289">
        <v>8</v>
      </c>
      <c r="W289">
        <v>8</v>
      </c>
      <c r="X289" s="32">
        <f t="shared" si="43"/>
        <v>0</v>
      </c>
      <c r="Y289">
        <v>9</v>
      </c>
      <c r="Z289">
        <v>8</v>
      </c>
      <c r="AA289" s="32">
        <f t="shared" si="44"/>
        <v>1</v>
      </c>
    </row>
    <row r="290" spans="1:27" x14ac:dyDescent="0.45">
      <c r="A290">
        <v>8</v>
      </c>
      <c r="B290">
        <v>8</v>
      </c>
      <c r="C290" s="32">
        <f t="shared" si="36"/>
        <v>0</v>
      </c>
      <c r="D290">
        <v>8</v>
      </c>
      <c r="E290">
        <v>8</v>
      </c>
      <c r="F290" s="32">
        <f t="shared" si="37"/>
        <v>0</v>
      </c>
      <c r="G290">
        <v>9</v>
      </c>
      <c r="H290">
        <v>8</v>
      </c>
      <c r="I290" s="32">
        <f t="shared" si="38"/>
        <v>1</v>
      </c>
      <c r="J290">
        <v>9</v>
      </c>
      <c r="K290">
        <v>8</v>
      </c>
      <c r="L290" s="32">
        <f t="shared" si="39"/>
        <v>1</v>
      </c>
      <c r="M290">
        <v>8</v>
      </c>
      <c r="N290">
        <v>8</v>
      </c>
      <c r="O290" s="32">
        <f t="shared" si="40"/>
        <v>0</v>
      </c>
      <c r="P290">
        <v>9</v>
      </c>
      <c r="Q290">
        <v>8</v>
      </c>
      <c r="R290" s="32">
        <f t="shared" si="41"/>
        <v>1</v>
      </c>
      <c r="S290">
        <v>8</v>
      </c>
      <c r="T290">
        <v>7</v>
      </c>
      <c r="U290" s="32">
        <f t="shared" si="42"/>
        <v>1</v>
      </c>
      <c r="V290">
        <v>8</v>
      </c>
      <c r="W290">
        <v>8</v>
      </c>
      <c r="X290" s="32">
        <f t="shared" si="43"/>
        <v>0</v>
      </c>
      <c r="Y290">
        <v>9</v>
      </c>
      <c r="Z290">
        <v>8</v>
      </c>
      <c r="AA290" s="32">
        <f t="shared" si="44"/>
        <v>1</v>
      </c>
    </row>
    <row r="291" spans="1:27" x14ac:dyDescent="0.45">
      <c r="A291">
        <v>8</v>
      </c>
      <c r="B291">
        <v>8</v>
      </c>
      <c r="C291" s="32">
        <f t="shared" si="36"/>
        <v>0</v>
      </c>
      <c r="D291">
        <v>8</v>
      </c>
      <c r="E291">
        <v>8</v>
      </c>
      <c r="F291" s="32">
        <f t="shared" si="37"/>
        <v>0</v>
      </c>
      <c r="G291">
        <v>9</v>
      </c>
      <c r="H291">
        <v>8</v>
      </c>
      <c r="I291" s="32">
        <f t="shared" si="38"/>
        <v>1</v>
      </c>
      <c r="J291">
        <v>9</v>
      </c>
      <c r="K291">
        <v>8</v>
      </c>
      <c r="L291" s="32">
        <f t="shared" si="39"/>
        <v>1</v>
      </c>
      <c r="M291">
        <v>8</v>
      </c>
      <c r="N291">
        <v>8</v>
      </c>
      <c r="O291" s="32">
        <f t="shared" si="40"/>
        <v>0</v>
      </c>
      <c r="P291">
        <v>9</v>
      </c>
      <c r="Q291">
        <v>8</v>
      </c>
      <c r="R291" s="32">
        <f t="shared" si="41"/>
        <v>1</v>
      </c>
      <c r="S291">
        <v>8</v>
      </c>
      <c r="T291">
        <v>8</v>
      </c>
      <c r="U291" s="32">
        <f t="shared" si="42"/>
        <v>0</v>
      </c>
      <c r="V291">
        <v>8</v>
      </c>
      <c r="W291">
        <v>8</v>
      </c>
      <c r="X291" s="32">
        <f t="shared" si="43"/>
        <v>0</v>
      </c>
      <c r="Y291">
        <v>9</v>
      </c>
      <c r="Z291">
        <v>8</v>
      </c>
      <c r="AA291" s="32">
        <f t="shared" si="44"/>
        <v>1</v>
      </c>
    </row>
    <row r="292" spans="1:27" x14ac:dyDescent="0.45">
      <c r="A292">
        <v>8</v>
      </c>
      <c r="B292">
        <v>8</v>
      </c>
      <c r="C292" s="32">
        <f t="shared" si="36"/>
        <v>0</v>
      </c>
      <c r="D292">
        <v>8</v>
      </c>
      <c r="E292">
        <v>8</v>
      </c>
      <c r="F292" s="32">
        <f t="shared" si="37"/>
        <v>0</v>
      </c>
      <c r="G292">
        <v>9</v>
      </c>
      <c r="H292">
        <v>8</v>
      </c>
      <c r="I292" s="32">
        <f t="shared" si="38"/>
        <v>1</v>
      </c>
      <c r="J292">
        <v>9</v>
      </c>
      <c r="K292">
        <v>8</v>
      </c>
      <c r="L292" s="32">
        <f t="shared" si="39"/>
        <v>1</v>
      </c>
      <c r="M292">
        <v>8</v>
      </c>
      <c r="N292">
        <v>8</v>
      </c>
      <c r="O292" s="32">
        <f t="shared" si="40"/>
        <v>0</v>
      </c>
      <c r="P292">
        <v>9</v>
      </c>
      <c r="Q292">
        <v>8</v>
      </c>
      <c r="R292" s="32">
        <f t="shared" si="41"/>
        <v>1</v>
      </c>
      <c r="S292">
        <v>8</v>
      </c>
      <c r="T292">
        <v>8</v>
      </c>
      <c r="U292" s="32">
        <f t="shared" si="42"/>
        <v>0</v>
      </c>
      <c r="V292">
        <v>8</v>
      </c>
      <c r="W292">
        <v>8</v>
      </c>
      <c r="X292" s="32">
        <f t="shared" si="43"/>
        <v>0</v>
      </c>
      <c r="Y292">
        <v>9</v>
      </c>
      <c r="Z292">
        <v>8</v>
      </c>
      <c r="AA292" s="32">
        <f t="shared" si="44"/>
        <v>1</v>
      </c>
    </row>
    <row r="293" spans="1:27" x14ac:dyDescent="0.45">
      <c r="A293">
        <v>8</v>
      </c>
      <c r="B293">
        <v>8</v>
      </c>
      <c r="C293" s="32">
        <f t="shared" si="36"/>
        <v>0</v>
      </c>
      <c r="D293">
        <v>8</v>
      </c>
      <c r="E293">
        <v>8</v>
      </c>
      <c r="F293" s="32">
        <f t="shared" si="37"/>
        <v>0</v>
      </c>
      <c r="G293">
        <v>9</v>
      </c>
      <c r="H293">
        <v>8</v>
      </c>
      <c r="I293" s="32">
        <f t="shared" si="38"/>
        <v>1</v>
      </c>
      <c r="J293">
        <v>9</v>
      </c>
      <c r="K293">
        <v>8</v>
      </c>
      <c r="L293" s="32">
        <f t="shared" si="39"/>
        <v>1</v>
      </c>
      <c r="M293">
        <v>8</v>
      </c>
      <c r="N293">
        <v>8</v>
      </c>
      <c r="O293" s="32">
        <f t="shared" si="40"/>
        <v>0</v>
      </c>
      <c r="P293">
        <v>9</v>
      </c>
      <c r="Q293">
        <v>8</v>
      </c>
      <c r="R293" s="32">
        <f t="shared" si="41"/>
        <v>1</v>
      </c>
      <c r="S293">
        <v>8</v>
      </c>
      <c r="T293">
        <v>8</v>
      </c>
      <c r="U293" s="32">
        <f t="shared" si="42"/>
        <v>0</v>
      </c>
      <c r="V293">
        <v>8</v>
      </c>
      <c r="W293">
        <v>8</v>
      </c>
      <c r="X293" s="32">
        <f t="shared" si="43"/>
        <v>0</v>
      </c>
      <c r="Y293">
        <v>9</v>
      </c>
      <c r="Z293">
        <v>8</v>
      </c>
      <c r="AA293" s="32">
        <f t="shared" si="44"/>
        <v>1</v>
      </c>
    </row>
    <row r="294" spans="1:27" x14ac:dyDescent="0.45">
      <c r="A294">
        <v>8</v>
      </c>
      <c r="B294">
        <v>8</v>
      </c>
      <c r="C294" s="32">
        <f t="shared" si="36"/>
        <v>0</v>
      </c>
      <c r="D294">
        <v>8</v>
      </c>
      <c r="E294">
        <v>8</v>
      </c>
      <c r="F294" s="32">
        <f t="shared" si="37"/>
        <v>0</v>
      </c>
      <c r="G294">
        <v>9</v>
      </c>
      <c r="H294">
        <v>8</v>
      </c>
      <c r="I294" s="32">
        <f t="shared" si="38"/>
        <v>1</v>
      </c>
      <c r="J294">
        <v>9</v>
      </c>
      <c r="K294">
        <v>8</v>
      </c>
      <c r="L294" s="32">
        <f t="shared" si="39"/>
        <v>1</v>
      </c>
      <c r="M294">
        <v>8</v>
      </c>
      <c r="N294">
        <v>8</v>
      </c>
      <c r="O294" s="32">
        <f t="shared" si="40"/>
        <v>0</v>
      </c>
      <c r="P294">
        <v>9</v>
      </c>
      <c r="Q294">
        <v>8</v>
      </c>
      <c r="R294" s="32">
        <f t="shared" si="41"/>
        <v>1</v>
      </c>
      <c r="S294">
        <v>8</v>
      </c>
      <c r="T294">
        <v>8</v>
      </c>
      <c r="U294" s="32">
        <f t="shared" si="42"/>
        <v>0</v>
      </c>
      <c r="V294">
        <v>8</v>
      </c>
      <c r="W294">
        <v>8</v>
      </c>
      <c r="X294" s="32">
        <f t="shared" si="43"/>
        <v>0</v>
      </c>
      <c r="Y294">
        <v>9</v>
      </c>
      <c r="Z294">
        <v>8</v>
      </c>
      <c r="AA294" s="32">
        <f t="shared" si="44"/>
        <v>1</v>
      </c>
    </row>
    <row r="295" spans="1:27" x14ac:dyDescent="0.45">
      <c r="A295">
        <v>8</v>
      </c>
      <c r="B295">
        <v>8</v>
      </c>
      <c r="C295" s="32">
        <f t="shared" si="36"/>
        <v>0</v>
      </c>
      <c r="D295">
        <v>8</v>
      </c>
      <c r="E295">
        <v>8</v>
      </c>
      <c r="F295" s="32">
        <f t="shared" si="37"/>
        <v>0</v>
      </c>
      <c r="G295">
        <v>9</v>
      </c>
      <c r="H295">
        <v>8</v>
      </c>
      <c r="I295" s="32">
        <f t="shared" si="38"/>
        <v>1</v>
      </c>
      <c r="J295">
        <v>9</v>
      </c>
      <c r="K295">
        <v>8</v>
      </c>
      <c r="L295" s="32">
        <f t="shared" si="39"/>
        <v>1</v>
      </c>
      <c r="M295">
        <v>8</v>
      </c>
      <c r="N295">
        <v>8</v>
      </c>
      <c r="O295" s="32">
        <f t="shared" si="40"/>
        <v>0</v>
      </c>
      <c r="P295">
        <v>9</v>
      </c>
      <c r="Q295">
        <v>8</v>
      </c>
      <c r="R295" s="32">
        <f t="shared" si="41"/>
        <v>1</v>
      </c>
      <c r="S295">
        <v>8</v>
      </c>
      <c r="T295">
        <v>8</v>
      </c>
      <c r="U295" s="32">
        <f t="shared" si="42"/>
        <v>0</v>
      </c>
      <c r="V295">
        <v>8</v>
      </c>
      <c r="W295">
        <v>8</v>
      </c>
      <c r="X295" s="32">
        <f t="shared" si="43"/>
        <v>0</v>
      </c>
      <c r="Y295">
        <v>9</v>
      </c>
      <c r="Z295">
        <v>8</v>
      </c>
      <c r="AA295" s="32">
        <f t="shared" si="44"/>
        <v>1</v>
      </c>
    </row>
    <row r="296" spans="1:27" x14ac:dyDescent="0.45">
      <c r="A296">
        <v>8</v>
      </c>
      <c r="B296">
        <v>8</v>
      </c>
      <c r="C296" s="32">
        <f t="shared" si="36"/>
        <v>0</v>
      </c>
      <c r="D296">
        <v>8</v>
      </c>
      <c r="E296">
        <v>8</v>
      </c>
      <c r="F296" s="32">
        <f t="shared" si="37"/>
        <v>0</v>
      </c>
      <c r="G296">
        <v>9</v>
      </c>
      <c r="H296">
        <v>8</v>
      </c>
      <c r="I296" s="32">
        <f t="shared" si="38"/>
        <v>1</v>
      </c>
      <c r="J296">
        <v>9</v>
      </c>
      <c r="K296">
        <v>8</v>
      </c>
      <c r="L296" s="32">
        <f t="shared" si="39"/>
        <v>1</v>
      </c>
      <c r="M296">
        <v>8</v>
      </c>
      <c r="N296">
        <v>8</v>
      </c>
      <c r="O296" s="32">
        <f t="shared" si="40"/>
        <v>0</v>
      </c>
      <c r="P296">
        <v>9</v>
      </c>
      <c r="Q296">
        <v>8</v>
      </c>
      <c r="R296" s="32">
        <f t="shared" si="41"/>
        <v>1</v>
      </c>
      <c r="S296">
        <v>8</v>
      </c>
      <c r="T296">
        <v>8</v>
      </c>
      <c r="U296" s="32">
        <f t="shared" si="42"/>
        <v>0</v>
      </c>
      <c r="V296">
        <v>8</v>
      </c>
      <c r="W296">
        <v>8</v>
      </c>
      <c r="X296" s="32">
        <f t="shared" si="43"/>
        <v>0</v>
      </c>
      <c r="Y296">
        <v>9</v>
      </c>
      <c r="Z296">
        <v>8</v>
      </c>
      <c r="AA296" s="32">
        <f t="shared" si="44"/>
        <v>1</v>
      </c>
    </row>
    <row r="297" spans="1:27" x14ac:dyDescent="0.45">
      <c r="A297">
        <v>8</v>
      </c>
      <c r="B297">
        <v>8</v>
      </c>
      <c r="C297" s="32">
        <f t="shared" si="36"/>
        <v>0</v>
      </c>
      <c r="D297">
        <v>8</v>
      </c>
      <c r="E297">
        <v>8</v>
      </c>
      <c r="F297" s="32">
        <f t="shared" si="37"/>
        <v>0</v>
      </c>
      <c r="G297">
        <v>9</v>
      </c>
      <c r="H297">
        <v>8</v>
      </c>
      <c r="I297" s="32">
        <f t="shared" si="38"/>
        <v>1</v>
      </c>
      <c r="J297">
        <v>9</v>
      </c>
      <c r="K297">
        <v>8</v>
      </c>
      <c r="L297" s="32">
        <f t="shared" si="39"/>
        <v>1</v>
      </c>
      <c r="M297">
        <v>8</v>
      </c>
      <c r="N297">
        <v>8</v>
      </c>
      <c r="O297" s="32">
        <f t="shared" si="40"/>
        <v>0</v>
      </c>
      <c r="P297">
        <v>9</v>
      </c>
      <c r="Q297">
        <v>8</v>
      </c>
      <c r="R297" s="32">
        <f t="shared" si="41"/>
        <v>1</v>
      </c>
      <c r="S297">
        <v>8</v>
      </c>
      <c r="T297">
        <v>8</v>
      </c>
      <c r="U297" s="32">
        <f t="shared" si="42"/>
        <v>0</v>
      </c>
      <c r="V297">
        <v>8</v>
      </c>
      <c r="W297">
        <v>8</v>
      </c>
      <c r="X297" s="32">
        <f t="shared" si="43"/>
        <v>0</v>
      </c>
      <c r="Y297">
        <v>9</v>
      </c>
      <c r="Z297">
        <v>8</v>
      </c>
      <c r="AA297" s="32">
        <f t="shared" si="44"/>
        <v>1</v>
      </c>
    </row>
    <row r="298" spans="1:27" x14ac:dyDescent="0.45">
      <c r="A298">
        <v>8</v>
      </c>
      <c r="B298">
        <v>8</v>
      </c>
      <c r="C298" s="32">
        <f t="shared" si="36"/>
        <v>0</v>
      </c>
      <c r="D298">
        <v>8</v>
      </c>
      <c r="E298">
        <v>8</v>
      </c>
      <c r="F298" s="32">
        <f t="shared" si="37"/>
        <v>0</v>
      </c>
      <c r="G298">
        <v>9</v>
      </c>
      <c r="H298">
        <v>8</v>
      </c>
      <c r="I298" s="32">
        <f t="shared" si="38"/>
        <v>1</v>
      </c>
      <c r="J298">
        <v>9</v>
      </c>
      <c r="K298">
        <v>8</v>
      </c>
      <c r="L298" s="32">
        <f t="shared" si="39"/>
        <v>1</v>
      </c>
      <c r="M298">
        <v>8</v>
      </c>
      <c r="N298">
        <v>8</v>
      </c>
      <c r="O298" s="32">
        <f t="shared" si="40"/>
        <v>0</v>
      </c>
      <c r="P298">
        <v>9</v>
      </c>
      <c r="Q298">
        <v>8</v>
      </c>
      <c r="R298" s="32">
        <f t="shared" si="41"/>
        <v>1</v>
      </c>
      <c r="S298">
        <v>8</v>
      </c>
      <c r="T298">
        <v>8</v>
      </c>
      <c r="U298" s="32">
        <f t="shared" si="42"/>
        <v>0</v>
      </c>
      <c r="V298">
        <v>8</v>
      </c>
      <c r="W298">
        <v>8</v>
      </c>
      <c r="X298" s="32">
        <f t="shared" si="43"/>
        <v>0</v>
      </c>
      <c r="Y298">
        <v>9</v>
      </c>
      <c r="Z298">
        <v>8</v>
      </c>
      <c r="AA298" s="32">
        <f t="shared" si="44"/>
        <v>1</v>
      </c>
    </row>
    <row r="299" spans="1:27" x14ac:dyDescent="0.45">
      <c r="A299">
        <v>8</v>
      </c>
      <c r="B299">
        <v>8</v>
      </c>
      <c r="C299" s="32">
        <f t="shared" si="36"/>
        <v>0</v>
      </c>
      <c r="D299">
        <v>8</v>
      </c>
      <c r="E299">
        <v>8</v>
      </c>
      <c r="F299" s="32">
        <f t="shared" si="37"/>
        <v>0</v>
      </c>
      <c r="G299">
        <v>9</v>
      </c>
      <c r="H299">
        <v>8</v>
      </c>
      <c r="I299" s="32">
        <f t="shared" si="38"/>
        <v>1</v>
      </c>
      <c r="J299">
        <v>9</v>
      </c>
      <c r="K299">
        <v>8</v>
      </c>
      <c r="L299" s="32">
        <f t="shared" si="39"/>
        <v>1</v>
      </c>
      <c r="M299">
        <v>8</v>
      </c>
      <c r="N299">
        <v>8</v>
      </c>
      <c r="O299" s="32">
        <f t="shared" si="40"/>
        <v>0</v>
      </c>
      <c r="P299">
        <v>9</v>
      </c>
      <c r="Q299">
        <v>8</v>
      </c>
      <c r="R299" s="32">
        <f t="shared" si="41"/>
        <v>1</v>
      </c>
      <c r="S299">
        <v>8</v>
      </c>
      <c r="T299">
        <v>8</v>
      </c>
      <c r="U299" s="32">
        <f t="shared" si="42"/>
        <v>0</v>
      </c>
      <c r="V299">
        <v>8</v>
      </c>
      <c r="W299">
        <v>8</v>
      </c>
      <c r="X299" s="32">
        <f t="shared" si="43"/>
        <v>0</v>
      </c>
      <c r="Y299">
        <v>9</v>
      </c>
      <c r="Z299">
        <v>8</v>
      </c>
      <c r="AA299" s="32">
        <f t="shared" si="44"/>
        <v>1</v>
      </c>
    </row>
    <row r="300" spans="1:27" x14ac:dyDescent="0.45">
      <c r="A300">
        <v>8</v>
      </c>
      <c r="B300">
        <v>8</v>
      </c>
      <c r="C300" s="32">
        <f t="shared" si="36"/>
        <v>0</v>
      </c>
      <c r="D300">
        <v>8</v>
      </c>
      <c r="E300">
        <v>8</v>
      </c>
      <c r="F300" s="32">
        <f t="shared" si="37"/>
        <v>0</v>
      </c>
      <c r="G300">
        <v>9</v>
      </c>
      <c r="H300">
        <v>8</v>
      </c>
      <c r="I300" s="32">
        <f t="shared" si="38"/>
        <v>1</v>
      </c>
      <c r="J300">
        <v>9</v>
      </c>
      <c r="K300">
        <v>8</v>
      </c>
      <c r="L300" s="32">
        <f t="shared" si="39"/>
        <v>1</v>
      </c>
      <c r="M300">
        <v>8</v>
      </c>
      <c r="N300">
        <v>8</v>
      </c>
      <c r="O300" s="32">
        <f t="shared" si="40"/>
        <v>0</v>
      </c>
      <c r="P300">
        <v>9</v>
      </c>
      <c r="Q300">
        <v>8</v>
      </c>
      <c r="R300" s="32">
        <f t="shared" si="41"/>
        <v>1</v>
      </c>
      <c r="S300">
        <v>8</v>
      </c>
      <c r="T300">
        <v>8</v>
      </c>
      <c r="U300" s="32">
        <f t="shared" si="42"/>
        <v>0</v>
      </c>
      <c r="V300">
        <v>8</v>
      </c>
      <c r="W300">
        <v>8</v>
      </c>
      <c r="X300" s="32">
        <f t="shared" si="43"/>
        <v>0</v>
      </c>
      <c r="Y300">
        <v>9</v>
      </c>
      <c r="Z300">
        <v>8</v>
      </c>
      <c r="AA300" s="32">
        <f t="shared" si="44"/>
        <v>1</v>
      </c>
    </row>
    <row r="301" spans="1:27" x14ac:dyDescent="0.45">
      <c r="A301">
        <v>8</v>
      </c>
      <c r="B301">
        <v>8</v>
      </c>
      <c r="C301" s="32">
        <f t="shared" si="36"/>
        <v>0</v>
      </c>
      <c r="D301">
        <v>8</v>
      </c>
      <c r="E301">
        <v>8</v>
      </c>
      <c r="F301" s="32">
        <f t="shared" si="37"/>
        <v>0</v>
      </c>
      <c r="G301">
        <v>9</v>
      </c>
      <c r="H301">
        <v>8</v>
      </c>
      <c r="I301" s="32">
        <f t="shared" si="38"/>
        <v>1</v>
      </c>
      <c r="J301">
        <v>9</v>
      </c>
      <c r="K301">
        <v>8</v>
      </c>
      <c r="L301" s="32">
        <f t="shared" si="39"/>
        <v>1</v>
      </c>
      <c r="M301">
        <v>8</v>
      </c>
      <c r="N301">
        <v>8</v>
      </c>
      <c r="O301" s="32">
        <f t="shared" si="40"/>
        <v>0</v>
      </c>
      <c r="P301">
        <v>9</v>
      </c>
      <c r="Q301">
        <v>8</v>
      </c>
      <c r="R301" s="32">
        <f t="shared" si="41"/>
        <v>1</v>
      </c>
      <c r="S301">
        <v>8</v>
      </c>
      <c r="T301">
        <v>8</v>
      </c>
      <c r="U301" s="32">
        <f t="shared" si="42"/>
        <v>0</v>
      </c>
      <c r="V301">
        <v>8</v>
      </c>
      <c r="W301">
        <v>8</v>
      </c>
      <c r="X301" s="32">
        <f t="shared" si="43"/>
        <v>0</v>
      </c>
      <c r="Y301">
        <v>9</v>
      </c>
      <c r="Z301">
        <v>8</v>
      </c>
      <c r="AA301" s="32">
        <f t="shared" si="44"/>
        <v>1</v>
      </c>
    </row>
    <row r="302" spans="1:27" x14ac:dyDescent="0.45">
      <c r="A302">
        <v>8</v>
      </c>
      <c r="B302">
        <v>8</v>
      </c>
      <c r="C302" s="32">
        <f t="shared" si="36"/>
        <v>0</v>
      </c>
      <c r="D302">
        <v>8</v>
      </c>
      <c r="E302">
        <v>8</v>
      </c>
      <c r="F302" s="32">
        <f t="shared" si="37"/>
        <v>0</v>
      </c>
      <c r="G302">
        <v>9</v>
      </c>
      <c r="H302">
        <v>8</v>
      </c>
      <c r="I302" s="32">
        <f t="shared" si="38"/>
        <v>1</v>
      </c>
      <c r="J302">
        <v>9</v>
      </c>
      <c r="K302">
        <v>8</v>
      </c>
      <c r="L302" s="32">
        <f t="shared" si="39"/>
        <v>1</v>
      </c>
      <c r="M302">
        <v>8</v>
      </c>
      <c r="N302">
        <v>8</v>
      </c>
      <c r="O302" s="32">
        <f t="shared" si="40"/>
        <v>0</v>
      </c>
      <c r="P302">
        <v>9</v>
      </c>
      <c r="Q302">
        <v>8</v>
      </c>
      <c r="R302" s="32">
        <f t="shared" si="41"/>
        <v>1</v>
      </c>
      <c r="S302">
        <v>8</v>
      </c>
      <c r="T302">
        <v>8</v>
      </c>
      <c r="U302" s="32">
        <f t="shared" si="42"/>
        <v>0</v>
      </c>
      <c r="V302">
        <v>8</v>
      </c>
      <c r="W302">
        <v>8</v>
      </c>
      <c r="X302" s="32">
        <f t="shared" si="43"/>
        <v>0</v>
      </c>
      <c r="Y302">
        <v>9</v>
      </c>
      <c r="Z302">
        <v>8</v>
      </c>
      <c r="AA302" s="32">
        <f t="shared" si="44"/>
        <v>1</v>
      </c>
    </row>
    <row r="303" spans="1:27" x14ac:dyDescent="0.45">
      <c r="A303">
        <v>8</v>
      </c>
      <c r="B303">
        <v>8</v>
      </c>
      <c r="C303" s="32">
        <f t="shared" si="36"/>
        <v>0</v>
      </c>
      <c r="D303">
        <v>8</v>
      </c>
      <c r="E303">
        <v>8</v>
      </c>
      <c r="F303" s="32">
        <f t="shared" si="37"/>
        <v>0</v>
      </c>
      <c r="G303">
        <v>9</v>
      </c>
      <c r="H303">
        <v>8</v>
      </c>
      <c r="I303" s="32">
        <f t="shared" si="38"/>
        <v>1</v>
      </c>
      <c r="J303">
        <v>9</v>
      </c>
      <c r="K303">
        <v>9</v>
      </c>
      <c r="L303" s="32">
        <f t="shared" si="39"/>
        <v>0</v>
      </c>
      <c r="M303">
        <v>8</v>
      </c>
      <c r="N303">
        <v>8</v>
      </c>
      <c r="O303" s="32">
        <f t="shared" si="40"/>
        <v>0</v>
      </c>
      <c r="P303">
        <v>9</v>
      </c>
      <c r="Q303">
        <v>8</v>
      </c>
      <c r="R303" s="32">
        <f t="shared" si="41"/>
        <v>1</v>
      </c>
      <c r="S303">
        <v>8</v>
      </c>
      <c r="T303">
        <v>8</v>
      </c>
      <c r="U303" s="32">
        <f t="shared" si="42"/>
        <v>0</v>
      </c>
      <c r="V303">
        <v>8</v>
      </c>
      <c r="W303">
        <v>8</v>
      </c>
      <c r="X303" s="32">
        <f t="shared" si="43"/>
        <v>0</v>
      </c>
      <c r="Y303">
        <v>9</v>
      </c>
      <c r="Z303">
        <v>8</v>
      </c>
      <c r="AA303" s="32">
        <f t="shared" si="44"/>
        <v>1</v>
      </c>
    </row>
    <row r="304" spans="1:27" x14ac:dyDescent="0.45">
      <c r="A304">
        <v>8</v>
      </c>
      <c r="B304">
        <v>8</v>
      </c>
      <c r="C304" s="32">
        <f t="shared" si="36"/>
        <v>0</v>
      </c>
      <c r="D304">
        <v>8</v>
      </c>
      <c r="E304">
        <v>9</v>
      </c>
      <c r="F304" s="32">
        <f t="shared" si="37"/>
        <v>1</v>
      </c>
      <c r="G304">
        <v>9</v>
      </c>
      <c r="H304">
        <v>8</v>
      </c>
      <c r="I304" s="32">
        <f t="shared" si="38"/>
        <v>1</v>
      </c>
      <c r="J304">
        <v>9</v>
      </c>
      <c r="K304">
        <v>9</v>
      </c>
      <c r="L304" s="32">
        <f t="shared" si="39"/>
        <v>0</v>
      </c>
      <c r="M304">
        <v>8</v>
      </c>
      <c r="N304">
        <v>8</v>
      </c>
      <c r="O304" s="32">
        <f t="shared" si="40"/>
        <v>0</v>
      </c>
      <c r="P304">
        <v>9</v>
      </c>
      <c r="Q304">
        <v>8</v>
      </c>
      <c r="R304" s="32">
        <f t="shared" si="41"/>
        <v>1</v>
      </c>
      <c r="S304">
        <v>8</v>
      </c>
      <c r="T304">
        <v>8</v>
      </c>
      <c r="U304" s="32">
        <f t="shared" si="42"/>
        <v>0</v>
      </c>
      <c r="V304">
        <v>8</v>
      </c>
      <c r="W304">
        <v>8</v>
      </c>
      <c r="X304" s="32">
        <f t="shared" si="43"/>
        <v>0</v>
      </c>
      <c r="Y304">
        <v>9</v>
      </c>
      <c r="Z304">
        <v>8</v>
      </c>
      <c r="AA304" s="32">
        <f t="shared" si="44"/>
        <v>1</v>
      </c>
    </row>
    <row r="305" spans="1:27" x14ac:dyDescent="0.45">
      <c r="A305">
        <v>8</v>
      </c>
      <c r="B305">
        <v>8</v>
      </c>
      <c r="C305" s="32">
        <f t="shared" si="36"/>
        <v>0</v>
      </c>
      <c r="D305">
        <v>8</v>
      </c>
      <c r="E305">
        <v>9</v>
      </c>
      <c r="F305" s="32">
        <f t="shared" si="37"/>
        <v>1</v>
      </c>
      <c r="G305">
        <v>9</v>
      </c>
      <c r="H305">
        <v>8</v>
      </c>
      <c r="I305" s="32">
        <f t="shared" si="38"/>
        <v>1</v>
      </c>
      <c r="J305">
        <v>9</v>
      </c>
      <c r="K305">
        <v>9</v>
      </c>
      <c r="L305" s="32">
        <f t="shared" si="39"/>
        <v>0</v>
      </c>
      <c r="M305">
        <v>8</v>
      </c>
      <c r="N305">
        <v>8</v>
      </c>
      <c r="O305" s="32">
        <f t="shared" si="40"/>
        <v>0</v>
      </c>
      <c r="P305">
        <v>9</v>
      </c>
      <c r="Q305">
        <v>8</v>
      </c>
      <c r="R305" s="32">
        <f t="shared" si="41"/>
        <v>1</v>
      </c>
      <c r="S305">
        <v>8</v>
      </c>
      <c r="T305">
        <v>8</v>
      </c>
      <c r="U305" s="32">
        <f t="shared" si="42"/>
        <v>0</v>
      </c>
      <c r="V305">
        <v>8</v>
      </c>
      <c r="W305">
        <v>8</v>
      </c>
      <c r="X305" s="32">
        <f t="shared" si="43"/>
        <v>0</v>
      </c>
      <c r="Y305">
        <v>9</v>
      </c>
      <c r="Z305">
        <v>8</v>
      </c>
      <c r="AA305" s="32">
        <f t="shared" si="44"/>
        <v>1</v>
      </c>
    </row>
    <row r="306" spans="1:27" x14ac:dyDescent="0.45">
      <c r="A306">
        <v>8</v>
      </c>
      <c r="B306">
        <v>8</v>
      </c>
      <c r="C306" s="32">
        <f t="shared" si="36"/>
        <v>0</v>
      </c>
      <c r="D306">
        <v>8</v>
      </c>
      <c r="E306">
        <v>9</v>
      </c>
      <c r="F306" s="32">
        <f t="shared" si="37"/>
        <v>1</v>
      </c>
      <c r="G306">
        <v>9</v>
      </c>
      <c r="H306">
        <v>8</v>
      </c>
      <c r="I306" s="32">
        <f t="shared" si="38"/>
        <v>1</v>
      </c>
      <c r="J306">
        <v>9</v>
      </c>
      <c r="K306">
        <v>9</v>
      </c>
      <c r="L306" s="32">
        <f t="shared" si="39"/>
        <v>0</v>
      </c>
      <c r="M306">
        <v>8</v>
      </c>
      <c r="N306">
        <v>8</v>
      </c>
      <c r="O306" s="32">
        <f t="shared" si="40"/>
        <v>0</v>
      </c>
      <c r="P306">
        <v>9</v>
      </c>
      <c r="Q306">
        <v>8</v>
      </c>
      <c r="R306" s="32">
        <f t="shared" si="41"/>
        <v>1</v>
      </c>
      <c r="S306">
        <v>8</v>
      </c>
      <c r="T306">
        <v>8</v>
      </c>
      <c r="U306" s="32">
        <f t="shared" si="42"/>
        <v>0</v>
      </c>
      <c r="V306">
        <v>8</v>
      </c>
      <c r="W306">
        <v>8</v>
      </c>
      <c r="X306" s="32">
        <f t="shared" si="43"/>
        <v>0</v>
      </c>
      <c r="Y306">
        <v>9</v>
      </c>
      <c r="Z306">
        <v>8</v>
      </c>
      <c r="AA306" s="32">
        <f t="shared" si="44"/>
        <v>1</v>
      </c>
    </row>
    <row r="307" spans="1:27" x14ac:dyDescent="0.45">
      <c r="A307">
        <v>8</v>
      </c>
      <c r="B307">
        <v>8</v>
      </c>
      <c r="C307" s="32">
        <f t="shared" si="36"/>
        <v>0</v>
      </c>
      <c r="D307">
        <v>8</v>
      </c>
      <c r="E307">
        <v>9</v>
      </c>
      <c r="F307" s="32">
        <f t="shared" si="37"/>
        <v>1</v>
      </c>
      <c r="G307">
        <v>9</v>
      </c>
      <c r="H307">
        <v>8</v>
      </c>
      <c r="I307" s="32">
        <f t="shared" si="38"/>
        <v>1</v>
      </c>
      <c r="J307">
        <v>9</v>
      </c>
      <c r="K307">
        <v>9</v>
      </c>
      <c r="L307" s="32">
        <f t="shared" si="39"/>
        <v>0</v>
      </c>
      <c r="M307">
        <v>8</v>
      </c>
      <c r="N307">
        <v>8</v>
      </c>
      <c r="O307" s="32">
        <f t="shared" si="40"/>
        <v>0</v>
      </c>
      <c r="P307">
        <v>9</v>
      </c>
      <c r="Q307">
        <v>8</v>
      </c>
      <c r="R307" s="32">
        <f t="shared" si="41"/>
        <v>1</v>
      </c>
      <c r="S307">
        <v>8</v>
      </c>
      <c r="T307">
        <v>8</v>
      </c>
      <c r="U307" s="32">
        <f t="shared" si="42"/>
        <v>0</v>
      </c>
      <c r="V307">
        <v>8</v>
      </c>
      <c r="W307">
        <v>8</v>
      </c>
      <c r="X307" s="32">
        <f t="shared" si="43"/>
        <v>0</v>
      </c>
      <c r="Y307">
        <v>9</v>
      </c>
      <c r="Z307">
        <v>8</v>
      </c>
      <c r="AA307" s="32">
        <f t="shared" si="44"/>
        <v>1</v>
      </c>
    </row>
    <row r="308" spans="1:27" x14ac:dyDescent="0.45">
      <c r="A308">
        <v>8</v>
      </c>
      <c r="B308">
        <v>8</v>
      </c>
      <c r="C308" s="32">
        <f t="shared" si="36"/>
        <v>0</v>
      </c>
      <c r="D308">
        <v>8</v>
      </c>
      <c r="E308">
        <v>9</v>
      </c>
      <c r="F308" s="32">
        <f t="shared" si="37"/>
        <v>1</v>
      </c>
      <c r="G308">
        <v>9</v>
      </c>
      <c r="H308">
        <v>8</v>
      </c>
      <c r="I308" s="32">
        <f t="shared" si="38"/>
        <v>1</v>
      </c>
      <c r="J308">
        <v>9</v>
      </c>
      <c r="K308">
        <v>9</v>
      </c>
      <c r="L308" s="32">
        <f t="shared" si="39"/>
        <v>0</v>
      </c>
      <c r="M308">
        <v>8</v>
      </c>
      <c r="N308">
        <v>8</v>
      </c>
      <c r="O308" s="32">
        <f t="shared" si="40"/>
        <v>0</v>
      </c>
      <c r="P308">
        <v>9</v>
      </c>
      <c r="Q308">
        <v>8</v>
      </c>
      <c r="R308" s="32">
        <f t="shared" si="41"/>
        <v>1</v>
      </c>
      <c r="S308">
        <v>8</v>
      </c>
      <c r="T308">
        <v>8</v>
      </c>
      <c r="U308" s="32">
        <f t="shared" si="42"/>
        <v>0</v>
      </c>
      <c r="V308">
        <v>8</v>
      </c>
      <c r="W308">
        <v>8</v>
      </c>
      <c r="X308" s="32">
        <f t="shared" si="43"/>
        <v>0</v>
      </c>
      <c r="Y308">
        <v>9</v>
      </c>
      <c r="Z308">
        <v>8</v>
      </c>
      <c r="AA308" s="32">
        <f t="shared" si="44"/>
        <v>1</v>
      </c>
    </row>
    <row r="309" spans="1:27" x14ac:dyDescent="0.45">
      <c r="A309">
        <v>8</v>
      </c>
      <c r="B309">
        <v>8</v>
      </c>
      <c r="C309" s="32">
        <f t="shared" si="36"/>
        <v>0</v>
      </c>
      <c r="D309">
        <v>8</v>
      </c>
      <c r="E309">
        <v>9</v>
      </c>
      <c r="F309" s="32">
        <f t="shared" si="37"/>
        <v>1</v>
      </c>
      <c r="G309">
        <v>9</v>
      </c>
      <c r="H309">
        <v>8</v>
      </c>
      <c r="I309" s="32">
        <f t="shared" si="38"/>
        <v>1</v>
      </c>
      <c r="J309">
        <v>9</v>
      </c>
      <c r="K309">
        <v>9</v>
      </c>
      <c r="L309" s="32">
        <f t="shared" si="39"/>
        <v>0</v>
      </c>
      <c r="M309">
        <v>8</v>
      </c>
      <c r="N309">
        <v>8</v>
      </c>
      <c r="O309" s="32">
        <f t="shared" si="40"/>
        <v>0</v>
      </c>
      <c r="P309">
        <v>9</v>
      </c>
      <c r="Q309">
        <v>8</v>
      </c>
      <c r="R309" s="32">
        <f t="shared" si="41"/>
        <v>1</v>
      </c>
      <c r="S309">
        <v>8</v>
      </c>
      <c r="T309">
        <v>8</v>
      </c>
      <c r="U309" s="32">
        <f t="shared" si="42"/>
        <v>0</v>
      </c>
      <c r="V309">
        <v>8</v>
      </c>
      <c r="W309">
        <v>8</v>
      </c>
      <c r="X309" s="32">
        <f t="shared" si="43"/>
        <v>0</v>
      </c>
      <c r="Y309">
        <v>9</v>
      </c>
      <c r="Z309">
        <v>8</v>
      </c>
      <c r="AA309" s="32">
        <f t="shared" si="44"/>
        <v>1</v>
      </c>
    </row>
    <row r="310" spans="1:27" x14ac:dyDescent="0.45">
      <c r="A310">
        <v>8</v>
      </c>
      <c r="B310">
        <v>8</v>
      </c>
      <c r="C310" s="32">
        <f t="shared" si="36"/>
        <v>0</v>
      </c>
      <c r="D310">
        <v>8</v>
      </c>
      <c r="E310">
        <v>9</v>
      </c>
      <c r="F310" s="32">
        <f t="shared" si="37"/>
        <v>1</v>
      </c>
      <c r="G310">
        <v>9</v>
      </c>
      <c r="H310">
        <v>8</v>
      </c>
      <c r="I310" s="32">
        <f t="shared" si="38"/>
        <v>1</v>
      </c>
      <c r="J310">
        <v>9</v>
      </c>
      <c r="K310">
        <v>9</v>
      </c>
      <c r="L310" s="32">
        <f t="shared" si="39"/>
        <v>0</v>
      </c>
      <c r="M310">
        <v>8</v>
      </c>
      <c r="N310">
        <v>8</v>
      </c>
      <c r="O310" s="32">
        <f t="shared" si="40"/>
        <v>0</v>
      </c>
      <c r="P310">
        <v>9</v>
      </c>
      <c r="Q310">
        <v>8</v>
      </c>
      <c r="R310" s="32">
        <f t="shared" si="41"/>
        <v>1</v>
      </c>
      <c r="S310">
        <v>8</v>
      </c>
      <c r="T310">
        <v>8</v>
      </c>
      <c r="U310" s="32">
        <f t="shared" si="42"/>
        <v>0</v>
      </c>
      <c r="V310">
        <v>8</v>
      </c>
      <c r="W310">
        <v>8</v>
      </c>
      <c r="X310" s="32">
        <f t="shared" si="43"/>
        <v>0</v>
      </c>
      <c r="Y310">
        <v>9</v>
      </c>
      <c r="Z310">
        <v>8</v>
      </c>
      <c r="AA310" s="32">
        <f t="shared" si="44"/>
        <v>1</v>
      </c>
    </row>
    <row r="311" spans="1:27" x14ac:dyDescent="0.45">
      <c r="A311">
        <v>8</v>
      </c>
      <c r="B311">
        <v>8</v>
      </c>
      <c r="C311" s="32">
        <f t="shared" si="36"/>
        <v>0</v>
      </c>
      <c r="D311">
        <v>8</v>
      </c>
      <c r="E311">
        <v>9</v>
      </c>
      <c r="F311" s="32">
        <f t="shared" si="37"/>
        <v>1</v>
      </c>
      <c r="G311">
        <v>9</v>
      </c>
      <c r="H311">
        <v>8</v>
      </c>
      <c r="I311" s="32">
        <f t="shared" si="38"/>
        <v>1</v>
      </c>
      <c r="J311">
        <v>9</v>
      </c>
      <c r="K311">
        <v>9</v>
      </c>
      <c r="L311" s="32">
        <f t="shared" si="39"/>
        <v>0</v>
      </c>
      <c r="M311">
        <v>8</v>
      </c>
      <c r="N311">
        <v>8</v>
      </c>
      <c r="O311" s="32">
        <f t="shared" si="40"/>
        <v>0</v>
      </c>
      <c r="P311">
        <v>9</v>
      </c>
      <c r="Q311">
        <v>8</v>
      </c>
      <c r="R311" s="32">
        <f t="shared" si="41"/>
        <v>1</v>
      </c>
      <c r="S311">
        <v>8</v>
      </c>
      <c r="T311">
        <v>8</v>
      </c>
      <c r="U311" s="32">
        <f t="shared" si="42"/>
        <v>0</v>
      </c>
      <c r="V311">
        <v>8</v>
      </c>
      <c r="W311">
        <v>8</v>
      </c>
      <c r="X311" s="32">
        <f t="shared" si="43"/>
        <v>0</v>
      </c>
      <c r="Y311">
        <v>9</v>
      </c>
      <c r="Z311">
        <v>8</v>
      </c>
      <c r="AA311" s="32">
        <f t="shared" si="44"/>
        <v>1</v>
      </c>
    </row>
    <row r="312" spans="1:27" x14ac:dyDescent="0.45">
      <c r="A312">
        <v>8</v>
      </c>
      <c r="B312">
        <v>8</v>
      </c>
      <c r="C312" s="32">
        <f t="shared" si="36"/>
        <v>0</v>
      </c>
      <c r="D312">
        <v>8</v>
      </c>
      <c r="E312">
        <v>9</v>
      </c>
      <c r="F312" s="32">
        <f t="shared" si="37"/>
        <v>1</v>
      </c>
      <c r="G312">
        <v>9</v>
      </c>
      <c r="H312">
        <v>8</v>
      </c>
      <c r="I312" s="32">
        <f t="shared" si="38"/>
        <v>1</v>
      </c>
      <c r="J312">
        <v>9</v>
      </c>
      <c r="K312">
        <v>9</v>
      </c>
      <c r="L312" s="32">
        <f t="shared" si="39"/>
        <v>0</v>
      </c>
      <c r="M312">
        <v>8</v>
      </c>
      <c r="N312">
        <v>8</v>
      </c>
      <c r="O312" s="32">
        <f t="shared" si="40"/>
        <v>0</v>
      </c>
      <c r="P312">
        <v>9</v>
      </c>
      <c r="Q312">
        <v>8</v>
      </c>
      <c r="R312" s="32">
        <f t="shared" si="41"/>
        <v>1</v>
      </c>
      <c r="S312">
        <v>8</v>
      </c>
      <c r="T312">
        <v>8</v>
      </c>
      <c r="U312" s="32">
        <f t="shared" si="42"/>
        <v>0</v>
      </c>
      <c r="V312">
        <v>8</v>
      </c>
      <c r="W312">
        <v>8</v>
      </c>
      <c r="X312" s="32">
        <f t="shared" si="43"/>
        <v>0</v>
      </c>
      <c r="Y312">
        <v>9</v>
      </c>
      <c r="Z312">
        <v>8</v>
      </c>
      <c r="AA312" s="32">
        <f t="shared" si="44"/>
        <v>1</v>
      </c>
    </row>
    <row r="313" spans="1:27" x14ac:dyDescent="0.45">
      <c r="A313">
        <v>8</v>
      </c>
      <c r="B313">
        <v>8</v>
      </c>
      <c r="C313" s="32">
        <f t="shared" si="36"/>
        <v>0</v>
      </c>
      <c r="D313">
        <v>8</v>
      </c>
      <c r="E313">
        <v>9</v>
      </c>
      <c r="F313" s="32">
        <f t="shared" si="37"/>
        <v>1</v>
      </c>
      <c r="G313">
        <v>9</v>
      </c>
      <c r="H313">
        <v>8</v>
      </c>
      <c r="I313" s="32">
        <f t="shared" si="38"/>
        <v>1</v>
      </c>
      <c r="J313">
        <v>9</v>
      </c>
      <c r="K313">
        <v>9</v>
      </c>
      <c r="L313" s="32">
        <f t="shared" si="39"/>
        <v>0</v>
      </c>
      <c r="M313">
        <v>8</v>
      </c>
      <c r="N313">
        <v>8</v>
      </c>
      <c r="O313" s="32">
        <f t="shared" si="40"/>
        <v>0</v>
      </c>
      <c r="P313">
        <v>9</v>
      </c>
      <c r="Q313">
        <v>8</v>
      </c>
      <c r="R313" s="32">
        <f t="shared" si="41"/>
        <v>1</v>
      </c>
      <c r="S313">
        <v>8</v>
      </c>
      <c r="T313">
        <v>8</v>
      </c>
      <c r="U313" s="32">
        <f t="shared" si="42"/>
        <v>0</v>
      </c>
      <c r="V313">
        <v>8</v>
      </c>
      <c r="W313">
        <v>8</v>
      </c>
      <c r="X313" s="32">
        <f t="shared" si="43"/>
        <v>0</v>
      </c>
      <c r="Y313">
        <v>9</v>
      </c>
      <c r="Z313">
        <v>8</v>
      </c>
      <c r="AA313" s="32">
        <f t="shared" si="44"/>
        <v>1</v>
      </c>
    </row>
    <row r="314" spans="1:27" x14ac:dyDescent="0.45">
      <c r="A314">
        <v>8</v>
      </c>
      <c r="B314">
        <v>8</v>
      </c>
      <c r="C314" s="32">
        <f t="shared" si="36"/>
        <v>0</v>
      </c>
      <c r="D314">
        <v>8</v>
      </c>
      <c r="E314">
        <v>9</v>
      </c>
      <c r="F314" s="32">
        <f t="shared" si="37"/>
        <v>1</v>
      </c>
      <c r="G314">
        <v>9</v>
      </c>
      <c r="H314">
        <v>8</v>
      </c>
      <c r="I314" s="32">
        <f t="shared" si="38"/>
        <v>1</v>
      </c>
      <c r="J314">
        <v>9</v>
      </c>
      <c r="K314">
        <v>9</v>
      </c>
      <c r="L314" s="32">
        <f t="shared" si="39"/>
        <v>0</v>
      </c>
      <c r="M314">
        <v>8</v>
      </c>
      <c r="N314">
        <v>8</v>
      </c>
      <c r="O314" s="32">
        <f t="shared" si="40"/>
        <v>0</v>
      </c>
      <c r="P314">
        <v>9</v>
      </c>
      <c r="Q314">
        <v>8</v>
      </c>
      <c r="R314" s="32">
        <f t="shared" si="41"/>
        <v>1</v>
      </c>
      <c r="S314">
        <v>8</v>
      </c>
      <c r="T314">
        <v>8</v>
      </c>
      <c r="U314" s="32">
        <f t="shared" si="42"/>
        <v>0</v>
      </c>
      <c r="V314">
        <v>9</v>
      </c>
      <c r="W314">
        <v>8</v>
      </c>
      <c r="X314" s="32">
        <f t="shared" si="43"/>
        <v>1</v>
      </c>
      <c r="Y314">
        <v>9</v>
      </c>
      <c r="Z314">
        <v>8</v>
      </c>
      <c r="AA314" s="32">
        <f t="shared" si="44"/>
        <v>1</v>
      </c>
    </row>
    <row r="315" spans="1:27" x14ac:dyDescent="0.45">
      <c r="A315">
        <v>8</v>
      </c>
      <c r="B315">
        <v>8</v>
      </c>
      <c r="C315" s="32">
        <f t="shared" si="36"/>
        <v>0</v>
      </c>
      <c r="D315">
        <v>8</v>
      </c>
      <c r="E315">
        <v>9</v>
      </c>
      <c r="F315" s="32">
        <f t="shared" si="37"/>
        <v>1</v>
      </c>
      <c r="G315">
        <v>9</v>
      </c>
      <c r="H315">
        <v>8</v>
      </c>
      <c r="I315" s="32">
        <f t="shared" si="38"/>
        <v>1</v>
      </c>
      <c r="J315">
        <v>9</v>
      </c>
      <c r="K315">
        <v>9</v>
      </c>
      <c r="L315" s="32">
        <f t="shared" si="39"/>
        <v>0</v>
      </c>
      <c r="M315">
        <v>8</v>
      </c>
      <c r="N315">
        <v>8</v>
      </c>
      <c r="O315" s="32">
        <f t="shared" si="40"/>
        <v>0</v>
      </c>
      <c r="P315">
        <v>9</v>
      </c>
      <c r="Q315">
        <v>8</v>
      </c>
      <c r="R315" s="32">
        <f t="shared" si="41"/>
        <v>1</v>
      </c>
      <c r="S315">
        <v>8</v>
      </c>
      <c r="T315">
        <v>8</v>
      </c>
      <c r="U315" s="32">
        <f t="shared" si="42"/>
        <v>0</v>
      </c>
      <c r="V315">
        <v>9</v>
      </c>
      <c r="W315">
        <v>8</v>
      </c>
      <c r="X315" s="32">
        <f t="shared" si="43"/>
        <v>1</v>
      </c>
      <c r="Y315">
        <v>9</v>
      </c>
      <c r="Z315">
        <v>8</v>
      </c>
      <c r="AA315" s="32">
        <f t="shared" si="44"/>
        <v>1</v>
      </c>
    </row>
    <row r="316" spans="1:27" x14ac:dyDescent="0.45">
      <c r="A316">
        <v>8</v>
      </c>
      <c r="B316">
        <v>9</v>
      </c>
      <c r="C316" s="32">
        <f t="shared" si="36"/>
        <v>1</v>
      </c>
      <c r="D316">
        <v>8</v>
      </c>
      <c r="E316">
        <v>9</v>
      </c>
      <c r="F316" s="32">
        <f t="shared" si="37"/>
        <v>1</v>
      </c>
      <c r="G316">
        <v>9</v>
      </c>
      <c r="H316">
        <v>8</v>
      </c>
      <c r="I316" s="32">
        <f t="shared" si="38"/>
        <v>1</v>
      </c>
      <c r="J316">
        <v>9</v>
      </c>
      <c r="K316">
        <v>9</v>
      </c>
      <c r="L316" s="32">
        <f t="shared" si="39"/>
        <v>0</v>
      </c>
      <c r="M316">
        <v>8</v>
      </c>
      <c r="N316">
        <v>8</v>
      </c>
      <c r="O316" s="32">
        <f t="shared" si="40"/>
        <v>0</v>
      </c>
      <c r="P316">
        <v>9</v>
      </c>
      <c r="Q316">
        <v>8</v>
      </c>
      <c r="R316" s="32">
        <f t="shared" si="41"/>
        <v>1</v>
      </c>
      <c r="S316">
        <v>8</v>
      </c>
      <c r="T316">
        <v>8</v>
      </c>
      <c r="U316" s="32">
        <f t="shared" si="42"/>
        <v>0</v>
      </c>
      <c r="V316">
        <v>9</v>
      </c>
      <c r="W316">
        <v>8</v>
      </c>
      <c r="X316" s="32">
        <f t="shared" si="43"/>
        <v>1</v>
      </c>
      <c r="Y316">
        <v>9</v>
      </c>
      <c r="Z316">
        <v>8</v>
      </c>
      <c r="AA316" s="32">
        <f t="shared" si="44"/>
        <v>1</v>
      </c>
    </row>
    <row r="317" spans="1:27" x14ac:dyDescent="0.45">
      <c r="A317">
        <v>8</v>
      </c>
      <c r="B317">
        <v>9</v>
      </c>
      <c r="C317" s="32">
        <f t="shared" si="36"/>
        <v>1</v>
      </c>
      <c r="D317">
        <v>8</v>
      </c>
      <c r="E317">
        <v>9</v>
      </c>
      <c r="F317" s="32">
        <f t="shared" si="37"/>
        <v>1</v>
      </c>
      <c r="G317">
        <v>9</v>
      </c>
      <c r="H317">
        <v>8</v>
      </c>
      <c r="I317" s="32">
        <f t="shared" si="38"/>
        <v>1</v>
      </c>
      <c r="J317">
        <v>9</v>
      </c>
      <c r="K317">
        <v>9</v>
      </c>
      <c r="L317" s="32">
        <f t="shared" si="39"/>
        <v>0</v>
      </c>
      <c r="M317">
        <v>8</v>
      </c>
      <c r="N317">
        <v>8</v>
      </c>
      <c r="O317" s="32">
        <f t="shared" si="40"/>
        <v>0</v>
      </c>
      <c r="P317">
        <v>9</v>
      </c>
      <c r="Q317">
        <v>8</v>
      </c>
      <c r="R317" s="32">
        <f t="shared" si="41"/>
        <v>1</v>
      </c>
      <c r="S317">
        <v>8</v>
      </c>
      <c r="T317">
        <v>8</v>
      </c>
      <c r="U317" s="32">
        <f t="shared" si="42"/>
        <v>0</v>
      </c>
      <c r="V317">
        <v>9</v>
      </c>
      <c r="W317">
        <v>8</v>
      </c>
      <c r="X317" s="32">
        <f t="shared" si="43"/>
        <v>1</v>
      </c>
      <c r="Y317">
        <v>9</v>
      </c>
      <c r="Z317">
        <v>8</v>
      </c>
      <c r="AA317" s="32">
        <f t="shared" si="44"/>
        <v>1</v>
      </c>
    </row>
    <row r="318" spans="1:27" x14ac:dyDescent="0.45">
      <c r="A318">
        <v>8</v>
      </c>
      <c r="B318">
        <v>9</v>
      </c>
      <c r="C318" s="32">
        <f t="shared" si="36"/>
        <v>1</v>
      </c>
      <c r="D318">
        <v>8</v>
      </c>
      <c r="E318">
        <v>9</v>
      </c>
      <c r="F318" s="32">
        <f t="shared" si="37"/>
        <v>1</v>
      </c>
      <c r="G318">
        <v>9</v>
      </c>
      <c r="H318">
        <v>8</v>
      </c>
      <c r="I318" s="32">
        <f t="shared" si="38"/>
        <v>1</v>
      </c>
      <c r="J318">
        <v>9</v>
      </c>
      <c r="K318">
        <v>9</v>
      </c>
      <c r="L318" s="32">
        <f t="shared" si="39"/>
        <v>0</v>
      </c>
      <c r="M318">
        <v>8</v>
      </c>
      <c r="N318">
        <v>8</v>
      </c>
      <c r="O318" s="32">
        <f t="shared" si="40"/>
        <v>0</v>
      </c>
      <c r="P318">
        <v>9</v>
      </c>
      <c r="Q318">
        <v>8</v>
      </c>
      <c r="R318" s="32">
        <f t="shared" si="41"/>
        <v>1</v>
      </c>
      <c r="S318">
        <v>8</v>
      </c>
      <c r="T318">
        <v>8</v>
      </c>
      <c r="U318" s="32">
        <f t="shared" si="42"/>
        <v>0</v>
      </c>
      <c r="V318">
        <v>9</v>
      </c>
      <c r="W318">
        <v>8</v>
      </c>
      <c r="X318" s="32">
        <f t="shared" si="43"/>
        <v>1</v>
      </c>
      <c r="Y318">
        <v>9</v>
      </c>
      <c r="Z318">
        <v>8</v>
      </c>
      <c r="AA318" s="32">
        <f t="shared" si="44"/>
        <v>1</v>
      </c>
    </row>
    <row r="319" spans="1:27" x14ac:dyDescent="0.45">
      <c r="A319">
        <v>8</v>
      </c>
      <c r="B319">
        <v>9</v>
      </c>
      <c r="C319" s="32">
        <f t="shared" si="36"/>
        <v>1</v>
      </c>
      <c r="D319">
        <v>8</v>
      </c>
      <c r="E319">
        <v>9</v>
      </c>
      <c r="F319" s="32">
        <f t="shared" si="37"/>
        <v>1</v>
      </c>
      <c r="G319">
        <v>9</v>
      </c>
      <c r="H319">
        <v>8</v>
      </c>
      <c r="I319" s="32">
        <f t="shared" si="38"/>
        <v>1</v>
      </c>
      <c r="J319">
        <v>9</v>
      </c>
      <c r="K319">
        <v>9</v>
      </c>
      <c r="L319" s="32">
        <f t="shared" si="39"/>
        <v>0</v>
      </c>
      <c r="M319">
        <v>8</v>
      </c>
      <c r="N319">
        <v>8</v>
      </c>
      <c r="O319" s="32">
        <f t="shared" si="40"/>
        <v>0</v>
      </c>
      <c r="P319">
        <v>9</v>
      </c>
      <c r="Q319">
        <v>8</v>
      </c>
      <c r="R319" s="32">
        <f t="shared" si="41"/>
        <v>1</v>
      </c>
      <c r="S319">
        <v>8</v>
      </c>
      <c r="T319">
        <v>8</v>
      </c>
      <c r="U319" s="32">
        <f t="shared" si="42"/>
        <v>0</v>
      </c>
      <c r="V319">
        <v>9</v>
      </c>
      <c r="W319">
        <v>8</v>
      </c>
      <c r="X319" s="32">
        <f t="shared" si="43"/>
        <v>1</v>
      </c>
      <c r="Y319">
        <v>9</v>
      </c>
      <c r="Z319">
        <v>9</v>
      </c>
      <c r="AA319" s="32">
        <f t="shared" si="44"/>
        <v>0</v>
      </c>
    </row>
    <row r="320" spans="1:27" x14ac:dyDescent="0.45">
      <c r="A320">
        <v>8</v>
      </c>
      <c r="B320">
        <v>9</v>
      </c>
      <c r="C320" s="32">
        <f t="shared" si="36"/>
        <v>1</v>
      </c>
      <c r="D320">
        <v>8</v>
      </c>
      <c r="E320">
        <v>9</v>
      </c>
      <c r="F320" s="32">
        <f t="shared" si="37"/>
        <v>1</v>
      </c>
      <c r="G320">
        <v>9</v>
      </c>
      <c r="H320">
        <v>8</v>
      </c>
      <c r="I320" s="32">
        <f t="shared" si="38"/>
        <v>1</v>
      </c>
      <c r="J320">
        <v>9</v>
      </c>
      <c r="K320">
        <v>9</v>
      </c>
      <c r="L320" s="32">
        <f t="shared" si="39"/>
        <v>0</v>
      </c>
      <c r="M320">
        <v>8</v>
      </c>
      <c r="N320">
        <v>8</v>
      </c>
      <c r="O320" s="32">
        <f t="shared" si="40"/>
        <v>0</v>
      </c>
      <c r="P320">
        <v>9</v>
      </c>
      <c r="Q320">
        <v>9</v>
      </c>
      <c r="R320" s="32">
        <f t="shared" si="41"/>
        <v>0</v>
      </c>
      <c r="S320">
        <v>8</v>
      </c>
      <c r="T320">
        <v>8</v>
      </c>
      <c r="U320" s="32">
        <f t="shared" si="42"/>
        <v>0</v>
      </c>
      <c r="V320">
        <v>9</v>
      </c>
      <c r="W320">
        <v>8</v>
      </c>
      <c r="X320" s="32">
        <f t="shared" si="43"/>
        <v>1</v>
      </c>
      <c r="Y320">
        <v>9</v>
      </c>
      <c r="Z320">
        <v>9</v>
      </c>
      <c r="AA320" s="32">
        <f t="shared" si="44"/>
        <v>0</v>
      </c>
    </row>
    <row r="321" spans="1:27" x14ac:dyDescent="0.45">
      <c r="A321">
        <v>8</v>
      </c>
      <c r="B321">
        <v>9</v>
      </c>
      <c r="C321" s="32">
        <f t="shared" si="36"/>
        <v>1</v>
      </c>
      <c r="D321">
        <v>8</v>
      </c>
      <c r="E321">
        <v>9</v>
      </c>
      <c r="F321" s="32">
        <f t="shared" si="37"/>
        <v>1</v>
      </c>
      <c r="G321">
        <v>9</v>
      </c>
      <c r="H321">
        <v>8</v>
      </c>
      <c r="I321" s="32">
        <f t="shared" si="38"/>
        <v>1</v>
      </c>
      <c r="J321">
        <v>9</v>
      </c>
      <c r="K321">
        <v>9</v>
      </c>
      <c r="L321" s="32">
        <f t="shared" si="39"/>
        <v>0</v>
      </c>
      <c r="M321">
        <v>8</v>
      </c>
      <c r="N321">
        <v>8</v>
      </c>
      <c r="O321" s="32">
        <f t="shared" si="40"/>
        <v>0</v>
      </c>
      <c r="P321">
        <v>9</v>
      </c>
      <c r="Q321">
        <v>9</v>
      </c>
      <c r="R321" s="32">
        <f t="shared" si="41"/>
        <v>0</v>
      </c>
      <c r="S321">
        <v>8</v>
      </c>
      <c r="T321">
        <v>8</v>
      </c>
      <c r="U321" s="32">
        <f t="shared" si="42"/>
        <v>0</v>
      </c>
      <c r="V321">
        <v>9</v>
      </c>
      <c r="W321">
        <v>8</v>
      </c>
      <c r="X321" s="32">
        <f t="shared" si="43"/>
        <v>1</v>
      </c>
      <c r="Y321">
        <v>9</v>
      </c>
      <c r="Z321">
        <v>9</v>
      </c>
      <c r="AA321" s="32">
        <f t="shared" si="44"/>
        <v>0</v>
      </c>
    </row>
    <row r="322" spans="1:27" x14ac:dyDescent="0.45">
      <c r="A322">
        <v>8</v>
      </c>
      <c r="B322">
        <v>9</v>
      </c>
      <c r="C322" s="32">
        <f t="shared" si="36"/>
        <v>1</v>
      </c>
      <c r="D322">
        <v>8</v>
      </c>
      <c r="E322">
        <v>9</v>
      </c>
      <c r="F322" s="32">
        <f t="shared" si="37"/>
        <v>1</v>
      </c>
      <c r="G322">
        <v>9</v>
      </c>
      <c r="H322">
        <v>8</v>
      </c>
      <c r="I322" s="32">
        <f t="shared" si="38"/>
        <v>1</v>
      </c>
      <c r="J322">
        <v>9</v>
      </c>
      <c r="K322">
        <v>9</v>
      </c>
      <c r="L322" s="32">
        <f t="shared" si="39"/>
        <v>0</v>
      </c>
      <c r="M322">
        <v>8</v>
      </c>
      <c r="N322">
        <v>8</v>
      </c>
      <c r="O322" s="32">
        <f t="shared" si="40"/>
        <v>0</v>
      </c>
      <c r="P322">
        <v>9</v>
      </c>
      <c r="Q322">
        <v>9</v>
      </c>
      <c r="R322" s="32">
        <f t="shared" si="41"/>
        <v>0</v>
      </c>
      <c r="S322">
        <v>8</v>
      </c>
      <c r="T322">
        <v>8</v>
      </c>
      <c r="U322" s="32">
        <f t="shared" si="42"/>
        <v>0</v>
      </c>
      <c r="V322">
        <v>9</v>
      </c>
      <c r="W322">
        <v>8</v>
      </c>
      <c r="X322" s="32">
        <f t="shared" si="43"/>
        <v>1</v>
      </c>
      <c r="Y322">
        <v>9</v>
      </c>
      <c r="Z322">
        <v>9</v>
      </c>
      <c r="AA322" s="32">
        <f t="shared" si="44"/>
        <v>0</v>
      </c>
    </row>
    <row r="323" spans="1:27" x14ac:dyDescent="0.45">
      <c r="A323">
        <v>8</v>
      </c>
      <c r="B323">
        <v>9</v>
      </c>
      <c r="C323" s="32">
        <f t="shared" ref="C323:C386" si="45">ABS(B323-A323)</f>
        <v>1</v>
      </c>
      <c r="D323">
        <v>8</v>
      </c>
      <c r="E323">
        <v>9</v>
      </c>
      <c r="F323" s="32">
        <f t="shared" ref="F323:F386" si="46">ABS(E323-D323)</f>
        <v>1</v>
      </c>
      <c r="G323">
        <v>9</v>
      </c>
      <c r="H323">
        <v>8</v>
      </c>
      <c r="I323" s="32">
        <f t="shared" ref="I323:I386" si="47">ABS(H323-G323)</f>
        <v>1</v>
      </c>
      <c r="J323">
        <v>9</v>
      </c>
      <c r="K323">
        <v>9</v>
      </c>
      <c r="L323" s="32">
        <f t="shared" ref="L323:L386" si="48">ABS(K323-J323)</f>
        <v>0</v>
      </c>
      <c r="M323">
        <v>8</v>
      </c>
      <c r="N323">
        <v>8</v>
      </c>
      <c r="O323" s="32">
        <f t="shared" ref="O323:O386" si="49">ABS(N323-M323)</f>
        <v>0</v>
      </c>
      <c r="P323">
        <v>9</v>
      </c>
      <c r="Q323">
        <v>9</v>
      </c>
      <c r="R323" s="32">
        <f t="shared" ref="R323:R386" si="50">ABS(Q323-P323)</f>
        <v>0</v>
      </c>
      <c r="S323">
        <v>8</v>
      </c>
      <c r="T323">
        <v>8</v>
      </c>
      <c r="U323" s="32">
        <f t="shared" ref="U323:U386" si="51">ABS(T323-S323)</f>
        <v>0</v>
      </c>
      <c r="V323">
        <v>9</v>
      </c>
      <c r="W323">
        <v>8</v>
      </c>
      <c r="X323" s="32">
        <f t="shared" ref="X323:X386" si="52">ABS(W323-V323)</f>
        <v>1</v>
      </c>
      <c r="Y323">
        <v>9</v>
      </c>
      <c r="Z323">
        <v>9</v>
      </c>
      <c r="AA323" s="32">
        <f t="shared" ref="AA323:AA386" si="53">ABS(Z323-Y323)</f>
        <v>0</v>
      </c>
    </row>
    <row r="324" spans="1:27" x14ac:dyDescent="0.45">
      <c r="A324">
        <v>8</v>
      </c>
      <c r="B324">
        <v>9</v>
      </c>
      <c r="C324" s="32">
        <f t="shared" si="45"/>
        <v>1</v>
      </c>
      <c r="D324">
        <v>8</v>
      </c>
      <c r="E324">
        <v>9</v>
      </c>
      <c r="F324" s="32">
        <f t="shared" si="46"/>
        <v>1</v>
      </c>
      <c r="G324">
        <v>9</v>
      </c>
      <c r="H324">
        <v>8</v>
      </c>
      <c r="I324" s="32">
        <f t="shared" si="47"/>
        <v>1</v>
      </c>
      <c r="J324">
        <v>9</v>
      </c>
      <c r="K324">
        <v>9</v>
      </c>
      <c r="L324" s="32">
        <f t="shared" si="48"/>
        <v>0</v>
      </c>
      <c r="M324">
        <v>9</v>
      </c>
      <c r="N324">
        <v>8</v>
      </c>
      <c r="O324" s="32">
        <f t="shared" si="49"/>
        <v>1</v>
      </c>
      <c r="P324">
        <v>9</v>
      </c>
      <c r="Q324">
        <v>9</v>
      </c>
      <c r="R324" s="32">
        <f t="shared" si="50"/>
        <v>0</v>
      </c>
      <c r="S324">
        <v>8</v>
      </c>
      <c r="T324">
        <v>8</v>
      </c>
      <c r="U324" s="32">
        <f t="shared" si="51"/>
        <v>0</v>
      </c>
      <c r="V324">
        <v>9</v>
      </c>
      <c r="W324">
        <v>8</v>
      </c>
      <c r="X324" s="32">
        <f t="shared" si="52"/>
        <v>1</v>
      </c>
      <c r="Y324">
        <v>9</v>
      </c>
      <c r="Z324">
        <v>9</v>
      </c>
      <c r="AA324" s="32">
        <f t="shared" si="53"/>
        <v>0</v>
      </c>
    </row>
    <row r="325" spans="1:27" x14ac:dyDescent="0.45">
      <c r="A325">
        <v>8</v>
      </c>
      <c r="B325">
        <v>9</v>
      </c>
      <c r="C325" s="32">
        <f t="shared" si="45"/>
        <v>1</v>
      </c>
      <c r="D325">
        <v>8</v>
      </c>
      <c r="E325">
        <v>9</v>
      </c>
      <c r="F325" s="32">
        <f t="shared" si="46"/>
        <v>1</v>
      </c>
      <c r="G325">
        <v>9</v>
      </c>
      <c r="H325">
        <v>8</v>
      </c>
      <c r="I325" s="32">
        <f t="shared" si="47"/>
        <v>1</v>
      </c>
      <c r="J325">
        <v>9</v>
      </c>
      <c r="K325">
        <v>9</v>
      </c>
      <c r="L325" s="32">
        <f t="shared" si="48"/>
        <v>0</v>
      </c>
      <c r="M325">
        <v>9</v>
      </c>
      <c r="N325">
        <v>8</v>
      </c>
      <c r="O325" s="32">
        <f t="shared" si="49"/>
        <v>1</v>
      </c>
      <c r="P325">
        <v>9</v>
      </c>
      <c r="Q325">
        <v>9</v>
      </c>
      <c r="R325" s="32">
        <f t="shared" si="50"/>
        <v>0</v>
      </c>
      <c r="S325">
        <v>8</v>
      </c>
      <c r="T325">
        <v>8</v>
      </c>
      <c r="U325" s="32">
        <f t="shared" si="51"/>
        <v>0</v>
      </c>
      <c r="V325">
        <v>9</v>
      </c>
      <c r="W325">
        <v>8</v>
      </c>
      <c r="X325" s="32">
        <f t="shared" si="52"/>
        <v>1</v>
      </c>
      <c r="Y325">
        <v>9</v>
      </c>
      <c r="Z325">
        <v>9</v>
      </c>
      <c r="AA325" s="32">
        <f t="shared" si="53"/>
        <v>0</v>
      </c>
    </row>
    <row r="326" spans="1:27" x14ac:dyDescent="0.45">
      <c r="A326">
        <v>8</v>
      </c>
      <c r="B326">
        <v>9</v>
      </c>
      <c r="C326" s="32">
        <f t="shared" si="45"/>
        <v>1</v>
      </c>
      <c r="D326">
        <v>8</v>
      </c>
      <c r="E326">
        <v>9</v>
      </c>
      <c r="F326" s="32">
        <f t="shared" si="46"/>
        <v>1</v>
      </c>
      <c r="G326">
        <v>9</v>
      </c>
      <c r="H326">
        <v>8</v>
      </c>
      <c r="I326" s="32">
        <f t="shared" si="47"/>
        <v>1</v>
      </c>
      <c r="J326">
        <v>9</v>
      </c>
      <c r="K326">
        <v>9</v>
      </c>
      <c r="L326" s="32">
        <f t="shared" si="48"/>
        <v>0</v>
      </c>
      <c r="M326">
        <v>9</v>
      </c>
      <c r="N326">
        <v>8</v>
      </c>
      <c r="O326" s="32">
        <f t="shared" si="49"/>
        <v>1</v>
      </c>
      <c r="P326">
        <v>9</v>
      </c>
      <c r="Q326">
        <v>9</v>
      </c>
      <c r="R326" s="32">
        <f t="shared" si="50"/>
        <v>0</v>
      </c>
      <c r="S326">
        <v>8</v>
      </c>
      <c r="T326">
        <v>8</v>
      </c>
      <c r="U326" s="32">
        <f t="shared" si="51"/>
        <v>0</v>
      </c>
      <c r="V326">
        <v>9</v>
      </c>
      <c r="W326">
        <v>8</v>
      </c>
      <c r="X326" s="32">
        <f t="shared" si="52"/>
        <v>1</v>
      </c>
      <c r="Y326">
        <v>9</v>
      </c>
      <c r="Z326">
        <v>9</v>
      </c>
      <c r="AA326" s="32">
        <f t="shared" si="53"/>
        <v>0</v>
      </c>
    </row>
    <row r="327" spans="1:27" x14ac:dyDescent="0.45">
      <c r="A327">
        <v>8</v>
      </c>
      <c r="B327">
        <v>9</v>
      </c>
      <c r="C327" s="32">
        <f t="shared" si="45"/>
        <v>1</v>
      </c>
      <c r="D327">
        <v>8</v>
      </c>
      <c r="E327">
        <v>9</v>
      </c>
      <c r="F327" s="32">
        <f t="shared" si="46"/>
        <v>1</v>
      </c>
      <c r="G327">
        <v>9</v>
      </c>
      <c r="H327">
        <v>8</v>
      </c>
      <c r="I327" s="32">
        <f t="shared" si="47"/>
        <v>1</v>
      </c>
      <c r="J327">
        <v>9</v>
      </c>
      <c r="K327">
        <v>9</v>
      </c>
      <c r="L327" s="32">
        <f t="shared" si="48"/>
        <v>0</v>
      </c>
      <c r="M327">
        <v>9</v>
      </c>
      <c r="N327">
        <v>8</v>
      </c>
      <c r="O327" s="32">
        <f t="shared" si="49"/>
        <v>1</v>
      </c>
      <c r="P327">
        <v>9</v>
      </c>
      <c r="Q327">
        <v>9</v>
      </c>
      <c r="R327" s="32">
        <f t="shared" si="50"/>
        <v>0</v>
      </c>
      <c r="S327">
        <v>8</v>
      </c>
      <c r="T327">
        <v>8</v>
      </c>
      <c r="U327" s="32">
        <f t="shared" si="51"/>
        <v>0</v>
      </c>
      <c r="V327">
        <v>9</v>
      </c>
      <c r="W327">
        <v>8</v>
      </c>
      <c r="X327" s="32">
        <f t="shared" si="52"/>
        <v>1</v>
      </c>
      <c r="Y327">
        <v>9</v>
      </c>
      <c r="Z327">
        <v>9</v>
      </c>
      <c r="AA327" s="32">
        <f t="shared" si="53"/>
        <v>0</v>
      </c>
    </row>
    <row r="328" spans="1:27" x14ac:dyDescent="0.45">
      <c r="A328">
        <v>8</v>
      </c>
      <c r="B328">
        <v>9</v>
      </c>
      <c r="C328" s="32">
        <f t="shared" si="45"/>
        <v>1</v>
      </c>
      <c r="D328">
        <v>8</v>
      </c>
      <c r="E328">
        <v>9</v>
      </c>
      <c r="F328" s="32">
        <f t="shared" si="46"/>
        <v>1</v>
      </c>
      <c r="G328">
        <v>9</v>
      </c>
      <c r="H328">
        <v>8</v>
      </c>
      <c r="I328" s="32">
        <f t="shared" si="47"/>
        <v>1</v>
      </c>
      <c r="J328">
        <v>9</v>
      </c>
      <c r="K328">
        <v>9</v>
      </c>
      <c r="L328" s="32">
        <f t="shared" si="48"/>
        <v>0</v>
      </c>
      <c r="M328">
        <v>9</v>
      </c>
      <c r="N328">
        <v>8</v>
      </c>
      <c r="O328" s="32">
        <f t="shared" si="49"/>
        <v>1</v>
      </c>
      <c r="P328">
        <v>9</v>
      </c>
      <c r="Q328">
        <v>9</v>
      </c>
      <c r="R328" s="32">
        <f t="shared" si="50"/>
        <v>0</v>
      </c>
      <c r="S328">
        <v>8</v>
      </c>
      <c r="T328">
        <v>8</v>
      </c>
      <c r="U328" s="32">
        <f t="shared" si="51"/>
        <v>0</v>
      </c>
      <c r="V328">
        <v>9</v>
      </c>
      <c r="W328">
        <v>8</v>
      </c>
      <c r="X328" s="32">
        <f t="shared" si="52"/>
        <v>1</v>
      </c>
      <c r="Y328">
        <v>9</v>
      </c>
      <c r="Z328">
        <v>9</v>
      </c>
      <c r="AA328" s="32">
        <f t="shared" si="53"/>
        <v>0</v>
      </c>
    </row>
    <row r="329" spans="1:27" x14ac:dyDescent="0.45">
      <c r="A329">
        <v>8</v>
      </c>
      <c r="B329">
        <v>9</v>
      </c>
      <c r="C329" s="32">
        <f t="shared" si="45"/>
        <v>1</v>
      </c>
      <c r="D329">
        <v>8</v>
      </c>
      <c r="E329">
        <v>9</v>
      </c>
      <c r="F329" s="32">
        <f t="shared" si="46"/>
        <v>1</v>
      </c>
      <c r="G329">
        <v>9</v>
      </c>
      <c r="H329">
        <v>8</v>
      </c>
      <c r="I329" s="32">
        <f t="shared" si="47"/>
        <v>1</v>
      </c>
      <c r="J329">
        <v>9</v>
      </c>
      <c r="K329">
        <v>9</v>
      </c>
      <c r="L329" s="32">
        <f t="shared" si="48"/>
        <v>0</v>
      </c>
      <c r="M329">
        <v>9</v>
      </c>
      <c r="N329">
        <v>8</v>
      </c>
      <c r="O329" s="32">
        <f t="shared" si="49"/>
        <v>1</v>
      </c>
      <c r="P329">
        <v>9</v>
      </c>
      <c r="Q329">
        <v>9</v>
      </c>
      <c r="R329" s="32">
        <f t="shared" si="50"/>
        <v>0</v>
      </c>
      <c r="S329">
        <v>8</v>
      </c>
      <c r="T329">
        <v>8</v>
      </c>
      <c r="U329" s="32">
        <f t="shared" si="51"/>
        <v>0</v>
      </c>
      <c r="V329">
        <v>9</v>
      </c>
      <c r="W329">
        <v>8</v>
      </c>
      <c r="X329" s="32">
        <f t="shared" si="52"/>
        <v>1</v>
      </c>
      <c r="Y329">
        <v>9</v>
      </c>
      <c r="Z329">
        <v>9</v>
      </c>
      <c r="AA329" s="32">
        <f t="shared" si="53"/>
        <v>0</v>
      </c>
    </row>
    <row r="330" spans="1:27" x14ac:dyDescent="0.45">
      <c r="A330">
        <v>8</v>
      </c>
      <c r="B330">
        <v>9</v>
      </c>
      <c r="C330" s="32">
        <f t="shared" si="45"/>
        <v>1</v>
      </c>
      <c r="D330">
        <v>8</v>
      </c>
      <c r="E330">
        <v>9</v>
      </c>
      <c r="F330" s="32">
        <f t="shared" si="46"/>
        <v>1</v>
      </c>
      <c r="G330">
        <v>9</v>
      </c>
      <c r="H330">
        <v>8</v>
      </c>
      <c r="I330" s="32">
        <f t="shared" si="47"/>
        <v>1</v>
      </c>
      <c r="J330">
        <v>9</v>
      </c>
      <c r="K330">
        <v>9</v>
      </c>
      <c r="L330" s="32">
        <f t="shared" si="48"/>
        <v>0</v>
      </c>
      <c r="M330">
        <v>9</v>
      </c>
      <c r="N330">
        <v>8</v>
      </c>
      <c r="O330" s="32">
        <f t="shared" si="49"/>
        <v>1</v>
      </c>
      <c r="P330">
        <v>9</v>
      </c>
      <c r="Q330">
        <v>9</v>
      </c>
      <c r="R330" s="32">
        <f t="shared" si="50"/>
        <v>0</v>
      </c>
      <c r="S330">
        <v>8</v>
      </c>
      <c r="T330">
        <v>8</v>
      </c>
      <c r="U330" s="32">
        <f t="shared" si="51"/>
        <v>0</v>
      </c>
      <c r="V330">
        <v>9</v>
      </c>
      <c r="W330">
        <v>8</v>
      </c>
      <c r="X330" s="32">
        <f t="shared" si="52"/>
        <v>1</v>
      </c>
      <c r="Y330">
        <v>9</v>
      </c>
      <c r="Z330">
        <v>9</v>
      </c>
      <c r="AA330" s="32">
        <f t="shared" si="53"/>
        <v>0</v>
      </c>
    </row>
    <row r="331" spans="1:27" x14ac:dyDescent="0.45">
      <c r="A331">
        <v>8</v>
      </c>
      <c r="B331">
        <v>9</v>
      </c>
      <c r="C331" s="32">
        <f t="shared" si="45"/>
        <v>1</v>
      </c>
      <c r="D331">
        <v>8</v>
      </c>
      <c r="E331">
        <v>9</v>
      </c>
      <c r="F331" s="32">
        <f t="shared" si="46"/>
        <v>1</v>
      </c>
      <c r="G331">
        <v>9</v>
      </c>
      <c r="H331">
        <v>8</v>
      </c>
      <c r="I331" s="32">
        <f t="shared" si="47"/>
        <v>1</v>
      </c>
      <c r="J331">
        <v>9</v>
      </c>
      <c r="K331">
        <v>9</v>
      </c>
      <c r="L331" s="32">
        <f t="shared" si="48"/>
        <v>0</v>
      </c>
      <c r="M331">
        <v>9</v>
      </c>
      <c r="N331">
        <v>8</v>
      </c>
      <c r="O331" s="32">
        <f t="shared" si="49"/>
        <v>1</v>
      </c>
      <c r="P331">
        <v>9</v>
      </c>
      <c r="Q331">
        <v>9</v>
      </c>
      <c r="R331" s="32">
        <f t="shared" si="50"/>
        <v>0</v>
      </c>
      <c r="S331">
        <v>8</v>
      </c>
      <c r="T331">
        <v>8</v>
      </c>
      <c r="U331" s="32">
        <f t="shared" si="51"/>
        <v>0</v>
      </c>
      <c r="V331">
        <v>9</v>
      </c>
      <c r="W331">
        <v>8</v>
      </c>
      <c r="X331" s="32">
        <f t="shared" si="52"/>
        <v>1</v>
      </c>
      <c r="Y331">
        <v>9</v>
      </c>
      <c r="Z331">
        <v>9</v>
      </c>
      <c r="AA331" s="32">
        <f t="shared" si="53"/>
        <v>0</v>
      </c>
    </row>
    <row r="332" spans="1:27" x14ac:dyDescent="0.45">
      <c r="A332">
        <v>8</v>
      </c>
      <c r="B332">
        <v>9</v>
      </c>
      <c r="C332" s="32">
        <f t="shared" si="45"/>
        <v>1</v>
      </c>
      <c r="D332">
        <v>8</v>
      </c>
      <c r="E332">
        <v>9</v>
      </c>
      <c r="F332" s="32">
        <f t="shared" si="46"/>
        <v>1</v>
      </c>
      <c r="G332">
        <v>9</v>
      </c>
      <c r="H332">
        <v>8</v>
      </c>
      <c r="I332" s="32">
        <f t="shared" si="47"/>
        <v>1</v>
      </c>
      <c r="J332">
        <v>9</v>
      </c>
      <c r="K332">
        <v>9</v>
      </c>
      <c r="L332" s="32">
        <f t="shared" si="48"/>
        <v>0</v>
      </c>
      <c r="M332">
        <v>9</v>
      </c>
      <c r="N332">
        <v>8</v>
      </c>
      <c r="O332" s="32">
        <f t="shared" si="49"/>
        <v>1</v>
      </c>
      <c r="P332">
        <v>9</v>
      </c>
      <c r="Q332">
        <v>9</v>
      </c>
      <c r="R332" s="32">
        <f t="shared" si="50"/>
        <v>0</v>
      </c>
      <c r="S332">
        <v>9</v>
      </c>
      <c r="T332">
        <v>8</v>
      </c>
      <c r="U332" s="32">
        <f t="shared" si="51"/>
        <v>1</v>
      </c>
      <c r="V332">
        <v>9</v>
      </c>
      <c r="W332">
        <v>8</v>
      </c>
      <c r="X332" s="32">
        <f t="shared" si="52"/>
        <v>1</v>
      </c>
      <c r="Y332">
        <v>9</v>
      </c>
      <c r="Z332">
        <v>9</v>
      </c>
      <c r="AA332" s="32">
        <f t="shared" si="53"/>
        <v>0</v>
      </c>
    </row>
    <row r="333" spans="1:27" x14ac:dyDescent="0.45">
      <c r="A333">
        <v>8</v>
      </c>
      <c r="B333">
        <v>9</v>
      </c>
      <c r="C333" s="32">
        <f t="shared" si="45"/>
        <v>1</v>
      </c>
      <c r="D333">
        <v>8</v>
      </c>
      <c r="E333">
        <v>9</v>
      </c>
      <c r="F333" s="32">
        <f t="shared" si="46"/>
        <v>1</v>
      </c>
      <c r="G333">
        <v>9</v>
      </c>
      <c r="H333">
        <v>9</v>
      </c>
      <c r="I333" s="32">
        <f t="shared" si="47"/>
        <v>0</v>
      </c>
      <c r="J333">
        <v>9</v>
      </c>
      <c r="K333">
        <v>9</v>
      </c>
      <c r="L333" s="32">
        <f t="shared" si="48"/>
        <v>0</v>
      </c>
      <c r="M333">
        <v>9</v>
      </c>
      <c r="N333">
        <v>9</v>
      </c>
      <c r="O333" s="32">
        <f t="shared" si="49"/>
        <v>0</v>
      </c>
      <c r="P333">
        <v>9</v>
      </c>
      <c r="Q333">
        <v>9</v>
      </c>
      <c r="R333" s="32">
        <f t="shared" si="50"/>
        <v>0</v>
      </c>
      <c r="S333">
        <v>9</v>
      </c>
      <c r="T333">
        <v>8</v>
      </c>
      <c r="U333" s="32">
        <f t="shared" si="51"/>
        <v>1</v>
      </c>
      <c r="V333">
        <v>9</v>
      </c>
      <c r="W333">
        <v>8</v>
      </c>
      <c r="X333" s="32">
        <f t="shared" si="52"/>
        <v>1</v>
      </c>
      <c r="Y333">
        <v>9</v>
      </c>
      <c r="Z333">
        <v>9</v>
      </c>
      <c r="AA333" s="32">
        <f t="shared" si="53"/>
        <v>0</v>
      </c>
    </row>
    <row r="334" spans="1:27" x14ac:dyDescent="0.45">
      <c r="A334">
        <v>8</v>
      </c>
      <c r="B334">
        <v>9</v>
      </c>
      <c r="C334" s="32">
        <f t="shared" si="45"/>
        <v>1</v>
      </c>
      <c r="D334">
        <v>8</v>
      </c>
      <c r="E334">
        <v>9</v>
      </c>
      <c r="F334" s="32">
        <f t="shared" si="46"/>
        <v>1</v>
      </c>
      <c r="G334">
        <v>9</v>
      </c>
      <c r="H334">
        <v>9</v>
      </c>
      <c r="I334" s="32">
        <f t="shared" si="47"/>
        <v>0</v>
      </c>
      <c r="J334">
        <v>9</v>
      </c>
      <c r="K334">
        <v>9</v>
      </c>
      <c r="L334" s="32">
        <f t="shared" si="48"/>
        <v>0</v>
      </c>
      <c r="M334">
        <v>9</v>
      </c>
      <c r="N334">
        <v>9</v>
      </c>
      <c r="O334" s="32">
        <f t="shared" si="49"/>
        <v>0</v>
      </c>
      <c r="P334">
        <v>9</v>
      </c>
      <c r="Q334">
        <v>9</v>
      </c>
      <c r="R334" s="32">
        <f t="shared" si="50"/>
        <v>0</v>
      </c>
      <c r="S334">
        <v>9</v>
      </c>
      <c r="T334">
        <v>8</v>
      </c>
      <c r="U334" s="32">
        <f t="shared" si="51"/>
        <v>1</v>
      </c>
      <c r="V334">
        <v>9</v>
      </c>
      <c r="W334">
        <v>8</v>
      </c>
      <c r="X334" s="32">
        <f t="shared" si="52"/>
        <v>1</v>
      </c>
      <c r="Y334">
        <v>9</v>
      </c>
      <c r="Z334">
        <v>9</v>
      </c>
      <c r="AA334" s="32">
        <f t="shared" si="53"/>
        <v>0</v>
      </c>
    </row>
    <row r="335" spans="1:27" x14ac:dyDescent="0.45">
      <c r="A335">
        <v>8</v>
      </c>
      <c r="B335">
        <v>9</v>
      </c>
      <c r="C335" s="32">
        <f t="shared" si="45"/>
        <v>1</v>
      </c>
      <c r="D335">
        <v>8</v>
      </c>
      <c r="E335">
        <v>9</v>
      </c>
      <c r="F335" s="32">
        <f t="shared" si="46"/>
        <v>1</v>
      </c>
      <c r="G335">
        <v>9</v>
      </c>
      <c r="H335">
        <v>9</v>
      </c>
      <c r="I335" s="32">
        <f t="shared" si="47"/>
        <v>0</v>
      </c>
      <c r="J335">
        <v>9</v>
      </c>
      <c r="K335">
        <v>9</v>
      </c>
      <c r="L335" s="32">
        <f t="shared" si="48"/>
        <v>0</v>
      </c>
      <c r="M335">
        <v>9</v>
      </c>
      <c r="N335">
        <v>9</v>
      </c>
      <c r="O335" s="32">
        <f t="shared" si="49"/>
        <v>0</v>
      </c>
      <c r="P335">
        <v>9</v>
      </c>
      <c r="Q335">
        <v>9</v>
      </c>
      <c r="R335" s="32">
        <f t="shared" si="50"/>
        <v>0</v>
      </c>
      <c r="S335">
        <v>9</v>
      </c>
      <c r="T335">
        <v>8</v>
      </c>
      <c r="U335" s="32">
        <f t="shared" si="51"/>
        <v>1</v>
      </c>
      <c r="V335">
        <v>9</v>
      </c>
      <c r="W335">
        <v>8</v>
      </c>
      <c r="X335" s="32">
        <f t="shared" si="52"/>
        <v>1</v>
      </c>
      <c r="Y335">
        <v>9</v>
      </c>
      <c r="Z335">
        <v>9</v>
      </c>
      <c r="AA335" s="32">
        <f t="shared" si="53"/>
        <v>0</v>
      </c>
    </row>
    <row r="336" spans="1:27" x14ac:dyDescent="0.45">
      <c r="A336">
        <v>8</v>
      </c>
      <c r="B336">
        <v>9</v>
      </c>
      <c r="C336" s="32">
        <f t="shared" si="45"/>
        <v>1</v>
      </c>
      <c r="D336">
        <v>8</v>
      </c>
      <c r="E336">
        <v>9</v>
      </c>
      <c r="F336" s="32">
        <f t="shared" si="46"/>
        <v>1</v>
      </c>
      <c r="G336">
        <v>9</v>
      </c>
      <c r="H336">
        <v>9</v>
      </c>
      <c r="I336" s="32">
        <f t="shared" si="47"/>
        <v>0</v>
      </c>
      <c r="J336">
        <v>9</v>
      </c>
      <c r="K336">
        <v>9</v>
      </c>
      <c r="L336" s="32">
        <f t="shared" si="48"/>
        <v>0</v>
      </c>
      <c r="M336">
        <v>9</v>
      </c>
      <c r="N336">
        <v>9</v>
      </c>
      <c r="O336" s="32">
        <f t="shared" si="49"/>
        <v>0</v>
      </c>
      <c r="P336">
        <v>9</v>
      </c>
      <c r="Q336">
        <v>9</v>
      </c>
      <c r="R336" s="32">
        <f t="shared" si="50"/>
        <v>0</v>
      </c>
      <c r="S336">
        <v>9</v>
      </c>
      <c r="T336">
        <v>8</v>
      </c>
      <c r="U336" s="32">
        <f t="shared" si="51"/>
        <v>1</v>
      </c>
      <c r="V336">
        <v>9</v>
      </c>
      <c r="W336">
        <v>8</v>
      </c>
      <c r="X336" s="32">
        <f t="shared" si="52"/>
        <v>1</v>
      </c>
      <c r="Y336">
        <v>9</v>
      </c>
      <c r="Z336">
        <v>9</v>
      </c>
      <c r="AA336" s="32">
        <f t="shared" si="53"/>
        <v>0</v>
      </c>
    </row>
    <row r="337" spans="1:27" x14ac:dyDescent="0.45">
      <c r="A337">
        <v>8</v>
      </c>
      <c r="B337">
        <v>9</v>
      </c>
      <c r="C337" s="32">
        <f t="shared" si="45"/>
        <v>1</v>
      </c>
      <c r="D337">
        <v>8</v>
      </c>
      <c r="E337">
        <v>9</v>
      </c>
      <c r="F337" s="32">
        <f t="shared" si="46"/>
        <v>1</v>
      </c>
      <c r="G337">
        <v>9</v>
      </c>
      <c r="H337">
        <v>9</v>
      </c>
      <c r="I337" s="32">
        <f t="shared" si="47"/>
        <v>0</v>
      </c>
      <c r="J337">
        <v>9</v>
      </c>
      <c r="K337">
        <v>9</v>
      </c>
      <c r="L337" s="32">
        <f t="shared" si="48"/>
        <v>0</v>
      </c>
      <c r="M337">
        <v>9</v>
      </c>
      <c r="N337">
        <v>9</v>
      </c>
      <c r="O337" s="32">
        <f t="shared" si="49"/>
        <v>0</v>
      </c>
      <c r="P337">
        <v>9</v>
      </c>
      <c r="Q337">
        <v>9</v>
      </c>
      <c r="R337" s="32">
        <f t="shared" si="50"/>
        <v>0</v>
      </c>
      <c r="S337">
        <v>9</v>
      </c>
      <c r="T337">
        <v>8</v>
      </c>
      <c r="U337" s="32">
        <f t="shared" si="51"/>
        <v>1</v>
      </c>
      <c r="V337">
        <v>9</v>
      </c>
      <c r="W337">
        <v>8</v>
      </c>
      <c r="X337" s="32">
        <f t="shared" si="52"/>
        <v>1</v>
      </c>
      <c r="Y337">
        <v>9</v>
      </c>
      <c r="Z337">
        <v>9</v>
      </c>
      <c r="AA337" s="32">
        <f t="shared" si="53"/>
        <v>0</v>
      </c>
    </row>
    <row r="338" spans="1:27" x14ac:dyDescent="0.45">
      <c r="A338">
        <v>8</v>
      </c>
      <c r="B338">
        <v>9</v>
      </c>
      <c r="C338" s="32">
        <f t="shared" si="45"/>
        <v>1</v>
      </c>
      <c r="D338">
        <v>8</v>
      </c>
      <c r="E338">
        <v>9</v>
      </c>
      <c r="F338" s="32">
        <f t="shared" si="46"/>
        <v>1</v>
      </c>
      <c r="G338">
        <v>9</v>
      </c>
      <c r="H338">
        <v>9</v>
      </c>
      <c r="I338" s="32">
        <f t="shared" si="47"/>
        <v>0</v>
      </c>
      <c r="J338">
        <v>9</v>
      </c>
      <c r="K338">
        <v>9</v>
      </c>
      <c r="L338" s="32">
        <f t="shared" si="48"/>
        <v>0</v>
      </c>
      <c r="M338">
        <v>9</v>
      </c>
      <c r="N338">
        <v>9</v>
      </c>
      <c r="O338" s="32">
        <f t="shared" si="49"/>
        <v>0</v>
      </c>
      <c r="P338">
        <v>9</v>
      </c>
      <c r="Q338">
        <v>9</v>
      </c>
      <c r="R338" s="32">
        <f t="shared" si="50"/>
        <v>0</v>
      </c>
      <c r="S338">
        <v>9</v>
      </c>
      <c r="T338">
        <v>8</v>
      </c>
      <c r="U338" s="32">
        <f t="shared" si="51"/>
        <v>1</v>
      </c>
      <c r="V338">
        <v>9</v>
      </c>
      <c r="W338">
        <v>8</v>
      </c>
      <c r="X338" s="32">
        <f t="shared" si="52"/>
        <v>1</v>
      </c>
      <c r="Y338">
        <v>9</v>
      </c>
      <c r="Z338">
        <v>9</v>
      </c>
      <c r="AA338" s="32">
        <f t="shared" si="53"/>
        <v>0</v>
      </c>
    </row>
    <row r="339" spans="1:27" x14ac:dyDescent="0.45">
      <c r="A339">
        <v>8</v>
      </c>
      <c r="B339">
        <v>9</v>
      </c>
      <c r="C339" s="32">
        <f t="shared" si="45"/>
        <v>1</v>
      </c>
      <c r="D339">
        <v>8</v>
      </c>
      <c r="E339">
        <v>9</v>
      </c>
      <c r="F339" s="32">
        <f t="shared" si="46"/>
        <v>1</v>
      </c>
      <c r="G339">
        <v>9</v>
      </c>
      <c r="H339">
        <v>9</v>
      </c>
      <c r="I339" s="32">
        <f t="shared" si="47"/>
        <v>0</v>
      </c>
      <c r="J339">
        <v>9</v>
      </c>
      <c r="K339">
        <v>9</v>
      </c>
      <c r="L339" s="32">
        <f t="shared" si="48"/>
        <v>0</v>
      </c>
      <c r="M339">
        <v>9</v>
      </c>
      <c r="N339">
        <v>9</v>
      </c>
      <c r="O339" s="32">
        <f t="shared" si="49"/>
        <v>0</v>
      </c>
      <c r="P339">
        <v>9</v>
      </c>
      <c r="Q339">
        <v>9</v>
      </c>
      <c r="R339" s="32">
        <f t="shared" si="50"/>
        <v>0</v>
      </c>
      <c r="S339">
        <v>9</v>
      </c>
      <c r="T339">
        <v>8</v>
      </c>
      <c r="U339" s="32">
        <f t="shared" si="51"/>
        <v>1</v>
      </c>
      <c r="V339">
        <v>9</v>
      </c>
      <c r="W339">
        <v>8</v>
      </c>
      <c r="X339" s="32">
        <f t="shared" si="52"/>
        <v>1</v>
      </c>
      <c r="Y339">
        <v>9</v>
      </c>
      <c r="Z339">
        <v>9</v>
      </c>
      <c r="AA339" s="32">
        <f t="shared" si="53"/>
        <v>0</v>
      </c>
    </row>
    <row r="340" spans="1:27" x14ac:dyDescent="0.45">
      <c r="A340">
        <v>8</v>
      </c>
      <c r="B340">
        <v>9</v>
      </c>
      <c r="C340" s="32">
        <f t="shared" si="45"/>
        <v>1</v>
      </c>
      <c r="D340">
        <v>8</v>
      </c>
      <c r="E340">
        <v>9</v>
      </c>
      <c r="F340" s="32">
        <f t="shared" si="46"/>
        <v>1</v>
      </c>
      <c r="G340">
        <v>9</v>
      </c>
      <c r="H340">
        <v>9</v>
      </c>
      <c r="I340" s="32">
        <f t="shared" si="47"/>
        <v>0</v>
      </c>
      <c r="J340">
        <v>9</v>
      </c>
      <c r="K340">
        <v>9</v>
      </c>
      <c r="L340" s="32">
        <f t="shared" si="48"/>
        <v>0</v>
      </c>
      <c r="M340">
        <v>9</v>
      </c>
      <c r="N340">
        <v>9</v>
      </c>
      <c r="O340" s="32">
        <f t="shared" si="49"/>
        <v>0</v>
      </c>
      <c r="P340">
        <v>9</v>
      </c>
      <c r="Q340">
        <v>9</v>
      </c>
      <c r="R340" s="32">
        <f t="shared" si="50"/>
        <v>0</v>
      </c>
      <c r="S340">
        <v>9</v>
      </c>
      <c r="T340">
        <v>8</v>
      </c>
      <c r="U340" s="32">
        <f t="shared" si="51"/>
        <v>1</v>
      </c>
      <c r="V340">
        <v>9</v>
      </c>
      <c r="W340">
        <v>8</v>
      </c>
      <c r="X340" s="32">
        <f t="shared" si="52"/>
        <v>1</v>
      </c>
      <c r="Y340">
        <v>9</v>
      </c>
      <c r="Z340">
        <v>9</v>
      </c>
      <c r="AA340" s="32">
        <f t="shared" si="53"/>
        <v>0</v>
      </c>
    </row>
    <row r="341" spans="1:27" x14ac:dyDescent="0.45">
      <c r="A341">
        <v>8</v>
      </c>
      <c r="B341">
        <v>9</v>
      </c>
      <c r="C341" s="32">
        <f t="shared" si="45"/>
        <v>1</v>
      </c>
      <c r="D341">
        <v>8</v>
      </c>
      <c r="E341">
        <v>9</v>
      </c>
      <c r="F341" s="32">
        <f t="shared" si="46"/>
        <v>1</v>
      </c>
      <c r="G341">
        <v>9</v>
      </c>
      <c r="H341">
        <v>9</v>
      </c>
      <c r="I341" s="32">
        <f t="shared" si="47"/>
        <v>0</v>
      </c>
      <c r="J341">
        <v>9</v>
      </c>
      <c r="K341">
        <v>9</v>
      </c>
      <c r="L341" s="32">
        <f t="shared" si="48"/>
        <v>0</v>
      </c>
      <c r="M341">
        <v>9</v>
      </c>
      <c r="N341">
        <v>9</v>
      </c>
      <c r="O341" s="32">
        <f t="shared" si="49"/>
        <v>0</v>
      </c>
      <c r="P341">
        <v>9</v>
      </c>
      <c r="Q341">
        <v>9</v>
      </c>
      <c r="R341" s="32">
        <f t="shared" si="50"/>
        <v>0</v>
      </c>
      <c r="S341">
        <v>9</v>
      </c>
      <c r="T341">
        <v>9</v>
      </c>
      <c r="U341" s="32">
        <f t="shared" si="51"/>
        <v>0</v>
      </c>
      <c r="V341">
        <v>9</v>
      </c>
      <c r="W341">
        <v>8</v>
      </c>
      <c r="X341" s="32">
        <f t="shared" si="52"/>
        <v>1</v>
      </c>
      <c r="Y341">
        <v>9</v>
      </c>
      <c r="Z341">
        <v>9</v>
      </c>
      <c r="AA341" s="32">
        <f t="shared" si="53"/>
        <v>0</v>
      </c>
    </row>
    <row r="342" spans="1:27" x14ac:dyDescent="0.45">
      <c r="A342">
        <v>8</v>
      </c>
      <c r="B342">
        <v>9</v>
      </c>
      <c r="C342" s="32">
        <f t="shared" si="45"/>
        <v>1</v>
      </c>
      <c r="D342">
        <v>8</v>
      </c>
      <c r="E342">
        <v>9</v>
      </c>
      <c r="F342" s="32">
        <f t="shared" si="46"/>
        <v>1</v>
      </c>
      <c r="G342">
        <v>9</v>
      </c>
      <c r="H342">
        <v>9</v>
      </c>
      <c r="I342" s="32">
        <f t="shared" si="47"/>
        <v>0</v>
      </c>
      <c r="J342">
        <v>9</v>
      </c>
      <c r="K342">
        <v>9</v>
      </c>
      <c r="L342" s="32">
        <f t="shared" si="48"/>
        <v>0</v>
      </c>
      <c r="M342">
        <v>9</v>
      </c>
      <c r="N342">
        <v>9</v>
      </c>
      <c r="O342" s="32">
        <f t="shared" si="49"/>
        <v>0</v>
      </c>
      <c r="P342">
        <v>9</v>
      </c>
      <c r="Q342">
        <v>9</v>
      </c>
      <c r="R342" s="32">
        <f t="shared" si="50"/>
        <v>0</v>
      </c>
      <c r="S342">
        <v>9</v>
      </c>
      <c r="T342">
        <v>9</v>
      </c>
      <c r="U342" s="32">
        <f t="shared" si="51"/>
        <v>0</v>
      </c>
      <c r="V342">
        <v>9</v>
      </c>
      <c r="W342">
        <v>8</v>
      </c>
      <c r="X342" s="32">
        <f t="shared" si="52"/>
        <v>1</v>
      </c>
      <c r="Y342">
        <v>9</v>
      </c>
      <c r="Z342">
        <v>9</v>
      </c>
      <c r="AA342" s="32">
        <f t="shared" si="53"/>
        <v>0</v>
      </c>
    </row>
    <row r="343" spans="1:27" x14ac:dyDescent="0.45">
      <c r="A343">
        <v>8</v>
      </c>
      <c r="B343">
        <v>9</v>
      </c>
      <c r="C343" s="32">
        <f t="shared" si="45"/>
        <v>1</v>
      </c>
      <c r="D343">
        <v>8</v>
      </c>
      <c r="E343">
        <v>9</v>
      </c>
      <c r="F343" s="32">
        <f t="shared" si="46"/>
        <v>1</v>
      </c>
      <c r="G343">
        <v>9</v>
      </c>
      <c r="H343">
        <v>9</v>
      </c>
      <c r="I343" s="32">
        <f t="shared" si="47"/>
        <v>0</v>
      </c>
      <c r="J343">
        <v>9</v>
      </c>
      <c r="K343">
        <v>9</v>
      </c>
      <c r="L343" s="32">
        <f t="shared" si="48"/>
        <v>0</v>
      </c>
      <c r="M343">
        <v>9</v>
      </c>
      <c r="N343">
        <v>9</v>
      </c>
      <c r="O343" s="32">
        <f t="shared" si="49"/>
        <v>0</v>
      </c>
      <c r="P343">
        <v>9</v>
      </c>
      <c r="Q343">
        <v>9</v>
      </c>
      <c r="R343" s="32">
        <f t="shared" si="50"/>
        <v>0</v>
      </c>
      <c r="S343">
        <v>9</v>
      </c>
      <c r="T343">
        <v>9</v>
      </c>
      <c r="U343" s="32">
        <f t="shared" si="51"/>
        <v>0</v>
      </c>
      <c r="V343">
        <v>9</v>
      </c>
      <c r="W343">
        <v>8</v>
      </c>
      <c r="X343" s="32">
        <f t="shared" si="52"/>
        <v>1</v>
      </c>
      <c r="Y343">
        <v>9</v>
      </c>
      <c r="Z343">
        <v>9</v>
      </c>
      <c r="AA343" s="32">
        <f t="shared" si="53"/>
        <v>0</v>
      </c>
    </row>
    <row r="344" spans="1:27" x14ac:dyDescent="0.45">
      <c r="A344">
        <v>8</v>
      </c>
      <c r="B344">
        <v>9</v>
      </c>
      <c r="C344" s="32">
        <f t="shared" si="45"/>
        <v>1</v>
      </c>
      <c r="D344">
        <v>9</v>
      </c>
      <c r="E344">
        <v>9</v>
      </c>
      <c r="F344" s="32">
        <f t="shared" si="46"/>
        <v>0</v>
      </c>
      <c r="G344">
        <v>9</v>
      </c>
      <c r="H344">
        <v>9</v>
      </c>
      <c r="I344" s="32">
        <f t="shared" si="47"/>
        <v>0</v>
      </c>
      <c r="J344">
        <v>9</v>
      </c>
      <c r="K344">
        <v>9</v>
      </c>
      <c r="L344" s="32">
        <f t="shared" si="48"/>
        <v>0</v>
      </c>
      <c r="M344">
        <v>9</v>
      </c>
      <c r="N344">
        <v>9</v>
      </c>
      <c r="O344" s="32">
        <f t="shared" si="49"/>
        <v>0</v>
      </c>
      <c r="P344">
        <v>9</v>
      </c>
      <c r="Q344">
        <v>9</v>
      </c>
      <c r="R344" s="32">
        <f t="shared" si="50"/>
        <v>0</v>
      </c>
      <c r="S344">
        <v>9</v>
      </c>
      <c r="T344">
        <v>9</v>
      </c>
      <c r="U344" s="32">
        <f t="shared" si="51"/>
        <v>0</v>
      </c>
      <c r="V344">
        <v>9</v>
      </c>
      <c r="W344">
        <v>8</v>
      </c>
      <c r="X344" s="32">
        <f t="shared" si="52"/>
        <v>1</v>
      </c>
      <c r="Y344">
        <v>9</v>
      </c>
      <c r="Z344">
        <v>9</v>
      </c>
      <c r="AA344" s="32">
        <f t="shared" si="53"/>
        <v>0</v>
      </c>
    </row>
    <row r="345" spans="1:27" x14ac:dyDescent="0.45">
      <c r="A345">
        <v>8</v>
      </c>
      <c r="B345">
        <v>9</v>
      </c>
      <c r="C345" s="32">
        <f t="shared" si="45"/>
        <v>1</v>
      </c>
      <c r="D345">
        <v>9</v>
      </c>
      <c r="E345">
        <v>9</v>
      </c>
      <c r="F345" s="32">
        <f t="shared" si="46"/>
        <v>0</v>
      </c>
      <c r="G345">
        <v>9</v>
      </c>
      <c r="H345">
        <v>9</v>
      </c>
      <c r="I345" s="32">
        <f t="shared" si="47"/>
        <v>0</v>
      </c>
      <c r="J345">
        <v>9</v>
      </c>
      <c r="K345">
        <v>9</v>
      </c>
      <c r="L345" s="32">
        <f t="shared" si="48"/>
        <v>0</v>
      </c>
      <c r="M345">
        <v>9</v>
      </c>
      <c r="N345">
        <v>9</v>
      </c>
      <c r="O345" s="32">
        <f t="shared" si="49"/>
        <v>0</v>
      </c>
      <c r="P345">
        <v>9</v>
      </c>
      <c r="Q345">
        <v>9</v>
      </c>
      <c r="R345" s="32">
        <f t="shared" si="50"/>
        <v>0</v>
      </c>
      <c r="S345">
        <v>9</v>
      </c>
      <c r="T345">
        <v>9</v>
      </c>
      <c r="U345" s="32">
        <f t="shared" si="51"/>
        <v>0</v>
      </c>
      <c r="V345">
        <v>9</v>
      </c>
      <c r="W345">
        <v>9</v>
      </c>
      <c r="X345" s="32">
        <f t="shared" si="52"/>
        <v>0</v>
      </c>
      <c r="Y345">
        <v>9</v>
      </c>
      <c r="Z345">
        <v>9</v>
      </c>
      <c r="AA345" s="32">
        <f t="shared" si="53"/>
        <v>0</v>
      </c>
    </row>
    <row r="346" spans="1:27" x14ac:dyDescent="0.45">
      <c r="A346">
        <v>8</v>
      </c>
      <c r="B346">
        <v>9</v>
      </c>
      <c r="C346" s="32">
        <f t="shared" si="45"/>
        <v>1</v>
      </c>
      <c r="D346">
        <v>9</v>
      </c>
      <c r="E346">
        <v>9</v>
      </c>
      <c r="F346" s="32">
        <f t="shared" si="46"/>
        <v>0</v>
      </c>
      <c r="G346">
        <v>9</v>
      </c>
      <c r="H346">
        <v>9</v>
      </c>
      <c r="I346" s="32">
        <f t="shared" si="47"/>
        <v>0</v>
      </c>
      <c r="J346">
        <v>9</v>
      </c>
      <c r="K346">
        <v>9</v>
      </c>
      <c r="L346" s="32">
        <f t="shared" si="48"/>
        <v>0</v>
      </c>
      <c r="M346">
        <v>9</v>
      </c>
      <c r="N346">
        <v>9</v>
      </c>
      <c r="O346" s="32">
        <f t="shared" si="49"/>
        <v>0</v>
      </c>
      <c r="P346">
        <v>9</v>
      </c>
      <c r="Q346">
        <v>9</v>
      </c>
      <c r="R346" s="32">
        <f t="shared" si="50"/>
        <v>0</v>
      </c>
      <c r="S346">
        <v>9</v>
      </c>
      <c r="T346">
        <v>9</v>
      </c>
      <c r="U346" s="32">
        <f t="shared" si="51"/>
        <v>0</v>
      </c>
      <c r="V346">
        <v>9</v>
      </c>
      <c r="W346">
        <v>9</v>
      </c>
      <c r="X346" s="32">
        <f t="shared" si="52"/>
        <v>0</v>
      </c>
      <c r="Y346">
        <v>9</v>
      </c>
      <c r="Z346">
        <v>10</v>
      </c>
      <c r="AA346" s="32">
        <f t="shared" si="53"/>
        <v>1</v>
      </c>
    </row>
    <row r="347" spans="1:27" x14ac:dyDescent="0.45">
      <c r="A347">
        <v>8</v>
      </c>
      <c r="B347">
        <v>9</v>
      </c>
      <c r="C347" s="32">
        <f t="shared" si="45"/>
        <v>1</v>
      </c>
      <c r="D347">
        <v>9</v>
      </c>
      <c r="E347">
        <v>9</v>
      </c>
      <c r="F347" s="32">
        <f t="shared" si="46"/>
        <v>0</v>
      </c>
      <c r="G347">
        <v>9</v>
      </c>
      <c r="H347">
        <v>9</v>
      </c>
      <c r="I347" s="32">
        <f t="shared" si="47"/>
        <v>0</v>
      </c>
      <c r="J347">
        <v>9</v>
      </c>
      <c r="K347">
        <v>9</v>
      </c>
      <c r="L347" s="32">
        <f t="shared" si="48"/>
        <v>0</v>
      </c>
      <c r="M347">
        <v>9</v>
      </c>
      <c r="N347">
        <v>9</v>
      </c>
      <c r="O347" s="32">
        <f t="shared" si="49"/>
        <v>0</v>
      </c>
      <c r="P347">
        <v>9</v>
      </c>
      <c r="Q347">
        <v>9</v>
      </c>
      <c r="R347" s="32">
        <f t="shared" si="50"/>
        <v>0</v>
      </c>
      <c r="S347">
        <v>9</v>
      </c>
      <c r="T347">
        <v>9</v>
      </c>
      <c r="U347" s="32">
        <f t="shared" si="51"/>
        <v>0</v>
      </c>
      <c r="V347">
        <v>9</v>
      </c>
      <c r="W347">
        <v>9</v>
      </c>
      <c r="X347" s="32">
        <f t="shared" si="52"/>
        <v>0</v>
      </c>
      <c r="Y347">
        <v>9</v>
      </c>
      <c r="Z347">
        <v>10</v>
      </c>
      <c r="AA347" s="32">
        <f t="shared" si="53"/>
        <v>1</v>
      </c>
    </row>
    <row r="348" spans="1:27" x14ac:dyDescent="0.45">
      <c r="A348">
        <v>8</v>
      </c>
      <c r="B348">
        <v>9</v>
      </c>
      <c r="C348" s="32">
        <f t="shared" si="45"/>
        <v>1</v>
      </c>
      <c r="D348">
        <v>9</v>
      </c>
      <c r="E348">
        <v>9</v>
      </c>
      <c r="F348" s="32">
        <f t="shared" si="46"/>
        <v>0</v>
      </c>
      <c r="G348">
        <v>9</v>
      </c>
      <c r="H348">
        <v>9</v>
      </c>
      <c r="I348" s="32">
        <f t="shared" si="47"/>
        <v>0</v>
      </c>
      <c r="J348">
        <v>9</v>
      </c>
      <c r="K348">
        <v>9</v>
      </c>
      <c r="L348" s="32">
        <f t="shared" si="48"/>
        <v>0</v>
      </c>
      <c r="M348">
        <v>9</v>
      </c>
      <c r="N348">
        <v>9</v>
      </c>
      <c r="O348" s="32">
        <f t="shared" si="49"/>
        <v>0</v>
      </c>
      <c r="P348">
        <v>9</v>
      </c>
      <c r="Q348">
        <v>9</v>
      </c>
      <c r="R348" s="32">
        <f t="shared" si="50"/>
        <v>0</v>
      </c>
      <c r="S348">
        <v>9</v>
      </c>
      <c r="T348">
        <v>9</v>
      </c>
      <c r="U348" s="32">
        <f t="shared" si="51"/>
        <v>0</v>
      </c>
      <c r="V348">
        <v>9</v>
      </c>
      <c r="W348">
        <v>9</v>
      </c>
      <c r="X348" s="32">
        <f t="shared" si="52"/>
        <v>0</v>
      </c>
      <c r="Y348">
        <v>9</v>
      </c>
      <c r="Z348">
        <v>10</v>
      </c>
      <c r="AA348" s="32">
        <f t="shared" si="53"/>
        <v>1</v>
      </c>
    </row>
    <row r="349" spans="1:27" x14ac:dyDescent="0.45">
      <c r="A349">
        <v>8</v>
      </c>
      <c r="B349">
        <v>10</v>
      </c>
      <c r="C349" s="32">
        <f t="shared" si="45"/>
        <v>2</v>
      </c>
      <c r="D349">
        <v>9</v>
      </c>
      <c r="E349">
        <v>9</v>
      </c>
      <c r="F349" s="32">
        <f t="shared" si="46"/>
        <v>0</v>
      </c>
      <c r="G349">
        <v>9</v>
      </c>
      <c r="H349">
        <v>9</v>
      </c>
      <c r="I349" s="32">
        <f t="shared" si="47"/>
        <v>0</v>
      </c>
      <c r="J349">
        <v>9</v>
      </c>
      <c r="K349">
        <v>9</v>
      </c>
      <c r="L349" s="32">
        <f t="shared" si="48"/>
        <v>0</v>
      </c>
      <c r="M349">
        <v>9</v>
      </c>
      <c r="N349">
        <v>9</v>
      </c>
      <c r="O349" s="32">
        <f t="shared" si="49"/>
        <v>0</v>
      </c>
      <c r="P349">
        <v>9</v>
      </c>
      <c r="Q349">
        <v>9</v>
      </c>
      <c r="R349" s="32">
        <f t="shared" si="50"/>
        <v>0</v>
      </c>
      <c r="S349">
        <v>9</v>
      </c>
      <c r="T349">
        <v>9</v>
      </c>
      <c r="U349" s="32">
        <f t="shared" si="51"/>
        <v>0</v>
      </c>
      <c r="V349">
        <v>9</v>
      </c>
      <c r="W349">
        <v>9</v>
      </c>
      <c r="X349" s="32">
        <f t="shared" si="52"/>
        <v>0</v>
      </c>
      <c r="Y349">
        <v>9</v>
      </c>
      <c r="Z349">
        <v>10</v>
      </c>
      <c r="AA349" s="32">
        <f t="shared" si="53"/>
        <v>1</v>
      </c>
    </row>
    <row r="350" spans="1:27" x14ac:dyDescent="0.45">
      <c r="A350">
        <v>8</v>
      </c>
      <c r="B350">
        <v>10</v>
      </c>
      <c r="C350" s="32">
        <f t="shared" si="45"/>
        <v>2</v>
      </c>
      <c r="D350">
        <v>9</v>
      </c>
      <c r="E350">
        <v>9</v>
      </c>
      <c r="F350" s="32">
        <f t="shared" si="46"/>
        <v>0</v>
      </c>
      <c r="G350">
        <v>9</v>
      </c>
      <c r="H350">
        <v>9</v>
      </c>
      <c r="I350" s="32">
        <f t="shared" si="47"/>
        <v>0</v>
      </c>
      <c r="J350">
        <v>9</v>
      </c>
      <c r="K350">
        <v>9</v>
      </c>
      <c r="L350" s="32">
        <f t="shared" si="48"/>
        <v>0</v>
      </c>
      <c r="M350">
        <v>9</v>
      </c>
      <c r="N350">
        <v>9</v>
      </c>
      <c r="O350" s="32">
        <f t="shared" si="49"/>
        <v>0</v>
      </c>
      <c r="P350">
        <v>9</v>
      </c>
      <c r="Q350">
        <v>9</v>
      </c>
      <c r="R350" s="32">
        <f t="shared" si="50"/>
        <v>0</v>
      </c>
      <c r="S350">
        <v>9</v>
      </c>
      <c r="T350">
        <v>9</v>
      </c>
      <c r="U350" s="32">
        <f t="shared" si="51"/>
        <v>0</v>
      </c>
      <c r="V350">
        <v>9</v>
      </c>
      <c r="W350">
        <v>9</v>
      </c>
      <c r="X350" s="32">
        <f t="shared" si="52"/>
        <v>0</v>
      </c>
      <c r="Y350">
        <v>9</v>
      </c>
      <c r="Z350">
        <v>10</v>
      </c>
      <c r="AA350" s="32">
        <f t="shared" si="53"/>
        <v>1</v>
      </c>
    </row>
    <row r="351" spans="1:27" x14ac:dyDescent="0.45">
      <c r="A351">
        <v>8</v>
      </c>
      <c r="B351">
        <v>10</v>
      </c>
      <c r="C351" s="32">
        <f t="shared" si="45"/>
        <v>2</v>
      </c>
      <c r="D351">
        <v>9</v>
      </c>
      <c r="E351">
        <v>9</v>
      </c>
      <c r="F351" s="32">
        <f t="shared" si="46"/>
        <v>0</v>
      </c>
      <c r="G351">
        <v>9</v>
      </c>
      <c r="H351">
        <v>9</v>
      </c>
      <c r="I351" s="32">
        <f t="shared" si="47"/>
        <v>0</v>
      </c>
      <c r="J351">
        <v>9</v>
      </c>
      <c r="K351">
        <v>9</v>
      </c>
      <c r="L351" s="32">
        <f t="shared" si="48"/>
        <v>0</v>
      </c>
      <c r="M351">
        <v>9</v>
      </c>
      <c r="N351">
        <v>9</v>
      </c>
      <c r="O351" s="32">
        <f t="shared" si="49"/>
        <v>0</v>
      </c>
      <c r="P351">
        <v>9</v>
      </c>
      <c r="Q351">
        <v>9</v>
      </c>
      <c r="R351" s="32">
        <f t="shared" si="50"/>
        <v>0</v>
      </c>
      <c r="S351">
        <v>9</v>
      </c>
      <c r="T351">
        <v>9</v>
      </c>
      <c r="U351" s="32">
        <f t="shared" si="51"/>
        <v>0</v>
      </c>
      <c r="V351">
        <v>9</v>
      </c>
      <c r="W351">
        <v>9</v>
      </c>
      <c r="X351" s="32">
        <f t="shared" si="52"/>
        <v>0</v>
      </c>
      <c r="Y351">
        <v>9</v>
      </c>
      <c r="Z351">
        <v>10</v>
      </c>
      <c r="AA351" s="32">
        <f t="shared" si="53"/>
        <v>1</v>
      </c>
    </row>
    <row r="352" spans="1:27" x14ac:dyDescent="0.45">
      <c r="A352">
        <v>8</v>
      </c>
      <c r="B352">
        <v>10</v>
      </c>
      <c r="C352" s="32">
        <f t="shared" si="45"/>
        <v>2</v>
      </c>
      <c r="D352">
        <v>9</v>
      </c>
      <c r="E352">
        <v>10</v>
      </c>
      <c r="F352" s="32">
        <f t="shared" si="46"/>
        <v>1</v>
      </c>
      <c r="G352">
        <v>9</v>
      </c>
      <c r="H352">
        <v>9</v>
      </c>
      <c r="I352" s="32">
        <f t="shared" si="47"/>
        <v>0</v>
      </c>
      <c r="J352">
        <v>9</v>
      </c>
      <c r="K352">
        <v>9</v>
      </c>
      <c r="L352" s="32">
        <f t="shared" si="48"/>
        <v>0</v>
      </c>
      <c r="M352">
        <v>9</v>
      </c>
      <c r="N352">
        <v>9</v>
      </c>
      <c r="O352" s="32">
        <f t="shared" si="49"/>
        <v>0</v>
      </c>
      <c r="P352">
        <v>9</v>
      </c>
      <c r="Q352">
        <v>9</v>
      </c>
      <c r="R352" s="32">
        <f t="shared" si="50"/>
        <v>0</v>
      </c>
      <c r="S352">
        <v>9</v>
      </c>
      <c r="T352">
        <v>9</v>
      </c>
      <c r="U352" s="32">
        <f t="shared" si="51"/>
        <v>0</v>
      </c>
      <c r="V352">
        <v>9</v>
      </c>
      <c r="W352">
        <v>9</v>
      </c>
      <c r="X352" s="32">
        <f t="shared" si="52"/>
        <v>0</v>
      </c>
      <c r="Y352">
        <v>9</v>
      </c>
      <c r="Z352">
        <v>10</v>
      </c>
      <c r="AA352" s="32">
        <f t="shared" si="53"/>
        <v>1</v>
      </c>
    </row>
    <row r="353" spans="1:27" x14ac:dyDescent="0.45">
      <c r="A353">
        <v>8</v>
      </c>
      <c r="B353">
        <v>10</v>
      </c>
      <c r="C353" s="32">
        <f t="shared" si="45"/>
        <v>2</v>
      </c>
      <c r="D353">
        <v>9</v>
      </c>
      <c r="E353">
        <v>10</v>
      </c>
      <c r="F353" s="32">
        <f t="shared" si="46"/>
        <v>1</v>
      </c>
      <c r="G353">
        <v>9</v>
      </c>
      <c r="H353">
        <v>9</v>
      </c>
      <c r="I353" s="32">
        <f t="shared" si="47"/>
        <v>0</v>
      </c>
      <c r="J353">
        <v>9</v>
      </c>
      <c r="K353">
        <v>9</v>
      </c>
      <c r="L353" s="32">
        <f t="shared" si="48"/>
        <v>0</v>
      </c>
      <c r="M353">
        <v>9</v>
      </c>
      <c r="N353">
        <v>9</v>
      </c>
      <c r="O353" s="32">
        <f t="shared" si="49"/>
        <v>0</v>
      </c>
      <c r="P353">
        <v>9</v>
      </c>
      <c r="Q353">
        <v>9</v>
      </c>
      <c r="R353" s="32">
        <f t="shared" si="50"/>
        <v>0</v>
      </c>
      <c r="S353">
        <v>9</v>
      </c>
      <c r="T353">
        <v>9</v>
      </c>
      <c r="U353" s="32">
        <f t="shared" si="51"/>
        <v>0</v>
      </c>
      <c r="V353">
        <v>9</v>
      </c>
      <c r="W353">
        <v>9</v>
      </c>
      <c r="X353" s="32">
        <f t="shared" si="52"/>
        <v>0</v>
      </c>
      <c r="Y353">
        <v>9</v>
      </c>
      <c r="Z353">
        <v>10</v>
      </c>
      <c r="AA353" s="32">
        <f t="shared" si="53"/>
        <v>1</v>
      </c>
    </row>
    <row r="354" spans="1:27" x14ac:dyDescent="0.45">
      <c r="A354">
        <v>8</v>
      </c>
      <c r="B354">
        <v>10</v>
      </c>
      <c r="C354" s="32">
        <f t="shared" si="45"/>
        <v>2</v>
      </c>
      <c r="D354">
        <v>9</v>
      </c>
      <c r="E354">
        <v>10</v>
      </c>
      <c r="F354" s="32">
        <f t="shared" si="46"/>
        <v>1</v>
      </c>
      <c r="G354">
        <v>9</v>
      </c>
      <c r="H354">
        <v>9</v>
      </c>
      <c r="I354" s="32">
        <f t="shared" si="47"/>
        <v>0</v>
      </c>
      <c r="J354">
        <v>9</v>
      </c>
      <c r="K354">
        <v>9</v>
      </c>
      <c r="L354" s="32">
        <f t="shared" si="48"/>
        <v>0</v>
      </c>
      <c r="M354">
        <v>9</v>
      </c>
      <c r="N354">
        <v>9</v>
      </c>
      <c r="O354" s="32">
        <f t="shared" si="49"/>
        <v>0</v>
      </c>
      <c r="P354">
        <v>9</v>
      </c>
      <c r="Q354">
        <v>9</v>
      </c>
      <c r="R354" s="32">
        <f t="shared" si="50"/>
        <v>0</v>
      </c>
      <c r="S354">
        <v>9</v>
      </c>
      <c r="T354">
        <v>9</v>
      </c>
      <c r="U354" s="32">
        <f t="shared" si="51"/>
        <v>0</v>
      </c>
      <c r="V354">
        <v>9</v>
      </c>
      <c r="W354">
        <v>9</v>
      </c>
      <c r="X354" s="32">
        <f t="shared" si="52"/>
        <v>0</v>
      </c>
      <c r="Y354">
        <v>9</v>
      </c>
      <c r="Z354">
        <v>10</v>
      </c>
      <c r="AA354" s="32">
        <f t="shared" si="53"/>
        <v>1</v>
      </c>
    </row>
    <row r="355" spans="1:27" x14ac:dyDescent="0.45">
      <c r="A355">
        <v>8</v>
      </c>
      <c r="B355">
        <v>10</v>
      </c>
      <c r="C355" s="32">
        <f t="shared" si="45"/>
        <v>2</v>
      </c>
      <c r="D355">
        <v>9</v>
      </c>
      <c r="E355">
        <v>10</v>
      </c>
      <c r="F355" s="32">
        <f t="shared" si="46"/>
        <v>1</v>
      </c>
      <c r="G355">
        <v>9</v>
      </c>
      <c r="H355">
        <v>9</v>
      </c>
      <c r="I355" s="32">
        <f t="shared" si="47"/>
        <v>0</v>
      </c>
      <c r="J355">
        <v>9</v>
      </c>
      <c r="K355">
        <v>9</v>
      </c>
      <c r="L355" s="32">
        <f t="shared" si="48"/>
        <v>0</v>
      </c>
      <c r="M355">
        <v>9</v>
      </c>
      <c r="N355">
        <v>9</v>
      </c>
      <c r="O355" s="32">
        <f t="shared" si="49"/>
        <v>0</v>
      </c>
      <c r="P355">
        <v>9</v>
      </c>
      <c r="Q355">
        <v>9</v>
      </c>
      <c r="R355" s="32">
        <f t="shared" si="50"/>
        <v>0</v>
      </c>
      <c r="S355">
        <v>9</v>
      </c>
      <c r="T355">
        <v>9</v>
      </c>
      <c r="U355" s="32">
        <f t="shared" si="51"/>
        <v>0</v>
      </c>
      <c r="V355">
        <v>9</v>
      </c>
      <c r="W355">
        <v>9</v>
      </c>
      <c r="X355" s="32">
        <f t="shared" si="52"/>
        <v>0</v>
      </c>
      <c r="Y355">
        <v>9</v>
      </c>
      <c r="Z355">
        <v>10</v>
      </c>
      <c r="AA355" s="32">
        <f t="shared" si="53"/>
        <v>1</v>
      </c>
    </row>
    <row r="356" spans="1:27" x14ac:dyDescent="0.45">
      <c r="A356">
        <v>8</v>
      </c>
      <c r="B356">
        <v>10</v>
      </c>
      <c r="C356" s="32">
        <f t="shared" si="45"/>
        <v>2</v>
      </c>
      <c r="D356">
        <v>9</v>
      </c>
      <c r="E356">
        <v>10</v>
      </c>
      <c r="F356" s="32">
        <f t="shared" si="46"/>
        <v>1</v>
      </c>
      <c r="G356">
        <v>9</v>
      </c>
      <c r="H356">
        <v>9</v>
      </c>
      <c r="I356" s="32">
        <f t="shared" si="47"/>
        <v>0</v>
      </c>
      <c r="J356">
        <v>9</v>
      </c>
      <c r="K356">
        <v>9</v>
      </c>
      <c r="L356" s="32">
        <f t="shared" si="48"/>
        <v>0</v>
      </c>
      <c r="M356">
        <v>9</v>
      </c>
      <c r="N356">
        <v>9</v>
      </c>
      <c r="O356" s="32">
        <f t="shared" si="49"/>
        <v>0</v>
      </c>
      <c r="P356">
        <v>9</v>
      </c>
      <c r="Q356">
        <v>9</v>
      </c>
      <c r="R356" s="32">
        <f t="shared" si="50"/>
        <v>0</v>
      </c>
      <c r="S356">
        <v>9</v>
      </c>
      <c r="T356">
        <v>9</v>
      </c>
      <c r="U356" s="32">
        <f t="shared" si="51"/>
        <v>0</v>
      </c>
      <c r="V356">
        <v>9</v>
      </c>
      <c r="W356">
        <v>9</v>
      </c>
      <c r="X356" s="32">
        <f t="shared" si="52"/>
        <v>0</v>
      </c>
      <c r="Y356">
        <v>9</v>
      </c>
      <c r="Z356">
        <v>10</v>
      </c>
      <c r="AA356" s="32">
        <f t="shared" si="53"/>
        <v>1</v>
      </c>
    </row>
    <row r="357" spans="1:27" x14ac:dyDescent="0.45">
      <c r="A357">
        <v>8</v>
      </c>
      <c r="B357">
        <v>10</v>
      </c>
      <c r="C357" s="32">
        <f t="shared" si="45"/>
        <v>2</v>
      </c>
      <c r="D357">
        <v>9</v>
      </c>
      <c r="E357">
        <v>10</v>
      </c>
      <c r="F357" s="32">
        <f t="shared" si="46"/>
        <v>1</v>
      </c>
      <c r="G357">
        <v>9</v>
      </c>
      <c r="H357">
        <v>9</v>
      </c>
      <c r="I357" s="32">
        <f t="shared" si="47"/>
        <v>0</v>
      </c>
      <c r="J357">
        <v>9</v>
      </c>
      <c r="K357">
        <v>9</v>
      </c>
      <c r="L357" s="32">
        <f t="shared" si="48"/>
        <v>0</v>
      </c>
      <c r="M357">
        <v>9</v>
      </c>
      <c r="N357">
        <v>9</v>
      </c>
      <c r="O357" s="32">
        <f t="shared" si="49"/>
        <v>0</v>
      </c>
      <c r="P357">
        <v>9</v>
      </c>
      <c r="Q357">
        <v>10</v>
      </c>
      <c r="R357" s="32">
        <f t="shared" si="50"/>
        <v>1</v>
      </c>
      <c r="S357">
        <v>9</v>
      </c>
      <c r="T357">
        <v>9</v>
      </c>
      <c r="U357" s="32">
        <f t="shared" si="51"/>
        <v>0</v>
      </c>
      <c r="V357">
        <v>9</v>
      </c>
      <c r="W357">
        <v>9</v>
      </c>
      <c r="X357" s="32">
        <f t="shared" si="52"/>
        <v>0</v>
      </c>
      <c r="Y357">
        <v>9</v>
      </c>
      <c r="Z357">
        <v>10</v>
      </c>
      <c r="AA357" s="32">
        <f t="shared" si="53"/>
        <v>1</v>
      </c>
    </row>
    <row r="358" spans="1:27" x14ac:dyDescent="0.45">
      <c r="A358">
        <v>8</v>
      </c>
      <c r="B358">
        <v>10</v>
      </c>
      <c r="C358" s="32">
        <f t="shared" si="45"/>
        <v>2</v>
      </c>
      <c r="D358">
        <v>9</v>
      </c>
      <c r="E358">
        <v>10</v>
      </c>
      <c r="F358" s="32">
        <f t="shared" si="46"/>
        <v>1</v>
      </c>
      <c r="G358">
        <v>9</v>
      </c>
      <c r="H358">
        <v>9</v>
      </c>
      <c r="I358" s="32">
        <f t="shared" si="47"/>
        <v>0</v>
      </c>
      <c r="J358">
        <v>9</v>
      </c>
      <c r="K358">
        <v>9</v>
      </c>
      <c r="L358" s="32">
        <f t="shared" si="48"/>
        <v>0</v>
      </c>
      <c r="M358">
        <v>9</v>
      </c>
      <c r="N358">
        <v>9</v>
      </c>
      <c r="O358" s="32">
        <f t="shared" si="49"/>
        <v>0</v>
      </c>
      <c r="P358">
        <v>9</v>
      </c>
      <c r="Q358">
        <v>10</v>
      </c>
      <c r="R358" s="32">
        <f t="shared" si="50"/>
        <v>1</v>
      </c>
      <c r="S358">
        <v>9</v>
      </c>
      <c r="T358">
        <v>9</v>
      </c>
      <c r="U358" s="32">
        <f t="shared" si="51"/>
        <v>0</v>
      </c>
      <c r="V358">
        <v>9</v>
      </c>
      <c r="W358">
        <v>9</v>
      </c>
      <c r="X358" s="32">
        <f t="shared" si="52"/>
        <v>0</v>
      </c>
      <c r="Y358">
        <v>9</v>
      </c>
      <c r="Z358">
        <v>10</v>
      </c>
      <c r="AA358" s="32">
        <f t="shared" si="53"/>
        <v>1</v>
      </c>
    </row>
    <row r="359" spans="1:27" x14ac:dyDescent="0.45">
      <c r="A359">
        <v>8</v>
      </c>
      <c r="B359">
        <v>10</v>
      </c>
      <c r="C359" s="32">
        <f t="shared" si="45"/>
        <v>2</v>
      </c>
      <c r="D359">
        <v>9</v>
      </c>
      <c r="E359">
        <v>10</v>
      </c>
      <c r="F359" s="32">
        <f t="shared" si="46"/>
        <v>1</v>
      </c>
      <c r="G359">
        <v>9</v>
      </c>
      <c r="H359">
        <v>9</v>
      </c>
      <c r="I359" s="32">
        <f t="shared" si="47"/>
        <v>0</v>
      </c>
      <c r="J359">
        <v>9</v>
      </c>
      <c r="K359">
        <v>9</v>
      </c>
      <c r="L359" s="32">
        <f t="shared" si="48"/>
        <v>0</v>
      </c>
      <c r="M359">
        <v>9</v>
      </c>
      <c r="N359">
        <v>9</v>
      </c>
      <c r="O359" s="32">
        <f t="shared" si="49"/>
        <v>0</v>
      </c>
      <c r="P359">
        <v>9</v>
      </c>
      <c r="Q359">
        <v>10</v>
      </c>
      <c r="R359" s="32">
        <f t="shared" si="50"/>
        <v>1</v>
      </c>
      <c r="S359">
        <v>9</v>
      </c>
      <c r="T359">
        <v>9</v>
      </c>
      <c r="U359" s="32">
        <f t="shared" si="51"/>
        <v>0</v>
      </c>
      <c r="V359">
        <v>9</v>
      </c>
      <c r="W359">
        <v>9</v>
      </c>
      <c r="X359" s="32">
        <f t="shared" si="52"/>
        <v>0</v>
      </c>
      <c r="Y359">
        <v>9</v>
      </c>
      <c r="Z359">
        <v>10</v>
      </c>
      <c r="AA359" s="32">
        <f t="shared" si="53"/>
        <v>1</v>
      </c>
    </row>
    <row r="360" spans="1:27" x14ac:dyDescent="0.45">
      <c r="A360">
        <v>8</v>
      </c>
      <c r="B360">
        <v>10</v>
      </c>
      <c r="C360" s="32">
        <f t="shared" si="45"/>
        <v>2</v>
      </c>
      <c r="D360">
        <v>9</v>
      </c>
      <c r="E360">
        <v>10</v>
      </c>
      <c r="F360" s="32">
        <f t="shared" si="46"/>
        <v>1</v>
      </c>
      <c r="G360">
        <v>9</v>
      </c>
      <c r="H360">
        <v>9</v>
      </c>
      <c r="I360" s="32">
        <f t="shared" si="47"/>
        <v>0</v>
      </c>
      <c r="J360">
        <v>9</v>
      </c>
      <c r="K360">
        <v>9</v>
      </c>
      <c r="L360" s="32">
        <f t="shared" si="48"/>
        <v>0</v>
      </c>
      <c r="M360">
        <v>9</v>
      </c>
      <c r="N360">
        <v>9</v>
      </c>
      <c r="O360" s="32">
        <f t="shared" si="49"/>
        <v>0</v>
      </c>
      <c r="P360">
        <v>9</v>
      </c>
      <c r="Q360">
        <v>10</v>
      </c>
      <c r="R360" s="32">
        <f t="shared" si="50"/>
        <v>1</v>
      </c>
      <c r="S360">
        <v>9</v>
      </c>
      <c r="T360">
        <v>9</v>
      </c>
      <c r="U360" s="32">
        <f t="shared" si="51"/>
        <v>0</v>
      </c>
      <c r="V360">
        <v>9</v>
      </c>
      <c r="W360">
        <v>9</v>
      </c>
      <c r="X360" s="32">
        <f t="shared" si="52"/>
        <v>0</v>
      </c>
      <c r="Y360">
        <v>9</v>
      </c>
      <c r="Z360">
        <v>10</v>
      </c>
      <c r="AA360" s="32">
        <f t="shared" si="53"/>
        <v>1</v>
      </c>
    </row>
    <row r="361" spans="1:27" x14ac:dyDescent="0.45">
      <c r="A361">
        <v>8</v>
      </c>
      <c r="B361">
        <v>10</v>
      </c>
      <c r="C361" s="32">
        <f t="shared" si="45"/>
        <v>2</v>
      </c>
      <c r="D361">
        <v>9</v>
      </c>
      <c r="E361">
        <v>10</v>
      </c>
      <c r="F361" s="32">
        <f t="shared" si="46"/>
        <v>1</v>
      </c>
      <c r="G361">
        <v>9</v>
      </c>
      <c r="H361">
        <v>9</v>
      </c>
      <c r="I361" s="32">
        <f t="shared" si="47"/>
        <v>0</v>
      </c>
      <c r="J361">
        <v>9</v>
      </c>
      <c r="K361">
        <v>9</v>
      </c>
      <c r="L361" s="32">
        <f t="shared" si="48"/>
        <v>0</v>
      </c>
      <c r="M361">
        <v>9</v>
      </c>
      <c r="N361">
        <v>9</v>
      </c>
      <c r="O361" s="32">
        <f t="shared" si="49"/>
        <v>0</v>
      </c>
      <c r="P361">
        <v>9</v>
      </c>
      <c r="Q361">
        <v>10</v>
      </c>
      <c r="R361" s="32">
        <f t="shared" si="50"/>
        <v>1</v>
      </c>
      <c r="S361">
        <v>9</v>
      </c>
      <c r="T361">
        <v>9</v>
      </c>
      <c r="U361" s="32">
        <f t="shared" si="51"/>
        <v>0</v>
      </c>
      <c r="V361">
        <v>9</v>
      </c>
      <c r="W361">
        <v>9</v>
      </c>
      <c r="X361" s="32">
        <f t="shared" si="52"/>
        <v>0</v>
      </c>
      <c r="Y361">
        <v>9</v>
      </c>
      <c r="Z361">
        <v>10</v>
      </c>
      <c r="AA361" s="32">
        <f t="shared" si="53"/>
        <v>1</v>
      </c>
    </row>
    <row r="362" spans="1:27" x14ac:dyDescent="0.45">
      <c r="A362">
        <v>8</v>
      </c>
      <c r="B362">
        <v>10</v>
      </c>
      <c r="C362" s="32">
        <f t="shared" si="45"/>
        <v>2</v>
      </c>
      <c r="D362">
        <v>9</v>
      </c>
      <c r="E362">
        <v>10</v>
      </c>
      <c r="F362" s="32">
        <f t="shared" si="46"/>
        <v>1</v>
      </c>
      <c r="G362">
        <v>9</v>
      </c>
      <c r="H362">
        <v>9</v>
      </c>
      <c r="I362" s="32">
        <f t="shared" si="47"/>
        <v>0</v>
      </c>
      <c r="J362">
        <v>9</v>
      </c>
      <c r="K362">
        <v>9</v>
      </c>
      <c r="L362" s="32">
        <f t="shared" si="48"/>
        <v>0</v>
      </c>
      <c r="M362">
        <v>9</v>
      </c>
      <c r="N362">
        <v>9</v>
      </c>
      <c r="O362" s="32">
        <f t="shared" si="49"/>
        <v>0</v>
      </c>
      <c r="P362">
        <v>9</v>
      </c>
      <c r="Q362">
        <v>10</v>
      </c>
      <c r="R362" s="32">
        <f t="shared" si="50"/>
        <v>1</v>
      </c>
      <c r="S362">
        <v>9</v>
      </c>
      <c r="T362">
        <v>9</v>
      </c>
      <c r="U362" s="32">
        <f t="shared" si="51"/>
        <v>0</v>
      </c>
      <c r="V362">
        <v>9</v>
      </c>
      <c r="W362">
        <v>9</v>
      </c>
      <c r="X362" s="32">
        <f t="shared" si="52"/>
        <v>0</v>
      </c>
      <c r="Y362">
        <v>9</v>
      </c>
      <c r="Z362">
        <v>10</v>
      </c>
      <c r="AA362" s="32">
        <f t="shared" si="53"/>
        <v>1</v>
      </c>
    </row>
    <row r="363" spans="1:27" x14ac:dyDescent="0.45">
      <c r="A363">
        <v>8</v>
      </c>
      <c r="B363">
        <v>10</v>
      </c>
      <c r="C363" s="32">
        <f t="shared" si="45"/>
        <v>2</v>
      </c>
      <c r="D363">
        <v>9</v>
      </c>
      <c r="E363">
        <v>10</v>
      </c>
      <c r="F363" s="32">
        <f t="shared" si="46"/>
        <v>1</v>
      </c>
      <c r="G363">
        <v>9</v>
      </c>
      <c r="H363">
        <v>9</v>
      </c>
      <c r="I363" s="32">
        <f t="shared" si="47"/>
        <v>0</v>
      </c>
      <c r="J363">
        <v>9</v>
      </c>
      <c r="K363">
        <v>9</v>
      </c>
      <c r="L363" s="32">
        <f t="shared" si="48"/>
        <v>0</v>
      </c>
      <c r="M363">
        <v>9</v>
      </c>
      <c r="N363">
        <v>9</v>
      </c>
      <c r="O363" s="32">
        <f t="shared" si="49"/>
        <v>0</v>
      </c>
      <c r="P363">
        <v>9</v>
      </c>
      <c r="Q363">
        <v>10</v>
      </c>
      <c r="R363" s="32">
        <f t="shared" si="50"/>
        <v>1</v>
      </c>
      <c r="S363">
        <v>9</v>
      </c>
      <c r="T363">
        <v>9</v>
      </c>
      <c r="U363" s="32">
        <f t="shared" si="51"/>
        <v>0</v>
      </c>
      <c r="V363">
        <v>9</v>
      </c>
      <c r="W363">
        <v>9</v>
      </c>
      <c r="X363" s="32">
        <f t="shared" si="52"/>
        <v>0</v>
      </c>
      <c r="Y363">
        <v>9</v>
      </c>
      <c r="Z363">
        <v>10</v>
      </c>
      <c r="AA363" s="32">
        <f t="shared" si="53"/>
        <v>1</v>
      </c>
    </row>
    <row r="364" spans="1:27" x14ac:dyDescent="0.45">
      <c r="A364">
        <v>8</v>
      </c>
      <c r="B364">
        <v>10</v>
      </c>
      <c r="C364" s="32">
        <f t="shared" si="45"/>
        <v>2</v>
      </c>
      <c r="D364">
        <v>9</v>
      </c>
      <c r="E364">
        <v>10</v>
      </c>
      <c r="F364" s="32">
        <f t="shared" si="46"/>
        <v>1</v>
      </c>
      <c r="G364">
        <v>9</v>
      </c>
      <c r="H364">
        <v>9</v>
      </c>
      <c r="I364" s="32">
        <f t="shared" si="47"/>
        <v>0</v>
      </c>
      <c r="J364">
        <v>9</v>
      </c>
      <c r="K364">
        <v>10</v>
      </c>
      <c r="L364" s="32">
        <f t="shared" si="48"/>
        <v>1</v>
      </c>
      <c r="M364">
        <v>9</v>
      </c>
      <c r="N364">
        <v>10</v>
      </c>
      <c r="O364" s="32">
        <f t="shared" si="49"/>
        <v>1</v>
      </c>
      <c r="P364">
        <v>9</v>
      </c>
      <c r="Q364">
        <v>10</v>
      </c>
      <c r="R364" s="32">
        <f t="shared" si="50"/>
        <v>1</v>
      </c>
      <c r="S364">
        <v>9</v>
      </c>
      <c r="T364">
        <v>9</v>
      </c>
      <c r="U364" s="32">
        <f t="shared" si="51"/>
        <v>0</v>
      </c>
      <c r="V364">
        <v>9</v>
      </c>
      <c r="W364">
        <v>9</v>
      </c>
      <c r="X364" s="32">
        <f t="shared" si="52"/>
        <v>0</v>
      </c>
      <c r="Y364">
        <v>9</v>
      </c>
      <c r="Z364">
        <v>10</v>
      </c>
      <c r="AA364" s="32">
        <f t="shared" si="53"/>
        <v>1</v>
      </c>
    </row>
    <row r="365" spans="1:27" x14ac:dyDescent="0.45">
      <c r="A365">
        <v>8</v>
      </c>
      <c r="B365">
        <v>10</v>
      </c>
      <c r="C365" s="32">
        <f t="shared" si="45"/>
        <v>2</v>
      </c>
      <c r="D365">
        <v>9</v>
      </c>
      <c r="E365">
        <v>10</v>
      </c>
      <c r="F365" s="32">
        <f t="shared" si="46"/>
        <v>1</v>
      </c>
      <c r="G365">
        <v>9</v>
      </c>
      <c r="H365">
        <v>9</v>
      </c>
      <c r="I365" s="32">
        <f t="shared" si="47"/>
        <v>0</v>
      </c>
      <c r="J365">
        <v>9</v>
      </c>
      <c r="K365">
        <v>10</v>
      </c>
      <c r="L365" s="32">
        <f t="shared" si="48"/>
        <v>1</v>
      </c>
      <c r="M365">
        <v>9</v>
      </c>
      <c r="N365">
        <v>10</v>
      </c>
      <c r="O365" s="32">
        <f t="shared" si="49"/>
        <v>1</v>
      </c>
      <c r="P365">
        <v>9</v>
      </c>
      <c r="Q365">
        <v>10</v>
      </c>
      <c r="R365" s="32">
        <f t="shared" si="50"/>
        <v>1</v>
      </c>
      <c r="S365">
        <v>9</v>
      </c>
      <c r="T365">
        <v>9</v>
      </c>
      <c r="U365" s="32">
        <f t="shared" si="51"/>
        <v>0</v>
      </c>
      <c r="V365">
        <v>9</v>
      </c>
      <c r="W365">
        <v>9</v>
      </c>
      <c r="X365" s="32">
        <f t="shared" si="52"/>
        <v>0</v>
      </c>
      <c r="Y365">
        <v>9</v>
      </c>
      <c r="Z365">
        <v>10</v>
      </c>
      <c r="AA365" s="32">
        <f t="shared" si="53"/>
        <v>1</v>
      </c>
    </row>
    <row r="366" spans="1:27" x14ac:dyDescent="0.45">
      <c r="A366">
        <v>8</v>
      </c>
      <c r="B366">
        <v>10</v>
      </c>
      <c r="C366" s="32">
        <f t="shared" si="45"/>
        <v>2</v>
      </c>
      <c r="D366">
        <v>9</v>
      </c>
      <c r="E366">
        <v>10</v>
      </c>
      <c r="F366" s="32">
        <f t="shared" si="46"/>
        <v>1</v>
      </c>
      <c r="G366">
        <v>9</v>
      </c>
      <c r="H366">
        <v>9</v>
      </c>
      <c r="I366" s="32">
        <f t="shared" si="47"/>
        <v>0</v>
      </c>
      <c r="J366">
        <v>9</v>
      </c>
      <c r="K366">
        <v>10</v>
      </c>
      <c r="L366" s="32">
        <f t="shared" si="48"/>
        <v>1</v>
      </c>
      <c r="M366">
        <v>9</v>
      </c>
      <c r="N366">
        <v>10</v>
      </c>
      <c r="O366" s="32">
        <f t="shared" si="49"/>
        <v>1</v>
      </c>
      <c r="P366">
        <v>9</v>
      </c>
      <c r="Q366">
        <v>10</v>
      </c>
      <c r="R366" s="32">
        <f t="shared" si="50"/>
        <v>1</v>
      </c>
      <c r="S366">
        <v>9</v>
      </c>
      <c r="T366">
        <v>9</v>
      </c>
      <c r="U366" s="32">
        <f t="shared" si="51"/>
        <v>0</v>
      </c>
      <c r="V366">
        <v>9</v>
      </c>
      <c r="W366">
        <v>9</v>
      </c>
      <c r="X366" s="32">
        <f t="shared" si="52"/>
        <v>0</v>
      </c>
      <c r="Y366">
        <v>9</v>
      </c>
      <c r="Z366">
        <v>10</v>
      </c>
      <c r="AA366" s="32">
        <f t="shared" si="53"/>
        <v>1</v>
      </c>
    </row>
    <row r="367" spans="1:27" x14ac:dyDescent="0.45">
      <c r="A367">
        <v>9</v>
      </c>
      <c r="B367">
        <v>10</v>
      </c>
      <c r="C367" s="32">
        <f t="shared" si="45"/>
        <v>1</v>
      </c>
      <c r="D367">
        <v>9</v>
      </c>
      <c r="E367">
        <v>10</v>
      </c>
      <c r="F367" s="32">
        <f t="shared" si="46"/>
        <v>1</v>
      </c>
      <c r="G367">
        <v>9</v>
      </c>
      <c r="H367">
        <v>9</v>
      </c>
      <c r="I367" s="32">
        <f t="shared" si="47"/>
        <v>0</v>
      </c>
      <c r="J367">
        <v>9</v>
      </c>
      <c r="K367">
        <v>10</v>
      </c>
      <c r="L367" s="32">
        <f t="shared" si="48"/>
        <v>1</v>
      </c>
      <c r="M367">
        <v>9</v>
      </c>
      <c r="N367">
        <v>10</v>
      </c>
      <c r="O367" s="32">
        <f t="shared" si="49"/>
        <v>1</v>
      </c>
      <c r="P367">
        <v>9</v>
      </c>
      <c r="Q367">
        <v>10</v>
      </c>
      <c r="R367" s="32">
        <f t="shared" si="50"/>
        <v>1</v>
      </c>
      <c r="S367">
        <v>9</v>
      </c>
      <c r="T367">
        <v>10</v>
      </c>
      <c r="U367" s="32">
        <f t="shared" si="51"/>
        <v>1</v>
      </c>
      <c r="V367">
        <v>9</v>
      </c>
      <c r="W367">
        <v>9</v>
      </c>
      <c r="X367" s="32">
        <f t="shared" si="52"/>
        <v>0</v>
      </c>
      <c r="Y367">
        <v>9</v>
      </c>
      <c r="Z367">
        <v>10</v>
      </c>
      <c r="AA367" s="32">
        <f t="shared" si="53"/>
        <v>1</v>
      </c>
    </row>
    <row r="368" spans="1:27" x14ac:dyDescent="0.45">
      <c r="A368">
        <v>9</v>
      </c>
      <c r="B368">
        <v>10</v>
      </c>
      <c r="C368" s="32">
        <f t="shared" si="45"/>
        <v>1</v>
      </c>
      <c r="D368">
        <v>9</v>
      </c>
      <c r="E368">
        <v>10</v>
      </c>
      <c r="F368" s="32">
        <f t="shared" si="46"/>
        <v>1</v>
      </c>
      <c r="G368">
        <v>9</v>
      </c>
      <c r="H368">
        <v>9</v>
      </c>
      <c r="I368" s="32">
        <f t="shared" si="47"/>
        <v>0</v>
      </c>
      <c r="J368">
        <v>9</v>
      </c>
      <c r="K368">
        <v>10</v>
      </c>
      <c r="L368" s="32">
        <f t="shared" si="48"/>
        <v>1</v>
      </c>
      <c r="M368">
        <v>9</v>
      </c>
      <c r="N368">
        <v>10</v>
      </c>
      <c r="O368" s="32">
        <f t="shared" si="49"/>
        <v>1</v>
      </c>
      <c r="P368">
        <v>9</v>
      </c>
      <c r="Q368">
        <v>10</v>
      </c>
      <c r="R368" s="32">
        <f t="shared" si="50"/>
        <v>1</v>
      </c>
      <c r="S368">
        <v>9</v>
      </c>
      <c r="T368">
        <v>10</v>
      </c>
      <c r="U368" s="32">
        <f t="shared" si="51"/>
        <v>1</v>
      </c>
      <c r="V368">
        <v>9</v>
      </c>
      <c r="W368">
        <v>9</v>
      </c>
      <c r="X368" s="32">
        <f t="shared" si="52"/>
        <v>0</v>
      </c>
      <c r="Y368">
        <v>9</v>
      </c>
      <c r="Z368">
        <v>10</v>
      </c>
      <c r="AA368" s="32">
        <f t="shared" si="53"/>
        <v>1</v>
      </c>
    </row>
    <row r="369" spans="1:27" x14ac:dyDescent="0.45">
      <c r="A369">
        <v>9</v>
      </c>
      <c r="B369">
        <v>10</v>
      </c>
      <c r="C369" s="32">
        <f t="shared" si="45"/>
        <v>1</v>
      </c>
      <c r="D369">
        <v>9</v>
      </c>
      <c r="E369">
        <v>10</v>
      </c>
      <c r="F369" s="32">
        <f t="shared" si="46"/>
        <v>1</v>
      </c>
      <c r="G369">
        <v>9</v>
      </c>
      <c r="H369">
        <v>10</v>
      </c>
      <c r="I369" s="32">
        <f t="shared" si="47"/>
        <v>1</v>
      </c>
      <c r="J369">
        <v>9</v>
      </c>
      <c r="K369">
        <v>10</v>
      </c>
      <c r="L369" s="32">
        <f t="shared" si="48"/>
        <v>1</v>
      </c>
      <c r="M369">
        <v>9</v>
      </c>
      <c r="N369">
        <v>10</v>
      </c>
      <c r="O369" s="32">
        <f t="shared" si="49"/>
        <v>1</v>
      </c>
      <c r="P369">
        <v>9</v>
      </c>
      <c r="Q369">
        <v>10</v>
      </c>
      <c r="R369" s="32">
        <f t="shared" si="50"/>
        <v>1</v>
      </c>
      <c r="S369">
        <v>9</v>
      </c>
      <c r="T369">
        <v>10</v>
      </c>
      <c r="U369" s="32">
        <f t="shared" si="51"/>
        <v>1</v>
      </c>
      <c r="V369">
        <v>9</v>
      </c>
      <c r="W369">
        <v>9</v>
      </c>
      <c r="X369" s="32">
        <f t="shared" si="52"/>
        <v>0</v>
      </c>
      <c r="Y369">
        <v>9</v>
      </c>
      <c r="Z369">
        <v>10</v>
      </c>
      <c r="AA369" s="32">
        <f t="shared" si="53"/>
        <v>1</v>
      </c>
    </row>
    <row r="370" spans="1:27" x14ac:dyDescent="0.45">
      <c r="A370">
        <v>9</v>
      </c>
      <c r="B370">
        <v>10</v>
      </c>
      <c r="C370" s="32">
        <f t="shared" si="45"/>
        <v>1</v>
      </c>
      <c r="D370">
        <v>9</v>
      </c>
      <c r="E370">
        <v>10</v>
      </c>
      <c r="F370" s="32">
        <f t="shared" si="46"/>
        <v>1</v>
      </c>
      <c r="G370">
        <v>9</v>
      </c>
      <c r="H370">
        <v>10</v>
      </c>
      <c r="I370" s="32">
        <f t="shared" si="47"/>
        <v>1</v>
      </c>
      <c r="J370">
        <v>9</v>
      </c>
      <c r="K370">
        <v>10</v>
      </c>
      <c r="L370" s="32">
        <f t="shared" si="48"/>
        <v>1</v>
      </c>
      <c r="M370">
        <v>9</v>
      </c>
      <c r="N370">
        <v>10</v>
      </c>
      <c r="O370" s="32">
        <f t="shared" si="49"/>
        <v>1</v>
      </c>
      <c r="P370">
        <v>9</v>
      </c>
      <c r="Q370">
        <v>10</v>
      </c>
      <c r="R370" s="32">
        <f t="shared" si="50"/>
        <v>1</v>
      </c>
      <c r="S370">
        <v>9</v>
      </c>
      <c r="T370">
        <v>10</v>
      </c>
      <c r="U370" s="32">
        <f t="shared" si="51"/>
        <v>1</v>
      </c>
      <c r="V370">
        <v>9</v>
      </c>
      <c r="W370">
        <v>10</v>
      </c>
      <c r="X370" s="32">
        <f t="shared" si="52"/>
        <v>1</v>
      </c>
      <c r="Y370">
        <v>9</v>
      </c>
      <c r="Z370">
        <v>10</v>
      </c>
      <c r="AA370" s="32">
        <f t="shared" si="53"/>
        <v>1</v>
      </c>
    </row>
    <row r="371" spans="1:27" x14ac:dyDescent="0.45">
      <c r="A371">
        <v>9</v>
      </c>
      <c r="B371">
        <v>10</v>
      </c>
      <c r="C371" s="32">
        <f t="shared" si="45"/>
        <v>1</v>
      </c>
      <c r="D371">
        <v>9</v>
      </c>
      <c r="E371">
        <v>10</v>
      </c>
      <c r="F371" s="32">
        <f t="shared" si="46"/>
        <v>1</v>
      </c>
      <c r="G371">
        <v>9</v>
      </c>
      <c r="H371">
        <v>10</v>
      </c>
      <c r="I371" s="32">
        <f t="shared" si="47"/>
        <v>1</v>
      </c>
      <c r="J371">
        <v>9</v>
      </c>
      <c r="K371">
        <v>10</v>
      </c>
      <c r="L371" s="32">
        <f t="shared" si="48"/>
        <v>1</v>
      </c>
      <c r="M371">
        <v>9</v>
      </c>
      <c r="N371">
        <v>10</v>
      </c>
      <c r="O371" s="32">
        <f t="shared" si="49"/>
        <v>1</v>
      </c>
      <c r="P371">
        <v>9</v>
      </c>
      <c r="Q371">
        <v>10</v>
      </c>
      <c r="R371" s="32">
        <f t="shared" si="50"/>
        <v>1</v>
      </c>
      <c r="S371">
        <v>9</v>
      </c>
      <c r="T371">
        <v>10</v>
      </c>
      <c r="U371" s="32">
        <f t="shared" si="51"/>
        <v>1</v>
      </c>
      <c r="V371">
        <v>9</v>
      </c>
      <c r="W371">
        <v>10</v>
      </c>
      <c r="X371" s="32">
        <f t="shared" si="52"/>
        <v>1</v>
      </c>
      <c r="Y371">
        <v>9</v>
      </c>
      <c r="Z371">
        <v>10</v>
      </c>
      <c r="AA371" s="32">
        <f t="shared" si="53"/>
        <v>1</v>
      </c>
    </row>
    <row r="372" spans="1:27" x14ac:dyDescent="0.45">
      <c r="A372">
        <v>9</v>
      </c>
      <c r="B372">
        <v>10</v>
      </c>
      <c r="C372" s="32">
        <f t="shared" si="45"/>
        <v>1</v>
      </c>
      <c r="D372">
        <v>9</v>
      </c>
      <c r="E372">
        <v>10</v>
      </c>
      <c r="F372" s="32">
        <f t="shared" si="46"/>
        <v>1</v>
      </c>
      <c r="G372">
        <v>9</v>
      </c>
      <c r="H372">
        <v>10</v>
      </c>
      <c r="I372" s="32">
        <f t="shared" si="47"/>
        <v>1</v>
      </c>
      <c r="J372">
        <v>9</v>
      </c>
      <c r="K372">
        <v>10</v>
      </c>
      <c r="L372" s="32">
        <f t="shared" si="48"/>
        <v>1</v>
      </c>
      <c r="M372">
        <v>9</v>
      </c>
      <c r="N372">
        <v>10</v>
      </c>
      <c r="O372" s="32">
        <f t="shared" si="49"/>
        <v>1</v>
      </c>
      <c r="P372">
        <v>9</v>
      </c>
      <c r="Q372">
        <v>10</v>
      </c>
      <c r="R372" s="32">
        <f t="shared" si="50"/>
        <v>1</v>
      </c>
      <c r="S372">
        <v>9</v>
      </c>
      <c r="T372">
        <v>10</v>
      </c>
      <c r="U372" s="32">
        <f t="shared" si="51"/>
        <v>1</v>
      </c>
      <c r="V372">
        <v>9</v>
      </c>
      <c r="W372">
        <v>10</v>
      </c>
      <c r="X372" s="32">
        <f t="shared" si="52"/>
        <v>1</v>
      </c>
      <c r="Y372">
        <v>9</v>
      </c>
      <c r="Z372">
        <v>10</v>
      </c>
      <c r="AA372" s="32">
        <f t="shared" si="53"/>
        <v>1</v>
      </c>
    </row>
    <row r="373" spans="1:27" x14ac:dyDescent="0.45">
      <c r="A373">
        <v>9</v>
      </c>
      <c r="B373">
        <v>10</v>
      </c>
      <c r="C373" s="32">
        <f t="shared" si="45"/>
        <v>1</v>
      </c>
      <c r="D373">
        <v>9</v>
      </c>
      <c r="E373">
        <v>10</v>
      </c>
      <c r="F373" s="32">
        <f t="shared" si="46"/>
        <v>1</v>
      </c>
      <c r="G373">
        <v>9</v>
      </c>
      <c r="H373">
        <v>10</v>
      </c>
      <c r="I373" s="32">
        <f t="shared" si="47"/>
        <v>1</v>
      </c>
      <c r="J373">
        <v>9</v>
      </c>
      <c r="K373">
        <v>10</v>
      </c>
      <c r="L373" s="32">
        <f t="shared" si="48"/>
        <v>1</v>
      </c>
      <c r="M373">
        <v>9</v>
      </c>
      <c r="N373">
        <v>10</v>
      </c>
      <c r="O373" s="32">
        <f t="shared" si="49"/>
        <v>1</v>
      </c>
      <c r="P373">
        <v>9</v>
      </c>
      <c r="Q373">
        <v>10</v>
      </c>
      <c r="R373" s="32">
        <f t="shared" si="50"/>
        <v>1</v>
      </c>
      <c r="S373">
        <v>9</v>
      </c>
      <c r="T373">
        <v>10</v>
      </c>
      <c r="U373" s="32">
        <f t="shared" si="51"/>
        <v>1</v>
      </c>
      <c r="V373">
        <v>9</v>
      </c>
      <c r="W373">
        <v>10</v>
      </c>
      <c r="X373" s="32">
        <f t="shared" si="52"/>
        <v>1</v>
      </c>
      <c r="Y373">
        <v>9</v>
      </c>
      <c r="Z373">
        <v>10</v>
      </c>
      <c r="AA373" s="32">
        <f t="shared" si="53"/>
        <v>1</v>
      </c>
    </row>
    <row r="374" spans="1:27" x14ac:dyDescent="0.45">
      <c r="A374">
        <v>9</v>
      </c>
      <c r="B374">
        <v>10</v>
      </c>
      <c r="C374" s="32">
        <f t="shared" si="45"/>
        <v>1</v>
      </c>
      <c r="D374">
        <v>9</v>
      </c>
      <c r="E374">
        <v>10</v>
      </c>
      <c r="F374" s="32">
        <f t="shared" si="46"/>
        <v>1</v>
      </c>
      <c r="G374">
        <v>9</v>
      </c>
      <c r="H374">
        <v>10</v>
      </c>
      <c r="I374" s="32">
        <f t="shared" si="47"/>
        <v>1</v>
      </c>
      <c r="J374">
        <v>9</v>
      </c>
      <c r="K374">
        <v>10</v>
      </c>
      <c r="L374" s="32">
        <f t="shared" si="48"/>
        <v>1</v>
      </c>
      <c r="M374">
        <v>9</v>
      </c>
      <c r="N374">
        <v>10</v>
      </c>
      <c r="O374" s="32">
        <f t="shared" si="49"/>
        <v>1</v>
      </c>
      <c r="P374">
        <v>9</v>
      </c>
      <c r="Q374">
        <v>10</v>
      </c>
      <c r="R374" s="32">
        <f t="shared" si="50"/>
        <v>1</v>
      </c>
      <c r="S374">
        <v>9</v>
      </c>
      <c r="T374">
        <v>10</v>
      </c>
      <c r="U374" s="32">
        <f t="shared" si="51"/>
        <v>1</v>
      </c>
      <c r="V374">
        <v>9</v>
      </c>
      <c r="W374">
        <v>10</v>
      </c>
      <c r="X374" s="32">
        <f t="shared" si="52"/>
        <v>1</v>
      </c>
      <c r="Y374">
        <v>9</v>
      </c>
      <c r="Z374">
        <v>10</v>
      </c>
      <c r="AA374" s="32">
        <f t="shared" si="53"/>
        <v>1</v>
      </c>
    </row>
    <row r="375" spans="1:27" x14ac:dyDescent="0.45">
      <c r="A375">
        <v>9</v>
      </c>
      <c r="B375">
        <v>10</v>
      </c>
      <c r="C375" s="32">
        <f t="shared" si="45"/>
        <v>1</v>
      </c>
      <c r="D375">
        <v>9</v>
      </c>
      <c r="E375">
        <v>10</v>
      </c>
      <c r="F375" s="32">
        <f t="shared" si="46"/>
        <v>1</v>
      </c>
      <c r="G375">
        <v>9</v>
      </c>
      <c r="H375">
        <v>10</v>
      </c>
      <c r="I375" s="32">
        <f t="shared" si="47"/>
        <v>1</v>
      </c>
      <c r="J375">
        <v>9</v>
      </c>
      <c r="K375">
        <v>10</v>
      </c>
      <c r="L375" s="32">
        <f t="shared" si="48"/>
        <v>1</v>
      </c>
      <c r="M375">
        <v>9</v>
      </c>
      <c r="N375">
        <v>10</v>
      </c>
      <c r="O375" s="32">
        <f t="shared" si="49"/>
        <v>1</v>
      </c>
      <c r="P375">
        <v>9</v>
      </c>
      <c r="Q375">
        <v>10</v>
      </c>
      <c r="R375" s="32">
        <f t="shared" si="50"/>
        <v>1</v>
      </c>
      <c r="S375">
        <v>9</v>
      </c>
      <c r="T375">
        <v>10</v>
      </c>
      <c r="U375" s="32">
        <f t="shared" si="51"/>
        <v>1</v>
      </c>
      <c r="V375">
        <v>9</v>
      </c>
      <c r="W375">
        <v>10</v>
      </c>
      <c r="X375" s="32">
        <f t="shared" si="52"/>
        <v>1</v>
      </c>
      <c r="Y375">
        <v>9</v>
      </c>
      <c r="Z375">
        <v>10</v>
      </c>
      <c r="AA375" s="32">
        <f t="shared" si="53"/>
        <v>1</v>
      </c>
    </row>
    <row r="376" spans="1:27" x14ac:dyDescent="0.45">
      <c r="A376">
        <v>9</v>
      </c>
      <c r="B376">
        <v>10</v>
      </c>
      <c r="C376" s="32">
        <f t="shared" si="45"/>
        <v>1</v>
      </c>
      <c r="D376">
        <v>9</v>
      </c>
      <c r="E376">
        <v>10</v>
      </c>
      <c r="F376" s="32">
        <f t="shared" si="46"/>
        <v>1</v>
      </c>
      <c r="G376">
        <v>9</v>
      </c>
      <c r="H376">
        <v>10</v>
      </c>
      <c r="I376" s="32">
        <f t="shared" si="47"/>
        <v>1</v>
      </c>
      <c r="J376">
        <v>9</v>
      </c>
      <c r="K376">
        <v>10</v>
      </c>
      <c r="L376" s="32">
        <f t="shared" si="48"/>
        <v>1</v>
      </c>
      <c r="M376">
        <v>9</v>
      </c>
      <c r="N376">
        <v>10</v>
      </c>
      <c r="O376" s="32">
        <f t="shared" si="49"/>
        <v>1</v>
      </c>
      <c r="P376">
        <v>9</v>
      </c>
      <c r="Q376">
        <v>10</v>
      </c>
      <c r="R376" s="32">
        <f t="shared" si="50"/>
        <v>1</v>
      </c>
      <c r="S376">
        <v>9</v>
      </c>
      <c r="T376">
        <v>10</v>
      </c>
      <c r="U376" s="32">
        <f t="shared" si="51"/>
        <v>1</v>
      </c>
      <c r="V376">
        <v>9</v>
      </c>
      <c r="W376">
        <v>10</v>
      </c>
      <c r="X376" s="32">
        <f t="shared" si="52"/>
        <v>1</v>
      </c>
      <c r="Y376">
        <v>9</v>
      </c>
      <c r="Z376">
        <v>10</v>
      </c>
      <c r="AA376" s="32">
        <f t="shared" si="53"/>
        <v>1</v>
      </c>
    </row>
    <row r="377" spans="1:27" x14ac:dyDescent="0.45">
      <c r="A377">
        <v>9</v>
      </c>
      <c r="B377">
        <v>10</v>
      </c>
      <c r="C377" s="32">
        <f t="shared" si="45"/>
        <v>1</v>
      </c>
      <c r="D377">
        <v>9</v>
      </c>
      <c r="E377">
        <v>10</v>
      </c>
      <c r="F377" s="32">
        <f t="shared" si="46"/>
        <v>1</v>
      </c>
      <c r="G377">
        <v>9</v>
      </c>
      <c r="H377">
        <v>10</v>
      </c>
      <c r="I377" s="32">
        <f t="shared" si="47"/>
        <v>1</v>
      </c>
      <c r="J377">
        <v>9</v>
      </c>
      <c r="K377">
        <v>10</v>
      </c>
      <c r="L377" s="32">
        <f t="shared" si="48"/>
        <v>1</v>
      </c>
      <c r="M377">
        <v>9</v>
      </c>
      <c r="N377">
        <v>10</v>
      </c>
      <c r="O377" s="32">
        <f t="shared" si="49"/>
        <v>1</v>
      </c>
      <c r="P377">
        <v>9</v>
      </c>
      <c r="Q377">
        <v>10</v>
      </c>
      <c r="R377" s="32">
        <f t="shared" si="50"/>
        <v>1</v>
      </c>
      <c r="S377">
        <v>9</v>
      </c>
      <c r="T377">
        <v>10</v>
      </c>
      <c r="U377" s="32">
        <f t="shared" si="51"/>
        <v>1</v>
      </c>
      <c r="V377">
        <v>9</v>
      </c>
      <c r="W377">
        <v>10</v>
      </c>
      <c r="X377" s="32">
        <f t="shared" si="52"/>
        <v>1</v>
      </c>
      <c r="Y377">
        <v>9</v>
      </c>
      <c r="Z377">
        <v>10</v>
      </c>
      <c r="AA377" s="32">
        <f t="shared" si="53"/>
        <v>1</v>
      </c>
    </row>
    <row r="378" spans="1:27" x14ac:dyDescent="0.45">
      <c r="A378">
        <v>9</v>
      </c>
      <c r="B378">
        <v>10</v>
      </c>
      <c r="C378" s="32">
        <f t="shared" si="45"/>
        <v>1</v>
      </c>
      <c r="D378">
        <v>9</v>
      </c>
      <c r="E378">
        <v>10</v>
      </c>
      <c r="F378" s="32">
        <f t="shared" si="46"/>
        <v>1</v>
      </c>
      <c r="G378">
        <v>9</v>
      </c>
      <c r="H378">
        <v>10</v>
      </c>
      <c r="I378" s="32">
        <f t="shared" si="47"/>
        <v>1</v>
      </c>
      <c r="J378">
        <v>9</v>
      </c>
      <c r="K378">
        <v>10</v>
      </c>
      <c r="L378" s="32">
        <f t="shared" si="48"/>
        <v>1</v>
      </c>
      <c r="M378">
        <v>9</v>
      </c>
      <c r="N378">
        <v>10</v>
      </c>
      <c r="O378" s="32">
        <f t="shared" si="49"/>
        <v>1</v>
      </c>
      <c r="P378">
        <v>9</v>
      </c>
      <c r="Q378">
        <v>10</v>
      </c>
      <c r="R378" s="32">
        <f t="shared" si="50"/>
        <v>1</v>
      </c>
      <c r="S378">
        <v>9</v>
      </c>
      <c r="T378">
        <v>10</v>
      </c>
      <c r="U378" s="32">
        <f t="shared" si="51"/>
        <v>1</v>
      </c>
      <c r="V378">
        <v>9</v>
      </c>
      <c r="W378">
        <v>10</v>
      </c>
      <c r="X378" s="32">
        <f t="shared" si="52"/>
        <v>1</v>
      </c>
      <c r="Y378">
        <v>9</v>
      </c>
      <c r="Z378">
        <v>10</v>
      </c>
      <c r="AA378" s="32">
        <f t="shared" si="53"/>
        <v>1</v>
      </c>
    </row>
    <row r="379" spans="1:27" x14ac:dyDescent="0.45">
      <c r="A379">
        <v>9</v>
      </c>
      <c r="B379">
        <v>10</v>
      </c>
      <c r="C379" s="32">
        <f t="shared" si="45"/>
        <v>1</v>
      </c>
      <c r="D379">
        <v>9</v>
      </c>
      <c r="E379">
        <v>10</v>
      </c>
      <c r="F379" s="32">
        <f t="shared" si="46"/>
        <v>1</v>
      </c>
      <c r="G379">
        <v>9</v>
      </c>
      <c r="H379">
        <v>10</v>
      </c>
      <c r="I379" s="32">
        <f t="shared" si="47"/>
        <v>1</v>
      </c>
      <c r="J379">
        <v>9</v>
      </c>
      <c r="K379">
        <v>10</v>
      </c>
      <c r="L379" s="32">
        <f t="shared" si="48"/>
        <v>1</v>
      </c>
      <c r="M379">
        <v>9</v>
      </c>
      <c r="N379">
        <v>10</v>
      </c>
      <c r="O379" s="32">
        <f t="shared" si="49"/>
        <v>1</v>
      </c>
      <c r="P379">
        <v>9</v>
      </c>
      <c r="Q379">
        <v>10</v>
      </c>
      <c r="R379" s="32">
        <f t="shared" si="50"/>
        <v>1</v>
      </c>
      <c r="S379">
        <v>9</v>
      </c>
      <c r="T379">
        <v>10</v>
      </c>
      <c r="U379" s="32">
        <f t="shared" si="51"/>
        <v>1</v>
      </c>
      <c r="V379">
        <v>9</v>
      </c>
      <c r="W379">
        <v>10</v>
      </c>
      <c r="X379" s="32">
        <f t="shared" si="52"/>
        <v>1</v>
      </c>
      <c r="Y379">
        <v>9</v>
      </c>
      <c r="Z379">
        <v>10</v>
      </c>
      <c r="AA379" s="32">
        <f t="shared" si="53"/>
        <v>1</v>
      </c>
    </row>
    <row r="380" spans="1:27" x14ac:dyDescent="0.45">
      <c r="A380">
        <v>9</v>
      </c>
      <c r="B380">
        <v>10</v>
      </c>
      <c r="C380" s="32">
        <f t="shared" si="45"/>
        <v>1</v>
      </c>
      <c r="D380">
        <v>9</v>
      </c>
      <c r="E380">
        <v>10</v>
      </c>
      <c r="F380" s="32">
        <f t="shared" si="46"/>
        <v>1</v>
      </c>
      <c r="G380">
        <v>9</v>
      </c>
      <c r="H380">
        <v>10</v>
      </c>
      <c r="I380" s="32">
        <f t="shared" si="47"/>
        <v>1</v>
      </c>
      <c r="J380">
        <v>9</v>
      </c>
      <c r="K380">
        <v>10</v>
      </c>
      <c r="L380" s="32">
        <f t="shared" si="48"/>
        <v>1</v>
      </c>
      <c r="M380">
        <v>9</v>
      </c>
      <c r="N380">
        <v>10</v>
      </c>
      <c r="O380" s="32">
        <f t="shared" si="49"/>
        <v>1</v>
      </c>
      <c r="P380">
        <v>9</v>
      </c>
      <c r="Q380">
        <v>10</v>
      </c>
      <c r="R380" s="32">
        <f t="shared" si="50"/>
        <v>1</v>
      </c>
      <c r="S380">
        <v>9</v>
      </c>
      <c r="T380">
        <v>10</v>
      </c>
      <c r="U380" s="32">
        <f t="shared" si="51"/>
        <v>1</v>
      </c>
      <c r="V380">
        <v>9</v>
      </c>
      <c r="W380">
        <v>10</v>
      </c>
      <c r="X380" s="32">
        <f t="shared" si="52"/>
        <v>1</v>
      </c>
      <c r="Y380">
        <v>9</v>
      </c>
      <c r="Z380">
        <v>10</v>
      </c>
      <c r="AA380" s="32">
        <f t="shared" si="53"/>
        <v>1</v>
      </c>
    </row>
    <row r="381" spans="1:27" x14ac:dyDescent="0.45">
      <c r="A381">
        <v>9</v>
      </c>
      <c r="B381">
        <v>10</v>
      </c>
      <c r="C381" s="32">
        <f t="shared" si="45"/>
        <v>1</v>
      </c>
      <c r="D381">
        <v>9</v>
      </c>
      <c r="E381">
        <v>10</v>
      </c>
      <c r="F381" s="32">
        <f t="shared" si="46"/>
        <v>1</v>
      </c>
      <c r="G381">
        <v>9</v>
      </c>
      <c r="H381">
        <v>10</v>
      </c>
      <c r="I381" s="32">
        <f t="shared" si="47"/>
        <v>1</v>
      </c>
      <c r="J381">
        <v>9</v>
      </c>
      <c r="K381">
        <v>10</v>
      </c>
      <c r="L381" s="32">
        <f t="shared" si="48"/>
        <v>1</v>
      </c>
      <c r="M381">
        <v>9</v>
      </c>
      <c r="N381">
        <v>10</v>
      </c>
      <c r="O381" s="32">
        <f t="shared" si="49"/>
        <v>1</v>
      </c>
      <c r="P381">
        <v>9</v>
      </c>
      <c r="Q381">
        <v>10</v>
      </c>
      <c r="R381" s="32">
        <f t="shared" si="50"/>
        <v>1</v>
      </c>
      <c r="S381">
        <v>9</v>
      </c>
      <c r="T381">
        <v>10</v>
      </c>
      <c r="U381" s="32">
        <f t="shared" si="51"/>
        <v>1</v>
      </c>
      <c r="V381">
        <v>9</v>
      </c>
      <c r="W381">
        <v>10</v>
      </c>
      <c r="X381" s="32">
        <f t="shared" si="52"/>
        <v>1</v>
      </c>
      <c r="Y381">
        <v>9</v>
      </c>
      <c r="Z381">
        <v>10</v>
      </c>
      <c r="AA381" s="32">
        <f t="shared" si="53"/>
        <v>1</v>
      </c>
    </row>
    <row r="382" spans="1:27" x14ac:dyDescent="0.45">
      <c r="A382">
        <v>9</v>
      </c>
      <c r="B382">
        <v>10</v>
      </c>
      <c r="C382" s="32">
        <f t="shared" si="45"/>
        <v>1</v>
      </c>
      <c r="D382">
        <v>9</v>
      </c>
      <c r="E382">
        <v>10</v>
      </c>
      <c r="F382" s="32">
        <f t="shared" si="46"/>
        <v>1</v>
      </c>
      <c r="G382">
        <v>9</v>
      </c>
      <c r="H382">
        <v>10</v>
      </c>
      <c r="I382" s="32">
        <f t="shared" si="47"/>
        <v>1</v>
      </c>
      <c r="J382">
        <v>9</v>
      </c>
      <c r="K382">
        <v>10</v>
      </c>
      <c r="L382" s="32">
        <f t="shared" si="48"/>
        <v>1</v>
      </c>
      <c r="M382">
        <v>9</v>
      </c>
      <c r="N382">
        <v>10</v>
      </c>
      <c r="O382" s="32">
        <f t="shared" si="49"/>
        <v>1</v>
      </c>
      <c r="P382">
        <v>9</v>
      </c>
      <c r="Q382">
        <v>10</v>
      </c>
      <c r="R382" s="32">
        <f t="shared" si="50"/>
        <v>1</v>
      </c>
      <c r="S382">
        <v>9</v>
      </c>
      <c r="T382">
        <v>10</v>
      </c>
      <c r="U382" s="32">
        <f t="shared" si="51"/>
        <v>1</v>
      </c>
      <c r="V382">
        <v>9</v>
      </c>
      <c r="W382">
        <v>10</v>
      </c>
      <c r="X382" s="32">
        <f t="shared" si="52"/>
        <v>1</v>
      </c>
      <c r="Y382">
        <v>9</v>
      </c>
      <c r="Z382">
        <v>10</v>
      </c>
      <c r="AA382" s="32">
        <f t="shared" si="53"/>
        <v>1</v>
      </c>
    </row>
    <row r="383" spans="1:27" x14ac:dyDescent="0.45">
      <c r="A383">
        <v>9</v>
      </c>
      <c r="B383">
        <v>10</v>
      </c>
      <c r="C383" s="32">
        <f t="shared" si="45"/>
        <v>1</v>
      </c>
      <c r="D383">
        <v>9</v>
      </c>
      <c r="E383">
        <v>10</v>
      </c>
      <c r="F383" s="32">
        <f t="shared" si="46"/>
        <v>1</v>
      </c>
      <c r="G383">
        <v>9</v>
      </c>
      <c r="H383">
        <v>10</v>
      </c>
      <c r="I383" s="32">
        <f t="shared" si="47"/>
        <v>1</v>
      </c>
      <c r="J383">
        <v>9</v>
      </c>
      <c r="K383">
        <v>10</v>
      </c>
      <c r="L383" s="32">
        <f t="shared" si="48"/>
        <v>1</v>
      </c>
      <c r="M383">
        <v>9</v>
      </c>
      <c r="N383">
        <v>10</v>
      </c>
      <c r="O383" s="32">
        <f t="shared" si="49"/>
        <v>1</v>
      </c>
      <c r="P383">
        <v>9</v>
      </c>
      <c r="Q383">
        <v>10</v>
      </c>
      <c r="R383" s="32">
        <f t="shared" si="50"/>
        <v>1</v>
      </c>
      <c r="S383">
        <v>9</v>
      </c>
      <c r="T383">
        <v>10</v>
      </c>
      <c r="U383" s="32">
        <f t="shared" si="51"/>
        <v>1</v>
      </c>
      <c r="V383">
        <v>9</v>
      </c>
      <c r="W383">
        <v>10</v>
      </c>
      <c r="X383" s="32">
        <f t="shared" si="52"/>
        <v>1</v>
      </c>
      <c r="Y383">
        <v>9</v>
      </c>
      <c r="Z383">
        <v>10</v>
      </c>
      <c r="AA383" s="32">
        <f t="shared" si="53"/>
        <v>1</v>
      </c>
    </row>
    <row r="384" spans="1:27" x14ac:dyDescent="0.45">
      <c r="A384">
        <v>9</v>
      </c>
      <c r="B384">
        <v>10</v>
      </c>
      <c r="C384" s="32">
        <f t="shared" si="45"/>
        <v>1</v>
      </c>
      <c r="D384">
        <v>9</v>
      </c>
      <c r="E384">
        <v>10</v>
      </c>
      <c r="F384" s="32">
        <f t="shared" si="46"/>
        <v>1</v>
      </c>
      <c r="G384">
        <v>9</v>
      </c>
      <c r="H384">
        <v>10</v>
      </c>
      <c r="I384" s="32">
        <f t="shared" si="47"/>
        <v>1</v>
      </c>
      <c r="J384">
        <v>9</v>
      </c>
      <c r="K384">
        <v>10</v>
      </c>
      <c r="L384" s="32">
        <f t="shared" si="48"/>
        <v>1</v>
      </c>
      <c r="M384">
        <v>9</v>
      </c>
      <c r="N384">
        <v>10</v>
      </c>
      <c r="O384" s="32">
        <f t="shared" si="49"/>
        <v>1</v>
      </c>
      <c r="P384">
        <v>9</v>
      </c>
      <c r="Q384">
        <v>10</v>
      </c>
      <c r="R384" s="32">
        <f t="shared" si="50"/>
        <v>1</v>
      </c>
      <c r="S384">
        <v>9</v>
      </c>
      <c r="T384">
        <v>10</v>
      </c>
      <c r="U384" s="32">
        <f t="shared" si="51"/>
        <v>1</v>
      </c>
      <c r="V384">
        <v>9</v>
      </c>
      <c r="W384">
        <v>10</v>
      </c>
      <c r="X384" s="32">
        <f t="shared" si="52"/>
        <v>1</v>
      </c>
      <c r="Y384">
        <v>9</v>
      </c>
      <c r="Z384">
        <v>10</v>
      </c>
      <c r="AA384" s="32">
        <f t="shared" si="53"/>
        <v>1</v>
      </c>
    </row>
    <row r="385" spans="1:27" x14ac:dyDescent="0.45">
      <c r="A385">
        <v>9</v>
      </c>
      <c r="B385">
        <v>10</v>
      </c>
      <c r="C385" s="32">
        <f t="shared" si="45"/>
        <v>1</v>
      </c>
      <c r="D385">
        <v>9</v>
      </c>
      <c r="E385">
        <v>10</v>
      </c>
      <c r="F385" s="32">
        <f t="shared" si="46"/>
        <v>1</v>
      </c>
      <c r="G385">
        <v>9</v>
      </c>
      <c r="H385">
        <v>10</v>
      </c>
      <c r="I385" s="32">
        <f t="shared" si="47"/>
        <v>1</v>
      </c>
      <c r="J385">
        <v>10</v>
      </c>
      <c r="K385">
        <v>10</v>
      </c>
      <c r="L385" s="32">
        <f t="shared" si="48"/>
        <v>0</v>
      </c>
      <c r="M385">
        <v>9</v>
      </c>
      <c r="N385">
        <v>10</v>
      </c>
      <c r="O385" s="32">
        <f t="shared" si="49"/>
        <v>1</v>
      </c>
      <c r="P385">
        <v>9</v>
      </c>
      <c r="Q385">
        <v>10</v>
      </c>
      <c r="R385" s="32">
        <f t="shared" si="50"/>
        <v>1</v>
      </c>
      <c r="S385">
        <v>9</v>
      </c>
      <c r="T385">
        <v>10</v>
      </c>
      <c r="U385" s="32">
        <f t="shared" si="51"/>
        <v>1</v>
      </c>
      <c r="V385">
        <v>9</v>
      </c>
      <c r="W385">
        <v>10</v>
      </c>
      <c r="X385" s="32">
        <f t="shared" si="52"/>
        <v>1</v>
      </c>
      <c r="Y385">
        <v>9</v>
      </c>
      <c r="Z385">
        <v>10</v>
      </c>
      <c r="AA385" s="32">
        <f t="shared" si="53"/>
        <v>1</v>
      </c>
    </row>
    <row r="386" spans="1:27" x14ac:dyDescent="0.45">
      <c r="A386">
        <v>9</v>
      </c>
      <c r="B386">
        <v>10</v>
      </c>
      <c r="C386" s="32">
        <f t="shared" si="45"/>
        <v>1</v>
      </c>
      <c r="D386">
        <v>9</v>
      </c>
      <c r="E386">
        <v>10</v>
      </c>
      <c r="F386" s="32">
        <f t="shared" si="46"/>
        <v>1</v>
      </c>
      <c r="G386">
        <v>9</v>
      </c>
      <c r="H386">
        <v>10</v>
      </c>
      <c r="I386" s="32">
        <f t="shared" si="47"/>
        <v>1</v>
      </c>
      <c r="J386">
        <v>10</v>
      </c>
      <c r="K386">
        <v>10</v>
      </c>
      <c r="L386" s="32">
        <f t="shared" si="48"/>
        <v>0</v>
      </c>
      <c r="M386">
        <v>9</v>
      </c>
      <c r="N386">
        <v>10</v>
      </c>
      <c r="O386" s="32">
        <f t="shared" si="49"/>
        <v>1</v>
      </c>
      <c r="P386">
        <v>9</v>
      </c>
      <c r="Q386">
        <v>10</v>
      </c>
      <c r="R386" s="32">
        <f t="shared" si="50"/>
        <v>1</v>
      </c>
      <c r="S386">
        <v>9</v>
      </c>
      <c r="T386">
        <v>10</v>
      </c>
      <c r="U386" s="32">
        <f t="shared" si="51"/>
        <v>1</v>
      </c>
      <c r="V386">
        <v>9</v>
      </c>
      <c r="W386">
        <v>10</v>
      </c>
      <c r="X386" s="32">
        <f t="shared" si="52"/>
        <v>1</v>
      </c>
      <c r="Y386">
        <v>9</v>
      </c>
      <c r="Z386">
        <v>10</v>
      </c>
      <c r="AA386" s="32">
        <f t="shared" si="53"/>
        <v>1</v>
      </c>
    </row>
    <row r="387" spans="1:27" x14ac:dyDescent="0.45">
      <c r="A387">
        <v>9</v>
      </c>
      <c r="B387">
        <v>10</v>
      </c>
      <c r="C387" s="32">
        <f t="shared" ref="C387:C404" si="54">ABS(B387-A387)</f>
        <v>1</v>
      </c>
      <c r="D387">
        <v>9</v>
      </c>
      <c r="E387">
        <v>10</v>
      </c>
      <c r="F387" s="32">
        <f t="shared" ref="F387:F404" si="55">ABS(E387-D387)</f>
        <v>1</v>
      </c>
      <c r="G387">
        <v>9</v>
      </c>
      <c r="H387">
        <v>10</v>
      </c>
      <c r="I387" s="32">
        <f t="shared" ref="I387:I404" si="56">ABS(H387-G387)</f>
        <v>1</v>
      </c>
      <c r="J387">
        <v>10</v>
      </c>
      <c r="K387">
        <v>10</v>
      </c>
      <c r="L387" s="32">
        <f t="shared" ref="L387:L404" si="57">ABS(K387-J387)</f>
        <v>0</v>
      </c>
      <c r="M387">
        <v>9</v>
      </c>
      <c r="N387">
        <v>10</v>
      </c>
      <c r="O387" s="32">
        <f t="shared" ref="O387:O404" si="58">ABS(N387-M387)</f>
        <v>1</v>
      </c>
      <c r="P387">
        <v>9</v>
      </c>
      <c r="Q387">
        <v>10</v>
      </c>
      <c r="R387" s="32">
        <f t="shared" ref="R387:R404" si="59">ABS(Q387-P387)</f>
        <v>1</v>
      </c>
      <c r="S387">
        <v>9</v>
      </c>
      <c r="T387">
        <v>10</v>
      </c>
      <c r="U387" s="32">
        <f t="shared" ref="U387:U404" si="60">ABS(T387-S387)</f>
        <v>1</v>
      </c>
      <c r="V387">
        <v>9</v>
      </c>
      <c r="W387">
        <v>10</v>
      </c>
      <c r="X387" s="32">
        <f t="shared" ref="X387:X404" si="61">ABS(W387-V387)</f>
        <v>1</v>
      </c>
      <c r="Y387">
        <v>10</v>
      </c>
      <c r="Z387">
        <v>10</v>
      </c>
      <c r="AA387" s="32">
        <f t="shared" ref="AA387:AA404" si="62">ABS(Z387-Y387)</f>
        <v>0</v>
      </c>
    </row>
    <row r="388" spans="1:27" x14ac:dyDescent="0.45">
      <c r="A388">
        <v>9</v>
      </c>
      <c r="B388">
        <v>10</v>
      </c>
      <c r="C388" s="32">
        <f t="shared" si="54"/>
        <v>1</v>
      </c>
      <c r="D388">
        <v>9</v>
      </c>
      <c r="E388">
        <v>10</v>
      </c>
      <c r="F388" s="32">
        <f t="shared" si="55"/>
        <v>1</v>
      </c>
      <c r="G388">
        <v>9</v>
      </c>
      <c r="H388">
        <v>10</v>
      </c>
      <c r="I388" s="32">
        <f t="shared" si="56"/>
        <v>1</v>
      </c>
      <c r="J388">
        <v>10</v>
      </c>
      <c r="K388">
        <v>10</v>
      </c>
      <c r="L388" s="32">
        <f t="shared" si="57"/>
        <v>0</v>
      </c>
      <c r="M388">
        <v>9</v>
      </c>
      <c r="N388">
        <v>10</v>
      </c>
      <c r="O388" s="32">
        <f t="shared" si="58"/>
        <v>1</v>
      </c>
      <c r="P388">
        <v>9</v>
      </c>
      <c r="Q388">
        <v>10</v>
      </c>
      <c r="R388" s="32">
        <f t="shared" si="59"/>
        <v>1</v>
      </c>
      <c r="S388">
        <v>9</v>
      </c>
      <c r="T388">
        <v>10</v>
      </c>
      <c r="U388" s="32">
        <f t="shared" si="60"/>
        <v>1</v>
      </c>
      <c r="V388">
        <v>9</v>
      </c>
      <c r="W388">
        <v>10</v>
      </c>
      <c r="X388" s="32">
        <f t="shared" si="61"/>
        <v>1</v>
      </c>
      <c r="Y388">
        <v>10</v>
      </c>
      <c r="Z388">
        <v>10</v>
      </c>
      <c r="AA388" s="32">
        <f t="shared" si="62"/>
        <v>0</v>
      </c>
    </row>
    <row r="389" spans="1:27" x14ac:dyDescent="0.45">
      <c r="A389">
        <v>9</v>
      </c>
      <c r="B389">
        <v>10</v>
      </c>
      <c r="C389" s="32">
        <f t="shared" si="54"/>
        <v>1</v>
      </c>
      <c r="D389">
        <v>9</v>
      </c>
      <c r="E389">
        <v>10</v>
      </c>
      <c r="F389" s="32">
        <f t="shared" si="55"/>
        <v>1</v>
      </c>
      <c r="G389">
        <v>9</v>
      </c>
      <c r="H389">
        <v>10</v>
      </c>
      <c r="I389" s="32">
        <f t="shared" si="56"/>
        <v>1</v>
      </c>
      <c r="J389">
        <v>10</v>
      </c>
      <c r="K389">
        <v>10</v>
      </c>
      <c r="L389" s="32">
        <f t="shared" si="57"/>
        <v>0</v>
      </c>
      <c r="M389">
        <v>9</v>
      </c>
      <c r="N389">
        <v>10</v>
      </c>
      <c r="O389" s="32">
        <f t="shared" si="58"/>
        <v>1</v>
      </c>
      <c r="P389">
        <v>9</v>
      </c>
      <c r="Q389">
        <v>10</v>
      </c>
      <c r="R389" s="32">
        <f t="shared" si="59"/>
        <v>1</v>
      </c>
      <c r="S389">
        <v>9</v>
      </c>
      <c r="T389">
        <v>10</v>
      </c>
      <c r="U389" s="32">
        <f t="shared" si="60"/>
        <v>1</v>
      </c>
      <c r="V389">
        <v>9</v>
      </c>
      <c r="W389">
        <v>10</v>
      </c>
      <c r="X389" s="32">
        <f t="shared" si="61"/>
        <v>1</v>
      </c>
      <c r="Y389">
        <v>10</v>
      </c>
      <c r="Z389">
        <v>10</v>
      </c>
      <c r="AA389" s="32">
        <f t="shared" si="62"/>
        <v>0</v>
      </c>
    </row>
    <row r="390" spans="1:27" x14ac:dyDescent="0.45">
      <c r="A390">
        <v>9</v>
      </c>
      <c r="B390">
        <v>10</v>
      </c>
      <c r="C390" s="32">
        <f t="shared" si="54"/>
        <v>1</v>
      </c>
      <c r="D390">
        <v>9</v>
      </c>
      <c r="E390">
        <v>10</v>
      </c>
      <c r="F390" s="32">
        <f t="shared" si="55"/>
        <v>1</v>
      </c>
      <c r="G390">
        <v>9</v>
      </c>
      <c r="H390">
        <v>10</v>
      </c>
      <c r="I390" s="32">
        <f t="shared" si="56"/>
        <v>1</v>
      </c>
      <c r="J390">
        <v>10</v>
      </c>
      <c r="K390">
        <v>10</v>
      </c>
      <c r="L390" s="32">
        <f t="shared" si="57"/>
        <v>0</v>
      </c>
      <c r="M390">
        <v>9</v>
      </c>
      <c r="N390">
        <v>10</v>
      </c>
      <c r="O390" s="32">
        <f t="shared" si="58"/>
        <v>1</v>
      </c>
      <c r="P390">
        <v>9</v>
      </c>
      <c r="Q390">
        <v>10</v>
      </c>
      <c r="R390" s="32">
        <f t="shared" si="59"/>
        <v>1</v>
      </c>
      <c r="S390">
        <v>9</v>
      </c>
      <c r="T390">
        <v>10</v>
      </c>
      <c r="U390" s="32">
        <f t="shared" si="60"/>
        <v>1</v>
      </c>
      <c r="V390">
        <v>9</v>
      </c>
      <c r="W390">
        <v>10</v>
      </c>
      <c r="X390" s="32">
        <f t="shared" si="61"/>
        <v>1</v>
      </c>
      <c r="Y390">
        <v>10</v>
      </c>
      <c r="Z390">
        <v>10</v>
      </c>
      <c r="AA390" s="32">
        <f t="shared" si="62"/>
        <v>0</v>
      </c>
    </row>
    <row r="391" spans="1:27" x14ac:dyDescent="0.45">
      <c r="A391">
        <v>9</v>
      </c>
      <c r="B391">
        <v>10</v>
      </c>
      <c r="C391" s="32">
        <f t="shared" si="54"/>
        <v>1</v>
      </c>
      <c r="D391">
        <v>9</v>
      </c>
      <c r="E391">
        <v>10</v>
      </c>
      <c r="F391" s="32">
        <f t="shared" si="55"/>
        <v>1</v>
      </c>
      <c r="G391">
        <v>9</v>
      </c>
      <c r="H391">
        <v>10</v>
      </c>
      <c r="I391" s="32">
        <f t="shared" si="56"/>
        <v>1</v>
      </c>
      <c r="J391">
        <v>10</v>
      </c>
      <c r="K391">
        <v>10</v>
      </c>
      <c r="L391" s="32">
        <f t="shared" si="57"/>
        <v>0</v>
      </c>
      <c r="M391">
        <v>9</v>
      </c>
      <c r="N391">
        <v>10</v>
      </c>
      <c r="O391" s="32">
        <f t="shared" si="58"/>
        <v>1</v>
      </c>
      <c r="P391">
        <v>9</v>
      </c>
      <c r="Q391">
        <v>10</v>
      </c>
      <c r="R391" s="32">
        <f t="shared" si="59"/>
        <v>1</v>
      </c>
      <c r="S391">
        <v>9</v>
      </c>
      <c r="T391">
        <v>10</v>
      </c>
      <c r="U391" s="32">
        <f t="shared" si="60"/>
        <v>1</v>
      </c>
      <c r="V391">
        <v>9</v>
      </c>
      <c r="W391">
        <v>10</v>
      </c>
      <c r="X391" s="32">
        <f t="shared" si="61"/>
        <v>1</v>
      </c>
      <c r="Y391">
        <v>10</v>
      </c>
      <c r="Z391">
        <v>10</v>
      </c>
      <c r="AA391" s="32">
        <f t="shared" si="62"/>
        <v>0</v>
      </c>
    </row>
    <row r="392" spans="1:27" x14ac:dyDescent="0.45">
      <c r="A392">
        <v>9</v>
      </c>
      <c r="B392">
        <v>10</v>
      </c>
      <c r="C392" s="32">
        <f t="shared" si="54"/>
        <v>1</v>
      </c>
      <c r="D392">
        <v>9</v>
      </c>
      <c r="E392">
        <v>10</v>
      </c>
      <c r="F392" s="32">
        <f t="shared" si="55"/>
        <v>1</v>
      </c>
      <c r="G392">
        <v>9</v>
      </c>
      <c r="H392">
        <v>10</v>
      </c>
      <c r="I392" s="32">
        <f t="shared" si="56"/>
        <v>1</v>
      </c>
      <c r="J392">
        <v>10</v>
      </c>
      <c r="K392">
        <v>10</v>
      </c>
      <c r="L392" s="32">
        <f t="shared" si="57"/>
        <v>0</v>
      </c>
      <c r="M392">
        <v>9</v>
      </c>
      <c r="N392">
        <v>10</v>
      </c>
      <c r="O392" s="32">
        <f t="shared" si="58"/>
        <v>1</v>
      </c>
      <c r="P392">
        <v>9</v>
      </c>
      <c r="Q392">
        <v>10</v>
      </c>
      <c r="R392" s="32">
        <f t="shared" si="59"/>
        <v>1</v>
      </c>
      <c r="S392">
        <v>9</v>
      </c>
      <c r="T392">
        <v>10</v>
      </c>
      <c r="U392" s="32">
        <f t="shared" si="60"/>
        <v>1</v>
      </c>
      <c r="V392">
        <v>9</v>
      </c>
      <c r="W392">
        <v>10</v>
      </c>
      <c r="X392" s="32">
        <f t="shared" si="61"/>
        <v>1</v>
      </c>
      <c r="Y392">
        <v>10</v>
      </c>
      <c r="Z392">
        <v>10</v>
      </c>
      <c r="AA392" s="32">
        <f t="shared" si="62"/>
        <v>0</v>
      </c>
    </row>
    <row r="393" spans="1:27" x14ac:dyDescent="0.45">
      <c r="A393">
        <v>9</v>
      </c>
      <c r="B393">
        <v>10</v>
      </c>
      <c r="C393" s="32">
        <f t="shared" si="54"/>
        <v>1</v>
      </c>
      <c r="D393">
        <v>9</v>
      </c>
      <c r="E393">
        <v>10</v>
      </c>
      <c r="F393" s="32">
        <f t="shared" si="55"/>
        <v>1</v>
      </c>
      <c r="G393">
        <v>9</v>
      </c>
      <c r="H393">
        <v>10</v>
      </c>
      <c r="I393" s="32">
        <f t="shared" si="56"/>
        <v>1</v>
      </c>
      <c r="J393">
        <v>10</v>
      </c>
      <c r="K393">
        <v>10</v>
      </c>
      <c r="L393" s="32">
        <f t="shared" si="57"/>
        <v>0</v>
      </c>
      <c r="M393">
        <v>9</v>
      </c>
      <c r="N393">
        <v>10</v>
      </c>
      <c r="O393" s="32">
        <f t="shared" si="58"/>
        <v>1</v>
      </c>
      <c r="P393">
        <v>9</v>
      </c>
      <c r="Q393">
        <v>10</v>
      </c>
      <c r="R393" s="32">
        <f t="shared" si="59"/>
        <v>1</v>
      </c>
      <c r="S393">
        <v>9</v>
      </c>
      <c r="T393">
        <v>10</v>
      </c>
      <c r="U393" s="32">
        <f t="shared" si="60"/>
        <v>1</v>
      </c>
      <c r="V393">
        <v>9</v>
      </c>
      <c r="W393">
        <v>10</v>
      </c>
      <c r="X393" s="32">
        <f t="shared" si="61"/>
        <v>1</v>
      </c>
      <c r="Y393">
        <v>10</v>
      </c>
      <c r="Z393">
        <v>10</v>
      </c>
      <c r="AA393" s="32">
        <f t="shared" si="62"/>
        <v>0</v>
      </c>
    </row>
    <row r="394" spans="1:27" x14ac:dyDescent="0.45">
      <c r="A394">
        <v>9</v>
      </c>
      <c r="B394">
        <v>10</v>
      </c>
      <c r="C394" s="32">
        <f t="shared" si="54"/>
        <v>1</v>
      </c>
      <c r="D394">
        <v>9</v>
      </c>
      <c r="E394">
        <v>10</v>
      </c>
      <c r="F394" s="32">
        <f t="shared" si="55"/>
        <v>1</v>
      </c>
      <c r="G394">
        <v>9</v>
      </c>
      <c r="H394">
        <v>10</v>
      </c>
      <c r="I394" s="32">
        <f t="shared" si="56"/>
        <v>1</v>
      </c>
      <c r="J394">
        <v>10</v>
      </c>
      <c r="K394">
        <v>10</v>
      </c>
      <c r="L394" s="32">
        <f t="shared" si="57"/>
        <v>0</v>
      </c>
      <c r="M394">
        <v>9</v>
      </c>
      <c r="N394">
        <v>10</v>
      </c>
      <c r="O394" s="32">
        <f t="shared" si="58"/>
        <v>1</v>
      </c>
      <c r="P394">
        <v>9</v>
      </c>
      <c r="Q394">
        <v>10</v>
      </c>
      <c r="R394" s="32">
        <f t="shared" si="59"/>
        <v>1</v>
      </c>
      <c r="S394">
        <v>9</v>
      </c>
      <c r="T394">
        <v>10</v>
      </c>
      <c r="U394" s="32">
        <f t="shared" si="60"/>
        <v>1</v>
      </c>
      <c r="V394">
        <v>9</v>
      </c>
      <c r="W394">
        <v>10</v>
      </c>
      <c r="X394" s="32">
        <f t="shared" si="61"/>
        <v>1</v>
      </c>
      <c r="Y394">
        <v>10</v>
      </c>
      <c r="Z394">
        <v>10</v>
      </c>
      <c r="AA394" s="32">
        <f t="shared" si="62"/>
        <v>0</v>
      </c>
    </row>
    <row r="395" spans="1:27" x14ac:dyDescent="0.45">
      <c r="A395">
        <v>9</v>
      </c>
      <c r="B395">
        <v>10</v>
      </c>
      <c r="C395" s="32">
        <f t="shared" si="54"/>
        <v>1</v>
      </c>
      <c r="D395">
        <v>9</v>
      </c>
      <c r="E395">
        <v>10</v>
      </c>
      <c r="F395" s="32">
        <f t="shared" si="55"/>
        <v>1</v>
      </c>
      <c r="G395">
        <v>9</v>
      </c>
      <c r="H395">
        <v>10</v>
      </c>
      <c r="I395" s="32">
        <f t="shared" si="56"/>
        <v>1</v>
      </c>
      <c r="J395">
        <v>10</v>
      </c>
      <c r="K395">
        <v>10</v>
      </c>
      <c r="L395" s="32">
        <f t="shared" si="57"/>
        <v>0</v>
      </c>
      <c r="M395">
        <v>9</v>
      </c>
      <c r="N395">
        <v>10</v>
      </c>
      <c r="O395" s="32">
        <f t="shared" si="58"/>
        <v>1</v>
      </c>
      <c r="P395">
        <v>9</v>
      </c>
      <c r="Q395">
        <v>10</v>
      </c>
      <c r="R395" s="32">
        <f t="shared" si="59"/>
        <v>1</v>
      </c>
      <c r="S395">
        <v>9</v>
      </c>
      <c r="T395">
        <v>10</v>
      </c>
      <c r="U395" s="32">
        <f t="shared" si="60"/>
        <v>1</v>
      </c>
      <c r="V395">
        <v>9</v>
      </c>
      <c r="W395">
        <v>10</v>
      </c>
      <c r="X395" s="32">
        <f t="shared" si="61"/>
        <v>1</v>
      </c>
      <c r="Y395">
        <v>10</v>
      </c>
      <c r="Z395">
        <v>10</v>
      </c>
      <c r="AA395" s="32">
        <f t="shared" si="62"/>
        <v>0</v>
      </c>
    </row>
    <row r="396" spans="1:27" x14ac:dyDescent="0.45">
      <c r="A396">
        <v>9</v>
      </c>
      <c r="B396">
        <v>10</v>
      </c>
      <c r="C396" s="32">
        <f t="shared" si="54"/>
        <v>1</v>
      </c>
      <c r="D396">
        <v>9</v>
      </c>
      <c r="E396">
        <v>10</v>
      </c>
      <c r="F396" s="32">
        <f t="shared" si="55"/>
        <v>1</v>
      </c>
      <c r="G396">
        <v>9</v>
      </c>
      <c r="H396">
        <v>10</v>
      </c>
      <c r="I396" s="32">
        <f t="shared" si="56"/>
        <v>1</v>
      </c>
      <c r="J396">
        <v>10</v>
      </c>
      <c r="K396">
        <v>10</v>
      </c>
      <c r="L396" s="32">
        <f t="shared" si="57"/>
        <v>0</v>
      </c>
      <c r="M396">
        <v>9</v>
      </c>
      <c r="N396">
        <v>10</v>
      </c>
      <c r="O396" s="32">
        <f t="shared" si="58"/>
        <v>1</v>
      </c>
      <c r="P396">
        <v>9</v>
      </c>
      <c r="Q396">
        <v>10</v>
      </c>
      <c r="R396" s="32">
        <f t="shared" si="59"/>
        <v>1</v>
      </c>
      <c r="S396">
        <v>9</v>
      </c>
      <c r="T396">
        <v>10</v>
      </c>
      <c r="U396" s="32">
        <f t="shared" si="60"/>
        <v>1</v>
      </c>
      <c r="V396">
        <v>9</v>
      </c>
      <c r="W396">
        <v>10</v>
      </c>
      <c r="X396" s="32">
        <f t="shared" si="61"/>
        <v>1</v>
      </c>
      <c r="Y396">
        <v>10</v>
      </c>
      <c r="Z396">
        <v>10</v>
      </c>
      <c r="AA396" s="32">
        <f t="shared" si="62"/>
        <v>0</v>
      </c>
    </row>
    <row r="397" spans="1:27" x14ac:dyDescent="0.45">
      <c r="A397">
        <v>9</v>
      </c>
      <c r="B397">
        <v>10</v>
      </c>
      <c r="C397" s="32">
        <f t="shared" si="54"/>
        <v>1</v>
      </c>
      <c r="D397">
        <v>9</v>
      </c>
      <c r="E397">
        <v>10</v>
      </c>
      <c r="F397" s="32">
        <f t="shared" si="55"/>
        <v>1</v>
      </c>
      <c r="G397">
        <v>9</v>
      </c>
      <c r="H397">
        <v>10</v>
      </c>
      <c r="I397" s="32">
        <f t="shared" si="56"/>
        <v>1</v>
      </c>
      <c r="J397">
        <v>10</v>
      </c>
      <c r="K397">
        <v>10</v>
      </c>
      <c r="L397" s="32">
        <f t="shared" si="57"/>
        <v>0</v>
      </c>
      <c r="M397">
        <v>9</v>
      </c>
      <c r="N397">
        <v>10</v>
      </c>
      <c r="O397" s="32">
        <f t="shared" si="58"/>
        <v>1</v>
      </c>
      <c r="P397">
        <v>9</v>
      </c>
      <c r="Q397">
        <v>10</v>
      </c>
      <c r="R397" s="32">
        <f t="shared" si="59"/>
        <v>1</v>
      </c>
      <c r="S397">
        <v>9</v>
      </c>
      <c r="T397">
        <v>10</v>
      </c>
      <c r="U397" s="32">
        <f t="shared" si="60"/>
        <v>1</v>
      </c>
      <c r="V397">
        <v>9</v>
      </c>
      <c r="W397">
        <v>10</v>
      </c>
      <c r="X397" s="32">
        <f t="shared" si="61"/>
        <v>1</v>
      </c>
      <c r="Y397">
        <v>10</v>
      </c>
      <c r="Z397">
        <v>10</v>
      </c>
      <c r="AA397" s="32">
        <f t="shared" si="62"/>
        <v>0</v>
      </c>
    </row>
    <row r="398" spans="1:27" x14ac:dyDescent="0.45">
      <c r="A398">
        <v>9</v>
      </c>
      <c r="B398">
        <v>10</v>
      </c>
      <c r="C398" s="32">
        <f t="shared" si="54"/>
        <v>1</v>
      </c>
      <c r="D398">
        <v>9</v>
      </c>
      <c r="E398">
        <v>10</v>
      </c>
      <c r="F398" s="32">
        <f t="shared" si="55"/>
        <v>1</v>
      </c>
      <c r="G398">
        <v>9</v>
      </c>
      <c r="H398">
        <v>10</v>
      </c>
      <c r="I398" s="32">
        <f t="shared" si="56"/>
        <v>1</v>
      </c>
      <c r="J398">
        <v>10</v>
      </c>
      <c r="K398">
        <v>10</v>
      </c>
      <c r="L398" s="32">
        <f t="shared" si="57"/>
        <v>0</v>
      </c>
      <c r="M398">
        <v>9</v>
      </c>
      <c r="N398">
        <v>10</v>
      </c>
      <c r="O398" s="32">
        <f t="shared" si="58"/>
        <v>1</v>
      </c>
      <c r="P398">
        <v>9</v>
      </c>
      <c r="Q398">
        <v>10</v>
      </c>
      <c r="R398" s="32">
        <f t="shared" si="59"/>
        <v>1</v>
      </c>
      <c r="S398">
        <v>9</v>
      </c>
      <c r="T398">
        <v>10</v>
      </c>
      <c r="U398" s="32">
        <f t="shared" si="60"/>
        <v>1</v>
      </c>
      <c r="V398">
        <v>9</v>
      </c>
      <c r="W398">
        <v>10</v>
      </c>
      <c r="X398" s="32">
        <f t="shared" si="61"/>
        <v>1</v>
      </c>
      <c r="Y398">
        <v>10</v>
      </c>
      <c r="Z398">
        <v>10</v>
      </c>
      <c r="AA398" s="32">
        <f t="shared" si="62"/>
        <v>0</v>
      </c>
    </row>
    <row r="399" spans="1:27" x14ac:dyDescent="0.45">
      <c r="A399">
        <v>9</v>
      </c>
      <c r="B399">
        <v>10</v>
      </c>
      <c r="C399" s="32">
        <f t="shared" si="54"/>
        <v>1</v>
      </c>
      <c r="D399">
        <v>9</v>
      </c>
      <c r="E399">
        <v>10</v>
      </c>
      <c r="F399" s="32">
        <f t="shared" si="55"/>
        <v>1</v>
      </c>
      <c r="G399">
        <v>9</v>
      </c>
      <c r="H399">
        <v>10</v>
      </c>
      <c r="I399" s="32">
        <f t="shared" si="56"/>
        <v>1</v>
      </c>
      <c r="J399">
        <v>10</v>
      </c>
      <c r="K399">
        <v>10</v>
      </c>
      <c r="L399" s="32">
        <f t="shared" si="57"/>
        <v>0</v>
      </c>
      <c r="M399">
        <v>9</v>
      </c>
      <c r="N399">
        <v>10</v>
      </c>
      <c r="O399" s="32">
        <f t="shared" si="58"/>
        <v>1</v>
      </c>
      <c r="P399">
        <v>9</v>
      </c>
      <c r="Q399">
        <v>10</v>
      </c>
      <c r="R399" s="32">
        <f t="shared" si="59"/>
        <v>1</v>
      </c>
      <c r="S399">
        <v>9</v>
      </c>
      <c r="T399">
        <v>10</v>
      </c>
      <c r="U399" s="32">
        <f t="shared" si="60"/>
        <v>1</v>
      </c>
      <c r="V399">
        <v>9</v>
      </c>
      <c r="W399">
        <v>10</v>
      </c>
      <c r="X399" s="32">
        <f t="shared" si="61"/>
        <v>1</v>
      </c>
      <c r="Y399">
        <v>10</v>
      </c>
      <c r="Z399">
        <v>10</v>
      </c>
      <c r="AA399" s="32">
        <f t="shared" si="62"/>
        <v>0</v>
      </c>
    </row>
    <row r="400" spans="1:27" x14ac:dyDescent="0.45">
      <c r="A400">
        <v>9</v>
      </c>
      <c r="B400">
        <v>10</v>
      </c>
      <c r="C400" s="32">
        <f t="shared" si="54"/>
        <v>1</v>
      </c>
      <c r="D400">
        <v>9</v>
      </c>
      <c r="E400">
        <v>10</v>
      </c>
      <c r="F400" s="32">
        <f t="shared" si="55"/>
        <v>1</v>
      </c>
      <c r="G400">
        <v>9</v>
      </c>
      <c r="H400">
        <v>10</v>
      </c>
      <c r="I400" s="32">
        <f t="shared" si="56"/>
        <v>1</v>
      </c>
      <c r="J400">
        <v>10</v>
      </c>
      <c r="K400">
        <v>10</v>
      </c>
      <c r="L400" s="32">
        <f t="shared" si="57"/>
        <v>0</v>
      </c>
      <c r="M400">
        <v>9</v>
      </c>
      <c r="N400">
        <v>10</v>
      </c>
      <c r="O400" s="32">
        <f t="shared" si="58"/>
        <v>1</v>
      </c>
      <c r="P400">
        <v>9</v>
      </c>
      <c r="Q400">
        <v>10</v>
      </c>
      <c r="R400" s="32">
        <f t="shared" si="59"/>
        <v>1</v>
      </c>
      <c r="S400">
        <v>9</v>
      </c>
      <c r="T400">
        <v>10</v>
      </c>
      <c r="U400" s="32">
        <f t="shared" si="60"/>
        <v>1</v>
      </c>
      <c r="V400">
        <v>9</v>
      </c>
      <c r="W400">
        <v>10</v>
      </c>
      <c r="X400" s="32">
        <f t="shared" si="61"/>
        <v>1</v>
      </c>
      <c r="Y400">
        <v>10</v>
      </c>
      <c r="Z400">
        <v>10</v>
      </c>
      <c r="AA400" s="32">
        <f t="shared" si="62"/>
        <v>0</v>
      </c>
    </row>
    <row r="401" spans="1:27" x14ac:dyDescent="0.45">
      <c r="A401">
        <v>9</v>
      </c>
      <c r="B401">
        <v>10</v>
      </c>
      <c r="C401" s="32">
        <f t="shared" si="54"/>
        <v>1</v>
      </c>
      <c r="D401">
        <v>9</v>
      </c>
      <c r="E401">
        <v>10</v>
      </c>
      <c r="F401" s="32">
        <f t="shared" si="55"/>
        <v>1</v>
      </c>
      <c r="G401">
        <v>9</v>
      </c>
      <c r="H401">
        <v>10</v>
      </c>
      <c r="I401" s="32">
        <f t="shared" si="56"/>
        <v>1</v>
      </c>
      <c r="J401">
        <v>10</v>
      </c>
      <c r="K401">
        <v>10</v>
      </c>
      <c r="L401" s="32">
        <f t="shared" si="57"/>
        <v>0</v>
      </c>
      <c r="M401">
        <v>9</v>
      </c>
      <c r="N401">
        <v>10</v>
      </c>
      <c r="O401" s="32">
        <f t="shared" si="58"/>
        <v>1</v>
      </c>
      <c r="P401">
        <v>9</v>
      </c>
      <c r="Q401">
        <v>10</v>
      </c>
      <c r="R401" s="32">
        <f t="shared" si="59"/>
        <v>1</v>
      </c>
      <c r="S401">
        <v>9</v>
      </c>
      <c r="T401">
        <v>10</v>
      </c>
      <c r="U401" s="32">
        <f t="shared" si="60"/>
        <v>1</v>
      </c>
      <c r="V401">
        <v>9</v>
      </c>
      <c r="W401">
        <v>10</v>
      </c>
      <c r="X401" s="32">
        <f t="shared" si="61"/>
        <v>1</v>
      </c>
      <c r="Y401">
        <v>10</v>
      </c>
      <c r="Z401">
        <v>10</v>
      </c>
      <c r="AA401" s="32">
        <f t="shared" si="62"/>
        <v>0</v>
      </c>
    </row>
    <row r="402" spans="1:27" x14ac:dyDescent="0.45">
      <c r="A402">
        <v>9</v>
      </c>
      <c r="B402">
        <v>10</v>
      </c>
      <c r="C402" s="32">
        <f t="shared" si="54"/>
        <v>1</v>
      </c>
      <c r="D402">
        <v>9</v>
      </c>
      <c r="E402">
        <v>10</v>
      </c>
      <c r="F402" s="32">
        <f t="shared" si="55"/>
        <v>1</v>
      </c>
      <c r="G402">
        <v>9</v>
      </c>
      <c r="H402">
        <v>10</v>
      </c>
      <c r="I402" s="32">
        <f t="shared" si="56"/>
        <v>1</v>
      </c>
      <c r="J402">
        <v>10</v>
      </c>
      <c r="K402">
        <v>10</v>
      </c>
      <c r="L402" s="32">
        <f t="shared" si="57"/>
        <v>0</v>
      </c>
      <c r="M402">
        <v>9</v>
      </c>
      <c r="N402">
        <v>10</v>
      </c>
      <c r="O402" s="32">
        <f t="shared" si="58"/>
        <v>1</v>
      </c>
      <c r="P402">
        <v>10</v>
      </c>
      <c r="Q402">
        <v>10</v>
      </c>
      <c r="R402" s="32">
        <f t="shared" si="59"/>
        <v>0</v>
      </c>
      <c r="S402">
        <v>9</v>
      </c>
      <c r="T402">
        <v>10</v>
      </c>
      <c r="U402" s="32">
        <f t="shared" si="60"/>
        <v>1</v>
      </c>
      <c r="V402">
        <v>9</v>
      </c>
      <c r="W402">
        <v>10</v>
      </c>
      <c r="X402" s="32">
        <f t="shared" si="61"/>
        <v>1</v>
      </c>
      <c r="Y402">
        <v>10</v>
      </c>
      <c r="Z402">
        <v>10</v>
      </c>
      <c r="AA402" s="32">
        <f t="shared" si="62"/>
        <v>0</v>
      </c>
    </row>
    <row r="403" spans="1:27" x14ac:dyDescent="0.45">
      <c r="A403">
        <v>9</v>
      </c>
      <c r="B403">
        <v>10</v>
      </c>
      <c r="C403" s="32">
        <f t="shared" si="54"/>
        <v>1</v>
      </c>
      <c r="D403">
        <v>9</v>
      </c>
      <c r="E403">
        <v>10</v>
      </c>
      <c r="F403" s="32">
        <f t="shared" si="55"/>
        <v>1</v>
      </c>
      <c r="G403">
        <v>9</v>
      </c>
      <c r="H403">
        <v>10</v>
      </c>
      <c r="I403" s="32">
        <f t="shared" si="56"/>
        <v>1</v>
      </c>
      <c r="J403">
        <v>10</v>
      </c>
      <c r="K403">
        <v>10</v>
      </c>
      <c r="L403" s="32">
        <f t="shared" si="57"/>
        <v>0</v>
      </c>
      <c r="M403">
        <v>9</v>
      </c>
      <c r="N403">
        <v>10</v>
      </c>
      <c r="O403" s="32">
        <f t="shared" si="58"/>
        <v>1</v>
      </c>
      <c r="P403">
        <v>10</v>
      </c>
      <c r="Q403">
        <v>10</v>
      </c>
      <c r="R403" s="32">
        <f t="shared" si="59"/>
        <v>0</v>
      </c>
      <c r="S403">
        <v>9</v>
      </c>
      <c r="T403">
        <v>10</v>
      </c>
      <c r="U403" s="32">
        <f t="shared" si="60"/>
        <v>1</v>
      </c>
      <c r="V403">
        <v>9</v>
      </c>
      <c r="W403">
        <v>10</v>
      </c>
      <c r="X403" s="32">
        <f t="shared" si="61"/>
        <v>1</v>
      </c>
      <c r="Y403">
        <v>10</v>
      </c>
      <c r="Z403">
        <v>10</v>
      </c>
      <c r="AA403" s="32">
        <f t="shared" si="62"/>
        <v>0</v>
      </c>
    </row>
    <row r="404" spans="1:27" x14ac:dyDescent="0.45">
      <c r="A404">
        <v>10</v>
      </c>
      <c r="B404" s="36">
        <v>10</v>
      </c>
      <c r="C404" s="32">
        <f t="shared" si="54"/>
        <v>0</v>
      </c>
      <c r="D404">
        <v>9</v>
      </c>
      <c r="E404">
        <v>10</v>
      </c>
      <c r="F404" s="32">
        <f t="shared" si="55"/>
        <v>1</v>
      </c>
      <c r="G404">
        <v>10</v>
      </c>
      <c r="H404">
        <v>10</v>
      </c>
      <c r="I404" s="32">
        <f t="shared" si="56"/>
        <v>0</v>
      </c>
      <c r="J404">
        <v>10</v>
      </c>
      <c r="K404">
        <v>10</v>
      </c>
      <c r="L404" s="32">
        <f t="shared" si="57"/>
        <v>0</v>
      </c>
      <c r="M404">
        <v>10</v>
      </c>
      <c r="N404">
        <v>10</v>
      </c>
      <c r="O404" s="32">
        <f t="shared" si="58"/>
        <v>0</v>
      </c>
      <c r="P404">
        <v>10</v>
      </c>
      <c r="Q404">
        <v>10</v>
      </c>
      <c r="R404" s="32">
        <f t="shared" si="59"/>
        <v>0</v>
      </c>
      <c r="S404">
        <v>10</v>
      </c>
      <c r="T404">
        <v>10</v>
      </c>
      <c r="U404" s="32">
        <f t="shared" si="60"/>
        <v>0</v>
      </c>
      <c r="V404">
        <v>10</v>
      </c>
      <c r="W404">
        <v>10</v>
      </c>
      <c r="X404" s="32">
        <f t="shared" si="61"/>
        <v>0</v>
      </c>
      <c r="Y404">
        <v>10</v>
      </c>
      <c r="Z404">
        <v>10</v>
      </c>
      <c r="AA404" s="32">
        <f t="shared" si="62"/>
        <v>0</v>
      </c>
    </row>
    <row r="405" spans="1:27" x14ac:dyDescent="0.45">
      <c r="C405">
        <f>AVERAGE(C2:C404)</f>
        <v>0.96277915632754341</v>
      </c>
      <c r="F405">
        <f>AVERAGE(F2:F404)</f>
        <v>0.74193548387096775</v>
      </c>
      <c r="I405">
        <f>AVERAGE(I2:I404)</f>
        <v>2.1885856079404467</v>
      </c>
      <c r="L405">
        <f>AVERAGE(L2:L404)</f>
        <v>1.5558312655086848</v>
      </c>
      <c r="O405">
        <f>AVERAGE(O2:O404)</f>
        <v>1.4069478908188586</v>
      </c>
      <c r="R405">
        <f>AVERAGE(R2:R404)</f>
        <v>2.1687344913151363</v>
      </c>
      <c r="U405">
        <f>AVERAGE(U2:U404)</f>
        <v>1.8858560794044665</v>
      </c>
      <c r="X405">
        <f>AVERAGE(X2:X404)</f>
        <v>1.2605459057071959</v>
      </c>
      <c r="AA405">
        <f>AVERAGE(AA2:AA404)</f>
        <v>1.9106699751861043</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D10" sqref="D10"/>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204</v>
      </c>
      <c r="F1" s="5" t="s">
        <v>203</v>
      </c>
      <c r="G1" s="1" t="s">
        <v>7</v>
      </c>
      <c r="H1" s="1" t="s">
        <v>8</v>
      </c>
      <c r="I1" s="1" t="s">
        <v>9</v>
      </c>
      <c r="J1" s="1" t="s">
        <v>10</v>
      </c>
      <c r="K1" s="1" t="s">
        <v>11</v>
      </c>
      <c r="L1" s="1" t="s">
        <v>12</v>
      </c>
    </row>
    <row r="2" spans="1:13" x14ac:dyDescent="0.45">
      <c r="A2" s="4" t="s">
        <v>13</v>
      </c>
      <c r="B2" s="33">
        <f>step3_combined_data!U405</f>
        <v>1.8808933002481389</v>
      </c>
      <c r="C2" s="15">
        <f>CM_REPORT!E7</f>
        <v>0.44168734491315137</v>
      </c>
      <c r="D2" s="24">
        <f>CM_REPORT!E8</f>
        <v>1.767904536434103E-2</v>
      </c>
      <c r="E2" s="34">
        <f>(ABS(J2-G2)+ABS(K2-H2)+ABS(L2-I2))/2</f>
        <v>0.21339950372208438</v>
      </c>
      <c r="F2" s="37">
        <f>EMD!C405</f>
        <v>0.96277915632754341</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1.488833746898263E-2</v>
      </c>
      <c r="K2" s="15">
        <f>step3_combined_data!R407/step3_combined_data!R409</f>
        <v>0.66004962779156329</v>
      </c>
      <c r="L2" s="15">
        <f>step3_combined_data!R408/step3_combined_data!R409</f>
        <v>0.32506203473945411</v>
      </c>
      <c r="M2" s="25">
        <f>J2+K2+L2</f>
        <v>1</v>
      </c>
    </row>
    <row r="3" spans="1:13" x14ac:dyDescent="0.45">
      <c r="A3" s="4" t="s">
        <v>14</v>
      </c>
      <c r="B3" s="33">
        <f>step3_combined_data!Z405</f>
        <v>1.8734491315136477</v>
      </c>
      <c r="C3" s="15">
        <f>CM_REPORT!E16</f>
        <v>0.42431761786600497</v>
      </c>
      <c r="D3" s="24">
        <f>CM_REPORT!E17</f>
        <v>-2.4286577838750125E-2</v>
      </c>
      <c r="E3" s="34">
        <f t="shared" ref="E3:E10" si="0">(ABS(J3-G3)+ABS(K3-H3)+ABS(L3-I3))/2</f>
        <v>0.11910669975186106</v>
      </c>
      <c r="F3" s="37">
        <f>EMD!F405</f>
        <v>0.74193548387096775</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1.2406947890818859E-2</v>
      </c>
      <c r="K3" s="15">
        <f>step3_combined_data!W407/step3_combined_data!W409</f>
        <v>0.53101736972704716</v>
      </c>
      <c r="L3" s="15">
        <f>step3_combined_data!W408/step3_combined_data!W409</f>
        <v>0.45657568238213397</v>
      </c>
      <c r="M3" s="25">
        <f t="shared" ref="M3:M10" si="1">J3+K3+L3</f>
        <v>1</v>
      </c>
    </row>
    <row r="4" spans="1:13" x14ac:dyDescent="0.45">
      <c r="A4" s="4" t="s">
        <v>15</v>
      </c>
      <c r="B4" s="33">
        <f>step3_combined_data!AE405</f>
        <v>2.5483870967741935</v>
      </c>
      <c r="C4" s="15">
        <f>CM_REPORT!E26</f>
        <v>0.40942928039702231</v>
      </c>
      <c r="D4" s="24">
        <f>CM_REPORT!E27</f>
        <v>8.9344456331111211E-2</v>
      </c>
      <c r="E4" s="34">
        <f t="shared" si="0"/>
        <v>0.46153846153846156</v>
      </c>
      <c r="F4" s="37">
        <f>EMD!I405</f>
        <v>2.1885856079404467</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0</v>
      </c>
      <c r="K4" s="15">
        <f>step3_combined_data!AB407/step3_combined_data!AB409</f>
        <v>0.18362282878411912</v>
      </c>
      <c r="L4" s="15">
        <f>step3_combined_data!AB408/step3_combined_data!AB409</f>
        <v>0.81637717121588094</v>
      </c>
      <c r="M4" s="25">
        <f t="shared" si="1"/>
        <v>1</v>
      </c>
    </row>
    <row r="5" spans="1:13" x14ac:dyDescent="0.45">
      <c r="A5" s="4" t="s">
        <v>16</v>
      </c>
      <c r="B5" s="33">
        <f>step3_combined_data!AJ405</f>
        <v>1.9131513647642679</v>
      </c>
      <c r="C5" s="15">
        <f>CM_REPORT!E36</f>
        <v>0.49627791563275436</v>
      </c>
      <c r="D5" s="24">
        <f>CM_REPORT!E37</f>
        <v>4.1359486483067649E-2</v>
      </c>
      <c r="E5" s="34">
        <f t="shared" si="0"/>
        <v>0.46898263027295284</v>
      </c>
      <c r="F5" s="37">
        <f>EMD!L405</f>
        <v>1.5558312655086848</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0</v>
      </c>
      <c r="K5" s="15">
        <f>step3_combined_data!AG407/step3_combined_data!AG409</f>
        <v>4.2183622828784122E-2</v>
      </c>
      <c r="L5" s="15">
        <f>step3_combined_data!AG408/step3_combined_data!AG409</f>
        <v>0.95781637717121593</v>
      </c>
      <c r="M5" s="25">
        <f t="shared" si="1"/>
        <v>1</v>
      </c>
    </row>
    <row r="6" spans="1:13" x14ac:dyDescent="0.45">
      <c r="A6" s="4" t="s">
        <v>17</v>
      </c>
      <c r="B6" s="33">
        <f>step3_combined_data!AO405</f>
        <v>2.1091811414392061</v>
      </c>
      <c r="C6" s="15">
        <f>CM_REPORT!E46</f>
        <v>0.4228855721393035</v>
      </c>
      <c r="D6" s="24">
        <f>CM_REPORT!E47</f>
        <v>1.4817806011850346E-2</v>
      </c>
      <c r="E6" s="34">
        <f t="shared" si="0"/>
        <v>0.24208362653235063</v>
      </c>
      <c r="F6" s="37">
        <f>EMD!O405</f>
        <v>1.4069478908188586</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2.4875621890547263E-3</v>
      </c>
      <c r="K6" s="15">
        <f>step3_combined_data!AL407/step3_combined_data!AL409</f>
        <v>0.43781094527363185</v>
      </c>
      <c r="L6" s="15">
        <f>step3_combined_data!AL408/step3_combined_data!AL409</f>
        <v>0.55970149253731338</v>
      </c>
      <c r="M6" s="25">
        <f t="shared" si="1"/>
        <v>1</v>
      </c>
    </row>
    <row r="7" spans="1:13" x14ac:dyDescent="0.45">
      <c r="A7" s="4" t="s">
        <v>18</v>
      </c>
      <c r="B7" s="33">
        <f>step3_combined_data!AT405</f>
        <v>2.4565756823821339</v>
      </c>
      <c r="C7" s="15">
        <f>CM_REPORT!E56</f>
        <v>0.37810945273631841</v>
      </c>
      <c r="D7" s="24">
        <f>CM_REPORT!E57</f>
        <v>-3.3282772743558939E-2</v>
      </c>
      <c r="E7" s="34">
        <f t="shared" si="0"/>
        <v>0.57309605817068499</v>
      </c>
      <c r="F7" s="37">
        <f>EMD!R405</f>
        <v>2.1687344913151363</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0</v>
      </c>
      <c r="K7" s="15">
        <f>step3_combined_data!AQ407/step3_combined_data!AQ409</f>
        <v>4.228855721393035E-2</v>
      </c>
      <c r="L7" s="15">
        <f>step3_combined_data!AQ408/step3_combined_data!AQ409</f>
        <v>0.95771144278606968</v>
      </c>
      <c r="M7" s="25">
        <f t="shared" si="1"/>
        <v>1</v>
      </c>
    </row>
    <row r="8" spans="1:13" x14ac:dyDescent="0.45">
      <c r="A8" s="4" t="s">
        <v>19</v>
      </c>
      <c r="B8" s="33">
        <f>step3_combined_data!AY405</f>
        <v>2.4516129032258065</v>
      </c>
      <c r="C8" s="15">
        <f>CM_REPORT!E66</f>
        <v>0.41044776119402987</v>
      </c>
      <c r="D8" s="24">
        <f>CM_REPORT!E67</f>
        <v>4.5562344057975775E-2</v>
      </c>
      <c r="E8" s="34">
        <f t="shared" si="0"/>
        <v>0.31164895127340964</v>
      </c>
      <c r="F8" s="37">
        <f>EMD!U405</f>
        <v>1.8858560794044665</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0</v>
      </c>
      <c r="K8" s="15">
        <f>step3_combined_data!AV407/step3_combined_data!AV409</f>
        <v>0.40547263681592038</v>
      </c>
      <c r="L8" s="15">
        <f>step3_combined_data!AV408/step3_combined_data!AV409</f>
        <v>0.59452736318407962</v>
      </c>
      <c r="M8" s="25">
        <f t="shared" si="1"/>
        <v>1</v>
      </c>
    </row>
    <row r="9" spans="1:13" x14ac:dyDescent="0.45">
      <c r="A9" s="4" t="s">
        <v>20</v>
      </c>
      <c r="B9" s="33">
        <f>step3_combined_data!BD405</f>
        <v>1.935483870967742</v>
      </c>
      <c r="C9" s="15">
        <f>CM_REPORT!E75</f>
        <v>0.47014925373134331</v>
      </c>
      <c r="D9" s="24">
        <f>CM_REPORT!E76</f>
        <v>6.9524555991641701E-2</v>
      </c>
      <c r="E9" s="34">
        <f t="shared" si="0"/>
        <v>0.22960877992173129</v>
      </c>
      <c r="F9" s="37">
        <f>EMD!X405</f>
        <v>1.2605459057071959</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0</v>
      </c>
      <c r="K9" s="15">
        <f>step3_combined_data!BA407/step3_combined_data!BA409</f>
        <v>0.46766169154228854</v>
      </c>
      <c r="L9" s="15">
        <f>step3_combined_data!BA408/step3_combined_data!BA409</f>
        <v>0.53233830845771146</v>
      </c>
      <c r="M9" s="25">
        <f t="shared" si="1"/>
        <v>1</v>
      </c>
    </row>
    <row r="10" spans="1:13" x14ac:dyDescent="0.45">
      <c r="A10" s="4" t="s">
        <v>21</v>
      </c>
      <c r="B10" s="33">
        <f>step3_combined_data!BI405</f>
        <v>2.2605459057071959</v>
      </c>
      <c r="C10" s="15">
        <f>CM_REPORT!E85</f>
        <v>0.43283582089552236</v>
      </c>
      <c r="D10" s="24">
        <f>CM_REPORT!E86</f>
        <v>4.2103819068303322E-3</v>
      </c>
      <c r="E10" s="34">
        <f t="shared" si="0"/>
        <v>0.53589990494179229</v>
      </c>
      <c r="F10" s="37">
        <f>EMD!AA405</f>
        <v>1.9106699751861043</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0</v>
      </c>
      <c r="K10" s="15">
        <f>step3_combined_data!BF407/step3_combined_data!BF409</f>
        <v>3.2338308457711441E-2</v>
      </c>
      <c r="L10" s="15">
        <f>step3_combined_data!BF408/step3_combined_data!BF409</f>
        <v>0.96766169154228854</v>
      </c>
      <c r="M10" s="25">
        <f t="shared" si="1"/>
        <v>1</v>
      </c>
    </row>
    <row r="13" spans="1:13" x14ac:dyDescent="0.45">
      <c r="C13" s="29"/>
      <c r="E13" s="27" t="s">
        <v>38</v>
      </c>
      <c r="F13" t="s">
        <v>168</v>
      </c>
      <c r="G13" s="29" t="s">
        <v>169</v>
      </c>
    </row>
    <row r="14" spans="1:13" x14ac:dyDescent="0.45">
      <c r="C14" s="25"/>
      <c r="E14" s="28" t="s">
        <v>166</v>
      </c>
      <c r="F14">
        <v>159</v>
      </c>
      <c r="G14" s="25">
        <f>GETPIVOTDATA("Giới tính của bạn:",$E$13,"Giới tính của bạn:","Male")/GETPIVOTDATA("Giới tính của bạn:",$E$13)</f>
        <v>0.39454094292803971</v>
      </c>
    </row>
    <row r="15" spans="1:13" x14ac:dyDescent="0.45">
      <c r="C15" s="25"/>
      <c r="E15" s="28" t="s">
        <v>167</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214</v>
      </c>
    </row>
    <row r="20" spans="3:7" x14ac:dyDescent="0.45">
      <c r="C20" s="25"/>
      <c r="E20" s="28" t="s">
        <v>189</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191</v>
      </c>
      <c r="F24">
        <v>31</v>
      </c>
      <c r="G24" s="38">
        <f>GETPIVOTDATA("Độ tuổi của bạn:",$E$19,"Độ tuổi của bạn:","50 - 54")/GETPIVOTDATA("Độ tuổi của bạn:",$E$19)</f>
        <v>7.6923076923076927E-2</v>
      </c>
    </row>
    <row r="25" spans="3:7" x14ac:dyDescent="0.45">
      <c r="C25" s="29"/>
      <c r="E25" s="28" t="s">
        <v>193</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215</v>
      </c>
      <c r="G29" s="29" t="s">
        <v>169</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216</v>
      </c>
    </row>
    <row r="36" spans="3:7" x14ac:dyDescent="0.45">
      <c r="C36" s="25"/>
      <c r="E36" s="28" t="s">
        <v>190</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192</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217</v>
      </c>
    </row>
    <row r="44" spans="3:7" x14ac:dyDescent="0.45">
      <c r="C44" s="25"/>
      <c r="E44" s="28" t="s">
        <v>197</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100</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103</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219</v>
      </c>
      <c r="F50" t="s">
        <v>218</v>
      </c>
    </row>
    <row r="51" spans="5:7" x14ac:dyDescent="0.45">
      <c r="E51" s="28" t="s">
        <v>194</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108</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104</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196</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101</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109</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111</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107</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220</v>
      </c>
    </row>
    <row r="63" spans="5:7" x14ac:dyDescent="0.45">
      <c r="E63" s="28" t="s">
        <v>110</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102</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105</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106</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195</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1</v>
      </c>
      <c r="D3" s="4">
        <f>CM_ENF1!C2</f>
        <v>4</v>
      </c>
      <c r="E3" s="4">
        <f>CM_ENF1!D2</f>
        <v>1</v>
      </c>
      <c r="F3" s="6">
        <f>SUM(C3:E3)</f>
        <v>6</v>
      </c>
    </row>
    <row r="4" spans="1:11" x14ac:dyDescent="0.45">
      <c r="A4" s="39"/>
      <c r="B4" s="1" t="s">
        <v>2</v>
      </c>
      <c r="C4" s="4">
        <f>CM_ENF1!B3</f>
        <v>40</v>
      </c>
      <c r="D4" s="3">
        <f>CM_ENF1!C3</f>
        <v>118</v>
      </c>
      <c r="E4" s="4">
        <f>CM_ENF1!D3</f>
        <v>108</v>
      </c>
      <c r="F4" s="6">
        <f t="shared" ref="F4:F5" si="0">SUM(C4:E4)</f>
        <v>266</v>
      </c>
    </row>
    <row r="5" spans="1:11" x14ac:dyDescent="0.45">
      <c r="A5" s="39"/>
      <c r="B5" s="1" t="s">
        <v>3</v>
      </c>
      <c r="C5" s="4">
        <f>CM_ENF1!B4</f>
        <v>14</v>
      </c>
      <c r="D5" s="4">
        <f>CM_ENF1!C4</f>
        <v>58</v>
      </c>
      <c r="E5" s="3">
        <f>CM_ENF1!D4</f>
        <v>59</v>
      </c>
      <c r="F5" s="6">
        <f t="shared" si="0"/>
        <v>131</v>
      </c>
      <c r="G5" s="26" t="s">
        <v>36</v>
      </c>
      <c r="H5" s="26" t="s">
        <v>165</v>
      </c>
      <c r="I5" s="26" t="s">
        <v>163</v>
      </c>
      <c r="J5" s="26" t="s">
        <v>164</v>
      </c>
    </row>
    <row r="6" spans="1:11" x14ac:dyDescent="0.45">
      <c r="A6" s="2"/>
      <c r="B6" s="1" t="s">
        <v>34</v>
      </c>
      <c r="C6" s="6">
        <f>SUM(C3:C5)</f>
        <v>55</v>
      </c>
      <c r="D6" s="6">
        <f>SUM(D3:D5)</f>
        <v>180</v>
      </c>
      <c r="E6" s="6">
        <f>SUM(E3:E5)</f>
        <v>168</v>
      </c>
      <c r="F6" s="6">
        <f>SUM(C6:E6)</f>
        <v>403</v>
      </c>
      <c r="G6" s="8">
        <f>C3+D4+E5</f>
        <v>178</v>
      </c>
      <c r="H6" s="8">
        <f>(C6*F3)+(D6*F4)+(E6*F5)</f>
        <v>70218</v>
      </c>
      <c r="I6" s="8">
        <f>(C6^2)+(D6^2)+(E6^2)</f>
        <v>63649</v>
      </c>
      <c r="J6" s="8">
        <f>(F3^2)+(F4^2)+(F5^2)</f>
        <v>87953</v>
      </c>
      <c r="K6" s="10"/>
    </row>
    <row r="7" spans="1:11" x14ac:dyDescent="0.45">
      <c r="A7" s="4"/>
      <c r="B7" s="5" t="s">
        <v>25</v>
      </c>
      <c r="C7" s="6"/>
      <c r="D7" s="6"/>
      <c r="E7" s="16">
        <f>(C3+D4+E5)/F6</f>
        <v>0.44168734491315137</v>
      </c>
      <c r="F7" s="4"/>
    </row>
    <row r="8" spans="1:11" x14ac:dyDescent="0.45">
      <c r="A8" s="4"/>
      <c r="B8" s="5" t="s">
        <v>35</v>
      </c>
      <c r="C8" s="4"/>
      <c r="D8" s="4"/>
      <c r="E8" s="9">
        <f>(G6*F6-H6)/SQRT((F6^2-I6)*(F6^2-J6))</f>
        <v>1.767904536434103E-2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1</v>
      </c>
      <c r="D12" s="4">
        <f>CM_ENF2!C2</f>
        <v>2</v>
      </c>
      <c r="E12" s="4">
        <f>CM_ENF2!D2</f>
        <v>2</v>
      </c>
      <c r="F12" s="6">
        <f>SUM(C12:E12)</f>
        <v>5</v>
      </c>
    </row>
    <row r="13" spans="1:11" x14ac:dyDescent="0.45">
      <c r="A13" s="39"/>
      <c r="B13" s="1" t="s">
        <v>2</v>
      </c>
      <c r="C13" s="4">
        <f>CM_ENF2!B3</f>
        <v>26</v>
      </c>
      <c r="D13" s="3">
        <f>CM_ENF2!C3</f>
        <v>84</v>
      </c>
      <c r="E13" s="4">
        <f>CM_ENF2!D3</f>
        <v>104</v>
      </c>
      <c r="F13" s="6">
        <f t="shared" ref="F13:F14" si="1">SUM(C13:E13)</f>
        <v>214</v>
      </c>
    </row>
    <row r="14" spans="1:11" x14ac:dyDescent="0.45">
      <c r="A14" s="39"/>
      <c r="B14" s="1" t="s">
        <v>3</v>
      </c>
      <c r="C14" s="4">
        <f>CM_ENF2!B4</f>
        <v>18</v>
      </c>
      <c r="D14" s="4">
        <f>CM_ENF2!C4</f>
        <v>80</v>
      </c>
      <c r="E14" s="3">
        <f>CM_ENF2!D4</f>
        <v>86</v>
      </c>
      <c r="F14" s="6">
        <f t="shared" si="1"/>
        <v>184</v>
      </c>
      <c r="G14" s="26" t="s">
        <v>36</v>
      </c>
      <c r="H14" s="26" t="s">
        <v>165</v>
      </c>
      <c r="I14" s="26" t="s">
        <v>163</v>
      </c>
      <c r="J14" s="26" t="s">
        <v>164</v>
      </c>
    </row>
    <row r="15" spans="1:11" x14ac:dyDescent="0.45">
      <c r="A15" s="2"/>
      <c r="B15" s="1" t="s">
        <v>34</v>
      </c>
      <c r="C15" s="6">
        <f>SUM(C12:C14)</f>
        <v>45</v>
      </c>
      <c r="D15" s="6">
        <f>SUM(D12:D14)</f>
        <v>166</v>
      </c>
      <c r="E15" s="6">
        <f>SUM(E12:E14)</f>
        <v>192</v>
      </c>
      <c r="F15" s="6">
        <f>SUM(C15:E15)</f>
        <v>403</v>
      </c>
      <c r="G15" s="8">
        <f>C12+D13+E14</f>
        <v>171</v>
      </c>
      <c r="H15" s="8">
        <f>(C15*F12)+(D15*F13)+(E15*F14)</f>
        <v>71077</v>
      </c>
      <c r="I15" s="8">
        <f>(C15^2)+(D15^2)+(E15^2)</f>
        <v>66445</v>
      </c>
      <c r="J15" s="8">
        <f>(F12^2)+(F13^2)+(F14^2)</f>
        <v>79677</v>
      </c>
      <c r="K15" s="10"/>
    </row>
    <row r="16" spans="1:11" x14ac:dyDescent="0.45">
      <c r="A16" s="4"/>
      <c r="B16" s="5" t="s">
        <v>25</v>
      </c>
      <c r="C16" s="6"/>
      <c r="D16" s="6"/>
      <c r="E16" s="16">
        <f>(C12+D13+E14)/F15</f>
        <v>0.42431761786600497</v>
      </c>
      <c r="F16" s="4"/>
    </row>
    <row r="17" spans="1:11" x14ac:dyDescent="0.45">
      <c r="A17" s="4"/>
      <c r="B17" s="5" t="s">
        <v>35</v>
      </c>
      <c r="C17" s="4"/>
      <c r="D17" s="4"/>
      <c r="E17" s="9">
        <f>(G15*F15-H15)/SQRT((F15^2-I15)*(F15^2-J15))</f>
        <v>-2.4286577838750125E-2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0</v>
      </c>
      <c r="D22" s="4">
        <f>CM_FAC1!C2</f>
        <v>0</v>
      </c>
      <c r="E22" s="4">
        <f>CM_FAC1!D2</f>
        <v>0</v>
      </c>
      <c r="F22" s="6">
        <f>SUM(C22:E22)</f>
        <v>0</v>
      </c>
    </row>
    <row r="23" spans="1:11" x14ac:dyDescent="0.45">
      <c r="A23" s="39"/>
      <c r="B23" s="1" t="s">
        <v>2</v>
      </c>
      <c r="C23" s="4">
        <f>CM_FAC1!B3</f>
        <v>14</v>
      </c>
      <c r="D23" s="3">
        <f>CM_FAC1!C3</f>
        <v>41</v>
      </c>
      <c r="E23" s="4">
        <f>CM_FAC1!D3</f>
        <v>19</v>
      </c>
      <c r="F23" s="6">
        <f t="shared" ref="F23:F24" si="2">SUM(C23:E23)</f>
        <v>74</v>
      </c>
    </row>
    <row r="24" spans="1:11" x14ac:dyDescent="0.45">
      <c r="A24" s="39"/>
      <c r="B24" s="1" t="s">
        <v>3</v>
      </c>
      <c r="C24" s="4">
        <f>CM_FAC1!B4</f>
        <v>69</v>
      </c>
      <c r="D24" s="4">
        <f>CM_FAC1!C4</f>
        <v>136</v>
      </c>
      <c r="E24" s="3">
        <f>CM_FAC1!D4</f>
        <v>124</v>
      </c>
      <c r="F24" s="6">
        <f t="shared" si="2"/>
        <v>329</v>
      </c>
      <c r="G24" s="26" t="s">
        <v>36</v>
      </c>
      <c r="H24" s="26" t="s">
        <v>165</v>
      </c>
      <c r="I24" s="26" t="s">
        <v>163</v>
      </c>
      <c r="J24" s="26" t="s">
        <v>164</v>
      </c>
    </row>
    <row r="25" spans="1:11" x14ac:dyDescent="0.45">
      <c r="A25" s="2"/>
      <c r="B25" s="1" t="s">
        <v>34</v>
      </c>
      <c r="C25" s="6">
        <f>SUM(C22:C24)</f>
        <v>83</v>
      </c>
      <c r="D25" s="6">
        <f>SUM(D22:D24)</f>
        <v>177</v>
      </c>
      <c r="E25" s="6">
        <f>SUM(E22:E24)</f>
        <v>143</v>
      </c>
      <c r="F25" s="6">
        <f>SUM(C25:E25)</f>
        <v>403</v>
      </c>
      <c r="G25" s="8">
        <f>C22+D23+E24</f>
        <v>165</v>
      </c>
      <c r="H25" s="8">
        <f>(C25*F22)+(D25*F23)+(E25*F24)</f>
        <v>60145</v>
      </c>
      <c r="I25" s="8">
        <f>(C25^2)+(D25^2)+(E25^2)</f>
        <v>58667</v>
      </c>
      <c r="J25" s="8">
        <f>(F22^2)+(F23^2)+(F24^2)</f>
        <v>113717</v>
      </c>
      <c r="K25" s="10"/>
    </row>
    <row r="26" spans="1:11" x14ac:dyDescent="0.45">
      <c r="A26" s="4"/>
      <c r="B26" s="5" t="s">
        <v>25</v>
      </c>
      <c r="C26" s="6"/>
      <c r="D26" s="6"/>
      <c r="E26" s="16">
        <f>(C22+D23+E24)/F25</f>
        <v>0.40942928039702231</v>
      </c>
      <c r="F26" s="4"/>
    </row>
    <row r="27" spans="1:11" x14ac:dyDescent="0.45">
      <c r="A27" s="4"/>
      <c r="B27" s="5" t="s">
        <v>35</v>
      </c>
      <c r="C27" s="4"/>
      <c r="D27" s="4"/>
      <c r="E27" s="9">
        <f>(G25*F25-H25)/SQRT((F25^2-I25)*(F25^2-J25))</f>
        <v>8.9344456331111211E-2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0</v>
      </c>
      <c r="E32" s="4">
        <f>CM_FAC2!D2</f>
        <v>0</v>
      </c>
      <c r="F32" s="6">
        <f>SUM(C32:E32)</f>
        <v>0</v>
      </c>
    </row>
    <row r="33" spans="1:11" x14ac:dyDescent="0.45">
      <c r="A33" s="39"/>
      <c r="B33" s="1" t="s">
        <v>2</v>
      </c>
      <c r="C33" s="4">
        <f>CM_FAC2!B3</f>
        <v>0</v>
      </c>
      <c r="D33" s="3">
        <f>CM_FAC2!C3</f>
        <v>10</v>
      </c>
      <c r="E33" s="4">
        <f>CM_FAC2!D3</f>
        <v>7</v>
      </c>
      <c r="F33" s="6">
        <f t="shared" ref="F33:F34" si="3">SUM(C33:E33)</f>
        <v>17</v>
      </c>
    </row>
    <row r="34" spans="1:11" x14ac:dyDescent="0.45">
      <c r="A34" s="39"/>
      <c r="B34" s="1" t="s">
        <v>3</v>
      </c>
      <c r="C34" s="4">
        <f>CM_FAC2!B4</f>
        <v>21</v>
      </c>
      <c r="D34" s="4">
        <f>CM_FAC2!C4</f>
        <v>175</v>
      </c>
      <c r="E34" s="3">
        <f>CM_FAC2!D4</f>
        <v>190</v>
      </c>
      <c r="F34" s="6">
        <f t="shared" si="3"/>
        <v>386</v>
      </c>
      <c r="G34" s="26" t="s">
        <v>36</v>
      </c>
      <c r="H34" s="26" t="s">
        <v>165</v>
      </c>
      <c r="I34" s="26" t="s">
        <v>163</v>
      </c>
      <c r="J34" s="26" t="s">
        <v>164</v>
      </c>
    </row>
    <row r="35" spans="1:11" x14ac:dyDescent="0.45">
      <c r="A35" s="2"/>
      <c r="B35" s="1" t="s">
        <v>34</v>
      </c>
      <c r="C35" s="6">
        <f>SUM(C32:C34)</f>
        <v>21</v>
      </c>
      <c r="D35" s="6">
        <f>SUM(D32:D34)</f>
        <v>185</v>
      </c>
      <c r="E35" s="6">
        <f>SUM(E32:E34)</f>
        <v>197</v>
      </c>
      <c r="F35" s="6">
        <f>SUM(C35:E35)</f>
        <v>403</v>
      </c>
      <c r="G35" s="8">
        <f>C32+D33+E34</f>
        <v>200</v>
      </c>
      <c r="H35" s="8">
        <f>(C35*F32)+(D35*F33)+(E35*F34)</f>
        <v>79187</v>
      </c>
      <c r="I35" s="8">
        <f>(C35^2)+(D35^2)+(E35^2)</f>
        <v>73475</v>
      </c>
      <c r="J35" s="8">
        <f>(F32^2)+(F33^2)+(F34^2)</f>
        <v>149285</v>
      </c>
      <c r="K35" s="10"/>
    </row>
    <row r="36" spans="1:11" x14ac:dyDescent="0.45">
      <c r="A36" s="4"/>
      <c r="B36" s="5" t="s">
        <v>25</v>
      </c>
      <c r="C36" s="6"/>
      <c r="D36" s="6"/>
      <c r="E36" s="16">
        <f>(C32+D33+E34)/F35</f>
        <v>0.49627791563275436</v>
      </c>
      <c r="F36" s="4"/>
    </row>
    <row r="37" spans="1:11" x14ac:dyDescent="0.45">
      <c r="A37" s="4"/>
      <c r="B37" s="5" t="s">
        <v>35</v>
      </c>
      <c r="C37" s="4"/>
      <c r="D37" s="4"/>
      <c r="E37" s="9">
        <f>(G35*F35-H35)/SQRT((F35^2-I35)*(F35^2-J35))</f>
        <v>4.1359486483067649E-2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0</v>
      </c>
      <c r="E42" s="4">
        <f>CM_TRU1!D2</f>
        <v>1</v>
      </c>
      <c r="F42" s="6">
        <f>SUM(C42:E42)</f>
        <v>1</v>
      </c>
    </row>
    <row r="43" spans="1:11" x14ac:dyDescent="0.45">
      <c r="A43" s="39"/>
      <c r="B43" s="1" t="s">
        <v>2</v>
      </c>
      <c r="C43" s="4">
        <f>CM_TRU1!B3</f>
        <v>29</v>
      </c>
      <c r="D43" s="3">
        <f>CM_TRU1!C3</f>
        <v>95</v>
      </c>
      <c r="E43" s="4">
        <f>CM_TRU1!D3</f>
        <v>52</v>
      </c>
      <c r="F43" s="6">
        <f t="shared" ref="F43:F44" si="4">SUM(C43:E43)</f>
        <v>176</v>
      </c>
    </row>
    <row r="44" spans="1:11" x14ac:dyDescent="0.45">
      <c r="A44" s="39"/>
      <c r="B44" s="1" t="s">
        <v>3</v>
      </c>
      <c r="C44" s="4">
        <f>CM_TRU1!B4</f>
        <v>28</v>
      </c>
      <c r="D44" s="4">
        <f>CM_TRU1!C4</f>
        <v>122</v>
      </c>
      <c r="E44" s="3">
        <f>CM_TRU1!D4</f>
        <v>75</v>
      </c>
      <c r="F44" s="6">
        <f t="shared" si="4"/>
        <v>225</v>
      </c>
      <c r="G44" s="26" t="s">
        <v>36</v>
      </c>
      <c r="H44" s="26" t="s">
        <v>165</v>
      </c>
      <c r="I44" s="26" t="s">
        <v>163</v>
      </c>
      <c r="J44" s="26" t="s">
        <v>164</v>
      </c>
    </row>
    <row r="45" spans="1:11" x14ac:dyDescent="0.45">
      <c r="A45" s="2"/>
      <c r="B45" s="1" t="s">
        <v>34</v>
      </c>
      <c r="C45" s="6">
        <f>SUM(C42:C44)</f>
        <v>57</v>
      </c>
      <c r="D45" s="6">
        <f>SUM(D42:D44)</f>
        <v>217</v>
      </c>
      <c r="E45" s="6">
        <f>SUM(E42:E44)</f>
        <v>128</v>
      </c>
      <c r="F45" s="6">
        <f>SUM(C45:E45)</f>
        <v>402</v>
      </c>
      <c r="G45" s="8">
        <f>C42+D43+E44</f>
        <v>170</v>
      </c>
      <c r="H45" s="8">
        <f>(C45*F42)+(D45*F43)+(E45*F44)</f>
        <v>67049</v>
      </c>
      <c r="I45" s="8">
        <f>(C45^2)+(D45^2)+(E45^2)</f>
        <v>66722</v>
      </c>
      <c r="J45" s="8">
        <f>(F42^2)+(F43^2)+(F44^2)</f>
        <v>81602</v>
      </c>
      <c r="K45" s="10"/>
    </row>
    <row r="46" spans="1:11" x14ac:dyDescent="0.45">
      <c r="A46" s="4"/>
      <c r="B46" s="5" t="s">
        <v>25</v>
      </c>
      <c r="C46" s="6"/>
      <c r="D46" s="6"/>
      <c r="E46" s="16">
        <f>(C42+D43+E44)/F45</f>
        <v>0.4228855721393035</v>
      </c>
      <c r="F46" s="4"/>
    </row>
    <row r="47" spans="1:11" x14ac:dyDescent="0.45">
      <c r="A47" s="4"/>
      <c r="B47" s="5" t="s">
        <v>35</v>
      </c>
      <c r="C47" s="4"/>
      <c r="D47" s="4"/>
      <c r="E47" s="9">
        <f>(G45*F45-H45)/SQRT((F45^2-I45)*(F45^2-J45))</f>
        <v>1.4817806011850346E-2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0</v>
      </c>
      <c r="E52" s="4">
        <f>CM_TRU2!D2</f>
        <v>0</v>
      </c>
      <c r="F52" s="6">
        <f>SUM(C52:E52)</f>
        <v>0</v>
      </c>
    </row>
    <row r="53" spans="1:11" x14ac:dyDescent="0.45">
      <c r="A53" s="39"/>
      <c r="B53" s="1" t="s">
        <v>2</v>
      </c>
      <c r="C53" s="4">
        <f>CM_TRU2!B3</f>
        <v>3</v>
      </c>
      <c r="D53" s="3">
        <f>CM_TRU2!C3</f>
        <v>6</v>
      </c>
      <c r="E53" s="4">
        <f>CM_TRU2!D3</f>
        <v>8</v>
      </c>
      <c r="F53" s="6">
        <f t="shared" ref="F53:F54" si="5">SUM(C53:E53)</f>
        <v>17</v>
      </c>
    </row>
    <row r="54" spans="1:11" x14ac:dyDescent="0.45">
      <c r="A54" s="39"/>
      <c r="B54" s="1" t="s">
        <v>3</v>
      </c>
      <c r="C54" s="4">
        <f>CM_TRU2!B4</f>
        <v>67</v>
      </c>
      <c r="D54" s="4">
        <f>CM_TRU2!C4</f>
        <v>172</v>
      </c>
      <c r="E54" s="3">
        <f>CM_TRU2!D4</f>
        <v>146</v>
      </c>
      <c r="F54" s="6">
        <f t="shared" si="5"/>
        <v>385</v>
      </c>
      <c r="G54" s="26" t="s">
        <v>36</v>
      </c>
      <c r="H54" s="26" t="s">
        <v>165</v>
      </c>
      <c r="I54" s="26" t="s">
        <v>163</v>
      </c>
      <c r="J54" s="26" t="s">
        <v>164</v>
      </c>
    </row>
    <row r="55" spans="1:11" x14ac:dyDescent="0.45">
      <c r="A55" s="2"/>
      <c r="B55" s="1" t="s">
        <v>34</v>
      </c>
      <c r="C55" s="6">
        <f>SUM(C52:C54)</f>
        <v>70</v>
      </c>
      <c r="D55" s="6">
        <f>SUM(D52:D54)</f>
        <v>178</v>
      </c>
      <c r="E55" s="6">
        <f>SUM(E52:E54)</f>
        <v>154</v>
      </c>
      <c r="F55" s="6">
        <f>SUM(C55:E55)</f>
        <v>402</v>
      </c>
      <c r="G55" s="8">
        <f>C52+D53+E54</f>
        <v>152</v>
      </c>
      <c r="H55" s="8">
        <f>(C55*F52)+(D55*F53)+(E55*F54)</f>
        <v>62316</v>
      </c>
      <c r="I55" s="8">
        <f>(C55^2)+(D55^2)+(E55^2)</f>
        <v>60300</v>
      </c>
      <c r="J55" s="8">
        <f>(F52^2)+(F53^2)+(F54^2)</f>
        <v>148514</v>
      </c>
      <c r="K55" s="10"/>
    </row>
    <row r="56" spans="1:11" x14ac:dyDescent="0.45">
      <c r="A56" s="4"/>
      <c r="B56" s="5" t="s">
        <v>25</v>
      </c>
      <c r="C56" s="6"/>
      <c r="D56" s="6"/>
      <c r="E56" s="16">
        <f>(C52+D53+E54)/F55</f>
        <v>0.37810945273631841</v>
      </c>
      <c r="F56" s="4"/>
    </row>
    <row r="57" spans="1:11" x14ac:dyDescent="0.45">
      <c r="A57" s="4"/>
      <c r="B57" s="5" t="s">
        <v>35</v>
      </c>
      <c r="C57" s="4"/>
      <c r="D57" s="4"/>
      <c r="E57" s="9">
        <f>(G55*F55-H55)/SQRT((F55^2-I55)*(F55^2-J55))</f>
        <v>-3.3282772743558939E-2</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0</v>
      </c>
      <c r="D62">
        <f>CM_TRU3!C2</f>
        <v>0</v>
      </c>
      <c r="E62">
        <f>CM_TRU3!D2</f>
        <v>0</v>
      </c>
      <c r="F62" s="6">
        <f>SUM(C62:E62)</f>
        <v>0</v>
      </c>
    </row>
    <row r="63" spans="1:11" x14ac:dyDescent="0.45">
      <c r="A63" s="39"/>
      <c r="B63" s="1" t="s">
        <v>2</v>
      </c>
      <c r="C63">
        <f>CM_TRU3!B3</f>
        <v>35</v>
      </c>
      <c r="D63" s="3">
        <f>CM_TRU3!C3</f>
        <v>90</v>
      </c>
      <c r="E63">
        <f>CM_TRU3!D3</f>
        <v>38</v>
      </c>
      <c r="F63" s="6">
        <f t="shared" ref="F63:F64" si="6">SUM(C63:E63)</f>
        <v>163</v>
      </c>
    </row>
    <row r="64" spans="1:11" x14ac:dyDescent="0.45">
      <c r="A64" s="39"/>
      <c r="B64" s="1" t="s">
        <v>3</v>
      </c>
      <c r="C64">
        <f>CM_TRU3!B4</f>
        <v>37</v>
      </c>
      <c r="D64">
        <f>CM_TRU3!C4</f>
        <v>127</v>
      </c>
      <c r="E64" s="3">
        <f>CM_TRU3!D4</f>
        <v>75</v>
      </c>
      <c r="F64" s="12">
        <f t="shared" si="6"/>
        <v>239</v>
      </c>
      <c r="G64" s="26" t="s">
        <v>36</v>
      </c>
      <c r="H64" s="26" t="s">
        <v>165</v>
      </c>
      <c r="I64" s="26" t="s">
        <v>163</v>
      </c>
      <c r="J64" s="26" t="s">
        <v>164</v>
      </c>
    </row>
    <row r="65" spans="1:11" x14ac:dyDescent="0.45">
      <c r="A65" s="2"/>
      <c r="B65" s="1" t="s">
        <v>34</v>
      </c>
      <c r="C65" s="6">
        <f>SUM(C62:C64)</f>
        <v>72</v>
      </c>
      <c r="D65" s="6">
        <f>SUM(D62:D64)</f>
        <v>217</v>
      </c>
      <c r="E65" s="14">
        <f>SUM(E62:E64)</f>
        <v>113</v>
      </c>
      <c r="F65" s="6">
        <f>SUM(C65:E65)</f>
        <v>402</v>
      </c>
      <c r="G65" s="8">
        <f>C62+D63+E64</f>
        <v>165</v>
      </c>
      <c r="H65" s="8">
        <f>(C65*F62)+(D65*F63)+(E65*F64)</f>
        <v>62378</v>
      </c>
      <c r="I65" s="8">
        <f>(C65^2)+(D65^2)+(E65^2)</f>
        <v>65042</v>
      </c>
      <c r="J65" s="8">
        <f>(F62^2)+(F63^2)+(F64^2)</f>
        <v>83690</v>
      </c>
      <c r="K65" s="10"/>
    </row>
    <row r="66" spans="1:11" x14ac:dyDescent="0.45">
      <c r="A66" s="4"/>
      <c r="B66" s="5" t="s">
        <v>25</v>
      </c>
      <c r="C66" s="6"/>
      <c r="D66" s="6"/>
      <c r="E66" s="16">
        <f>(C62+D63+E64)/F65</f>
        <v>0.41044776119402987</v>
      </c>
      <c r="F66" s="4"/>
    </row>
    <row r="67" spans="1:11" x14ac:dyDescent="0.45">
      <c r="A67" s="4"/>
      <c r="B67" s="5" t="s">
        <v>35</v>
      </c>
      <c r="C67" s="4"/>
      <c r="D67" s="4"/>
      <c r="E67" s="9">
        <f>(G65*F65-H65)/SQRT((F65^2-I65)*(F65^2-J65))</f>
        <v>4.5562344057975775E-2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0</v>
      </c>
      <c r="D71" s="4">
        <f>CM_TRU4!C2</f>
        <v>24</v>
      </c>
      <c r="E71" s="4">
        <f>CM_TRU4!D2</f>
        <v>22</v>
      </c>
      <c r="F71" s="6">
        <f>SUM(C71:E71)</f>
        <v>46</v>
      </c>
    </row>
    <row r="72" spans="1:11" x14ac:dyDescent="0.45">
      <c r="A72" s="39"/>
      <c r="B72" s="1" t="s">
        <v>2</v>
      </c>
      <c r="C72" s="4">
        <f>CM_TRU4!B3</f>
        <v>0</v>
      </c>
      <c r="D72" s="3">
        <f>CM_TRU4!C3</f>
        <v>116</v>
      </c>
      <c r="E72" s="4">
        <f>CM_TRU4!D3</f>
        <v>119</v>
      </c>
      <c r="F72" s="6">
        <f t="shared" ref="F72:F73" si="7">SUM(C72:E72)</f>
        <v>235</v>
      </c>
    </row>
    <row r="73" spans="1:11" x14ac:dyDescent="0.45">
      <c r="A73" s="39"/>
      <c r="B73" s="1" t="s">
        <v>3</v>
      </c>
      <c r="C73" s="4">
        <f>CM_TRU4!B4</f>
        <v>0</v>
      </c>
      <c r="D73" s="4">
        <f>CM_TRU4!C4</f>
        <v>48</v>
      </c>
      <c r="E73" s="3">
        <f>CM_TRU4!D4</f>
        <v>73</v>
      </c>
      <c r="F73" s="6">
        <f t="shared" si="7"/>
        <v>121</v>
      </c>
      <c r="G73" s="26" t="s">
        <v>36</v>
      </c>
      <c r="H73" s="26" t="s">
        <v>165</v>
      </c>
      <c r="I73" s="26" t="s">
        <v>163</v>
      </c>
      <c r="J73" s="26" t="s">
        <v>164</v>
      </c>
    </row>
    <row r="74" spans="1:11" x14ac:dyDescent="0.45">
      <c r="A74" s="2"/>
      <c r="B74" s="1" t="s">
        <v>34</v>
      </c>
      <c r="C74" s="6">
        <f>SUM(C71:C73)</f>
        <v>0</v>
      </c>
      <c r="D74" s="6">
        <f>SUM(D71:D73)</f>
        <v>188</v>
      </c>
      <c r="E74" s="6">
        <f>SUM(E71:E73)</f>
        <v>214</v>
      </c>
      <c r="F74" s="6">
        <f>SUM(C74:E74)</f>
        <v>402</v>
      </c>
      <c r="G74" s="8">
        <f>C71+D72+E73</f>
        <v>189</v>
      </c>
      <c r="H74" s="8">
        <f>(C74*F71)+(D74*F72)+(E74*F73)</f>
        <v>70074</v>
      </c>
      <c r="I74" s="8">
        <f>(C74^2)+(D74^2)+(E74^2)</f>
        <v>81140</v>
      </c>
      <c r="J74" s="8">
        <f>(F71^2)+(F72^2)+(F73^2)</f>
        <v>71982</v>
      </c>
      <c r="K74" s="10"/>
    </row>
    <row r="75" spans="1:11" x14ac:dyDescent="0.45">
      <c r="A75" s="4"/>
      <c r="B75" s="5" t="s">
        <v>25</v>
      </c>
      <c r="C75" s="6"/>
      <c r="D75" s="6"/>
      <c r="E75" s="16">
        <f>(C71+D72+E73)/F74</f>
        <v>0.47014925373134331</v>
      </c>
      <c r="F75" s="4"/>
    </row>
    <row r="76" spans="1:11" x14ac:dyDescent="0.45">
      <c r="A76" s="4"/>
      <c r="B76" s="5" t="s">
        <v>35</v>
      </c>
      <c r="C76" s="4"/>
      <c r="D76" s="4"/>
      <c r="E76" s="9">
        <f>(G74*F74-H74)/SQRT((F74^2-I74)*(F74^2-J74))</f>
        <v>6.9524555991641701E-2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0</v>
      </c>
      <c r="E81">
        <f>CM_OUT1!D2</f>
        <v>0</v>
      </c>
      <c r="F81" s="6">
        <f>SUM(C81:E81)</f>
        <v>0</v>
      </c>
    </row>
    <row r="82" spans="1:11" x14ac:dyDescent="0.45">
      <c r="A82" s="39"/>
      <c r="B82" s="1" t="s">
        <v>2</v>
      </c>
      <c r="C82">
        <f>CM_OUT1!B3</f>
        <v>2</v>
      </c>
      <c r="D82" s="7">
        <f>CM_OUT1!C3</f>
        <v>6</v>
      </c>
      <c r="E82">
        <f>CM_OUT1!D3</f>
        <v>5</v>
      </c>
      <c r="F82" s="6">
        <f t="shared" ref="F82:F83" si="8">SUM(C82:E82)</f>
        <v>13</v>
      </c>
    </row>
    <row r="83" spans="1:11" x14ac:dyDescent="0.45">
      <c r="A83" s="39"/>
      <c r="B83" s="1" t="s">
        <v>3</v>
      </c>
      <c r="C83">
        <f>CM_OUT1!B4</f>
        <v>33</v>
      </c>
      <c r="D83">
        <f>CM_OUT1!C4</f>
        <v>188</v>
      </c>
      <c r="E83" s="7">
        <f>CM_OUT1!D4</f>
        <v>168</v>
      </c>
      <c r="F83" s="6">
        <f t="shared" si="8"/>
        <v>389</v>
      </c>
      <c r="G83" s="26" t="s">
        <v>36</v>
      </c>
      <c r="H83" s="26" t="s">
        <v>165</v>
      </c>
      <c r="I83" s="26" t="s">
        <v>163</v>
      </c>
      <c r="J83" s="26" t="s">
        <v>164</v>
      </c>
    </row>
    <row r="84" spans="1:11" x14ac:dyDescent="0.45">
      <c r="A84" s="2"/>
      <c r="B84" s="1" t="s">
        <v>34</v>
      </c>
      <c r="C84" s="6">
        <f>SUM(C81:C83)</f>
        <v>35</v>
      </c>
      <c r="D84" s="6">
        <f>SUM(D81:D83)</f>
        <v>194</v>
      </c>
      <c r="E84" s="6">
        <f>SUM(E81:E83)</f>
        <v>173</v>
      </c>
      <c r="F84" s="6">
        <f>SUM(C84:E84)</f>
        <v>402</v>
      </c>
      <c r="G84" s="8">
        <f>C81+D82+E83</f>
        <v>174</v>
      </c>
      <c r="H84" s="8">
        <f>(C84*F81)+(D84*F82)+(E84*F83)</f>
        <v>69819</v>
      </c>
      <c r="I84" s="8">
        <f>(C84^2)+(D84^2)+(E84^2)</f>
        <v>68790</v>
      </c>
      <c r="J84" s="8">
        <f>(F81^2)+(F82^2)+(F83^2)</f>
        <v>151490</v>
      </c>
      <c r="K84" s="10"/>
    </row>
    <row r="85" spans="1:11" x14ac:dyDescent="0.45">
      <c r="A85" s="4"/>
      <c r="B85" s="5" t="s">
        <v>25</v>
      </c>
      <c r="C85" s="6"/>
      <c r="D85" s="6"/>
      <c r="E85" s="16">
        <f>(C81+D82+E83)/F84</f>
        <v>0.43283582089552236</v>
      </c>
      <c r="F85" s="4"/>
    </row>
    <row r="86" spans="1:11" x14ac:dyDescent="0.45">
      <c r="A86" s="4"/>
      <c r="B86" s="5" t="s">
        <v>35</v>
      </c>
      <c r="C86" s="4"/>
      <c r="D86" s="4"/>
      <c r="E86" s="9">
        <f>(G84*F84-H84)/SQRT((F84^2-I84)*(F84^2-J84))</f>
        <v>4.2103819068303322E-3</v>
      </c>
      <c r="F86" s="4"/>
    </row>
  </sheetData>
  <mergeCells count="27">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 ref="A1:B2"/>
    <mergeCell ref="C1:E1"/>
    <mergeCell ref="A3:A5"/>
    <mergeCell ref="A10:B11"/>
    <mergeCell ref="C10:E10"/>
    <mergeCell ref="A52:A54"/>
    <mergeCell ref="A60:B61"/>
    <mergeCell ref="C60:E60"/>
    <mergeCell ref="A62:A64"/>
    <mergeCell ref="A69:B70"/>
    <mergeCell ref="C69:E6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1</v>
      </c>
      <c r="C2" s="4">
        <f>COUNTIFS(step3_combined_data!$T$2:$T$404,"Neutral", step3_combined_data!$R$2:$R$404,"Oppose")</f>
        <v>4</v>
      </c>
      <c r="D2" s="4">
        <f>COUNTIFS(step3_combined_data!$T$2:$T$404,"Support", step3_combined_data!$R$2:$R$404,"Oppose")</f>
        <v>1</v>
      </c>
    </row>
    <row r="3" spans="1:4" x14ac:dyDescent="0.45">
      <c r="A3" s="1" t="s">
        <v>2</v>
      </c>
      <c r="B3" s="4">
        <f>COUNTIFS(step3_combined_data!$T$2:$T$404,"Oppose", step3_combined_data!$R$2:$R$404,"Neutral")</f>
        <v>40</v>
      </c>
      <c r="C3" s="4">
        <f>COUNTIFS(step3_combined_data!$T$2:$T$404,"Neutral", step3_combined_data!$R$2:$R$404,"Neutral")</f>
        <v>118</v>
      </c>
      <c r="D3" s="4">
        <f>COUNTIFS(step3_combined_data!$T$2:$T$404,"Support", step3_combined_data!$R$2:$R$404,"Neutral")</f>
        <v>108</v>
      </c>
    </row>
    <row r="4" spans="1:4" x14ac:dyDescent="0.45">
      <c r="A4" s="1" t="s">
        <v>3</v>
      </c>
      <c r="B4" s="4">
        <f>COUNTIFS(step3_combined_data!$T$2:$T$404,"Oppose", step3_combined_data!$R$2:$R$404,"Support")</f>
        <v>14</v>
      </c>
      <c r="C4" s="4">
        <f>COUNTIFS(step3_combined_data!$T$2:$T$404,"Neutral", step3_combined_data!$R$2:$R$404,"Support")</f>
        <v>58</v>
      </c>
      <c r="D4" s="4">
        <f>COUNTIFS(step3_combined_data!$T$2:$T$404,"Support", step3_combined_data!$R$2:$R$404,"Support")</f>
        <v>59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1</v>
      </c>
      <c r="C2" s="4">
        <f>COUNTIFS(step3_combined_data!$Y$2:$Y$404,"Neutral", step3_combined_data!$W$2:$W$404,"Oppose")</f>
        <v>2</v>
      </c>
      <c r="D2" s="4">
        <f>COUNTIFS(step3_combined_data!$Y$2:$Y$404,"Support", step3_combined_data!$W$2:$W$404,"Oppose")</f>
        <v>2</v>
      </c>
    </row>
    <row r="3" spans="1:4" x14ac:dyDescent="0.45">
      <c r="A3" s="1" t="s">
        <v>2</v>
      </c>
      <c r="B3" s="4">
        <f>COUNTIFS(step3_combined_data!$Y$2:$Y$404,"Oppose", step3_combined_data!$W$2:$W$404,"Neutral")</f>
        <v>26</v>
      </c>
      <c r="C3" s="4">
        <f>COUNTIFS(step3_combined_data!$Y$2:$Y$404,"Neutral", step3_combined_data!$W$2:$W$404,"Neutral")</f>
        <v>84</v>
      </c>
      <c r="D3" s="4">
        <f>COUNTIFS(step3_combined_data!$Y$2:$Y$404,"Support", step3_combined_data!$W$2:$W$404,"Neutral")</f>
        <v>104</v>
      </c>
    </row>
    <row r="4" spans="1:4" x14ac:dyDescent="0.45">
      <c r="A4" s="1" t="s">
        <v>3</v>
      </c>
      <c r="B4" s="4">
        <f>COUNTIFS(step3_combined_data!$Y$2:$Y$404,"Oppose", step3_combined_data!$W$2:$W$404,"Support")</f>
        <v>18</v>
      </c>
      <c r="C4" s="4">
        <f>COUNTIFS(step3_combined_data!$Y$2:$Y$404,"Neutral", step3_combined_data!$W$2:$W$404,"Support")</f>
        <v>80</v>
      </c>
      <c r="D4" s="4">
        <f>COUNTIFS(step3_combined_data!$Y$2:$Y$404,"Support", step3_combined_data!$W$2:$W$404,"Support")</f>
        <v>86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14</v>
      </c>
      <c r="C3" s="4">
        <f>COUNTIFS(step3_combined_data!$AD$2:$AD$404,"Neutral", step3_combined_data!$AB$2:$AB$404,"Neutral")</f>
        <v>41</v>
      </c>
      <c r="D3" s="4">
        <f>COUNTIFS(step3_combined_data!$AD$2:$AD$404,"Support", step3_combined_data!$AB$2:$AB$404,"Neutral")</f>
        <v>19</v>
      </c>
    </row>
    <row r="4" spans="1:4" x14ac:dyDescent="0.45">
      <c r="A4" s="1" t="s">
        <v>3</v>
      </c>
      <c r="B4" s="4">
        <f>COUNTIFS(step3_combined_data!$AD$2:$AD$404,"Oppose", step3_combined_data!$AB$2:$AB$404,"Support")</f>
        <v>69</v>
      </c>
      <c r="C4" s="4">
        <f>COUNTIFS(step3_combined_data!$AD$2:$AD$404,"Neutral", step3_combined_data!$AB$2:$AB$404,"Support")</f>
        <v>136</v>
      </c>
      <c r="D4" s="4">
        <f>COUNTIFS(step3_combined_data!$AD$2:$AD$404,"Support", step3_combined_data!$AB$2:$AB$404,"Support")</f>
        <v>124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0</v>
      </c>
      <c r="C3" s="4">
        <f>COUNTIFS(step3_combined_data!$AI$2:$AI$404,"Neutral", step3_combined_data!$AG$2:$AG$404,"Neutral")</f>
        <v>10</v>
      </c>
      <c r="D3" s="4">
        <f>COUNTIFS(step3_combined_data!$AI$2:$AI$404,"Support", step3_combined_data!$AG$2:$AG$404,"Neutral")</f>
        <v>7</v>
      </c>
    </row>
    <row r="4" spans="1:4" x14ac:dyDescent="0.45">
      <c r="A4" s="1" t="s">
        <v>3</v>
      </c>
      <c r="B4" s="4">
        <f>COUNTIFS(step3_combined_data!$AI$2:$AI$404,"Oppose", step3_combined_data!$AG$2:$AG$404,"Support")</f>
        <v>21</v>
      </c>
      <c r="C4" s="4">
        <f>COUNTIFS(step3_combined_data!$AI$2:$AI$404,"Neutral", step3_combined_data!$AG$2:$AG$404,"Support")</f>
        <v>175</v>
      </c>
      <c r="D4" s="4">
        <f>COUNTIFS(step3_combined_data!$AI$2:$AI$404,"Support", step3_combined_data!$AG$2:$AG$404,"Support")</f>
        <v>190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0</v>
      </c>
      <c r="D2" s="4">
        <f>COUNTIFS(step3_combined_data!$AN$2:$AN$404,"Support", step3_combined_data!$AL$2:$AL$404,"Oppose")</f>
        <v>1</v>
      </c>
    </row>
    <row r="3" spans="1:4" x14ac:dyDescent="0.45">
      <c r="A3" s="1" t="s">
        <v>2</v>
      </c>
      <c r="B3" s="4">
        <f>COUNTIFS(step3_combined_data!$AN$2:$AN$404,"Oppose", step3_combined_data!$AL$2:$AL$404,"Neutral")</f>
        <v>29</v>
      </c>
      <c r="C3" s="4">
        <f>COUNTIFS(step3_combined_data!$AN$2:$AN$404,"Neutral", step3_combined_data!$AL$2:$AL$404,"Neutral")</f>
        <v>95</v>
      </c>
      <c r="D3" s="4">
        <f>COUNTIFS(step3_combined_data!$AN$2:$AN$404,"Support", step3_combined_data!$AL$2:$AL$404,"Neutral")</f>
        <v>52</v>
      </c>
    </row>
    <row r="4" spans="1:4" x14ac:dyDescent="0.45">
      <c r="A4" s="1" t="s">
        <v>3</v>
      </c>
      <c r="B4" s="4">
        <f>COUNTIFS(step3_combined_data!$AN$2:$AN$404,"Oppose", step3_combined_data!$AL$2:$AL$404,"Support")</f>
        <v>28</v>
      </c>
      <c r="C4" s="4">
        <f>COUNTIFS(step3_combined_data!$AN$2:$AN$404,"Neutral", step3_combined_data!$AL$2:$AL$404,"Support")</f>
        <v>122</v>
      </c>
      <c r="D4" s="4">
        <f>COUNTIFS(step3_combined_data!$AN$2:$AN$404,"Support", step3_combined_data!$AL$2:$AL$404,"Support")</f>
        <v>75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3</v>
      </c>
      <c r="C3" s="4">
        <f>COUNTIFS(step3_combined_data!$AS$2:$AS$404,"Neutral", step3_combined_data!$AQ$2:$AQ$404,"Neutral")</f>
        <v>6</v>
      </c>
      <c r="D3" s="4">
        <f>COUNTIFS(step3_combined_data!$AS$2:$AS$404,"Support", step3_combined_data!$AQ$2:$AQ$404,"Neutral")</f>
        <v>8</v>
      </c>
    </row>
    <row r="4" spans="1:4" x14ac:dyDescent="0.45">
      <c r="A4" s="1" t="s">
        <v>3</v>
      </c>
      <c r="B4" s="4">
        <f>COUNTIFS(step3_combined_data!$AS$2:$AS$404,"Oppose", step3_combined_data!$AQ$2:$AQ$404,"Support")</f>
        <v>67</v>
      </c>
      <c r="C4" s="4">
        <f>COUNTIFS(step3_combined_data!$AS$2:$AS$404,"Neutral", step3_combined_data!$AQ$2:$AQ$404,"Support")</f>
        <v>172</v>
      </c>
      <c r="D4" s="4">
        <f>COUNTIFS(step3_combined_data!$AS$2:$AS$404,"Support", step3_combined_data!$AQ$2:$AQ$404,"Support")</f>
        <v>146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0</v>
      </c>
      <c r="C2" s="4">
        <f>COUNTIFS(step3_combined_data!$AX$2:$AX$404,"Neutral", step3_combined_data!$AV$2:$AV$404,"Oppose")</f>
        <v>0</v>
      </c>
      <c r="D2" s="4">
        <f>COUNTIFS(step3_combined_data!$AX$2:$AX$404,"Support", step3_combined_data!$AV$2:$AV$404,"Oppose")</f>
        <v>0</v>
      </c>
    </row>
    <row r="3" spans="1:4" x14ac:dyDescent="0.45">
      <c r="A3" s="1" t="s">
        <v>2</v>
      </c>
      <c r="B3" s="4">
        <f>COUNTIFS(step3_combined_data!$AX$2:$AX$404,"Oppose", step3_combined_data!$AV$2:$AV$404,"Neutral")</f>
        <v>35</v>
      </c>
      <c r="C3" s="4">
        <f>COUNTIFS(step3_combined_data!$AX$2:$AX$404,"Neutral", step3_combined_data!$AV$2:$AV$404,"Neutral")</f>
        <v>90</v>
      </c>
      <c r="D3" s="4">
        <f>COUNTIFS(step3_combined_data!$AX$2:$AX$404,"Support", step3_combined_data!$AV$2:$AV$404,"Neutral")</f>
        <v>38</v>
      </c>
    </row>
    <row r="4" spans="1:4" x14ac:dyDescent="0.45">
      <c r="A4" s="1" t="s">
        <v>3</v>
      </c>
      <c r="B4" s="4">
        <f>COUNTIFS(step3_combined_data!$AX$2:$AX$404,"Oppose", step3_combined_data!$AV$2:$AV$404,"Support")</f>
        <v>37</v>
      </c>
      <c r="C4" s="4">
        <f>COUNTIFS(step3_combined_data!$AX$2:$AX$404,"Neutral", step3_combined_data!$AV$2:$AV$404,"Support")</f>
        <v>127</v>
      </c>
      <c r="D4" s="4">
        <f>COUNTIFS(step3_combined_data!$AX$2:$AX$404,"Support", step3_combined_data!$AV$2:$AV$404,"Support")</f>
        <v>75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24</v>
      </c>
      <c r="D2" s="4">
        <f>COUNTIFS(step3_combined_data!$BA$2:$BA$404,"Support", step3_combined_data!$BC$2:$BC$404,"Oppose")</f>
        <v>22</v>
      </c>
    </row>
    <row r="3" spans="1:4" x14ac:dyDescent="0.45">
      <c r="A3" s="1" t="s">
        <v>2</v>
      </c>
      <c r="B3" s="4">
        <f>COUNTIFS(step3_combined_data!$BA$2:$BA$404,"Oppose", step3_combined_data!$BC$2:$BC$404,"Neutral")</f>
        <v>0</v>
      </c>
      <c r="C3" s="4">
        <f>COUNTIFS(step3_combined_data!$BA$2:$BA$404,"Neutral", step3_combined_data!$BC$2:$BC$404,"Neutral")</f>
        <v>116</v>
      </c>
      <c r="D3" s="4">
        <f>COUNTIFS(step3_combined_data!$BA$2:$BA$404,"Support", step3_combined_data!$BC$2:$BC$404,"Neutral")</f>
        <v>119</v>
      </c>
    </row>
    <row r="4" spans="1:4" x14ac:dyDescent="0.45">
      <c r="A4" s="1" t="s">
        <v>3</v>
      </c>
      <c r="B4" s="4">
        <f>COUNTIFS(step3_combined_data!$BA$2:$BA$404,"Oppose", step3_combined_data!$BC$2:$BC$404,"Support")</f>
        <v>0</v>
      </c>
      <c r="C4" s="4">
        <f>COUNTIFS(step3_combined_data!$BA$2:$BA$404,"Neutral", step3_combined_data!$BC$2:$BC$404,"Support")</f>
        <v>48</v>
      </c>
      <c r="D4" s="4">
        <f>COUNTIFS(step3_combined_data!$BA$2:$BA$404,"Support", step3_combined_data!$BC$2:$BC$404,"Support")</f>
        <v>73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0</v>
      </c>
      <c r="D2" s="4">
        <f>COUNTIFS(step3_combined_data!$BH$2:$BH$404,"Support", step3_combined_data!$BF$2:$BF$404,"Oppose")</f>
        <v>0</v>
      </c>
    </row>
    <row r="3" spans="1:4" x14ac:dyDescent="0.45">
      <c r="A3" s="1" t="s">
        <v>2</v>
      </c>
      <c r="B3" s="4">
        <f>COUNTIFS(step3_combined_data!$BH$2:$BH$404,"Oppose", step3_combined_data!$BF$2:$BF$404,"Neutral")</f>
        <v>2</v>
      </c>
      <c r="C3" s="4">
        <f>COUNTIFS(step3_combined_data!$BH$2:$BH$404,"Neutral", step3_combined_data!$BF$2:$BF$404,"Neutral")</f>
        <v>6</v>
      </c>
      <c r="D3" s="4">
        <f>COUNTIFS(step3_combined_data!$BH$2:$BH$404,"Support", step3_combined_data!$BF$2:$BF$404,"Neutral")</f>
        <v>5</v>
      </c>
    </row>
    <row r="4" spans="1:4" x14ac:dyDescent="0.45">
      <c r="A4" s="1" t="s">
        <v>3</v>
      </c>
      <c r="B4" s="4">
        <f>COUNTIFS(step3_combined_data!$BH$2:$BH$404,"Oppose", step3_combined_data!$BF$2:$BF$404,"Support")</f>
        <v>33</v>
      </c>
      <c r="C4" s="4">
        <f>COUNTIFS(step3_combined_data!$BH$2:$BH$404,"Neutral", step3_combined_data!$BF$2:$BF$404,"Support")</f>
        <v>188</v>
      </c>
      <c r="D4" s="4">
        <f>COUNTIFS(step3_combined_data!$BH$2:$BH$404,"Support", step3_combined_data!$BF$2:$BF$404,"Support")</f>
        <v>168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step3_validation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2026-02-03T08:10:07Z</dcterms:modified>
</cp:coreProperties>
</file>